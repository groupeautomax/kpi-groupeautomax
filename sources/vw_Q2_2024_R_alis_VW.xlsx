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4\"/>
    </mc:Choice>
  </mc:AlternateContent>
  <xr:revisionPtr revIDLastSave="0" documentId="13_ncr:1_{0F8E0B0A-2C96-458E-A07C-33750C5A5E35}" xr6:coauthVersionLast="47" xr6:coauthVersionMax="47" xr10:uidLastSave="{00000000-0000-0000-0000-000000000000}"/>
  <bookViews>
    <workbookView xWindow="2868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Avril 2024" sheetId="16" r:id="rId4"/>
    <sheet name="Mai 2024" sheetId="17" r:id="rId5"/>
    <sheet name="Juin 2024" sheetId="18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_xlnm.Print_Area" localSheetId="3">'Avril 2024'!$C$1:$S$353,'Avril 2024'!$V$402:$AO$498</definedName>
    <definedName name="_xlnm.Print_Area" localSheetId="1">Conso!$C$1:$S$398,Conso!$V$401:$AO$497</definedName>
    <definedName name="_xlnm.Print_Area" localSheetId="5">'Juin 2024'!$C$1:$S$353,'Juin 2024'!$V$402:$AO$498</definedName>
    <definedName name="_xlnm.Print_Area" localSheetId="4">'Mai 2024'!$C$1:$S$353,'Mai 2024'!$V$402:$AO$498</definedName>
    <definedName name="_xlnm.Print_Area">#REF!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5">#REF!</definedName>
    <definedName name="Ticker" localSheetId="4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500" i="1" l="1"/>
  <c r="N285" i="1"/>
  <c r="AL461" i="1"/>
  <c r="AF461" i="1"/>
  <c r="AN500" i="1"/>
  <c r="AL500" i="1"/>
  <c r="AF500" i="1"/>
  <c r="Z500" i="1"/>
  <c r="AL464" i="1" l="1"/>
  <c r="AL463" i="1"/>
  <c r="AN461" i="1"/>
  <c r="Q144" i="1"/>
  <c r="F144" i="1"/>
  <c r="Q158" i="1"/>
  <c r="AL453" i="1"/>
  <c r="AL493" i="1"/>
  <c r="AL492" i="1"/>
  <c r="AL491" i="1"/>
  <c r="AL490" i="1"/>
  <c r="AL489" i="1"/>
  <c r="AO489" i="1" s="1"/>
  <c r="AL468" i="1"/>
  <c r="AL456" i="1"/>
  <c r="AL419" i="1"/>
  <c r="Q347" i="1"/>
  <c r="L347" i="1"/>
  <c r="I347" i="1"/>
  <c r="F347" i="1"/>
  <c r="L346" i="1"/>
  <c r="I346" i="1"/>
  <c r="F346" i="1"/>
  <c r="Q345" i="1"/>
  <c r="L345" i="1"/>
  <c r="I345" i="1"/>
  <c r="F345" i="1"/>
  <c r="Q284" i="1"/>
  <c r="L284" i="1"/>
  <c r="I284" i="1"/>
  <c r="F284" i="1"/>
  <c r="Q283" i="1"/>
  <c r="L283" i="1"/>
  <c r="I283" i="1"/>
  <c r="F283" i="1"/>
  <c r="Q282" i="1"/>
  <c r="L282" i="1"/>
  <c r="I282" i="1"/>
  <c r="F282" i="1"/>
  <c r="Q228" i="1"/>
  <c r="L228" i="1"/>
  <c r="I228" i="1"/>
  <c r="F228" i="1"/>
  <c r="Q227" i="1"/>
  <c r="L227" i="1"/>
  <c r="I227" i="1"/>
  <c r="F227" i="1"/>
  <c r="Q226" i="1"/>
  <c r="L226" i="1"/>
  <c r="I226" i="1"/>
  <c r="F226" i="1"/>
  <c r="Q209" i="1"/>
  <c r="L209" i="1"/>
  <c r="I209" i="1"/>
  <c r="F209" i="1"/>
  <c r="Q162" i="1"/>
  <c r="L162" i="1"/>
  <c r="I162" i="1"/>
  <c r="F162" i="1"/>
  <c r="L161" i="1"/>
  <c r="I161" i="1"/>
  <c r="Q160" i="1"/>
  <c r="L160" i="1"/>
  <c r="I160" i="1"/>
  <c r="F160" i="1"/>
  <c r="Q159" i="1"/>
  <c r="L159" i="1"/>
  <c r="I159" i="1"/>
  <c r="F159" i="1"/>
  <c r="L158" i="1"/>
  <c r="I158" i="1"/>
  <c r="F158" i="1"/>
  <c r="Q157" i="1"/>
  <c r="L157" i="1"/>
  <c r="I157" i="1"/>
  <c r="Q156" i="1"/>
  <c r="L156" i="1"/>
  <c r="I156" i="1"/>
  <c r="F156" i="1"/>
  <c r="Q152" i="1"/>
  <c r="L152" i="1"/>
  <c r="I152" i="1"/>
  <c r="F152" i="1"/>
  <c r="Q151" i="1"/>
  <c r="L151" i="1"/>
  <c r="I151" i="1"/>
  <c r="F151" i="1"/>
  <c r="Q150" i="1"/>
  <c r="L150" i="1"/>
  <c r="I150" i="1"/>
  <c r="F150" i="1"/>
  <c r="L149" i="1"/>
  <c r="I149" i="1"/>
  <c r="F149" i="1"/>
  <c r="Q148" i="1"/>
  <c r="L148" i="1"/>
  <c r="I148" i="1"/>
  <c r="F148" i="1"/>
  <c r="Q147" i="1"/>
  <c r="L147" i="1"/>
  <c r="I147" i="1"/>
  <c r="F147" i="1"/>
  <c r="L146" i="1"/>
  <c r="I146" i="1"/>
  <c r="F146" i="1"/>
  <c r="Q145" i="1"/>
  <c r="L145" i="1"/>
  <c r="I145" i="1"/>
  <c r="F145" i="1"/>
  <c r="L144" i="1"/>
  <c r="I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F140" i="1"/>
  <c r="L139" i="1"/>
  <c r="I139" i="1"/>
  <c r="F139" i="1"/>
  <c r="Q138" i="1"/>
  <c r="L138" i="1"/>
  <c r="I138" i="1"/>
  <c r="Q137" i="1"/>
  <c r="L137" i="1"/>
  <c r="I137" i="1"/>
  <c r="Q136" i="1"/>
  <c r="L136" i="1"/>
  <c r="I136" i="1"/>
  <c r="Q121" i="1"/>
  <c r="L121" i="1"/>
  <c r="I121" i="1"/>
  <c r="F121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F132" i="1"/>
  <c r="Q131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Q124" i="1"/>
  <c r="L124" i="1"/>
  <c r="I124" i="1"/>
  <c r="F124" i="1"/>
  <c r="L123" i="1"/>
  <c r="I123" i="1"/>
  <c r="F123" i="1"/>
  <c r="Q118" i="1"/>
  <c r="L118" i="1"/>
  <c r="I118" i="1"/>
  <c r="F118" i="1"/>
  <c r="Q117" i="1"/>
  <c r="L117" i="1"/>
  <c r="I117" i="1"/>
  <c r="F117" i="1"/>
  <c r="Q116" i="1"/>
  <c r="L116" i="1"/>
  <c r="I116" i="1"/>
  <c r="F116" i="1"/>
  <c r="Q115" i="1"/>
  <c r="L115" i="1"/>
  <c r="I115" i="1"/>
  <c r="F115" i="1"/>
  <c r="Q114" i="1"/>
  <c r="L114" i="1"/>
  <c r="I114" i="1"/>
  <c r="F114" i="1"/>
  <c r="Q113" i="1"/>
  <c r="L113" i="1"/>
  <c r="I113" i="1"/>
  <c r="F113" i="1"/>
  <c r="Q112" i="1"/>
  <c r="L112" i="1"/>
  <c r="I112" i="1"/>
  <c r="F112" i="1"/>
  <c r="AC479" i="1"/>
  <c r="AC478" i="1"/>
  <c r="AC477" i="1"/>
  <c r="AC431" i="1"/>
  <c r="AC430" i="1"/>
  <c r="AC417" i="1"/>
  <c r="AC416" i="1"/>
  <c r="AB416" i="1" s="1"/>
  <c r="AC415" i="1"/>
  <c r="AB415" i="1" s="1"/>
  <c r="AC496" i="1"/>
  <c r="AC495" i="1"/>
  <c r="AB495" i="1" s="1"/>
  <c r="AC494" i="1"/>
  <c r="AB494" i="1" s="1"/>
  <c r="AF493" i="1"/>
  <c r="AC493" i="1"/>
  <c r="AF492" i="1"/>
  <c r="AC492" i="1"/>
  <c r="AO491" i="1"/>
  <c r="AF491" i="1"/>
  <c r="AC491" i="1"/>
  <c r="AB491" i="1" s="1"/>
  <c r="AF490" i="1"/>
  <c r="AC490" i="1"/>
  <c r="AB490" i="1" s="1"/>
  <c r="AF489" i="1"/>
  <c r="AC489" i="1"/>
  <c r="Z489" i="1"/>
  <c r="AI489" i="1" s="1"/>
  <c r="AF494" i="1" l="1"/>
  <c r="N143" i="1"/>
  <c r="Z463" i="1"/>
  <c r="AF462" i="1"/>
  <c r="AL462" i="1"/>
  <c r="AF463" i="1"/>
  <c r="AN463" i="1" s="1"/>
  <c r="Z464" i="1"/>
  <c r="Z462" i="1"/>
  <c r="AF464" i="1"/>
  <c r="AN464" i="1" s="1"/>
  <c r="N156" i="1"/>
  <c r="N149" i="1"/>
  <c r="N124" i="1"/>
  <c r="N145" i="1"/>
  <c r="N114" i="1"/>
  <c r="N158" i="1"/>
  <c r="N132" i="1"/>
  <c r="N147" i="1"/>
  <c r="S118" i="1"/>
  <c r="N144" i="1"/>
  <c r="AH489" i="1"/>
  <c r="N126" i="1"/>
  <c r="S282" i="1"/>
  <c r="N129" i="1"/>
  <c r="N140" i="1"/>
  <c r="N117" i="1"/>
  <c r="S121" i="1"/>
  <c r="S116" i="1"/>
  <c r="N116" i="1"/>
  <c r="S113" i="1"/>
  <c r="N113" i="1"/>
  <c r="N141" i="1"/>
  <c r="N123" i="1"/>
  <c r="N127" i="1"/>
  <c r="N130" i="1"/>
  <c r="N133" i="1"/>
  <c r="N148" i="1"/>
  <c r="N142" i="1"/>
  <c r="S283" i="1"/>
  <c r="N128" i="1"/>
  <c r="N139" i="1"/>
  <c r="N146" i="1"/>
  <c r="N159" i="1"/>
  <c r="N131" i="1"/>
  <c r="N112" i="1"/>
  <c r="N115" i="1"/>
  <c r="N118" i="1"/>
  <c r="AB417" i="1"/>
  <c r="N227" i="1"/>
  <c r="N346" i="1"/>
  <c r="N347" i="1"/>
  <c r="S117" i="1"/>
  <c r="Q139" i="1"/>
  <c r="Q161" i="1"/>
  <c r="AL457" i="1"/>
  <c r="AL459" i="1"/>
  <c r="Q146" i="1"/>
  <c r="N150" i="1"/>
  <c r="S227" i="1"/>
  <c r="Q346" i="1"/>
  <c r="S346" i="1" s="1"/>
  <c r="Q120" i="1"/>
  <c r="S120" i="1" s="1"/>
  <c r="F157" i="1"/>
  <c r="N157" i="1" s="1"/>
  <c r="S284" i="1"/>
  <c r="AL452" i="1"/>
  <c r="Q123" i="1"/>
  <c r="S345" i="1"/>
  <c r="F137" i="1"/>
  <c r="N137" i="1" s="1"/>
  <c r="F161" i="1"/>
  <c r="AL460" i="1"/>
  <c r="N152" i="1"/>
  <c r="N161" i="1"/>
  <c r="F125" i="1"/>
  <c r="N125" i="1" s="1"/>
  <c r="N134" i="1"/>
  <c r="N121" i="1"/>
  <c r="AL454" i="1"/>
  <c r="F138" i="1"/>
  <c r="N138" i="1" s="1"/>
  <c r="AL455" i="1"/>
  <c r="F136" i="1"/>
  <c r="N136" i="1" s="1"/>
  <c r="N151" i="1"/>
  <c r="S209" i="1"/>
  <c r="S228" i="1"/>
  <c r="AL458" i="1"/>
  <c r="AB477" i="1"/>
  <c r="AB493" i="1"/>
  <c r="AB496" i="1"/>
  <c r="AB478" i="1"/>
  <c r="AB492" i="1"/>
  <c r="AB431" i="1"/>
  <c r="AB479" i="1"/>
  <c r="N119" i="1"/>
  <c r="N160" i="1"/>
  <c r="N162" i="1"/>
  <c r="N226" i="1"/>
  <c r="S347" i="1"/>
  <c r="J113" i="1"/>
  <c r="N345" i="1"/>
  <c r="S226" i="1"/>
  <c r="N228" i="1"/>
  <c r="N120" i="1"/>
  <c r="S119" i="1"/>
  <c r="S115" i="1"/>
  <c r="G113" i="1"/>
  <c r="S114" i="1"/>
  <c r="AB430" i="1"/>
  <c r="AN491" i="1"/>
  <c r="AN490" i="1"/>
  <c r="AO490" i="1" s="1"/>
  <c r="AN493" i="1"/>
  <c r="AO493" i="1"/>
  <c r="AN489" i="1"/>
  <c r="AO492" i="1"/>
  <c r="AB489" i="1"/>
  <c r="AN492" i="1"/>
  <c r="AC476" i="1"/>
  <c r="AC475" i="1"/>
  <c r="AC474" i="1"/>
  <c r="AB474" i="1" s="1"/>
  <c r="AC473" i="1"/>
  <c r="AB473" i="1" s="1"/>
  <c r="AC472" i="1"/>
  <c r="AC471" i="1"/>
  <c r="AC470" i="1"/>
  <c r="AB470" i="1" s="1"/>
  <c r="AC469" i="1"/>
  <c r="AF468" i="1"/>
  <c r="AC468" i="1"/>
  <c r="AO461" i="1"/>
  <c r="AC461" i="1"/>
  <c r="Z461" i="1"/>
  <c r="AF460" i="1"/>
  <c r="AC460" i="1"/>
  <c r="AB460" i="1" s="1"/>
  <c r="AF459" i="1"/>
  <c r="AC459" i="1"/>
  <c r="AB459" i="1" s="1"/>
  <c r="AF458" i="1"/>
  <c r="AC458" i="1"/>
  <c r="AF457" i="1"/>
  <c r="AC457" i="1"/>
  <c r="AF456" i="1"/>
  <c r="AC456" i="1"/>
  <c r="AB456" i="1" s="1"/>
  <c r="AF455" i="1"/>
  <c r="AC455" i="1"/>
  <c r="AB455" i="1" s="1"/>
  <c r="AF454" i="1"/>
  <c r="AC454" i="1"/>
  <c r="AF453" i="1"/>
  <c r="AC453" i="1"/>
  <c r="AB453" i="1" s="1"/>
  <c r="AF452" i="1"/>
  <c r="AC452" i="1"/>
  <c r="AC450" i="1"/>
  <c r="AC449" i="1"/>
  <c r="AB449" i="1" s="1"/>
  <c r="AC448" i="1"/>
  <c r="AC447" i="1"/>
  <c r="AC446" i="1"/>
  <c r="AB446" i="1" s="1"/>
  <c r="AC445" i="1"/>
  <c r="AB445" i="1" s="1"/>
  <c r="AC444" i="1"/>
  <c r="AB444" i="1" s="1"/>
  <c r="AC443" i="1"/>
  <c r="AC442" i="1"/>
  <c r="AB442" i="1" s="1"/>
  <c r="AC441" i="1"/>
  <c r="AB441" i="1" s="1"/>
  <c r="AC440" i="1"/>
  <c r="AC439" i="1"/>
  <c r="AC438" i="1"/>
  <c r="AC437" i="1"/>
  <c r="AB437" i="1" s="1"/>
  <c r="AC436" i="1"/>
  <c r="AB436" i="1" s="1"/>
  <c r="AC435" i="1"/>
  <c r="AC434" i="1"/>
  <c r="AB434" i="1" s="1"/>
  <c r="AC433" i="1"/>
  <c r="AB433" i="1" s="1"/>
  <c r="AC429" i="1"/>
  <c r="AB429" i="1" s="1"/>
  <c r="AC428" i="1"/>
  <c r="AC427" i="1"/>
  <c r="AB427" i="1" s="1"/>
  <c r="AC426" i="1"/>
  <c r="AC425" i="1"/>
  <c r="AB425" i="1" s="1"/>
  <c r="AC424" i="1"/>
  <c r="AB424" i="1" s="1"/>
  <c r="AC423" i="1"/>
  <c r="AC422" i="1"/>
  <c r="AC421" i="1"/>
  <c r="AB421" i="1" s="1"/>
  <c r="AC420" i="1"/>
  <c r="AB420" i="1" s="1"/>
  <c r="AF419" i="1"/>
  <c r="AC419" i="1"/>
  <c r="AC414" i="1"/>
  <c r="AC413" i="1"/>
  <c r="AC412" i="1"/>
  <c r="AC411" i="1"/>
  <c r="AB411" i="1" s="1"/>
  <c r="AC410" i="1"/>
  <c r="AC409" i="1"/>
  <c r="AC408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59" i="1"/>
  <c r="O359" i="1"/>
  <c r="L359" i="1"/>
  <c r="J359" i="1"/>
  <c r="I359" i="1"/>
  <c r="G359" i="1"/>
  <c r="F359" i="1"/>
  <c r="D359" i="1"/>
  <c r="M359" i="1" s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30" i="1"/>
  <c r="L330" i="1"/>
  <c r="I330" i="1"/>
  <c r="F330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R312" i="1" s="1"/>
  <c r="L312" i="1"/>
  <c r="J312" i="1"/>
  <c r="I312" i="1"/>
  <c r="G312" i="1"/>
  <c r="H312" i="1" s="1"/>
  <c r="F312" i="1"/>
  <c r="D312" i="1"/>
  <c r="E312" i="1" s="1"/>
  <c r="Q311" i="1"/>
  <c r="O311" i="1"/>
  <c r="R311" i="1" s="1"/>
  <c r="L311" i="1"/>
  <c r="J311" i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P303" i="1" s="1"/>
  <c r="L303" i="1"/>
  <c r="J303" i="1"/>
  <c r="I303" i="1"/>
  <c r="G303" i="1"/>
  <c r="H303" i="1" s="1"/>
  <c r="F303" i="1"/>
  <c r="D303" i="1"/>
  <c r="E303" i="1" s="1"/>
  <c r="Q302" i="1"/>
  <c r="O302" i="1"/>
  <c r="R302" i="1" s="1"/>
  <c r="L302" i="1"/>
  <c r="J302" i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E296" i="1" s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N211" i="1" l="1"/>
  <c r="P296" i="1"/>
  <c r="N223" i="1"/>
  <c r="R297" i="1"/>
  <c r="N200" i="1"/>
  <c r="M241" i="1"/>
  <c r="M298" i="1"/>
  <c r="M300" i="1"/>
  <c r="M307" i="1"/>
  <c r="M178" i="1"/>
  <c r="N241" i="1"/>
  <c r="N302" i="1"/>
  <c r="AN462" i="1"/>
  <c r="M175" i="1"/>
  <c r="N175" i="1"/>
  <c r="N220" i="1"/>
  <c r="N203" i="1"/>
  <c r="M247" i="1"/>
  <c r="M295" i="1"/>
  <c r="M297" i="1"/>
  <c r="M299" i="1"/>
  <c r="K301" i="1"/>
  <c r="M301" i="1"/>
  <c r="K303" i="1"/>
  <c r="M303" i="1"/>
  <c r="M308" i="1"/>
  <c r="M172" i="1"/>
  <c r="K312" i="1"/>
  <c r="M312" i="1"/>
  <c r="M244" i="1"/>
  <c r="N244" i="1"/>
  <c r="N245" i="1" s="1"/>
  <c r="AH461" i="1"/>
  <c r="AI461" i="1"/>
  <c r="K296" i="1"/>
  <c r="M296" i="1"/>
  <c r="K302" i="1"/>
  <c r="M302" i="1"/>
  <c r="K311" i="1"/>
  <c r="M311" i="1"/>
  <c r="N320" i="1"/>
  <c r="N323" i="1"/>
  <c r="N326" i="1"/>
  <c r="N330" i="1"/>
  <c r="N333" i="1"/>
  <c r="N336" i="1"/>
  <c r="N339" i="1"/>
  <c r="N342" i="1"/>
  <c r="N303" i="1"/>
  <c r="N247" i="1"/>
  <c r="N178" i="1"/>
  <c r="N311" i="1"/>
  <c r="N188" i="1"/>
  <c r="N163" i="1"/>
  <c r="N122" i="1"/>
  <c r="N184" i="1"/>
  <c r="N319" i="1"/>
  <c r="N322" i="1"/>
  <c r="N325" i="1"/>
  <c r="N328" i="1"/>
  <c r="N332" i="1"/>
  <c r="N335" i="1"/>
  <c r="N338" i="1"/>
  <c r="N344" i="1"/>
  <c r="N172" i="1"/>
  <c r="N199" i="1"/>
  <c r="N202" i="1"/>
  <c r="N208" i="1"/>
  <c r="N213" i="1"/>
  <c r="N216" i="1"/>
  <c r="N219" i="1"/>
  <c r="N222" i="1"/>
  <c r="N225" i="1"/>
  <c r="M100" i="1"/>
  <c r="N295" i="1"/>
  <c r="N298" i="1"/>
  <c r="N301" i="1"/>
  <c r="K297" i="1"/>
  <c r="E299" i="1"/>
  <c r="N359" i="1"/>
  <c r="N361" i="1" s="1"/>
  <c r="N99" i="1"/>
  <c r="N103" i="1"/>
  <c r="N153" i="1"/>
  <c r="S205" i="1"/>
  <c r="N205" i="1"/>
  <c r="E297" i="1"/>
  <c r="K298" i="1"/>
  <c r="S341" i="1"/>
  <c r="N341" i="1"/>
  <c r="N135" i="1"/>
  <c r="N307" i="1"/>
  <c r="N100" i="1"/>
  <c r="N104" i="1"/>
  <c r="P301" i="1"/>
  <c r="N312" i="1"/>
  <c r="S206" i="1"/>
  <c r="N206" i="1"/>
  <c r="S214" i="1"/>
  <c r="N214" i="1"/>
  <c r="S217" i="1"/>
  <c r="N217" i="1"/>
  <c r="N297" i="1"/>
  <c r="N300" i="1"/>
  <c r="M99" i="1"/>
  <c r="AB450" i="1"/>
  <c r="N198" i="1"/>
  <c r="S201" i="1"/>
  <c r="N201" i="1"/>
  <c r="N204" i="1"/>
  <c r="N207" i="1"/>
  <c r="N212" i="1"/>
  <c r="N215" i="1"/>
  <c r="S218" i="1"/>
  <c r="N218" i="1"/>
  <c r="N221" i="1"/>
  <c r="N224" i="1"/>
  <c r="N318" i="1"/>
  <c r="S321" i="1"/>
  <c r="N321" i="1"/>
  <c r="S324" i="1"/>
  <c r="N324" i="1"/>
  <c r="N327" i="1"/>
  <c r="N331" i="1"/>
  <c r="N334" i="1"/>
  <c r="N337" i="1"/>
  <c r="S340" i="1"/>
  <c r="N340" i="1"/>
  <c r="N343" i="1"/>
  <c r="N296" i="1"/>
  <c r="N299" i="1"/>
  <c r="E307" i="1"/>
  <c r="AB471" i="1"/>
  <c r="N181" i="1"/>
  <c r="P299" i="1"/>
  <c r="N308" i="1"/>
  <c r="L105" i="1"/>
  <c r="N102" i="1"/>
  <c r="K308" i="1"/>
  <c r="K307" i="1"/>
  <c r="S332" i="1"/>
  <c r="S297" i="1"/>
  <c r="K300" i="1"/>
  <c r="S320" i="1"/>
  <c r="S326" i="1"/>
  <c r="S336" i="1"/>
  <c r="AB475" i="1"/>
  <c r="S255" i="1"/>
  <c r="S261" i="1"/>
  <c r="S272" i="1"/>
  <c r="S275" i="1"/>
  <c r="S278" i="1"/>
  <c r="P300" i="1"/>
  <c r="P297" i="1"/>
  <c r="S300" i="1"/>
  <c r="R303" i="1"/>
  <c r="S276" i="1"/>
  <c r="S219" i="1"/>
  <c r="S298" i="1"/>
  <c r="E300" i="1"/>
  <c r="S343" i="1"/>
  <c r="S279" i="1"/>
  <c r="F185" i="1"/>
  <c r="P298" i="1"/>
  <c r="S301" i="1"/>
  <c r="P308" i="1"/>
  <c r="S203" i="1"/>
  <c r="S257" i="1"/>
  <c r="S263" i="1"/>
  <c r="S271" i="1"/>
  <c r="S277" i="1"/>
  <c r="AB414" i="1"/>
  <c r="P302" i="1"/>
  <c r="S260" i="1"/>
  <c r="S223" i="1"/>
  <c r="S268" i="1"/>
  <c r="S339" i="1"/>
  <c r="S104" i="1"/>
  <c r="AB461" i="1"/>
  <c r="S215" i="1"/>
  <c r="S247" i="1"/>
  <c r="S103" i="1"/>
  <c r="S337" i="1"/>
  <c r="AB447" i="1"/>
  <c r="P312" i="1"/>
  <c r="S244" i="1"/>
  <c r="S199" i="1"/>
  <c r="E298" i="1"/>
  <c r="K299" i="1"/>
  <c r="P307" i="1"/>
  <c r="S322" i="1"/>
  <c r="S325" i="1"/>
  <c r="S328" i="1"/>
  <c r="S208" i="1"/>
  <c r="S222" i="1"/>
  <c r="S259" i="1"/>
  <c r="S296" i="1"/>
  <c r="S303" i="1"/>
  <c r="AB439" i="1"/>
  <c r="AB448" i="1"/>
  <c r="AL447" i="1"/>
  <c r="S270" i="1"/>
  <c r="S273" i="1"/>
  <c r="E308" i="1"/>
  <c r="S312" i="1"/>
  <c r="S102" i="1"/>
  <c r="AB409" i="1"/>
  <c r="AB428" i="1"/>
  <c r="AB458" i="1"/>
  <c r="AB468" i="1"/>
  <c r="AB412" i="1"/>
  <c r="AB452" i="1"/>
  <c r="AB454" i="1"/>
  <c r="AB476" i="1"/>
  <c r="AB419" i="1"/>
  <c r="AB422" i="1"/>
  <c r="AB440" i="1"/>
  <c r="AB410" i="1"/>
  <c r="AB426" i="1"/>
  <c r="AB413" i="1"/>
  <c r="AB469" i="1"/>
  <c r="AB423" i="1"/>
  <c r="AB438" i="1"/>
  <c r="AB457" i="1"/>
  <c r="S200" i="1"/>
  <c r="S202" i="1"/>
  <c r="S204" i="1"/>
  <c r="S274" i="1"/>
  <c r="P311" i="1"/>
  <c r="S331" i="1"/>
  <c r="S267" i="1"/>
  <c r="S269" i="1"/>
  <c r="S280" i="1"/>
  <c r="S307" i="1"/>
  <c r="S207" i="1"/>
  <c r="S213" i="1"/>
  <c r="S221" i="1"/>
  <c r="S302" i="1"/>
  <c r="S308" i="1"/>
  <c r="S330" i="1"/>
  <c r="S333" i="1"/>
  <c r="S335" i="1"/>
  <c r="S256" i="1"/>
  <c r="S258" i="1"/>
  <c r="S262" i="1"/>
  <c r="S299" i="1"/>
  <c r="S342" i="1"/>
  <c r="S264" i="1"/>
  <c r="S311" i="1"/>
  <c r="AN455" i="1"/>
  <c r="AO455" i="1"/>
  <c r="AN453" i="1"/>
  <c r="AO453" i="1" s="1"/>
  <c r="AN460" i="1"/>
  <c r="AO460" i="1" s="1"/>
  <c r="AN456" i="1"/>
  <c r="AO456" i="1" s="1"/>
  <c r="AN459" i="1"/>
  <c r="AO459" i="1" s="1"/>
  <c r="AN468" i="1"/>
  <c r="AO468" i="1" s="1"/>
  <c r="AN458" i="1"/>
  <c r="AO458" i="1" s="1"/>
  <c r="AN419" i="1"/>
  <c r="AO419" i="1" s="1"/>
  <c r="AB472" i="1"/>
  <c r="AN452" i="1"/>
  <c r="AO452" i="1" s="1"/>
  <c r="AN457" i="1"/>
  <c r="AO457" i="1" s="1"/>
  <c r="AN454" i="1"/>
  <c r="AO454" i="1"/>
  <c r="AB435" i="1"/>
  <c r="AB443" i="1"/>
  <c r="M102" i="1"/>
  <c r="M103" i="1"/>
  <c r="M104" i="1"/>
  <c r="R102" i="1"/>
  <c r="R103" i="1"/>
  <c r="R104" i="1"/>
  <c r="S334" i="1"/>
  <c r="S338" i="1"/>
  <c r="S319" i="1"/>
  <c r="S323" i="1"/>
  <c r="S327" i="1"/>
  <c r="R300" i="1"/>
  <c r="R307" i="1"/>
  <c r="R308" i="1"/>
  <c r="R296" i="1"/>
  <c r="R298" i="1"/>
  <c r="R299" i="1"/>
  <c r="S212" i="1"/>
  <c r="S216" i="1"/>
  <c r="S220" i="1"/>
  <c r="S224" i="1"/>
  <c r="N250" i="1" l="1"/>
  <c r="N248" i="1"/>
  <c r="N185" i="1"/>
  <c r="N194" i="1" s="1"/>
  <c r="N304" i="1"/>
  <c r="N348" i="1"/>
  <c r="N155" i="1"/>
  <c r="N229" i="1"/>
  <c r="N210" i="1"/>
  <c r="N105" i="1"/>
  <c r="N231" i="1" l="1"/>
  <c r="N309" i="1"/>
  <c r="N233" i="1"/>
  <c r="N234" i="1" s="1"/>
  <c r="D96" i="1"/>
  <c r="F96" i="1"/>
  <c r="G96" i="1"/>
  <c r="H96" i="1" s="1"/>
  <c r="I96" i="1"/>
  <c r="J96" i="1"/>
  <c r="L96" i="1"/>
  <c r="A96" i="1"/>
  <c r="N314" i="1" l="1"/>
  <c r="M96" i="1"/>
  <c r="N96" i="1"/>
  <c r="K96" i="1"/>
  <c r="E96" i="1"/>
  <c r="Z491" i="1"/>
  <c r="Z490" i="1"/>
  <c r="Z468" i="1"/>
  <c r="Z460" i="1"/>
  <c r="Z457" i="1"/>
  <c r="AH468" i="1" l="1"/>
  <c r="AI468" i="1"/>
  <c r="AH460" i="1"/>
  <c r="AI460" i="1" s="1"/>
  <c r="AH490" i="1"/>
  <c r="AI490" i="1" s="1"/>
  <c r="AH457" i="1"/>
  <c r="AI457" i="1" s="1"/>
  <c r="AH491" i="1"/>
  <c r="AI491" i="1"/>
  <c r="Z419" i="1"/>
  <c r="Z459" i="1"/>
  <c r="Z452" i="1"/>
  <c r="Z453" i="1"/>
  <c r="Z454" i="1"/>
  <c r="Z455" i="1"/>
  <c r="Z456" i="1"/>
  <c r="Z492" i="1"/>
  <c r="Z458" i="1"/>
  <c r="AH459" i="1" l="1"/>
  <c r="AI459" i="1"/>
  <c r="AH453" i="1"/>
  <c r="AI453" i="1"/>
  <c r="AH452" i="1"/>
  <c r="AI452" i="1"/>
  <c r="AH458" i="1"/>
  <c r="AI458" i="1" s="1"/>
  <c r="AH454" i="1"/>
  <c r="AI454" i="1" s="1"/>
  <c r="AH419" i="1"/>
  <c r="AI419" i="1" s="1"/>
  <c r="AH492" i="1"/>
  <c r="AI492" i="1"/>
  <c r="AH456" i="1"/>
  <c r="AI456" i="1" s="1"/>
  <c r="AH455" i="1"/>
  <c r="AI455" i="1"/>
  <c r="Z465" i="1"/>
  <c r="O96" i="1"/>
  <c r="Q96" i="1"/>
  <c r="S96" i="1" s="1"/>
  <c r="P96" i="1" l="1"/>
  <c r="R96" i="1"/>
  <c r="Q281" i="1" l="1"/>
  <c r="S281" i="1" s="1"/>
  <c r="Q225" i="1"/>
  <c r="S225" i="1" s="1"/>
  <c r="Q344" i="1" l="1"/>
  <c r="S344" i="1" s="1"/>
  <c r="Q149" i="1"/>
  <c r="Z494" i="1" l="1"/>
  <c r="Z493" i="1"/>
  <c r="AF495" i="1"/>
  <c r="AF423" i="1"/>
  <c r="AF422" i="1"/>
  <c r="AF447" i="1"/>
  <c r="AF472" i="1"/>
  <c r="AF470" i="1"/>
  <c r="Z475" i="1"/>
  <c r="AI475" i="1" s="1"/>
  <c r="AF417" i="1"/>
  <c r="AF429" i="1"/>
  <c r="AF448" i="1"/>
  <c r="Z410" i="1"/>
  <c r="AF431" i="1"/>
  <c r="AF474" i="1"/>
  <c r="AF435" i="1"/>
  <c r="AF426" i="1"/>
  <c r="AF434" i="1"/>
  <c r="AF433" i="1"/>
  <c r="AF424" i="1"/>
  <c r="AF408" i="1"/>
  <c r="AF441" i="1"/>
  <c r="AF469" i="1"/>
  <c r="AF409" i="1"/>
  <c r="AL469" i="1"/>
  <c r="AF445" i="1"/>
  <c r="Z411" i="1"/>
  <c r="Z423" i="1"/>
  <c r="AF473" i="1"/>
  <c r="Z435" i="1"/>
  <c r="AF411" i="1"/>
  <c r="AH411" i="1" s="1"/>
  <c r="AF416" i="1"/>
  <c r="Z438" i="1"/>
  <c r="Z446" i="1"/>
  <c r="AF438" i="1"/>
  <c r="AF477" i="1"/>
  <c r="AF413" i="1"/>
  <c r="Z473" i="1"/>
  <c r="AI473" i="1" s="1"/>
  <c r="AF425" i="1"/>
  <c r="AF444" i="1"/>
  <c r="AF436" i="1"/>
  <c r="Z443" i="1"/>
  <c r="AH438" i="1" l="1"/>
  <c r="AI411" i="1"/>
  <c r="AI438" i="1"/>
  <c r="AH493" i="1"/>
  <c r="AI493" i="1"/>
  <c r="AH494" i="1"/>
  <c r="AI494" i="1"/>
  <c r="AH473" i="1"/>
  <c r="AH435" i="1"/>
  <c r="AI435" i="1" s="1"/>
  <c r="AH423" i="1"/>
  <c r="AI423" i="1" s="1"/>
  <c r="AF440" i="1"/>
  <c r="AF439" i="1"/>
  <c r="Z412" i="1"/>
  <c r="AF475" i="1"/>
  <c r="AH475" i="1" s="1"/>
  <c r="Z436" i="1"/>
  <c r="Z444" i="1"/>
  <c r="Z408" i="1"/>
  <c r="AF420" i="1"/>
  <c r="Z427" i="1"/>
  <c r="Z434" i="1"/>
  <c r="Z414" i="1"/>
  <c r="AF443" i="1"/>
  <c r="AH443" i="1" s="1"/>
  <c r="AI443" i="1" s="1"/>
  <c r="AF476" i="1"/>
  <c r="Z429" i="1"/>
  <c r="Z479" i="1"/>
  <c r="AF421" i="1"/>
  <c r="AF437" i="1"/>
  <c r="AF412" i="1"/>
  <c r="Z440" i="1"/>
  <c r="Z496" i="1"/>
  <c r="AI496" i="1" s="1"/>
  <c r="Z430" i="1"/>
  <c r="Z441" i="1"/>
  <c r="AF428" i="1"/>
  <c r="AF471" i="1"/>
  <c r="Z413" i="1"/>
  <c r="Z409" i="1"/>
  <c r="AF415" i="1"/>
  <c r="AE415" i="1" s="1"/>
  <c r="AF449" i="1"/>
  <c r="AN449" i="1" s="1"/>
  <c r="AO449" i="1" s="1"/>
  <c r="Z433" i="1"/>
  <c r="Z495" i="1"/>
  <c r="AF410" i="1"/>
  <c r="AH410" i="1" s="1"/>
  <c r="AI410" i="1" s="1"/>
  <c r="AF427" i="1"/>
  <c r="AF430" i="1"/>
  <c r="Z421" i="1"/>
  <c r="AF414" i="1"/>
  <c r="Z437" i="1"/>
  <c r="Z420" i="1"/>
  <c r="AF446" i="1"/>
  <c r="AH446" i="1" s="1"/>
  <c r="AI446" i="1" s="1"/>
  <c r="AF479" i="1"/>
  <c r="Z445" i="1"/>
  <c r="Z474" i="1"/>
  <c r="AF442" i="1"/>
  <c r="Z469" i="1"/>
  <c r="Z428" i="1"/>
  <c r="Z471" i="1"/>
  <c r="AI471" i="1" s="1"/>
  <c r="Z442" i="1"/>
  <c r="Z447" i="1"/>
  <c r="AF496" i="1"/>
  <c r="AN426" i="1"/>
  <c r="AO426" i="1" s="1"/>
  <c r="AF450" i="1"/>
  <c r="AE416" i="1"/>
  <c r="AH416" i="1"/>
  <c r="AN416" i="1"/>
  <c r="AO416" i="1" s="1"/>
  <c r="AH431" i="1"/>
  <c r="AN431" i="1"/>
  <c r="AO431" i="1" s="1"/>
  <c r="AF478" i="1"/>
  <c r="AN425" i="1"/>
  <c r="AO425" i="1" s="1"/>
  <c r="AN424" i="1"/>
  <c r="AO424" i="1" s="1"/>
  <c r="AE417" i="1"/>
  <c r="AN417" i="1"/>
  <c r="AO417" i="1" s="1"/>
  <c r="AH417" i="1"/>
  <c r="Z470" i="1"/>
  <c r="Z422" i="1"/>
  <c r="Z472" i="1"/>
  <c r="Z439" i="1"/>
  <c r="AI439" i="1" s="1"/>
  <c r="AL470" i="1"/>
  <c r="AN470" i="1" s="1"/>
  <c r="AO470" i="1" s="1"/>
  <c r="AL496" i="1"/>
  <c r="AL495" i="1"/>
  <c r="AL494" i="1"/>
  <c r="AL478" i="1"/>
  <c r="AL471" i="1"/>
  <c r="AL476" i="1"/>
  <c r="AL474" i="1"/>
  <c r="AN469" i="1"/>
  <c r="AO469" i="1" s="1"/>
  <c r="AL473" i="1"/>
  <c r="AL472" i="1"/>
  <c r="AL475" i="1"/>
  <c r="AL477" i="1"/>
  <c r="Z450" i="1"/>
  <c r="AI450" i="1" s="1"/>
  <c r="Z416" i="1"/>
  <c r="AI416" i="1" s="1"/>
  <c r="Z476" i="1"/>
  <c r="AI476" i="1" s="1"/>
  <c r="AH479" i="1" l="1"/>
  <c r="AI479" i="1" s="1"/>
  <c r="AH445" i="1"/>
  <c r="AI445" i="1" s="1"/>
  <c r="AG416" i="1"/>
  <c r="AH447" i="1"/>
  <c r="AI447" i="1" s="1"/>
  <c r="AH413" i="1"/>
  <c r="AI413" i="1"/>
  <c r="AH408" i="1"/>
  <c r="AI408" i="1" s="1"/>
  <c r="AH422" i="1"/>
  <c r="AI422" i="1" s="1"/>
  <c r="AH441" i="1"/>
  <c r="AI441" i="1"/>
  <c r="AH470" i="1"/>
  <c r="AI470" i="1"/>
  <c r="AH444" i="1"/>
  <c r="AI444" i="1" s="1"/>
  <c r="AH429" i="1"/>
  <c r="AI429" i="1" s="1"/>
  <c r="AH433" i="1"/>
  <c r="AI433" i="1" s="1"/>
  <c r="AG415" i="1"/>
  <c r="AH474" i="1"/>
  <c r="AI474" i="1"/>
  <c r="AH436" i="1"/>
  <c r="AI436" i="1"/>
  <c r="AH472" i="1"/>
  <c r="AI472" i="1"/>
  <c r="AH495" i="1"/>
  <c r="AI495" i="1" s="1"/>
  <c r="AG417" i="1"/>
  <c r="AH469" i="1"/>
  <c r="AI469" i="1"/>
  <c r="AH409" i="1"/>
  <c r="AI409" i="1" s="1"/>
  <c r="AH434" i="1"/>
  <c r="AI434" i="1" s="1"/>
  <c r="AH430" i="1"/>
  <c r="AI430" i="1" s="1"/>
  <c r="AH427" i="1"/>
  <c r="AI427" i="1" s="1"/>
  <c r="AH414" i="1"/>
  <c r="AI414" i="1" s="1"/>
  <c r="AN496" i="1"/>
  <c r="AO496" i="1" s="1"/>
  <c r="AH471" i="1"/>
  <c r="AH420" i="1"/>
  <c r="AI420" i="1" s="1"/>
  <c r="AH412" i="1"/>
  <c r="AI412" i="1" s="1"/>
  <c r="AH428" i="1"/>
  <c r="AI428" i="1" s="1"/>
  <c r="AH442" i="1"/>
  <c r="AI442" i="1" s="1"/>
  <c r="AH437" i="1"/>
  <c r="AI437" i="1" s="1"/>
  <c r="AH421" i="1"/>
  <c r="AI421" i="1" s="1"/>
  <c r="AH439" i="1"/>
  <c r="AH476" i="1"/>
  <c r="AH440" i="1"/>
  <c r="AI440" i="1" s="1"/>
  <c r="AH449" i="1"/>
  <c r="AN478" i="1"/>
  <c r="AL465" i="1"/>
  <c r="AN415" i="1"/>
  <c r="AO415" i="1" s="1"/>
  <c r="AH415" i="1"/>
  <c r="AE496" i="1"/>
  <c r="AH496" i="1"/>
  <c r="AO478" i="1"/>
  <c r="AH450" i="1"/>
  <c r="AN450" i="1"/>
  <c r="AO450" i="1" s="1"/>
  <c r="Z478" i="1"/>
  <c r="Z425" i="1"/>
  <c r="Z415" i="1"/>
  <c r="AI415" i="1" s="1"/>
  <c r="Z417" i="1"/>
  <c r="AI417" i="1" s="1"/>
  <c r="Z426" i="1"/>
  <c r="Z448" i="1"/>
  <c r="Z477" i="1"/>
  <c r="Z449" i="1"/>
  <c r="AI449" i="1" s="1"/>
  <c r="Z424" i="1"/>
  <c r="Z431" i="1"/>
  <c r="AI431" i="1" s="1"/>
  <c r="AN494" i="1"/>
  <c r="AO494" i="1"/>
  <c r="AN495" i="1"/>
  <c r="AO495" i="1" s="1"/>
  <c r="AN474" i="1"/>
  <c r="AO474" i="1" s="1"/>
  <c r="AN477" i="1"/>
  <c r="AO477" i="1" s="1"/>
  <c r="AN473" i="1"/>
  <c r="AO473" i="1" s="1"/>
  <c r="AO475" i="1"/>
  <c r="AN475" i="1"/>
  <c r="AO476" i="1"/>
  <c r="AN476" i="1"/>
  <c r="AO472" i="1"/>
  <c r="AN472" i="1"/>
  <c r="AN471" i="1"/>
  <c r="AO471" i="1" s="1"/>
  <c r="AH477" i="1" l="1"/>
  <c r="AI477" i="1"/>
  <c r="AH426" i="1"/>
  <c r="AI426" i="1"/>
  <c r="AH424" i="1"/>
  <c r="AI424" i="1"/>
  <c r="AH448" i="1"/>
  <c r="AI448" i="1"/>
  <c r="AH425" i="1"/>
  <c r="AI425" i="1"/>
  <c r="AH478" i="1"/>
  <c r="AI478" i="1"/>
  <c r="AH418" i="1"/>
  <c r="AH432" i="1"/>
  <c r="AI432" i="1" s="1"/>
  <c r="AH451" i="1"/>
  <c r="AI451" i="1" s="1"/>
  <c r="AH480" i="1"/>
  <c r="AG496" i="1"/>
  <c r="Z451" i="1"/>
  <c r="Z432" i="1"/>
  <c r="AL479" i="1"/>
  <c r="AL480" i="1" s="1"/>
  <c r="AN479" i="1" l="1"/>
  <c r="AO479" i="1" s="1"/>
  <c r="AC451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C464" i="1" l="1"/>
  <c r="AH464" i="1" s="1"/>
  <c r="AC463" i="1"/>
  <c r="AH463" i="1" s="1"/>
  <c r="AC462" i="1"/>
  <c r="AH462" i="1" s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O361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J361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1" i="1"/>
  <c r="G361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Q265" i="1"/>
  <c r="L265" i="1"/>
  <c r="I265" i="1"/>
  <c r="F265" i="1"/>
  <c r="F93" i="1"/>
  <c r="N366" i="1" l="1"/>
  <c r="N379" i="1"/>
  <c r="AH465" i="1"/>
  <c r="N367" i="1"/>
  <c r="N380" i="1"/>
  <c r="N368" i="1"/>
  <c r="N381" i="1"/>
  <c r="N369" i="1"/>
  <c r="N382" i="1"/>
  <c r="N370" i="1"/>
  <c r="N383" i="1"/>
  <c r="N371" i="1"/>
  <c r="N384" i="1"/>
  <c r="N372" i="1"/>
  <c r="N385" i="1"/>
  <c r="N373" i="1"/>
  <c r="N386" i="1"/>
  <c r="N374" i="1"/>
  <c r="N387" i="1"/>
  <c r="N388" i="1"/>
  <c r="N364" i="1"/>
  <c r="N377" i="1"/>
  <c r="N389" i="1"/>
  <c r="N365" i="1"/>
  <c r="N378" i="1"/>
  <c r="N390" i="1"/>
  <c r="Q176" i="1"/>
  <c r="I248" i="1"/>
  <c r="L176" i="1"/>
  <c r="Q242" i="1"/>
  <c r="Q179" i="1"/>
  <c r="Q192" i="1"/>
  <c r="I189" i="1"/>
  <c r="H361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29" i="1"/>
  <c r="I348" i="1"/>
  <c r="Q329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29" i="1"/>
  <c r="P359" i="1"/>
  <c r="H174" i="1"/>
  <c r="I210" i="1"/>
  <c r="L185" i="1"/>
  <c r="L194" i="1" s="1"/>
  <c r="L182" i="1"/>
  <c r="Q266" i="1"/>
  <c r="P266" i="1" s="1"/>
  <c r="L304" i="1"/>
  <c r="L309" i="1" s="1"/>
  <c r="L314" i="1" s="1"/>
  <c r="H359" i="1"/>
  <c r="I394" i="1"/>
  <c r="H394" i="1" s="1"/>
  <c r="K359" i="1"/>
  <c r="Q376" i="1"/>
  <c r="P376" i="1" s="1"/>
  <c r="I185" i="1"/>
  <c r="I194" i="1" s="1"/>
  <c r="L376" i="1"/>
  <c r="Q250" i="1"/>
  <c r="I376" i="1"/>
  <c r="L189" i="1"/>
  <c r="J304" i="1"/>
  <c r="Q394" i="1"/>
  <c r="P394" i="1" s="1"/>
  <c r="I266" i="1"/>
  <c r="I285" i="1"/>
  <c r="P295" i="1"/>
  <c r="Q348" i="1"/>
  <c r="L394" i="1"/>
  <c r="K394" i="1" s="1"/>
  <c r="Q361" i="1"/>
  <c r="L361" i="1"/>
  <c r="K361" i="1" s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AH467" i="1" l="1"/>
  <c r="AI465" i="1"/>
  <c r="K194" i="1"/>
  <c r="I97" i="1"/>
  <c r="N75" i="1"/>
  <c r="M94" i="1"/>
  <c r="N76" i="1"/>
  <c r="N77" i="1"/>
  <c r="N78" i="1"/>
  <c r="L97" i="1"/>
  <c r="N94" i="1"/>
  <c r="N79" i="1"/>
  <c r="M95" i="1"/>
  <c r="M97" i="1" s="1"/>
  <c r="N80" i="1"/>
  <c r="N95" i="1"/>
  <c r="N81" i="1"/>
  <c r="D97" i="1"/>
  <c r="G97" i="1"/>
  <c r="H119" i="1" s="1"/>
  <c r="F97" i="1"/>
  <c r="J97" i="1"/>
  <c r="H115" i="1"/>
  <c r="H120" i="1"/>
  <c r="H113" i="1"/>
  <c r="Q97" i="1"/>
  <c r="O97" i="1"/>
  <c r="H99" i="1"/>
  <c r="E99" i="1"/>
  <c r="P99" i="1"/>
  <c r="K99" i="1"/>
  <c r="I396" i="1"/>
  <c r="H396" i="1" s="1"/>
  <c r="H94" i="1"/>
  <c r="P94" i="1"/>
  <c r="H329" i="1"/>
  <c r="H348" i="1"/>
  <c r="I287" i="1"/>
  <c r="I289" i="1" s="1"/>
  <c r="P348" i="1"/>
  <c r="H95" i="1"/>
  <c r="P95" i="1"/>
  <c r="P100" i="1"/>
  <c r="P329" i="1"/>
  <c r="K95" i="1"/>
  <c r="Q396" i="1"/>
  <c r="P396" i="1" s="1"/>
  <c r="Q350" i="1"/>
  <c r="P350" i="1" s="1"/>
  <c r="H266" i="1"/>
  <c r="H100" i="1"/>
  <c r="Q287" i="1"/>
  <c r="Q289" i="1" s="1"/>
  <c r="Q290" i="1" s="1"/>
  <c r="K304" i="1"/>
  <c r="L396" i="1"/>
  <c r="K396" i="1" s="1"/>
  <c r="K100" i="1"/>
  <c r="H376" i="1"/>
  <c r="Q83" i="1"/>
  <c r="J309" i="1"/>
  <c r="K94" i="1"/>
  <c r="K329" i="1"/>
  <c r="P285" i="1"/>
  <c r="E100" i="1"/>
  <c r="I195" i="1"/>
  <c r="K376" i="1"/>
  <c r="Q251" i="1"/>
  <c r="P361" i="1"/>
  <c r="O309" i="1"/>
  <c r="O314" i="1" s="1"/>
  <c r="P304" i="1"/>
  <c r="G309" i="1"/>
  <c r="G314" i="1" s="1"/>
  <c r="H304" i="1"/>
  <c r="I251" i="1"/>
  <c r="H285" i="1"/>
  <c r="Q194" i="1"/>
  <c r="Q186" i="1"/>
  <c r="L186" i="1"/>
  <c r="L195" i="1"/>
  <c r="K210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J314" i="1" l="1"/>
  <c r="N48" i="1"/>
  <c r="E114" i="1"/>
  <c r="M98" i="1"/>
  <c r="M6" i="1"/>
  <c r="N44" i="1"/>
  <c r="H121" i="1"/>
  <c r="H116" i="1"/>
  <c r="H117" i="1"/>
  <c r="H114" i="1"/>
  <c r="H118" i="1"/>
  <c r="N22" i="1"/>
  <c r="H97" i="1"/>
  <c r="M7" i="1"/>
  <c r="N7" i="1"/>
  <c r="N6" i="1"/>
  <c r="N34" i="1"/>
  <c r="E121" i="1"/>
  <c r="N52" i="1"/>
  <c r="N36" i="1"/>
  <c r="M8" i="1"/>
  <c r="N67" i="1"/>
  <c r="N35" i="1"/>
  <c r="E113" i="1"/>
  <c r="N66" i="1"/>
  <c r="E120" i="1"/>
  <c r="E115" i="1"/>
  <c r="E117" i="1"/>
  <c r="E116" i="1"/>
  <c r="E119" i="1"/>
  <c r="N21" i="1"/>
  <c r="N46" i="1"/>
  <c r="N50" i="1"/>
  <c r="E118" i="1"/>
  <c r="N60" i="1"/>
  <c r="N61" i="1"/>
  <c r="M9" i="1"/>
  <c r="N45" i="1"/>
  <c r="N49" i="1"/>
  <c r="N56" i="1"/>
  <c r="M108" i="1"/>
  <c r="M105" i="1"/>
  <c r="M17" i="1"/>
  <c r="N57" i="1"/>
  <c r="N37" i="1"/>
  <c r="N55" i="1"/>
  <c r="N17" i="1"/>
  <c r="N58" i="1"/>
  <c r="N97" i="1"/>
  <c r="L54" i="1"/>
  <c r="N42" i="1"/>
  <c r="N59" i="1"/>
  <c r="N8" i="1"/>
  <c r="N32" i="1"/>
  <c r="N43" i="1"/>
  <c r="N47" i="1"/>
  <c r="N51" i="1"/>
  <c r="N62" i="1"/>
  <c r="N23" i="1"/>
  <c r="N31" i="1"/>
  <c r="N9" i="1"/>
  <c r="N19" i="1"/>
  <c r="N33" i="1"/>
  <c r="N63" i="1"/>
  <c r="N64" i="1"/>
  <c r="N65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AN447" i="1"/>
  <c r="AO447" i="1" s="1"/>
  <c r="L398" i="1"/>
  <c r="L399" i="1" s="1"/>
  <c r="I398" i="1"/>
  <c r="H287" i="1"/>
  <c r="P287" i="1"/>
  <c r="K309" i="1"/>
  <c r="Q398" i="1"/>
  <c r="Q399" i="1" s="1"/>
  <c r="Q352" i="1"/>
  <c r="Q353" i="1" s="1"/>
  <c r="P314" i="1"/>
  <c r="P309" i="1"/>
  <c r="H314" i="1"/>
  <c r="H309" i="1"/>
  <c r="Q195" i="1"/>
  <c r="R194" i="1" s="1"/>
  <c r="P210" i="1"/>
  <c r="K314" i="1" l="1"/>
  <c r="N108" i="1"/>
  <c r="N98" i="1"/>
  <c r="N24" i="1"/>
  <c r="O13" i="2"/>
  <c r="N165" i="1" l="1"/>
  <c r="O10" i="2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O466" i="1"/>
  <c r="AN466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A389" i="1"/>
  <c r="S388" i="1"/>
  <c r="A388" i="1"/>
  <c r="S387" i="1"/>
  <c r="A387" i="1"/>
  <c r="S386" i="1"/>
  <c r="A386" i="1"/>
  <c r="A385" i="1"/>
  <c r="S384" i="1"/>
  <c r="A384" i="1"/>
  <c r="S383" i="1"/>
  <c r="A383" i="1"/>
  <c r="A382" i="1"/>
  <c r="S381" i="1"/>
  <c r="A381" i="1"/>
  <c r="S380" i="1"/>
  <c r="A380" i="1"/>
  <c r="S379" i="1"/>
  <c r="A379" i="1"/>
  <c r="S378" i="1"/>
  <c r="A378" i="1"/>
  <c r="A377" i="1"/>
  <c r="A376" i="1"/>
  <c r="S375" i="1"/>
  <c r="A375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A368" i="1"/>
  <c r="S367" i="1"/>
  <c r="A367" i="1"/>
  <c r="A366" i="1"/>
  <c r="S365" i="1"/>
  <c r="A365" i="1"/>
  <c r="S364" i="1"/>
  <c r="A364" i="1"/>
  <c r="A363" i="1"/>
  <c r="A362" i="1"/>
  <c r="R361" i="1"/>
  <c r="A361" i="1"/>
  <c r="A360" i="1"/>
  <c r="R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N329" i="1"/>
  <c r="N350" i="1" s="1"/>
  <c r="N352" i="1" s="1"/>
  <c r="N353" i="1" s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N265" i="1"/>
  <c r="A265" i="1"/>
  <c r="A264" i="1"/>
  <c r="A263" i="1"/>
  <c r="A262" i="1"/>
  <c r="A261" i="1"/>
  <c r="A260" i="1"/>
  <c r="A259" i="1"/>
  <c r="A258" i="1"/>
  <c r="A257" i="1"/>
  <c r="A256" i="1"/>
  <c r="A255" i="1"/>
  <c r="L266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R241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S211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S198" i="1"/>
  <c r="A198" i="1"/>
  <c r="A197" i="1"/>
  <c r="A196" i="1"/>
  <c r="A195" i="1"/>
  <c r="A194" i="1"/>
  <c r="A193" i="1"/>
  <c r="A192" i="1"/>
  <c r="F192" i="1"/>
  <c r="A191" i="1"/>
  <c r="A190" i="1"/>
  <c r="A189" i="1"/>
  <c r="R188" i="1"/>
  <c r="A188" i="1"/>
  <c r="A187" i="1"/>
  <c r="A186" i="1"/>
  <c r="A185" i="1"/>
  <c r="S184" i="1"/>
  <c r="A184" i="1"/>
  <c r="A183" i="1"/>
  <c r="M182" i="1"/>
  <c r="A182" i="1"/>
  <c r="R181" i="1"/>
  <c r="A181" i="1"/>
  <c r="A180" i="1"/>
  <c r="R179" i="1"/>
  <c r="A179" i="1"/>
  <c r="R178" i="1"/>
  <c r="F179" i="1"/>
  <c r="N179" i="1" s="1"/>
  <c r="A178" i="1"/>
  <c r="A177" i="1"/>
  <c r="A176" i="1"/>
  <c r="R175" i="1"/>
  <c r="A175" i="1"/>
  <c r="E174" i="1"/>
  <c r="A174" i="1"/>
  <c r="A173" i="1"/>
  <c r="R172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A105" i="1"/>
  <c r="A104" i="1"/>
  <c r="A103" i="1"/>
  <c r="F105" i="1"/>
  <c r="A102" i="1"/>
  <c r="A101" i="1"/>
  <c r="S100" i="1"/>
  <c r="R100" i="1"/>
  <c r="A100" i="1"/>
  <c r="A99" i="1"/>
  <c r="H98" i="1"/>
  <c r="E98" i="1"/>
  <c r="A98" i="1"/>
  <c r="O108" i="1"/>
  <c r="J108" i="1"/>
  <c r="A97" i="1"/>
  <c r="S95" i="1"/>
  <c r="R95" i="1"/>
  <c r="A95" i="1"/>
  <c r="S94" i="1"/>
  <c r="R94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N71" i="1"/>
  <c r="B71" i="1"/>
  <c r="A71" i="1" s="1"/>
  <c r="N70" i="1"/>
  <c r="B70" i="1"/>
  <c r="A70" i="1" s="1"/>
  <c r="S69" i="1"/>
  <c r="B69" i="1"/>
  <c r="A69" i="1" s="1"/>
  <c r="B68" i="1"/>
  <c r="A68" i="1" s="1"/>
  <c r="B67" i="1"/>
  <c r="A67" i="1" s="1"/>
  <c r="S66" i="1"/>
  <c r="B66" i="1"/>
  <c r="A66" i="1" s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N40" i="1"/>
  <c r="B40" i="1"/>
  <c r="A40" i="1" s="1"/>
  <c r="K39" i="1"/>
  <c r="B39" i="1"/>
  <c r="S38" i="1"/>
  <c r="B38" i="1"/>
  <c r="A38" i="1" s="1"/>
  <c r="B37" i="1"/>
  <c r="A37" i="1" s="1"/>
  <c r="B36" i="1"/>
  <c r="A36" i="1" s="1"/>
  <c r="B35" i="1"/>
  <c r="S34" i="1"/>
  <c r="B34" i="1"/>
  <c r="A34" i="1" s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B20" i="1"/>
  <c r="A20" i="1" s="1"/>
  <c r="R19" i="1"/>
  <c r="B19" i="1"/>
  <c r="B18" i="1"/>
  <c r="A18" i="1" s="1"/>
  <c r="R17" i="1"/>
  <c r="P17" i="1"/>
  <c r="K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R6" i="1"/>
  <c r="K6" i="1"/>
  <c r="B6" i="1"/>
  <c r="A6" i="1" s="1"/>
  <c r="B5" i="1"/>
  <c r="A5" i="1" s="1"/>
  <c r="F108" i="1" l="1"/>
  <c r="N109" i="1" s="1"/>
  <c r="N106" i="1"/>
  <c r="R97" i="1"/>
  <c r="R98" i="1" s="1"/>
  <c r="AK417" i="1"/>
  <c r="AM417" i="1" s="1"/>
  <c r="AK493" i="1"/>
  <c r="AK492" i="1"/>
  <c r="AK416" i="1"/>
  <c r="AM416" i="1" s="1"/>
  <c r="AK489" i="1"/>
  <c r="AK490" i="1"/>
  <c r="AK415" i="1"/>
  <c r="AM415" i="1" s="1"/>
  <c r="AK491" i="1"/>
  <c r="AK496" i="1"/>
  <c r="AM496" i="1" s="1"/>
  <c r="AK494" i="1"/>
  <c r="AK495" i="1"/>
  <c r="AE413" i="1"/>
  <c r="AE414" i="1"/>
  <c r="AE409" i="1"/>
  <c r="AE412" i="1"/>
  <c r="AE411" i="1"/>
  <c r="AE410" i="1"/>
  <c r="S97" i="1"/>
  <c r="S98" i="1" s="1"/>
  <c r="A7" i="1"/>
  <c r="I10" i="2"/>
  <c r="L108" i="1"/>
  <c r="A21" i="1"/>
  <c r="J112" i="1"/>
  <c r="K22" i="1"/>
  <c r="R22" i="1" s="1"/>
  <c r="A23" i="1"/>
  <c r="O24" i="1"/>
  <c r="A33" i="1"/>
  <c r="A15" i="1"/>
  <c r="E361" i="1"/>
  <c r="K23" i="1"/>
  <c r="R23" i="1" s="1"/>
  <c r="K21" i="1"/>
  <c r="R21" i="1" s="1"/>
  <c r="R13" i="1"/>
  <c r="R14" i="1" s="1"/>
  <c r="P6" i="1"/>
  <c r="N10" i="1"/>
  <c r="S15" i="1"/>
  <c r="G105" i="1"/>
  <c r="G108" i="1"/>
  <c r="S7" i="1"/>
  <c r="H6" i="1"/>
  <c r="S8" i="1"/>
  <c r="N15" i="1"/>
  <c r="H22" i="1"/>
  <c r="A32" i="1"/>
  <c r="S37" i="1"/>
  <c r="N38" i="1"/>
  <c r="A44" i="1"/>
  <c r="S45" i="1"/>
  <c r="A52" i="1"/>
  <c r="S53" i="1"/>
  <c r="N53" i="1"/>
  <c r="N54" i="1" s="1"/>
  <c r="A76" i="1"/>
  <c r="E95" i="1"/>
  <c r="V484" i="1"/>
  <c r="A484" i="1" s="1"/>
  <c r="V401" i="1"/>
  <c r="C291" i="1"/>
  <c r="C355" i="1" s="1"/>
  <c r="C236" i="1"/>
  <c r="C168" i="1"/>
  <c r="C89" i="1"/>
  <c r="A81" i="1"/>
  <c r="S112" i="1"/>
  <c r="P21" i="1"/>
  <c r="A9" i="1"/>
  <c r="H17" i="1"/>
  <c r="S17" i="1"/>
  <c r="E21" i="1"/>
  <c r="I24" i="1"/>
  <c r="E23" i="1"/>
  <c r="J24" i="1"/>
  <c r="A39" i="1"/>
  <c r="P39" i="1"/>
  <c r="S40" i="1"/>
  <c r="Q54" i="1"/>
  <c r="A46" i="1"/>
  <c r="F72" i="1"/>
  <c r="N69" i="1"/>
  <c r="S78" i="1"/>
  <c r="A78" i="1"/>
  <c r="O105" i="1"/>
  <c r="P97" i="1"/>
  <c r="I122" i="1"/>
  <c r="G112" i="1"/>
  <c r="E12" i="1"/>
  <c r="N12" i="1"/>
  <c r="S60" i="1"/>
  <c r="S64" i="1"/>
  <c r="S48" i="1"/>
  <c r="AO484" i="1"/>
  <c r="AO401" i="1"/>
  <c r="S355" i="1"/>
  <c r="S236" i="1"/>
  <c r="S168" i="1"/>
  <c r="S291" i="1"/>
  <c r="S56" i="1"/>
  <c r="A11" i="1"/>
  <c r="A19" i="1"/>
  <c r="F24" i="1"/>
  <c r="S21" i="1"/>
  <c r="H23" i="1"/>
  <c r="J27" i="1"/>
  <c r="L41" i="1"/>
  <c r="A35" i="1"/>
  <c r="S36" i="1"/>
  <c r="S49" i="1"/>
  <c r="S80" i="1"/>
  <c r="A80" i="1"/>
  <c r="E94" i="1"/>
  <c r="Q105" i="1"/>
  <c r="Q108" i="1" s="1"/>
  <c r="P108" i="1" s="1"/>
  <c r="J105" i="1"/>
  <c r="H112" i="1"/>
  <c r="S59" i="1"/>
  <c r="S63" i="1"/>
  <c r="S67" i="1"/>
  <c r="S71" i="1"/>
  <c r="A77" i="1"/>
  <c r="Q24" i="1"/>
  <c r="S46" i="1"/>
  <c r="S55" i="1"/>
  <c r="K38" i="1"/>
  <c r="A42" i="1"/>
  <c r="S43" i="1"/>
  <c r="S51" i="1"/>
  <c r="A82" i="1"/>
  <c r="S89" i="1"/>
  <c r="L122" i="1"/>
  <c r="E10" i="1"/>
  <c r="O27" i="1"/>
  <c r="P23" i="1"/>
  <c r="S70" i="1"/>
  <c r="S79" i="1"/>
  <c r="A79" i="1"/>
  <c r="K112" i="1"/>
  <c r="P112" i="1"/>
  <c r="L135" i="1"/>
  <c r="S175" i="1"/>
  <c r="E185" i="1"/>
  <c r="M181" i="1"/>
  <c r="S241" i="1"/>
  <c r="S242" i="1" s="1"/>
  <c r="L242" i="1"/>
  <c r="Q135" i="1"/>
  <c r="I153" i="1"/>
  <c r="F173" i="1"/>
  <c r="S181" i="1"/>
  <c r="M188" i="1"/>
  <c r="N266" i="1"/>
  <c r="N287" i="1" s="1"/>
  <c r="N289" i="1" s="1"/>
  <c r="N290" i="1" s="1"/>
  <c r="S188" i="1"/>
  <c r="F135" i="1"/>
  <c r="F250" i="1"/>
  <c r="N251" i="1" s="1"/>
  <c r="F245" i="1"/>
  <c r="S172" i="1"/>
  <c r="Q229" i="1"/>
  <c r="F229" i="1"/>
  <c r="R185" i="1"/>
  <c r="S186" i="1" s="1"/>
  <c r="S254" i="1"/>
  <c r="S248" i="1"/>
  <c r="S265" i="1"/>
  <c r="M361" i="1"/>
  <c r="F176" i="1"/>
  <c r="E250" i="1"/>
  <c r="S295" i="1"/>
  <c r="S329" i="1"/>
  <c r="S359" i="1"/>
  <c r="F266" i="1"/>
  <c r="F163" i="1"/>
  <c r="S393" i="1"/>
  <c r="N393" i="1"/>
  <c r="AF465" i="1"/>
  <c r="F348" i="1"/>
  <c r="E359" i="1"/>
  <c r="S366" i="1"/>
  <c r="S374" i="1"/>
  <c r="N375" i="1"/>
  <c r="N376" i="1" s="1"/>
  <c r="F376" i="1"/>
  <c r="S318" i="1"/>
  <c r="F394" i="1"/>
  <c r="E394" i="1" s="1"/>
  <c r="R295" i="1"/>
  <c r="F329" i="1"/>
  <c r="S382" i="1"/>
  <c r="S385" i="1"/>
  <c r="S377" i="1"/>
  <c r="AC465" i="1"/>
  <c r="N392" i="1"/>
  <c r="N394" i="1" l="1"/>
  <c r="E194" i="1"/>
  <c r="M185" i="1"/>
  <c r="N396" i="1"/>
  <c r="N398" i="1" s="1"/>
  <c r="N399" i="1" s="1"/>
  <c r="AL448" i="1"/>
  <c r="AL439" i="1"/>
  <c r="AL429" i="1"/>
  <c r="AN429" i="1" s="1"/>
  <c r="AO429" i="1" s="1"/>
  <c r="AL408" i="1"/>
  <c r="AL412" i="1"/>
  <c r="AL420" i="1"/>
  <c r="AL440" i="1"/>
  <c r="AN440" i="1" s="1"/>
  <c r="AO440" i="1" s="1"/>
  <c r="AL441" i="1"/>
  <c r="AN441" i="1" s="1"/>
  <c r="AO441" i="1" s="1"/>
  <c r="AL411" i="1"/>
  <c r="AL430" i="1"/>
  <c r="AN430" i="1" s="1"/>
  <c r="AO430" i="1" s="1"/>
  <c r="AL444" i="1"/>
  <c r="AN444" i="1" s="1"/>
  <c r="AO444" i="1" s="1"/>
  <c r="AL437" i="1"/>
  <c r="AN437" i="1" s="1"/>
  <c r="AO437" i="1" s="1"/>
  <c r="AL428" i="1"/>
  <c r="AN428" i="1" s="1"/>
  <c r="AO428" i="1" s="1"/>
  <c r="AL422" i="1"/>
  <c r="AN422" i="1" s="1"/>
  <c r="AO422" i="1" s="1"/>
  <c r="AL435" i="1"/>
  <c r="AN435" i="1" s="1"/>
  <c r="AO435" i="1" s="1"/>
  <c r="AL413" i="1"/>
  <c r="AL433" i="1"/>
  <c r="AL427" i="1"/>
  <c r="AN427" i="1" s="1"/>
  <c r="AO427" i="1" s="1"/>
  <c r="AL446" i="1"/>
  <c r="AN446" i="1" s="1"/>
  <c r="AO446" i="1" s="1"/>
  <c r="AL436" i="1"/>
  <c r="AN436" i="1" s="1"/>
  <c r="AO436" i="1" s="1"/>
  <c r="AL443" i="1"/>
  <c r="AN443" i="1" s="1"/>
  <c r="AO443" i="1" s="1"/>
  <c r="AL409" i="1"/>
  <c r="AL438" i="1"/>
  <c r="AN438" i="1" s="1"/>
  <c r="AO438" i="1" s="1"/>
  <c r="AL421" i="1"/>
  <c r="AN421" i="1" s="1"/>
  <c r="AO421" i="1" s="1"/>
  <c r="AL423" i="1"/>
  <c r="AN423" i="1" s="1"/>
  <c r="AO423" i="1" s="1"/>
  <c r="AL434" i="1"/>
  <c r="AN434" i="1" s="1"/>
  <c r="AO434" i="1" s="1"/>
  <c r="AL414" i="1"/>
  <c r="AL442" i="1"/>
  <c r="AN442" i="1" s="1"/>
  <c r="AO442" i="1" s="1"/>
  <c r="AL445" i="1"/>
  <c r="AN445" i="1" s="1"/>
  <c r="AO445" i="1" s="1"/>
  <c r="AL410" i="1"/>
  <c r="P38" i="1"/>
  <c r="P40" i="1"/>
  <c r="P32" i="1"/>
  <c r="P35" i="1"/>
  <c r="P33" i="1"/>
  <c r="P36" i="1"/>
  <c r="P34" i="1"/>
  <c r="P31" i="1"/>
  <c r="P37" i="1"/>
  <c r="K31" i="1"/>
  <c r="K35" i="1"/>
  <c r="AN465" i="1"/>
  <c r="AO465" i="1" s="1"/>
  <c r="E135" i="1"/>
  <c r="P153" i="1"/>
  <c r="P122" i="1"/>
  <c r="F350" i="1"/>
  <c r="F396" i="1"/>
  <c r="E376" i="1"/>
  <c r="F231" i="1"/>
  <c r="E266" i="1"/>
  <c r="S361" i="1"/>
  <c r="S362" i="1" s="1"/>
  <c r="P135" i="1"/>
  <c r="S35" i="1"/>
  <c r="L245" i="1"/>
  <c r="K266" i="1"/>
  <c r="L250" i="1"/>
  <c r="S245" i="1"/>
  <c r="F251" i="1"/>
  <c r="S178" i="1"/>
  <c r="M12" i="1"/>
  <c r="H12" i="1"/>
  <c r="M15" i="1"/>
  <c r="H15" i="1"/>
  <c r="E112" i="1"/>
  <c r="F122" i="1"/>
  <c r="S52" i="1"/>
  <c r="I13" i="1"/>
  <c r="S19" i="1"/>
  <c r="F242" i="1"/>
  <c r="N242" i="1" s="1"/>
  <c r="R27" i="1"/>
  <c r="R28" i="1" s="1"/>
  <c r="E11" i="1"/>
  <c r="Q231" i="1"/>
  <c r="K135" i="1"/>
  <c r="S135" i="1"/>
  <c r="K33" i="1"/>
  <c r="K36" i="1"/>
  <c r="S376" i="1"/>
  <c r="S77" i="1"/>
  <c r="I135" i="1"/>
  <c r="H7" i="1"/>
  <c r="S44" i="1"/>
  <c r="S50" i="1"/>
  <c r="H8" i="1"/>
  <c r="Q155" i="1"/>
  <c r="P155" i="1" s="1"/>
  <c r="S39" i="1"/>
  <c r="K37" i="1"/>
  <c r="F285" i="1"/>
  <c r="E285" i="1" s="1"/>
  <c r="R304" i="1"/>
  <c r="I229" i="1"/>
  <c r="F189" i="1"/>
  <c r="P22" i="1"/>
  <c r="L13" i="1"/>
  <c r="S6" i="1"/>
  <c r="E7" i="1"/>
  <c r="S76" i="1"/>
  <c r="I105" i="1"/>
  <c r="H105" i="1" s="1"/>
  <c r="K34" i="1"/>
  <c r="E15" i="1"/>
  <c r="P24" i="1"/>
  <c r="S10" i="1"/>
  <c r="E6" i="1"/>
  <c r="F304" i="1"/>
  <c r="S210" i="1"/>
  <c r="I350" i="1"/>
  <c r="H350" i="1" s="1"/>
  <c r="R309" i="1"/>
  <c r="AL405" i="1"/>
  <c r="K105" i="1"/>
  <c r="S81" i="1"/>
  <c r="S22" i="1"/>
  <c r="K32" i="1"/>
  <c r="E9" i="1"/>
  <c r="G13" i="1"/>
  <c r="E295" i="1"/>
  <c r="D304" i="1"/>
  <c r="M304" i="1" s="1"/>
  <c r="F182" i="1"/>
  <c r="E8" i="1"/>
  <c r="S105" i="1"/>
  <c r="S106" i="1" s="1"/>
  <c r="N11" i="1"/>
  <c r="S11" i="1"/>
  <c r="P105" i="1"/>
  <c r="S47" i="1"/>
  <c r="M10" i="1"/>
  <c r="H10" i="1"/>
  <c r="L24" i="1"/>
  <c r="K24" i="1" s="1"/>
  <c r="S108" i="1"/>
  <c r="S109" i="1" s="1"/>
  <c r="D108" i="1"/>
  <c r="M109" i="1" s="1"/>
  <c r="E97" i="1"/>
  <c r="D105" i="1"/>
  <c r="F41" i="1"/>
  <c r="Q41" i="1"/>
  <c r="Q13" i="1"/>
  <c r="S304" i="1"/>
  <c r="S122" i="1"/>
  <c r="K122" i="1"/>
  <c r="S163" i="1"/>
  <c r="S394" i="1"/>
  <c r="F153" i="1"/>
  <c r="E153" i="1" s="1"/>
  <c r="I163" i="1"/>
  <c r="S266" i="1"/>
  <c r="R108" i="1"/>
  <c r="R109" i="1" s="1"/>
  <c r="K108" i="1"/>
  <c r="F13" i="1"/>
  <c r="S32" i="1"/>
  <c r="F309" i="1" l="1"/>
  <c r="N310" i="1" s="1"/>
  <c r="N305" i="1"/>
  <c r="AN409" i="1"/>
  <c r="AO409" i="1" s="1"/>
  <c r="AK409" i="1"/>
  <c r="AM409" i="1" s="1"/>
  <c r="AN411" i="1"/>
  <c r="AO411" i="1" s="1"/>
  <c r="AK411" i="1"/>
  <c r="AM411" i="1" s="1"/>
  <c r="AN410" i="1"/>
  <c r="AO410" i="1" s="1"/>
  <c r="AK410" i="1"/>
  <c r="AM410" i="1" s="1"/>
  <c r="AN420" i="1"/>
  <c r="AO420" i="1" s="1"/>
  <c r="AL432" i="1"/>
  <c r="AL451" i="1"/>
  <c r="AN433" i="1"/>
  <c r="AO433" i="1" s="1"/>
  <c r="AN412" i="1"/>
  <c r="AO412" i="1" s="1"/>
  <c r="AK412" i="1"/>
  <c r="AM412" i="1" s="1"/>
  <c r="AN413" i="1"/>
  <c r="AO413" i="1" s="1"/>
  <c r="AK413" i="1"/>
  <c r="AM413" i="1" s="1"/>
  <c r="AL418" i="1"/>
  <c r="AN414" i="1"/>
  <c r="AO414" i="1" s="1"/>
  <c r="AK414" i="1"/>
  <c r="AM414" i="1" s="1"/>
  <c r="AO439" i="1"/>
  <c r="AN439" i="1"/>
  <c r="AO448" i="1"/>
  <c r="AN448" i="1"/>
  <c r="N9" i="2"/>
  <c r="N8" i="2" s="1"/>
  <c r="F27" i="1"/>
  <c r="E41" i="1" s="1"/>
  <c r="K13" i="1"/>
  <c r="E108" i="1"/>
  <c r="E105" i="1"/>
  <c r="F314" i="1"/>
  <c r="S54" i="1"/>
  <c r="S398" i="1"/>
  <c r="S399" i="1" s="1"/>
  <c r="G27" i="1"/>
  <c r="H13" i="1"/>
  <c r="AB408" i="1"/>
  <c r="G24" i="1"/>
  <c r="H39" i="1" s="1"/>
  <c r="Q165" i="1"/>
  <c r="Q166" i="1" s="1"/>
  <c r="I54" i="1"/>
  <c r="I108" i="1"/>
  <c r="H135" i="1" s="1"/>
  <c r="F194" i="1"/>
  <c r="N195" i="1" s="1"/>
  <c r="F186" i="1"/>
  <c r="P231" i="1"/>
  <c r="I27" i="1"/>
  <c r="F54" i="1"/>
  <c r="S24" i="1"/>
  <c r="S25" i="1" s="1"/>
  <c r="J32" i="1"/>
  <c r="D13" i="1"/>
  <c r="S13" i="1"/>
  <c r="S14" i="1" s="1"/>
  <c r="M11" i="1"/>
  <c r="M13" i="1" s="1"/>
  <c r="H11" i="1"/>
  <c r="Q27" i="1"/>
  <c r="P13" i="1"/>
  <c r="N13" i="1"/>
  <c r="N14" i="1" s="1"/>
  <c r="H229" i="1"/>
  <c r="S250" i="1"/>
  <c r="L251" i="1"/>
  <c r="M250" i="1" s="1"/>
  <c r="Q74" i="1"/>
  <c r="R314" i="1"/>
  <c r="AF432" i="1"/>
  <c r="L27" i="1"/>
  <c r="AF406" i="1" s="1"/>
  <c r="J31" i="1"/>
  <c r="F155" i="1"/>
  <c r="E122" i="1"/>
  <c r="H9" i="1"/>
  <c r="I83" i="1"/>
  <c r="AN408" i="1"/>
  <c r="AO408" i="1" s="1"/>
  <c r="AE408" i="1"/>
  <c r="AF418" i="1"/>
  <c r="Z418" i="1"/>
  <c r="AI418" i="1" s="1"/>
  <c r="E304" i="1"/>
  <c r="D309" i="1"/>
  <c r="AK408" i="1"/>
  <c r="AM408" i="1" s="1"/>
  <c r="S185" i="1"/>
  <c r="S396" i="1"/>
  <c r="S309" i="1"/>
  <c r="S305" i="1"/>
  <c r="I352" i="1"/>
  <c r="F287" i="1"/>
  <c r="E287" i="1" s="1"/>
  <c r="Z480" i="1"/>
  <c r="AI480" i="1" s="1"/>
  <c r="F83" i="1"/>
  <c r="I41" i="1"/>
  <c r="S41" i="1"/>
  <c r="N39" i="1"/>
  <c r="N41" i="1" s="1"/>
  <c r="I155" i="1"/>
  <c r="I231" i="1"/>
  <c r="H231" i="1" s="1"/>
  <c r="E396" i="1"/>
  <c r="F398" i="1"/>
  <c r="F399" i="1" s="1"/>
  <c r="F352" i="1" l="1"/>
  <c r="F353" i="1" s="1"/>
  <c r="N315" i="1"/>
  <c r="D314" i="1"/>
  <c r="M309" i="1"/>
  <c r="AF400" i="1"/>
  <c r="M27" i="1"/>
  <c r="M24" i="1"/>
  <c r="N27" i="1"/>
  <c r="N28" i="1" s="1"/>
  <c r="AL467" i="1"/>
  <c r="Z406" i="1"/>
  <c r="Z400" i="1" s="1"/>
  <c r="P41" i="1"/>
  <c r="AL406" i="1"/>
  <c r="Y413" i="1"/>
  <c r="Y411" i="1"/>
  <c r="Y409" i="1"/>
  <c r="Y410" i="1"/>
  <c r="Y412" i="1"/>
  <c r="Y414" i="1"/>
  <c r="Y416" i="1"/>
  <c r="Y415" i="1"/>
  <c r="Y417" i="1"/>
  <c r="E54" i="1"/>
  <c r="E72" i="1"/>
  <c r="H35" i="1"/>
  <c r="K27" i="1"/>
  <c r="H155" i="1"/>
  <c r="H32" i="1"/>
  <c r="E350" i="1"/>
  <c r="E348" i="1"/>
  <c r="Y408" i="1"/>
  <c r="E329" i="1"/>
  <c r="E231" i="1"/>
  <c r="P74" i="1"/>
  <c r="H54" i="1"/>
  <c r="K54" i="1"/>
  <c r="S310" i="1"/>
  <c r="AN418" i="1"/>
  <c r="AO418" i="1" s="1"/>
  <c r="AN432" i="1"/>
  <c r="AO432" i="1" s="1"/>
  <c r="Q85" i="1"/>
  <c r="Q86" i="1" s="1"/>
  <c r="P72" i="1"/>
  <c r="P27" i="1"/>
  <c r="P54" i="1"/>
  <c r="I74" i="1"/>
  <c r="I85" i="1" s="1"/>
  <c r="H41" i="1"/>
  <c r="E155" i="1"/>
  <c r="F165" i="1"/>
  <c r="F166" i="1" s="1"/>
  <c r="I233" i="1"/>
  <c r="AC406" i="1"/>
  <c r="G9" i="2" s="1"/>
  <c r="G8" i="2" s="1"/>
  <c r="H72" i="1"/>
  <c r="F233" i="1"/>
  <c r="F234" i="1" s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8" i="1"/>
  <c r="S194" i="1"/>
  <c r="S195" i="1" s="1"/>
  <c r="R250" i="1"/>
  <c r="S251" i="1" s="1"/>
  <c r="Q233" i="1"/>
  <c r="Q234" i="1" s="1"/>
  <c r="P229" i="1"/>
  <c r="S27" i="1"/>
  <c r="K41" i="1"/>
  <c r="D27" i="1"/>
  <c r="E13" i="1"/>
  <c r="D24" i="1"/>
  <c r="AC480" i="1"/>
  <c r="E309" i="1"/>
  <c r="AF405" i="1"/>
  <c r="I165" i="1"/>
  <c r="H122" i="1"/>
  <c r="H153" i="1"/>
  <c r="H108" i="1"/>
  <c r="F289" i="1"/>
  <c r="F290" i="1" s="1"/>
  <c r="AC432" i="1"/>
  <c r="H27" i="1"/>
  <c r="Z405" i="1" l="1"/>
  <c r="M314" i="1"/>
  <c r="M28" i="1"/>
  <c r="AG408" i="1"/>
  <c r="AG413" i="1"/>
  <c r="AL482" i="1"/>
  <c r="AL400" i="1"/>
  <c r="AG411" i="1"/>
  <c r="AG414" i="1"/>
  <c r="AG412" i="1"/>
  <c r="AG410" i="1"/>
  <c r="AG409" i="1"/>
  <c r="AH406" i="1"/>
  <c r="AI406" i="1" s="1"/>
  <c r="C9" i="2"/>
  <c r="J9" i="2"/>
  <c r="J8" i="2" s="1"/>
  <c r="O9" i="2"/>
  <c r="O8" i="2" s="1"/>
  <c r="E27" i="1"/>
  <c r="X432" i="1"/>
  <c r="X451" i="1"/>
  <c r="X480" i="1"/>
  <c r="AD432" i="1"/>
  <c r="K9" i="2"/>
  <c r="K8" i="2" s="1"/>
  <c r="C10" i="2"/>
  <c r="AA432" i="1"/>
  <c r="AA480" i="1"/>
  <c r="AA451" i="1"/>
  <c r="S28" i="1"/>
  <c r="AJ467" i="1"/>
  <c r="AJ465" i="1"/>
  <c r="AJ418" i="1"/>
  <c r="AJ432" i="1"/>
  <c r="AJ451" i="1"/>
  <c r="X418" i="1"/>
  <c r="E74" i="1"/>
  <c r="F85" i="1"/>
  <c r="F86" i="1" s="1"/>
  <c r="E314" i="1"/>
  <c r="AD418" i="1"/>
  <c r="AA465" i="1"/>
  <c r="S314" i="1"/>
  <c r="S315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AC467" i="1"/>
  <c r="AA467" i="1" s="1"/>
  <c r="AA418" i="1"/>
  <c r="AN406" i="1"/>
  <c r="AO406" i="1" s="1"/>
  <c r="AD465" i="1"/>
  <c r="AH400" i="1" l="1"/>
  <c r="AH482" i="1"/>
  <c r="C8" i="2"/>
  <c r="P9" i="2"/>
  <c r="P8" i="2" s="1"/>
  <c r="B9" i="2"/>
  <c r="AC482" i="1"/>
  <c r="AL488" i="1"/>
  <c r="AK482" i="1"/>
  <c r="AL487" i="1" l="1"/>
  <c r="AK487" i="1" s="1"/>
  <c r="AL497" i="1"/>
  <c r="AL501" i="1" s="1"/>
  <c r="H9" i="2"/>
  <c r="H8" i="2" s="1"/>
  <c r="B8" i="2"/>
  <c r="AK488" i="1"/>
  <c r="AC488" i="1"/>
  <c r="AB482" i="1"/>
  <c r="Q9" i="2" l="1"/>
  <c r="D10" i="2"/>
  <c r="AB488" i="1"/>
  <c r="AC497" i="1"/>
  <c r="AK497" i="1"/>
  <c r="AB497" i="1" l="1"/>
  <c r="I9" i="2"/>
  <c r="I8" i="2" s="1"/>
  <c r="Q8" i="2"/>
  <c r="E10" i="2" l="1"/>
  <c r="AF480" i="1"/>
  <c r="L82" i="1"/>
  <c r="N82" i="1" s="1"/>
  <c r="N83" i="1" s="1"/>
  <c r="S82" i="1" l="1"/>
  <c r="S83" i="1" s="1"/>
  <c r="L83" i="1"/>
  <c r="AN480" i="1"/>
  <c r="AO480" i="1" s="1"/>
  <c r="AD480" i="1"/>
  <c r="L229" i="1" l="1"/>
  <c r="L68" i="1"/>
  <c r="N68" i="1" l="1"/>
  <c r="N72" i="1" s="1"/>
  <c r="N74" i="1" s="1"/>
  <c r="N85" i="1" s="1"/>
  <c r="N86" i="1" s="1"/>
  <c r="L72" i="1"/>
  <c r="L74" i="1" s="1"/>
  <c r="S68" i="1"/>
  <c r="S72" i="1" s="1"/>
  <c r="S85" i="1" s="1"/>
  <c r="S86" i="1" s="1"/>
  <c r="K229" i="1"/>
  <c r="S229" i="1"/>
  <c r="L231" i="1"/>
  <c r="L348" i="1"/>
  <c r="S348" i="1"/>
  <c r="L11" i="2"/>
  <c r="L285" i="1"/>
  <c r="L153" i="1"/>
  <c r="L10" i="2" l="1"/>
  <c r="K72" i="1"/>
  <c r="L233" i="1"/>
  <c r="L234" i="1" s="1"/>
  <c r="S231" i="1"/>
  <c r="K231" i="1"/>
  <c r="K285" i="1"/>
  <c r="S285" i="1"/>
  <c r="L287" i="1"/>
  <c r="L350" i="1"/>
  <c r="K348" i="1"/>
  <c r="S153" i="1"/>
  <c r="L155" i="1"/>
  <c r="K153" i="1"/>
  <c r="AF451" i="1"/>
  <c r="K155" i="1" l="1"/>
  <c r="S155" i="1"/>
  <c r="L165" i="1"/>
  <c r="L166" i="1" s="1"/>
  <c r="S233" i="1"/>
  <c r="S234" i="1" s="1"/>
  <c r="M11" i="2"/>
  <c r="K287" i="1"/>
  <c r="S287" i="1"/>
  <c r="L289" i="1"/>
  <c r="L290" i="1" s="1"/>
  <c r="K350" i="1"/>
  <c r="L352" i="1"/>
  <c r="L353" i="1" s="1"/>
  <c r="S350" i="1"/>
  <c r="AN451" i="1"/>
  <c r="AO451" i="1" s="1"/>
  <c r="AF467" i="1"/>
  <c r="AD451" i="1"/>
  <c r="L85" i="1"/>
  <c r="L86" i="1" s="1"/>
  <c r="K74" i="1"/>
  <c r="S74" i="1"/>
  <c r="M10" i="2" l="1"/>
  <c r="S352" i="1"/>
  <c r="S353" i="1" s="1"/>
  <c r="S165" i="1"/>
  <c r="S166" i="1" s="1"/>
  <c r="N166" i="1"/>
  <c r="AF482" i="1"/>
  <c r="AN467" i="1"/>
  <c r="AO467" i="1" s="1"/>
  <c r="AD467" i="1"/>
  <c r="S289" i="1"/>
  <c r="S290" i="1" s="1"/>
  <c r="AN482" i="1" l="1"/>
  <c r="AO482" i="1" s="1"/>
  <c r="AE482" i="1"/>
  <c r="L9" i="2"/>
  <c r="L8" i="2" s="1"/>
  <c r="AF488" i="1"/>
  <c r="AF487" i="1" l="1"/>
  <c r="AF497" i="1"/>
  <c r="AF501" i="1" s="1"/>
  <c r="AN488" i="1"/>
  <c r="AE488" i="1"/>
  <c r="AN497" i="1" l="1"/>
  <c r="AN501" i="1" s="1"/>
  <c r="AN487" i="1"/>
  <c r="AO487" i="1" s="1"/>
  <c r="AE487" i="1"/>
  <c r="AO488" i="1"/>
  <c r="AO497" i="1"/>
  <c r="AE497" i="1"/>
  <c r="M9" i="2"/>
  <c r="M8" i="2" s="1"/>
  <c r="Z467" i="1" l="1"/>
  <c r="X465" i="1"/>
  <c r="Z482" i="1" l="1"/>
  <c r="AI482" i="1" s="1"/>
  <c r="AI467" i="1"/>
  <c r="D9" i="2"/>
  <c r="D8" i="2" s="1"/>
  <c r="Y482" i="1"/>
  <c r="Z488" i="1"/>
  <c r="AH488" i="1" s="1"/>
  <c r="AI488" i="1" s="1"/>
  <c r="X467" i="1"/>
  <c r="AH497" i="1" l="1"/>
  <c r="Z487" i="1"/>
  <c r="AH487" i="1" s="1"/>
  <c r="Y488" i="1"/>
  <c r="Z497" i="1"/>
  <c r="AI497" i="1" l="1"/>
  <c r="AH501" i="1"/>
  <c r="E9" i="2"/>
  <c r="E8" i="2" s="1"/>
  <c r="Y497" i="1"/>
  <c r="Z501" i="1"/>
  <c r="Y487" i="1"/>
  <c r="AI487" i="1"/>
</calcChain>
</file>

<file path=xl/sharedStrings.xml><?xml version="1.0" encoding="utf-8"?>
<sst xmlns="http://schemas.openxmlformats.org/spreadsheetml/2006/main" count="5679" uniqueCount="486">
  <si>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</si>
  <si>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</si>
  <si>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</si>
  <si>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</si>
  <si>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</si>
  <si>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</si>
  <si>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</si>
  <si>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</si>
  <si>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</si>
  <si>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</si>
  <si>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</si>
  <si>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</si>
  <si>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</si>
  <si>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</si>
  <si>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</si>
  <si>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</si>
  <si>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</si>
  <si>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</si>
  <si>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</si>
  <si>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</si>
  <si>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</si>
  <si>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</si>
  <si>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</si>
  <si>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</si>
  <si>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</si>
  <si>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</si>
  <si>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</si>
  <si>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</si>
  <si>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</si>
  <si>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</si>
  <si>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</si>
  <si>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</si>
  <si>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</si>
  <si>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</si>
  <si>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</si>
  <si>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</si>
  <si>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</si>
  <si>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</si>
  <si>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</si>
  <si>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</si>
  <si>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</si>
  <si>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</si>
  <si>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</si>
  <si>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</si>
  <si>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</si>
  <si>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</si>
  <si>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</si>
  <si>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</si>
  <si>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</si>
  <si>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</si>
  <si>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</si>
  <si>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</si>
  <si>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</si>
  <si>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</si>
  <si>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</si>
  <si>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</si>
  <si>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</si>
  <si>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</si>
  <si>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</si>
  <si>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</si>
  <si>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</si>
  <si>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</si>
  <si>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</si>
  <si>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</si>
  <si>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</si>
  <si>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</si>
  <si>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</si>
  <si>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</si>
  <si>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</si>
  <si>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</si>
  <si>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</si>
  <si>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</si>
  <si>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</si>
  <si>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</si>
  <si>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</si>
  <si>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</si>
  <si>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</si>
  <si>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</si>
  <si>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</si>
  <si>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</si>
  <si>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</si>
  <si>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</si>
  <si>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</si>
  <si>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</si>
  <si>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</si>
  <si>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</si>
  <si>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</si>
  <si>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</si>
  <si>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</si>
  <si>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</si>
  <si>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</si>
  <si>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</si>
  <si>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</si>
  <si>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</si>
  <si>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</si>
  <si>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</si>
  <si>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</si>
  <si>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</si>
  <si>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</si>
  <si>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</si>
  <si>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</si>
  <si>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</si>
  <si>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</si>
  <si>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</si>
  <si>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</si>
  <si>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</si>
  <si>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</si>
  <si>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</si>
  <si>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</si>
  <si>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</si>
  <si>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</si>
  <si>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</si>
  <si>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</si>
  <si>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</si>
  <si>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</si>
  <si>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</si>
  <si>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</si>
  <si>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</si>
  <si>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</si>
  <si>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</si>
  <si>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</si>
  <si>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</si>
  <si>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</si>
  <si>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</si>
  <si>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</si>
  <si>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</si>
  <si>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</si>
  <si>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</si>
  <si>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</si>
  <si>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</si>
  <si>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</si>
  <si>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</si>
  <si>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</si>
  <si>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</si>
  <si>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</si>
  <si>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</si>
  <si>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</si>
  <si>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</si>
  <si>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</si>
  <si>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</si>
  <si>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</si>
  <si>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</si>
  <si>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</si>
  <si>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</si>
  <si>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</si>
  <si>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</si>
  <si>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</si>
  <si>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</si>
  <si>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</si>
  <si>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</si>
  <si>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</si>
  <si>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</si>
  <si>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</si>
  <si>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</si>
  <si>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</si>
  <si>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</si>
  <si>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</si>
  <si>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</si>
  <si>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</si>
  <si>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</si>
  <si>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</si>
  <si>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</si>
  <si>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</si>
  <si>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</si>
  <si>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</si>
  <si>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</si>
  <si>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</si>
  <si>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</si>
  <si>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</si>
  <si>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</si>
  <si>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</si>
  <si>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</si>
  <si>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</si>
  <si>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</si>
  <si>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</si>
  <si>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</si>
  <si>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</si>
  <si>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</si>
  <si>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</si>
  <si>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</si>
  <si>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</si>
  <si>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</si>
  <si>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</si>
  <si>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</si>
  <si>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</si>
  <si>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</si>
  <si>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</si>
  <si>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</si>
  <si>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</si>
  <si>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</si>
  <si>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</si>
  <si>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</si>
  <si>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</si>
  <si>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</si>
  <si>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</si>
  <si>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</si>
  <si>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</si>
  <si>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</si>
  <si>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</si>
  <si>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</si>
  <si>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</si>
  <si>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</si>
  <si>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</si>
  <si>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</si>
  <si>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</si>
  <si>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</si>
  <si>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</si>
  <si>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</si>
  <si>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</si>
  <si>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</si>
  <si>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</si>
  <si>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</si>
  <si>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</si>
  <si>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</si>
  <si>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</si>
  <si>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BAIIA Corpo</t>
  </si>
  <si>
    <t>Revenus d'intérêts floor plan</t>
  </si>
  <si>
    <t>ÉCART réel / année précédente</t>
  </si>
  <si>
    <t>NB</t>
  </si>
  <si>
    <t>$</t>
  </si>
  <si>
    <t>*** NE PAS EFFACER / Pour An Précédente ***</t>
  </si>
  <si>
    <t>ÉCART réel / Budget</t>
  </si>
  <si>
    <t>ECART (réel/ Ann.Préc.)</t>
  </si>
  <si>
    <t>NEUF</t>
  </si>
  <si>
    <t>UNITÉS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</si>
  <si>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</si>
  <si>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</si>
  <si>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</si>
  <si>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</si>
  <si>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</si>
  <si>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</si>
  <si>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</si>
  <si>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</si>
  <si>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</si>
  <si>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</si>
  <si>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</si>
  <si>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</si>
  <si>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</si>
  <si>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</si>
  <si>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</si>
  <si>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</si>
  <si>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</si>
  <si>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</si>
  <si>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</si>
  <si>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</si>
  <si>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</si>
  <si>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</si>
  <si>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</si>
  <si>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</si>
  <si>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</si>
  <si>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</si>
  <si>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</si>
  <si>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</si>
  <si>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</si>
  <si>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</si>
  <si>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</si>
  <si>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</si>
  <si>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</si>
  <si>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</si>
  <si>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</si>
  <si>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</si>
  <si>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</si>
  <si>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</si>
  <si>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</si>
  <si>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</si>
  <si>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</si>
  <si>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</si>
  <si>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</si>
  <si>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</si>
  <si>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</si>
  <si>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</si>
  <si>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</si>
  <si>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</si>
  <si>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</si>
  <si>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</si>
  <si>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</si>
  <si>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</si>
  <si>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</si>
  <si>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</si>
  <si>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</si>
  <si>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</si>
  <si>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</si>
  <si>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</si>
  <si>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</si>
  <si>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</si>
  <si>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</si>
  <si>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</si>
  <si>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</si>
  <si>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Autres Marques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</si>
  <si>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</si>
  <si>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</si>
  <si>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</si>
  <si>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</si>
  <si>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</si>
  <si>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</si>
  <si>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</si>
  <si>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</si>
  <si>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</si>
  <si>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</si>
  <si>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</si>
  <si>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</si>
  <si>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</si>
  <si>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</si>
  <si>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</si>
  <si>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</si>
  <si>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</si>
  <si>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</si>
  <si>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</si>
  <si>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</si>
  <si>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</si>
  <si>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</si>
  <si>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</si>
  <si>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</si>
  <si>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</si>
  <si>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</si>
  <si>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</si>
  <si>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</si>
  <si>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</si>
  <si>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</si>
  <si>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</si>
  <si>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</si>
  <si>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</si>
  <si>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</si>
  <si>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</si>
  <si>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</si>
  <si>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</si>
  <si>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</si>
  <si>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</si>
  <si>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</si>
  <si>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</si>
  <si>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</si>
  <si>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</si>
  <si>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</si>
  <si>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Véhicules usagésProgramme used 3</t>
  </si>
  <si>
    <t>Véhicules usagésFrais administration</t>
  </si>
  <si>
    <t>$Ventes</t>
  </si>
  <si>
    <t>$PROFFTS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</si>
  <si>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</si>
  <si>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</si>
  <si>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</si>
  <si>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</si>
  <si>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</si>
  <si>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</si>
  <si>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</si>
  <si>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</si>
  <si>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</si>
  <si>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</si>
  <si>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</si>
  <si>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</si>
  <si>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</si>
  <si>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</si>
  <si>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</si>
  <si>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</si>
  <si>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</si>
  <si>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</si>
  <si>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</si>
  <si>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</si>
  <si>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</si>
  <si>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</si>
  <si>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</si>
  <si>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</si>
  <si>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</si>
  <si>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</si>
  <si>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</si>
  <si>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</si>
  <si>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</si>
  <si>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</si>
  <si>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</si>
  <si>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</si>
  <si>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</si>
  <si>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</si>
  <si>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</si>
  <si>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</si>
  <si>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</si>
  <si>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</si>
  <si>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</si>
  <si>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</si>
  <si>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</si>
  <si>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</si>
  <si>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</si>
  <si>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</si>
  <si>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</si>
  <si>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</si>
  <si>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</si>
  <si>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</si>
  <si>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</si>
  <si>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</si>
  <si>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</si>
  <si>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</si>
  <si>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</si>
  <si>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</si>
  <si>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</si>
  <si>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</si>
  <si>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</si>
  <si>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</si>
  <si>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</si>
  <si>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</si>
  <si>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</si>
  <si>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</si>
  <si>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</si>
  <si>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</si>
  <si>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</si>
  <si>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</si>
  <si>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</si>
  <si>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</si>
  <si>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</si>
  <si>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</si>
  <si>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</si>
  <si>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</si>
  <si>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</si>
  <si>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</si>
  <si>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</si>
  <si>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</si>
  <si>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</si>
  <si>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</si>
  <si>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</si>
  <si>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</si>
  <si>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</si>
  <si>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</si>
  <si>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</si>
  <si>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</si>
  <si>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</si>
  <si>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</si>
  <si>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</si>
  <si>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Boni accessoire rep.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</si>
  <si>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</si>
  <si>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</si>
  <si>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</si>
  <si>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</si>
  <si>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</si>
  <si>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</si>
  <si>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</si>
  <si>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</si>
  <si>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</si>
  <si>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</si>
  <si>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</si>
  <si>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</si>
  <si>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</si>
  <si>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</si>
  <si>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</si>
  <si>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</si>
  <si>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</si>
  <si>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</si>
  <si>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</si>
  <si>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</si>
  <si>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</si>
  <si>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</si>
  <si>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</si>
  <si>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</si>
  <si>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</si>
  <si>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</si>
  <si>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</si>
  <si>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</si>
  <si>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</si>
  <si>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</si>
  <si>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</si>
  <si>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</si>
  <si>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</si>
  <si>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</si>
  <si>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</si>
  <si>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</si>
  <si>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</si>
  <si>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</si>
  <si>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</si>
  <si>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</si>
  <si>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</si>
  <si>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</si>
  <si>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</si>
  <si>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</si>
  <si>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</si>
  <si>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</si>
  <si>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</si>
  <si>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</si>
  <si>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</si>
  <si>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</si>
  <si>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</si>
  <si>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>Camion Pièces Complexe 9,8K$ over</t>
  </si>
  <si>
    <t>Volks</t>
  </si>
  <si>
    <t>Pacing du 30</t>
  </si>
  <si>
    <t>PPM VENTE PRIVEE - 5K</t>
  </si>
  <si>
    <t>5,000$ ENTERPRISE</t>
  </si>
  <si>
    <t>Réalisé, Avril 2024</t>
  </si>
  <si>
    <t>Véhicules usagésAutres Marques</t>
  </si>
  <si>
    <t>Véhicules usagésTotal Usagés</t>
  </si>
  <si>
    <t>Réalisé, Mai 2024</t>
  </si>
  <si>
    <t>Réalisé, Juin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</si>
</sst>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1" formatCode="&quot;$&quot;#,##0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6" formatCode="&quot;$&quot;#,##0_);[Red]\(&quot;$&quot;#,##0\)"/>
    <numFmt numFmtId="177" formatCode="d/m/yyyy"/>
  </numFmts>
  <fonts count="43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4"/>
      <color theme="1"/>
      <name val="Arial mt"/>
    </font>
    <font>
      <sz val="14"/>
      <color theme="1"/>
      <name val="Calibri"/>
      <family val="2"/>
    </font>
    <font>
      <sz val="14"/>
      <color theme="1"/>
      <name val="Arial mt"/>
    </font>
    <font>
      <b/>
      <sz val="14"/>
      <color rgb="FFFF0000"/>
      <name val="Arial mt"/>
    </font>
    <font>
      <sz val="14"/>
      <color rgb="FFFF0000"/>
      <name val="Arial"/>
      <family val="2"/>
    </font>
    <font>
      <b/>
      <sz val="14"/>
      <name val="Arial"/>
      <family val="2"/>
    </font>
    <font>
      <b/>
      <i/>
      <sz val="14"/>
      <color theme="1"/>
      <name val="Arial mt"/>
    </font>
    <font>
      <sz val="14"/>
      <color theme="1"/>
      <name val="Times New Roman"/>
      <family val="1"/>
    </font>
    <font>
      <sz val="14"/>
      <color rgb="FF0000FF"/>
      <name val="Arial mt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1"/>
      <color rgb="FF002060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indexed="64"/>
      </patternFill>
    </fill>
  </fills>
  <borders count="1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</borders>
  <cellStyleXfs count="20">
    <xf numFmtId="0" fontId="0" fillId="0" borderId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0" fontId="4" fillId="0" borderId="0"/>
    <xf numFmtId="0" fontId="22" fillId="0" borderId="0"/>
    <xf numFmtId="172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3" fontId="23" fillId="0" borderId="0" applyFont="0" applyFill="0" applyBorder="0" applyAlignment="0" applyProtection="0"/>
    <xf numFmtId="0" fontId="11" fillId="0" borderId="0"/>
    <xf numFmtId="0" fontId="3" fillId="0" borderId="0"/>
    <xf numFmtId="0" fontId="22" fillId="0" borderId="0"/>
    <xf numFmtId="166" fontId="24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82">
    <xf numFmtId="0" fontId="0" fillId="0" borderId="0" xfId="0"/>
    <xf numFmtId="0" fontId="12" fillId="0" borderId="18" xfId="0" applyFont="1" applyBorder="1"/>
    <xf numFmtId="0" fontId="12" fillId="0" borderId="22" xfId="0" applyFont="1" applyBorder="1"/>
    <xf numFmtId="0" fontId="12" fillId="0" borderId="6" xfId="0" applyFont="1" applyBorder="1"/>
    <xf numFmtId="0" fontId="12" fillId="0" borderId="48" xfId="0" applyFont="1" applyBorder="1"/>
    <xf numFmtId="0" fontId="12" fillId="0" borderId="11" xfId="0" applyFont="1" applyBorder="1"/>
    <xf numFmtId="0" fontId="16" fillId="0" borderId="0" xfId="0" applyFont="1" applyAlignment="1">
      <alignment horizontal="center" vertical="center"/>
    </xf>
    <xf numFmtId="0" fontId="12" fillId="0" borderId="12" xfId="0" applyFont="1" applyBorder="1"/>
    <xf numFmtId="37" fontId="12" fillId="0" borderId="67" xfId="0" applyNumberFormat="1" applyFont="1" applyBorder="1"/>
    <xf numFmtId="37" fontId="12" fillId="0" borderId="68" xfId="0" applyNumberFormat="1" applyFont="1" applyBorder="1"/>
    <xf numFmtId="37" fontId="12" fillId="0" borderId="12" xfId="0" applyNumberFormat="1" applyFont="1" applyBorder="1"/>
    <xf numFmtId="168" fontId="12" fillId="0" borderId="12" xfId="0" applyNumberFormat="1" applyFont="1" applyBorder="1"/>
    <xf numFmtId="37" fontId="12" fillId="0" borderId="69" xfId="0" applyNumberFormat="1" applyFont="1" applyBorder="1"/>
    <xf numFmtId="168" fontId="12" fillId="0" borderId="17" xfId="0" applyNumberFormat="1" applyFont="1" applyBorder="1"/>
    <xf numFmtId="0" fontId="16" fillId="2" borderId="22" xfId="0" applyFont="1" applyFill="1" applyBorder="1"/>
    <xf numFmtId="0" fontId="16" fillId="2" borderId="12" xfId="0" applyFont="1" applyFill="1" applyBorder="1"/>
    <xf numFmtId="37" fontId="16" fillId="2" borderId="67" xfId="0" applyNumberFormat="1" applyFont="1" applyFill="1" applyBorder="1"/>
    <xf numFmtId="37" fontId="16" fillId="2" borderId="68" xfId="0" applyNumberFormat="1" applyFont="1" applyFill="1" applyBorder="1"/>
    <xf numFmtId="37" fontId="16" fillId="2" borderId="12" xfId="0" applyNumberFormat="1" applyFont="1" applyFill="1" applyBorder="1"/>
    <xf numFmtId="168" fontId="16" fillId="2" borderId="12" xfId="0" applyNumberFormat="1" applyFont="1" applyFill="1" applyBorder="1"/>
    <xf numFmtId="37" fontId="16" fillId="2" borderId="69" xfId="0" applyNumberFormat="1" applyFont="1" applyFill="1" applyBorder="1"/>
    <xf numFmtId="168" fontId="16" fillId="2" borderId="17" xfId="0" applyNumberFormat="1" applyFont="1" applyFill="1" applyBorder="1"/>
    <xf numFmtId="0" fontId="16" fillId="0" borderId="18" xfId="0" applyFont="1" applyBorder="1"/>
    <xf numFmtId="0" fontId="12" fillId="0" borderId="0" xfId="0" applyFont="1"/>
    <xf numFmtId="37" fontId="12" fillId="0" borderId="70" xfId="0" applyNumberFormat="1" applyFont="1" applyBorder="1"/>
    <xf numFmtId="37" fontId="12" fillId="0" borderId="71" xfId="0" applyNumberFormat="1" applyFont="1" applyBorder="1"/>
    <xf numFmtId="37" fontId="12" fillId="0" borderId="0" xfId="0" applyNumberFormat="1" applyFont="1"/>
    <xf numFmtId="168" fontId="12" fillId="0" borderId="0" xfId="0" applyNumberFormat="1" applyFont="1"/>
    <xf numFmtId="37" fontId="12" fillId="0" borderId="72" xfId="0" applyNumberFormat="1" applyFont="1" applyBorder="1"/>
    <xf numFmtId="168" fontId="12" fillId="0" borderId="21" xfId="0" applyNumberFormat="1" applyFont="1" applyBorder="1"/>
    <xf numFmtId="0" fontId="12" fillId="0" borderId="0" xfId="0" applyFont="1" applyAlignment="1">
      <alignment horizontal="right"/>
    </xf>
    <xf numFmtId="169" fontId="12" fillId="0" borderId="0" xfId="0" applyNumberFormat="1" applyFont="1"/>
    <xf numFmtId="0" fontId="12" fillId="0" borderId="71" xfId="0" applyFont="1" applyBorder="1"/>
    <xf numFmtId="168" fontId="12" fillId="0" borderId="10" xfId="0" applyNumberFormat="1" applyFont="1" applyBorder="1"/>
    <xf numFmtId="0" fontId="12" fillId="0" borderId="12" xfId="0" applyFont="1" applyBorder="1" applyAlignment="1">
      <alignment horizontal="right"/>
    </xf>
    <xf numFmtId="169" fontId="12" fillId="0" borderId="12" xfId="0" applyNumberFormat="1" applyFont="1" applyBorder="1"/>
    <xf numFmtId="0" fontId="12" fillId="0" borderId="68" xfId="0" applyFont="1" applyBorder="1"/>
    <xf numFmtId="168" fontId="12" fillId="0" borderId="67" xfId="0" applyNumberFormat="1" applyFont="1" applyBorder="1"/>
    <xf numFmtId="168" fontId="12" fillId="0" borderId="73" xfId="0" applyNumberFormat="1" applyFont="1" applyBorder="1"/>
    <xf numFmtId="168" fontId="17" fillId="0" borderId="10" xfId="0" applyNumberFormat="1" applyFont="1" applyBorder="1"/>
    <xf numFmtId="0" fontId="16" fillId="2" borderId="34" xfId="0" applyFont="1" applyFill="1" applyBorder="1"/>
    <xf numFmtId="0" fontId="16" fillId="2" borderId="35" xfId="0" applyFont="1" applyFill="1" applyBorder="1"/>
    <xf numFmtId="168" fontId="16" fillId="2" borderId="35" xfId="0" applyNumberFormat="1" applyFont="1" applyFill="1" applyBorder="1"/>
    <xf numFmtId="37" fontId="16" fillId="2" borderId="74" xfId="0" applyNumberFormat="1" applyFont="1" applyFill="1" applyBorder="1"/>
    <xf numFmtId="168" fontId="16" fillId="2" borderId="38" xfId="0" applyNumberFormat="1" applyFont="1" applyFill="1" applyBorder="1"/>
    <xf numFmtId="0" fontId="16" fillId="2" borderId="38" xfId="0" applyFont="1" applyFill="1" applyBorder="1"/>
    <xf numFmtId="37" fontId="16" fillId="2" borderId="35" xfId="0" applyNumberFormat="1" applyFont="1" applyFill="1" applyBorder="1"/>
    <xf numFmtId="0" fontId="16" fillId="2" borderId="75" xfId="0" applyFont="1" applyFill="1" applyBorder="1"/>
    <xf numFmtId="168" fontId="12" fillId="0" borderId="70" xfId="0" applyNumberFormat="1" applyFont="1" applyBorder="1"/>
    <xf numFmtId="169" fontId="16" fillId="2" borderId="35" xfId="0" applyNumberFormat="1" applyFont="1" applyFill="1" applyBorder="1"/>
    <xf numFmtId="37" fontId="16" fillId="2" borderId="38" xfId="0" applyNumberFormat="1" applyFont="1" applyFill="1" applyBorder="1"/>
    <xf numFmtId="37" fontId="16" fillId="2" borderId="75" xfId="0" applyNumberFormat="1" applyFont="1" applyFill="1" applyBorder="1"/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37" fontId="12" fillId="0" borderId="76" xfId="0" applyNumberFormat="1" applyFont="1" applyBorder="1"/>
    <xf numFmtId="0" fontId="12" fillId="0" borderId="77" xfId="0" applyFont="1" applyBorder="1"/>
    <xf numFmtId="169" fontId="12" fillId="0" borderId="7" xfId="0" applyNumberFormat="1" applyFont="1" applyBorder="1"/>
    <xf numFmtId="37" fontId="12" fillId="0" borderId="7" xfId="0" applyNumberFormat="1" applyFont="1" applyBorder="1"/>
    <xf numFmtId="168" fontId="12" fillId="0" borderId="7" xfId="0" applyNumberFormat="1" applyFont="1" applyBorder="1"/>
    <xf numFmtId="37" fontId="12" fillId="0" borderId="78" xfId="0" applyNumberFormat="1" applyFont="1" applyBorder="1"/>
    <xf numFmtId="0" fontId="12" fillId="0" borderId="47" xfId="0" applyFont="1" applyBorder="1" applyAlignment="1">
      <alignment horizontal="right"/>
    </xf>
    <xf numFmtId="0" fontId="12" fillId="0" borderId="47" xfId="0" applyFont="1" applyBorder="1"/>
    <xf numFmtId="37" fontId="12" fillId="0" borderId="79" xfId="0" applyNumberFormat="1" applyFont="1" applyBorder="1"/>
    <xf numFmtId="0" fontId="12" fillId="0" borderId="80" xfId="0" applyFont="1" applyBorder="1"/>
    <xf numFmtId="169" fontId="12" fillId="0" borderId="47" xfId="0" applyNumberFormat="1" applyFont="1" applyBorder="1"/>
    <xf numFmtId="37" fontId="12" fillId="0" borderId="80" xfId="0" applyNumberFormat="1" applyFont="1" applyBorder="1"/>
    <xf numFmtId="37" fontId="12" fillId="0" borderId="47" xfId="0" applyNumberFormat="1" applyFont="1" applyBorder="1"/>
    <xf numFmtId="168" fontId="12" fillId="0" borderId="47" xfId="0" applyNumberFormat="1" applyFont="1" applyBorder="1"/>
    <xf numFmtId="37" fontId="12" fillId="0" borderId="81" xfId="0" applyNumberFormat="1" applyFont="1" applyBorder="1"/>
    <xf numFmtId="168" fontId="12" fillId="0" borderId="82" xfId="0" applyNumberFormat="1" applyFont="1" applyBorder="1"/>
    <xf numFmtId="0" fontId="12" fillId="2" borderId="35" xfId="0" applyFont="1" applyFill="1" applyBorder="1"/>
    <xf numFmtId="168" fontId="16" fillId="2" borderId="39" xfId="0" applyNumberFormat="1" applyFont="1" applyFill="1" applyBorder="1"/>
    <xf numFmtId="168" fontId="16" fillId="0" borderId="0" xfId="0" applyNumberFormat="1" applyFont="1"/>
    <xf numFmtId="0" fontId="16" fillId="0" borderId="0" xfId="0" applyFont="1"/>
    <xf numFmtId="168" fontId="12" fillId="0" borderId="76" xfId="0" applyNumberFormat="1" applyFont="1" applyBorder="1"/>
    <xf numFmtId="0" fontId="12" fillId="0" borderId="70" xfId="0" applyFont="1" applyBorder="1"/>
    <xf numFmtId="0" fontId="12" fillId="0" borderId="72" xfId="0" applyFont="1" applyBorder="1"/>
    <xf numFmtId="168" fontId="12" fillId="0" borderId="83" xfId="0" applyNumberFormat="1" applyFont="1" applyBorder="1"/>
    <xf numFmtId="168" fontId="16" fillId="0" borderId="7" xfId="0" applyNumberFormat="1" applyFont="1" applyBorder="1"/>
    <xf numFmtId="0" fontId="16" fillId="0" borderId="7" xfId="0" applyFont="1" applyBorder="1"/>
    <xf numFmtId="168" fontId="16" fillId="0" borderId="77" xfId="0" applyNumberFormat="1" applyFont="1" applyBorder="1"/>
    <xf numFmtId="37" fontId="16" fillId="0" borderId="77" xfId="0" applyNumberFormat="1" applyFont="1" applyBorder="1"/>
    <xf numFmtId="37" fontId="12" fillId="0" borderId="84" xfId="0" applyNumberFormat="1" applyFont="1" applyBorder="1"/>
    <xf numFmtId="37" fontId="16" fillId="0" borderId="7" xfId="0" applyNumberFormat="1" applyFont="1" applyBorder="1"/>
    <xf numFmtId="168" fontId="16" fillId="0" borderId="71" xfId="0" applyNumberFormat="1" applyFont="1" applyBorder="1"/>
    <xf numFmtId="37" fontId="16" fillId="0" borderId="71" xfId="0" applyNumberFormat="1" applyFont="1" applyBorder="1"/>
    <xf numFmtId="37" fontId="12" fillId="0" borderId="85" xfId="0" applyNumberFormat="1" applyFont="1" applyBorder="1"/>
    <xf numFmtId="37" fontId="16" fillId="0" borderId="0" xfId="0" applyNumberFormat="1" applyFont="1"/>
    <xf numFmtId="168" fontId="12" fillId="2" borderId="38" xfId="0" applyNumberFormat="1" applyFont="1" applyFill="1" applyBorder="1"/>
    <xf numFmtId="168" fontId="12" fillId="2" borderId="35" xfId="0" applyNumberFormat="1" applyFont="1" applyFill="1" applyBorder="1"/>
    <xf numFmtId="37" fontId="12" fillId="2" borderId="75" xfId="0" applyNumberFormat="1" applyFont="1" applyFill="1" applyBorder="1"/>
    <xf numFmtId="0" fontId="16" fillId="3" borderId="6" xfId="0" applyFont="1" applyFill="1" applyBorder="1"/>
    <xf numFmtId="0" fontId="16" fillId="3" borderId="7" xfId="0" applyFont="1" applyFill="1" applyBorder="1"/>
    <xf numFmtId="37" fontId="16" fillId="3" borderId="7" xfId="0" applyNumberFormat="1" applyFont="1" applyFill="1" applyBorder="1"/>
    <xf numFmtId="37" fontId="12" fillId="3" borderId="76" xfId="0" applyNumberFormat="1" applyFont="1" applyFill="1" applyBorder="1"/>
    <xf numFmtId="0" fontId="12" fillId="3" borderId="7" xfId="0" applyFont="1" applyFill="1" applyBorder="1"/>
    <xf numFmtId="37" fontId="12" fillId="3" borderId="7" xfId="0" applyNumberFormat="1" applyFont="1" applyFill="1" applyBorder="1"/>
    <xf numFmtId="37" fontId="12" fillId="3" borderId="77" xfId="0" applyNumberFormat="1" applyFont="1" applyFill="1" applyBorder="1"/>
    <xf numFmtId="37" fontId="12" fillId="3" borderId="0" xfId="0" applyNumberFormat="1" applyFont="1" applyFill="1"/>
    <xf numFmtId="168" fontId="12" fillId="3" borderId="0" xfId="0" applyNumberFormat="1" applyFont="1" applyFill="1"/>
    <xf numFmtId="168" fontId="12" fillId="3" borderId="77" xfId="0" applyNumberFormat="1" applyFont="1" applyFill="1" applyBorder="1"/>
    <xf numFmtId="168" fontId="12" fillId="3" borderId="7" xfId="0" applyNumberFormat="1" applyFont="1" applyFill="1" applyBorder="1"/>
    <xf numFmtId="37" fontId="12" fillId="3" borderId="78" xfId="0" applyNumberFormat="1" applyFont="1" applyFill="1" applyBorder="1"/>
    <xf numFmtId="168" fontId="12" fillId="0" borderId="45" xfId="0" applyNumberFormat="1" applyFont="1" applyBorder="1"/>
    <xf numFmtId="0" fontId="16" fillId="2" borderId="57" xfId="0" applyFont="1" applyFill="1" applyBorder="1"/>
    <xf numFmtId="0" fontId="16" fillId="2" borderId="58" xfId="0" applyFont="1" applyFill="1" applyBorder="1"/>
    <xf numFmtId="0" fontId="16" fillId="2" borderId="58" xfId="0" applyFont="1" applyFill="1" applyBorder="1" applyAlignment="1">
      <alignment horizontal="center"/>
    </xf>
    <xf numFmtId="168" fontId="16" fillId="2" borderId="58" xfId="0" applyNumberFormat="1" applyFont="1" applyFill="1" applyBorder="1"/>
    <xf numFmtId="37" fontId="16" fillId="2" borderId="86" xfId="0" applyNumberFormat="1" applyFont="1" applyFill="1" applyBorder="1"/>
    <xf numFmtId="37" fontId="16" fillId="2" borderId="58" xfId="0" applyNumberFormat="1" applyFont="1" applyFill="1" applyBorder="1"/>
    <xf numFmtId="37" fontId="16" fillId="2" borderId="87" xfId="0" applyNumberFormat="1" applyFont="1" applyFill="1" applyBorder="1"/>
    <xf numFmtId="168" fontId="16" fillId="2" borderId="88" xfId="0" applyNumberFormat="1" applyFont="1" applyFill="1" applyBorder="1"/>
    <xf numFmtId="0" fontId="16" fillId="2" borderId="87" xfId="0" applyFont="1" applyFill="1" applyBorder="1" applyAlignment="1">
      <alignment horizontal="center"/>
    </xf>
    <xf numFmtId="37" fontId="16" fillId="2" borderId="89" xfId="0" applyNumberFormat="1" applyFont="1" applyFill="1" applyBorder="1"/>
    <xf numFmtId="168" fontId="16" fillId="2" borderId="46" xfId="0" applyNumberFormat="1" applyFont="1" applyFill="1" applyBorder="1"/>
    <xf numFmtId="39" fontId="12" fillId="0" borderId="0" xfId="0" applyNumberFormat="1" applyFont="1"/>
    <xf numFmtId="0" fontId="16" fillId="2" borderId="90" xfId="0" applyFont="1" applyFill="1" applyBorder="1"/>
    <xf numFmtId="0" fontId="16" fillId="2" borderId="91" xfId="0" applyFont="1" applyFill="1" applyBorder="1"/>
    <xf numFmtId="0" fontId="16" fillId="2" borderId="91" xfId="0" applyFont="1" applyFill="1" applyBorder="1" applyAlignment="1">
      <alignment horizontal="center"/>
    </xf>
    <xf numFmtId="168" fontId="16" fillId="2" borderId="91" xfId="0" applyNumberFormat="1" applyFont="1" applyFill="1" applyBorder="1"/>
    <xf numFmtId="37" fontId="16" fillId="2" borderId="92" xfId="0" applyNumberFormat="1" applyFont="1" applyFill="1" applyBorder="1"/>
    <xf numFmtId="37" fontId="16" fillId="2" borderId="91" xfId="0" applyNumberFormat="1" applyFont="1" applyFill="1" applyBorder="1"/>
    <xf numFmtId="37" fontId="16" fillId="2" borderId="93" xfId="0" applyNumberFormat="1" applyFont="1" applyFill="1" applyBorder="1"/>
    <xf numFmtId="37" fontId="16" fillId="2" borderId="94" xfId="0" applyNumberFormat="1" applyFont="1" applyFill="1" applyBorder="1"/>
    <xf numFmtId="37" fontId="16" fillId="2" borderId="63" xfId="0" applyNumberFormat="1" applyFont="1" applyFill="1" applyBorder="1"/>
    <xf numFmtId="168" fontId="16" fillId="2" borderId="66" xfId="0" applyNumberFormat="1" applyFont="1" applyFill="1" applyBorder="1"/>
    <xf numFmtId="168" fontId="16" fillId="2" borderId="61" xfId="0" applyNumberFormat="1" applyFont="1" applyFill="1" applyBorder="1"/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20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21" fillId="0" borderId="96" xfId="0" applyFont="1" applyBorder="1" applyAlignment="1">
      <alignment vertical="center"/>
    </xf>
    <xf numFmtId="0" fontId="21" fillId="0" borderId="97" xfId="0" applyFont="1" applyBorder="1" applyAlignment="1">
      <alignment vertical="center"/>
    </xf>
    <xf numFmtId="37" fontId="21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21" fillId="8" borderId="95" xfId="0" applyFont="1" applyFill="1" applyBorder="1" applyAlignment="1">
      <alignment horizontal="center"/>
    </xf>
    <xf numFmtId="0" fontId="21" fillId="9" borderId="95" xfId="0" applyFont="1" applyFill="1" applyBorder="1" applyAlignment="1">
      <alignment horizontal="center"/>
    </xf>
    <xf numFmtId="0" fontId="21" fillId="6" borderId="95" xfId="0" applyFont="1" applyFill="1" applyBorder="1" applyAlignment="1">
      <alignment horizontal="center"/>
    </xf>
    <xf numFmtId="3" fontId="20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21" fillId="0" borderId="100" xfId="0" applyNumberFormat="1" applyFont="1" applyBorder="1" applyAlignment="1">
      <alignment horizontal="center" vertical="center"/>
    </xf>
    <xf numFmtId="3" fontId="20" fillId="7" borderId="98" xfId="0" applyNumberFormat="1" applyFont="1" applyFill="1" applyBorder="1" applyAlignment="1">
      <alignment horizontal="center" vertical="center"/>
    </xf>
    <xf numFmtId="3" fontId="0" fillId="7" borderId="98" xfId="0" applyNumberFormat="1" applyFill="1" applyBorder="1" applyAlignment="1">
      <alignment horizontal="center" vertical="center"/>
    </xf>
    <xf numFmtId="3" fontId="0" fillId="7" borderId="99" xfId="0" applyNumberFormat="1" applyFill="1" applyBorder="1" applyAlignment="1">
      <alignment horizontal="center" vertical="center"/>
    </xf>
    <xf numFmtId="3" fontId="0" fillId="7" borderId="100" xfId="0" applyNumberFormat="1" applyFill="1" applyBorder="1" applyAlignment="1">
      <alignment horizontal="center" vertical="center"/>
    </xf>
    <xf numFmtId="0" fontId="21" fillId="7" borderId="95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0" fontId="12" fillId="0" borderId="9" xfId="0" applyFont="1" applyBorder="1"/>
    <xf numFmtId="0" fontId="12" fillId="0" borderId="14" xfId="0" applyFont="1" applyBorder="1"/>
    <xf numFmtId="0" fontId="12" fillId="0" borderId="20" xfId="0" applyFont="1" applyBorder="1"/>
    <xf numFmtId="168" fontId="12" fillId="0" borderId="16" xfId="0" applyNumberFormat="1" applyFont="1" applyBorder="1"/>
    <xf numFmtId="0" fontId="16" fillId="0" borderId="9" xfId="0" applyFont="1" applyBorder="1"/>
    <xf numFmtId="168" fontId="12" fillId="0" borderId="8" xfId="0" applyNumberFormat="1" applyFont="1" applyBorder="1"/>
    <xf numFmtId="0" fontId="16" fillId="2" borderId="37" xfId="0" applyFont="1" applyFill="1" applyBorder="1"/>
    <xf numFmtId="0" fontId="16" fillId="2" borderId="103" xfId="0" applyFont="1" applyFill="1" applyBorder="1"/>
    <xf numFmtId="0" fontId="16" fillId="2" borderId="104" xfId="0" applyFont="1" applyFill="1" applyBorder="1"/>
    <xf numFmtId="0" fontId="16" fillId="2" borderId="104" xfId="0" applyFont="1" applyFill="1" applyBorder="1" applyAlignment="1">
      <alignment horizontal="center"/>
    </xf>
    <xf numFmtId="168" fontId="16" fillId="2" borderId="104" xfId="0" applyNumberFormat="1" applyFont="1" applyFill="1" applyBorder="1"/>
    <xf numFmtId="37" fontId="16" fillId="2" borderId="105" xfId="0" applyNumberFormat="1" applyFont="1" applyFill="1" applyBorder="1"/>
    <xf numFmtId="37" fontId="16" fillId="2" borderId="104" xfId="0" applyNumberFormat="1" applyFont="1" applyFill="1" applyBorder="1"/>
    <xf numFmtId="168" fontId="16" fillId="2" borderId="106" xfId="0" applyNumberFormat="1" applyFont="1" applyFill="1" applyBorder="1"/>
    <xf numFmtId="168" fontId="16" fillId="2" borderId="31" xfId="0" applyNumberFormat="1" applyFont="1" applyFill="1" applyBorder="1"/>
    <xf numFmtId="37" fontId="16" fillId="2" borderId="107" xfId="0" applyNumberFormat="1" applyFont="1" applyFill="1" applyBorder="1"/>
    <xf numFmtId="37" fontId="16" fillId="2" borderId="101" xfId="0" applyNumberFormat="1" applyFont="1" applyFill="1" applyBorder="1"/>
    <xf numFmtId="168" fontId="16" fillId="2" borderId="102" xfId="0" applyNumberFormat="1" applyFont="1" applyFill="1" applyBorder="1"/>
    <xf numFmtId="168" fontId="16" fillId="0" borderId="9" xfId="0" applyNumberFormat="1" applyFont="1" applyBorder="1"/>
    <xf numFmtId="168" fontId="16" fillId="0" borderId="8" xfId="0" applyNumberFormat="1" applyFont="1" applyBorder="1"/>
    <xf numFmtId="9" fontId="16" fillId="0" borderId="7" xfId="0" applyNumberFormat="1" applyFont="1" applyBorder="1"/>
    <xf numFmtId="9" fontId="16" fillId="0" borderId="0" xfId="0" applyNumberFormat="1" applyFont="1"/>
    <xf numFmtId="1" fontId="12" fillId="0" borderId="0" xfId="0" applyNumberFormat="1" applyFont="1"/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center"/>
    </xf>
    <xf numFmtId="3" fontId="27" fillId="0" borderId="0" xfId="0" applyNumberFormat="1" applyFont="1"/>
    <xf numFmtId="0" fontId="27" fillId="0" borderId="0" xfId="0" applyFont="1" applyAlignment="1">
      <alignment horizontal="right"/>
    </xf>
    <xf numFmtId="0" fontId="28" fillId="0" borderId="0" xfId="0" applyFont="1"/>
    <xf numFmtId="167" fontId="12" fillId="0" borderId="0" xfId="0" applyNumberFormat="1" applyFont="1" applyAlignment="1">
      <alignment horizontal="left"/>
    </xf>
    <xf numFmtId="3" fontId="12" fillId="0" borderId="0" xfId="0" applyNumberFormat="1" applyFont="1" applyAlignment="1">
      <alignment horizontal="center"/>
    </xf>
    <xf numFmtId="0" fontId="29" fillId="0" borderId="0" xfId="0" applyFont="1"/>
    <xf numFmtId="0" fontId="12" fillId="0" borderId="1" xfId="0" applyFont="1" applyBorder="1"/>
    <xf numFmtId="3" fontId="12" fillId="0" borderId="7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1" fontId="30" fillId="0" borderId="0" xfId="0" applyNumberFormat="1" applyFont="1"/>
    <xf numFmtId="0" fontId="30" fillId="0" borderId="0" xfId="0" applyFont="1"/>
    <xf numFmtId="3" fontId="12" fillId="0" borderId="12" xfId="0" applyNumberFormat="1" applyFont="1" applyBorder="1" applyAlignment="1">
      <alignment horizontal="center"/>
    </xf>
    <xf numFmtId="3" fontId="12" fillId="0" borderId="13" xfId="0" applyNumberFormat="1" applyFont="1" applyBorder="1"/>
    <xf numFmtId="3" fontId="12" fillId="0" borderId="15" xfId="0" applyNumberFormat="1" applyFont="1" applyBorder="1"/>
    <xf numFmtId="3" fontId="12" fillId="0" borderId="14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3" fontId="12" fillId="0" borderId="0" xfId="0" applyNumberFormat="1" applyFont="1"/>
    <xf numFmtId="3" fontId="12" fillId="0" borderId="9" xfId="0" applyNumberFormat="1" applyFont="1" applyBorder="1"/>
    <xf numFmtId="3" fontId="17" fillId="0" borderId="8" xfId="0" applyNumberFormat="1" applyFont="1" applyBorder="1"/>
    <xf numFmtId="3" fontId="12" fillId="0" borderId="8" xfId="0" applyNumberFormat="1" applyFont="1" applyBorder="1"/>
    <xf numFmtId="3" fontId="12" fillId="0" borderId="10" xfId="0" applyNumberFormat="1" applyFont="1" applyBorder="1"/>
    <xf numFmtId="0" fontId="16" fillId="0" borderId="6" xfId="0" applyFont="1" applyBorder="1"/>
    <xf numFmtId="3" fontId="16" fillId="0" borderId="7" xfId="0" applyNumberFormat="1" applyFont="1" applyBorder="1"/>
    <xf numFmtId="3" fontId="16" fillId="0" borderId="19" xfId="0" applyNumberFormat="1" applyFont="1" applyBorder="1"/>
    <xf numFmtId="3" fontId="16" fillId="0" borderId="20" xfId="0" applyNumberFormat="1" applyFont="1" applyBorder="1"/>
    <xf numFmtId="3" fontId="16" fillId="0" borderId="21" xfId="0" applyNumberFormat="1" applyFont="1" applyBorder="1"/>
    <xf numFmtId="0" fontId="12" fillId="0" borderId="8" xfId="0" applyFont="1" applyBorder="1"/>
    <xf numFmtId="168" fontId="16" fillId="0" borderId="10" xfId="0" applyNumberFormat="1" applyFont="1" applyBorder="1"/>
    <xf numFmtId="0" fontId="16" fillId="0" borderId="22" xfId="0" applyFont="1" applyBorder="1"/>
    <xf numFmtId="3" fontId="12" fillId="0" borderId="23" xfId="0" applyNumberFormat="1" applyFont="1" applyBorder="1"/>
    <xf numFmtId="3" fontId="12" fillId="0" borderId="12" xfId="0" applyNumberFormat="1" applyFont="1" applyBorder="1"/>
    <xf numFmtId="3" fontId="12" fillId="0" borderId="16" xfId="0" applyNumberFormat="1" applyFont="1" applyBorder="1"/>
    <xf numFmtId="3" fontId="16" fillId="0" borderId="14" xfId="0" applyNumberFormat="1" applyFont="1" applyBorder="1"/>
    <xf numFmtId="3" fontId="16" fillId="0" borderId="12" xfId="0" applyNumberFormat="1" applyFont="1" applyBorder="1"/>
    <xf numFmtId="3" fontId="12" fillId="0" borderId="14" xfId="0" applyNumberFormat="1" applyFont="1" applyBorder="1"/>
    <xf numFmtId="3" fontId="12" fillId="0" borderId="17" xfId="0" applyNumberFormat="1" applyFont="1" applyBorder="1"/>
    <xf numFmtId="3" fontId="12" fillId="0" borderId="7" xfId="0" applyNumberFormat="1" applyFont="1" applyBorder="1"/>
    <xf numFmtId="3" fontId="12" fillId="0" borderId="19" xfId="0" applyNumberFormat="1" applyFont="1" applyBorder="1"/>
    <xf numFmtId="3" fontId="12" fillId="0" borderId="20" xfId="0" applyNumberFormat="1" applyFont="1" applyBorder="1"/>
    <xf numFmtId="3" fontId="12" fillId="0" borderId="21" xfId="0" applyNumberFormat="1" applyFont="1" applyBorder="1"/>
    <xf numFmtId="37" fontId="12" fillId="0" borderId="8" xfId="0" applyNumberFormat="1" applyFont="1" applyBorder="1"/>
    <xf numFmtId="37" fontId="12" fillId="0" borderId="9" xfId="0" applyNumberFormat="1" applyFont="1" applyBorder="1"/>
    <xf numFmtId="0" fontId="12" fillId="0" borderId="10" xfId="0" applyFont="1" applyBorder="1"/>
    <xf numFmtId="0" fontId="16" fillId="2" borderId="24" xfId="0" applyFont="1" applyFill="1" applyBorder="1"/>
    <xf numFmtId="37" fontId="16" fillId="2" borderId="25" xfId="0" applyNumberFormat="1" applyFont="1" applyFill="1" applyBorder="1"/>
    <xf numFmtId="3" fontId="16" fillId="2" borderId="25" xfId="0" applyNumberFormat="1" applyFont="1" applyFill="1" applyBorder="1"/>
    <xf numFmtId="37" fontId="16" fillId="2" borderId="26" xfId="0" applyNumberFormat="1" applyFont="1" applyFill="1" applyBorder="1"/>
    <xf numFmtId="37" fontId="16" fillId="2" borderId="27" xfId="0" applyNumberFormat="1" applyFont="1" applyFill="1" applyBorder="1"/>
    <xf numFmtId="169" fontId="16" fillId="2" borderId="25" xfId="0" applyNumberFormat="1" applyFont="1" applyFill="1" applyBorder="1"/>
    <xf numFmtId="37" fontId="16" fillId="2" borderId="28" xfId="0" applyNumberFormat="1" applyFont="1" applyFill="1" applyBorder="1"/>
    <xf numFmtId="0" fontId="16" fillId="2" borderId="29" xfId="0" applyFont="1" applyFill="1" applyBorder="1"/>
    <xf numFmtId="0" fontId="16" fillId="2" borderId="30" xfId="0" applyFont="1" applyFill="1" applyBorder="1"/>
    <xf numFmtId="0" fontId="16" fillId="2" borderId="31" xfId="0" applyFont="1" applyFill="1" applyBorder="1"/>
    <xf numFmtId="0" fontId="16" fillId="2" borderId="32" xfId="0" applyFont="1" applyFill="1" applyBorder="1"/>
    <xf numFmtId="168" fontId="16" fillId="2" borderId="32" xfId="0" applyNumberFormat="1" applyFont="1" applyFill="1" applyBorder="1"/>
    <xf numFmtId="168" fontId="16" fillId="2" borderId="33" xfId="0" applyNumberFormat="1" applyFont="1" applyFill="1" applyBorder="1"/>
    <xf numFmtId="0" fontId="16" fillId="0" borderId="8" xfId="0" applyFont="1" applyBorder="1"/>
    <xf numFmtId="0" fontId="16" fillId="0" borderId="18" xfId="0" applyFont="1" applyBorder="1" applyAlignment="1">
      <alignment horizontal="left"/>
    </xf>
    <xf numFmtId="0" fontId="12" fillId="0" borderId="9" xfId="0" applyFont="1" applyBorder="1" applyAlignment="1">
      <alignment horizontal="right"/>
    </xf>
    <xf numFmtId="168" fontId="12" fillId="0" borderId="9" xfId="2" applyNumberFormat="1" applyFont="1" applyFill="1" applyBorder="1"/>
    <xf numFmtId="37" fontId="12" fillId="0" borderId="10" xfId="0" applyNumberFormat="1" applyFont="1" applyBorder="1"/>
    <xf numFmtId="3" fontId="29" fillId="0" borderId="0" xfId="0" applyNumberFormat="1" applyFont="1"/>
    <xf numFmtId="0" fontId="12" fillId="0" borderId="14" xfId="0" applyFont="1" applyBorder="1" applyAlignment="1">
      <alignment horizontal="right"/>
    </xf>
    <xf numFmtId="37" fontId="12" fillId="0" borderId="15" xfId="0" applyNumberFormat="1" applyFont="1" applyBorder="1"/>
    <xf numFmtId="168" fontId="12" fillId="0" borderId="14" xfId="2" applyNumberFormat="1" applyFont="1" applyBorder="1"/>
    <xf numFmtId="37" fontId="12" fillId="0" borderId="16" xfId="0" applyNumberFormat="1" applyFont="1" applyBorder="1"/>
    <xf numFmtId="37" fontId="12" fillId="0" borderId="17" xfId="0" applyNumberFormat="1" applyFont="1" applyBorder="1"/>
    <xf numFmtId="3" fontId="12" fillId="0" borderId="82" xfId="0" applyNumberFormat="1" applyFont="1" applyBorder="1"/>
    <xf numFmtId="0" fontId="16" fillId="2" borderId="35" xfId="0" applyFont="1" applyFill="1" applyBorder="1" applyAlignment="1">
      <alignment horizontal="center"/>
    </xf>
    <xf numFmtId="37" fontId="16" fillId="2" borderId="36" xfId="0" applyNumberFormat="1" applyFont="1" applyFill="1" applyBorder="1"/>
    <xf numFmtId="0" fontId="16" fillId="2" borderId="37" xfId="0" applyFont="1" applyFill="1" applyBorder="1" applyAlignment="1">
      <alignment horizontal="center"/>
    </xf>
    <xf numFmtId="0" fontId="12" fillId="2" borderId="38" xfId="0" applyFont="1" applyFill="1" applyBorder="1"/>
    <xf numFmtId="0" fontId="12" fillId="2" borderId="37" xfId="0" applyFont="1" applyFill="1" applyBorder="1"/>
    <xf numFmtId="37" fontId="16" fillId="2" borderId="39" xfId="0" applyNumberFormat="1" applyFont="1" applyFill="1" applyBorder="1"/>
    <xf numFmtId="0" fontId="12" fillId="0" borderId="20" xfId="0" applyFont="1" applyBorder="1" applyAlignment="1">
      <alignment horizontal="right"/>
    </xf>
    <xf numFmtId="3" fontId="12" fillId="0" borderId="40" xfId="0" applyNumberFormat="1" applyFont="1" applyBorder="1"/>
    <xf numFmtId="37" fontId="12" fillId="0" borderId="19" xfId="0" applyNumberFormat="1" applyFont="1" applyBorder="1"/>
    <xf numFmtId="37" fontId="12" fillId="0" borderId="21" xfId="0" applyNumberFormat="1" applyFont="1" applyBorder="1"/>
    <xf numFmtId="37" fontId="16" fillId="2" borderId="16" xfId="0" applyNumberFormat="1" applyFont="1" applyFill="1" applyBorder="1"/>
    <xf numFmtId="37" fontId="16" fillId="2" borderId="17" xfId="0" applyNumberFormat="1" applyFont="1" applyFill="1" applyBorder="1"/>
    <xf numFmtId="0" fontId="16" fillId="3" borderId="18" xfId="0" applyFont="1" applyFill="1" applyBorder="1"/>
    <xf numFmtId="0" fontId="12" fillId="3" borderId="0" xfId="0" applyFont="1" applyFill="1"/>
    <xf numFmtId="0" fontId="16" fillId="3" borderId="0" xfId="0" applyFont="1" applyFill="1"/>
    <xf numFmtId="37" fontId="16" fillId="3" borderId="8" xfId="0" applyNumberFormat="1" applyFont="1" applyFill="1" applyBorder="1"/>
    <xf numFmtId="0" fontId="12" fillId="3" borderId="9" xfId="0" applyFont="1" applyFill="1" applyBorder="1"/>
    <xf numFmtId="0" fontId="12" fillId="3" borderId="14" xfId="0" applyFont="1" applyFill="1" applyBorder="1"/>
    <xf numFmtId="0" fontId="12" fillId="3" borderId="12" xfId="0" applyFont="1" applyFill="1" applyBorder="1"/>
    <xf numFmtId="37" fontId="16" fillId="3" borderId="16" xfId="0" applyNumberFormat="1" applyFont="1" applyFill="1" applyBorder="1"/>
    <xf numFmtId="37" fontId="16" fillId="3" borderId="17" xfId="0" applyNumberFormat="1" applyFont="1" applyFill="1" applyBorder="1"/>
    <xf numFmtId="0" fontId="16" fillId="2" borderId="41" xfId="0" applyFont="1" applyFill="1" applyBorder="1"/>
    <xf numFmtId="0" fontId="12" fillId="2" borderId="42" xfId="0" applyFont="1" applyFill="1" applyBorder="1"/>
    <xf numFmtId="0" fontId="16" fillId="2" borderId="42" xfId="0" applyFont="1" applyFill="1" applyBorder="1"/>
    <xf numFmtId="37" fontId="16" fillId="2" borderId="43" xfId="0" applyNumberFormat="1" applyFont="1" applyFill="1" applyBorder="1"/>
    <xf numFmtId="0" fontId="12" fillId="2" borderId="44" xfId="0" applyFont="1" applyFill="1" applyBorder="1"/>
    <xf numFmtId="37" fontId="16" fillId="2" borderId="45" xfId="0" applyNumberFormat="1" applyFont="1" applyFill="1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31" fillId="0" borderId="0" xfId="0" applyFont="1"/>
    <xf numFmtId="1" fontId="12" fillId="0" borderId="9" xfId="0" applyNumberFormat="1" applyFont="1" applyBorder="1"/>
    <xf numFmtId="3" fontId="16" fillId="0" borderId="16" xfId="0" applyNumberFormat="1" applyFont="1" applyBorder="1"/>
    <xf numFmtId="3" fontId="16" fillId="0" borderId="17" xfId="0" applyNumberFormat="1" applyFont="1" applyBorder="1"/>
    <xf numFmtId="168" fontId="32" fillId="4" borderId="46" xfId="0" applyNumberFormat="1" applyFont="1" applyFill="1" applyBorder="1"/>
    <xf numFmtId="168" fontId="12" fillId="0" borderId="9" xfId="2" applyNumberFormat="1" applyFont="1" applyBorder="1"/>
    <xf numFmtId="0" fontId="12" fillId="2" borderId="14" xfId="0" applyFont="1" applyFill="1" applyBorder="1"/>
    <xf numFmtId="0" fontId="16" fillId="0" borderId="9" xfId="0" applyFont="1" applyBorder="1" applyAlignment="1">
      <alignment horizontal="center"/>
    </xf>
    <xf numFmtId="0" fontId="12" fillId="2" borderId="42" xfId="0" applyFont="1" applyFill="1" applyBorder="1" applyAlignment="1">
      <alignment horizontal="right"/>
    </xf>
    <xf numFmtId="0" fontId="12" fillId="2" borderId="44" xfId="0" applyFont="1" applyFill="1" applyBorder="1" applyAlignment="1">
      <alignment horizontal="right"/>
    </xf>
    <xf numFmtId="0" fontId="16" fillId="2" borderId="44" xfId="0" applyFont="1" applyFill="1" applyBorder="1"/>
    <xf numFmtId="0" fontId="12" fillId="0" borderId="20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8" fontId="12" fillId="0" borderId="9" xfId="0" applyNumberFormat="1" applyFont="1" applyBorder="1"/>
    <xf numFmtId="168" fontId="12" fillId="0" borderId="14" xfId="0" applyNumberFormat="1" applyFont="1" applyBorder="1"/>
    <xf numFmtId="37" fontId="12" fillId="0" borderId="14" xfId="0" applyNumberFormat="1" applyFont="1" applyBorder="1"/>
    <xf numFmtId="37" fontId="12" fillId="0" borderId="20" xfId="0" applyNumberFormat="1" applyFont="1" applyBorder="1"/>
    <xf numFmtId="1" fontId="12" fillId="0" borderId="12" xfId="0" applyNumberFormat="1" applyFont="1" applyBorder="1"/>
    <xf numFmtId="168" fontId="16" fillId="0" borderId="14" xfId="0" applyNumberFormat="1" applyFont="1" applyBorder="1"/>
    <xf numFmtId="168" fontId="16" fillId="0" borderId="16" xfId="0" applyNumberFormat="1" applyFont="1" applyBorder="1"/>
    <xf numFmtId="168" fontId="16" fillId="0" borderId="17" xfId="0" applyNumberFormat="1" applyFont="1" applyBorder="1"/>
    <xf numFmtId="169" fontId="12" fillId="0" borderId="15" xfId="0" applyNumberFormat="1" applyFont="1" applyBorder="1"/>
    <xf numFmtId="168" fontId="12" fillId="0" borderId="15" xfId="0" applyNumberFormat="1" applyFont="1" applyBorder="1"/>
    <xf numFmtId="168" fontId="12" fillId="0" borderId="13" xfId="0" applyNumberFormat="1" applyFont="1" applyBorder="1"/>
    <xf numFmtId="37" fontId="12" fillId="0" borderId="23" xfId="0" applyNumberFormat="1" applyFont="1" applyBorder="1"/>
    <xf numFmtId="1" fontId="12" fillId="0" borderId="7" xfId="0" applyNumberFormat="1" applyFont="1" applyBorder="1"/>
    <xf numFmtId="1" fontId="12" fillId="0" borderId="20" xfId="0" applyNumberFormat="1" applyFont="1" applyBorder="1"/>
    <xf numFmtId="168" fontId="12" fillId="0" borderId="20" xfId="0" applyNumberFormat="1" applyFont="1" applyBorder="1"/>
    <xf numFmtId="169" fontId="16" fillId="0" borderId="0" xfId="0" applyNumberFormat="1" applyFont="1"/>
    <xf numFmtId="37" fontId="16" fillId="0" borderId="8" xfId="0" applyNumberFormat="1" applyFont="1" applyBorder="1"/>
    <xf numFmtId="37" fontId="16" fillId="0" borderId="10" xfId="0" applyNumberFormat="1" applyFont="1" applyBorder="1"/>
    <xf numFmtId="0" fontId="16" fillId="0" borderId="12" xfId="0" applyFont="1" applyBorder="1"/>
    <xf numFmtId="169" fontId="16" fillId="0" borderId="12" xfId="0" applyNumberFormat="1" applyFont="1" applyBorder="1"/>
    <xf numFmtId="37" fontId="16" fillId="0" borderId="16" xfId="0" applyNumberFormat="1" applyFont="1" applyBorder="1"/>
    <xf numFmtId="37" fontId="16" fillId="0" borderId="17" xfId="0" applyNumberFormat="1" applyFont="1" applyBorder="1"/>
    <xf numFmtId="37" fontId="16" fillId="0" borderId="9" xfId="0" applyNumberFormat="1" applyFont="1" applyBorder="1"/>
    <xf numFmtId="37" fontId="12" fillId="0" borderId="44" xfId="0" applyNumberFormat="1" applyFont="1" applyBorder="1"/>
    <xf numFmtId="37" fontId="16" fillId="3" borderId="25" xfId="0" applyNumberFormat="1" applyFont="1" applyFill="1" applyBorder="1"/>
    <xf numFmtId="37" fontId="16" fillId="3" borderId="26" xfId="0" applyNumberFormat="1" applyFont="1" applyFill="1" applyBorder="1"/>
    <xf numFmtId="168" fontId="16" fillId="3" borderId="27" xfId="0" applyNumberFormat="1" applyFont="1" applyFill="1" applyBorder="1"/>
    <xf numFmtId="37" fontId="16" fillId="3" borderId="28" xfId="0" applyNumberFormat="1" applyFont="1" applyFill="1" applyBorder="1"/>
    <xf numFmtId="37" fontId="16" fillId="3" borderId="12" xfId="0" applyNumberFormat="1" applyFont="1" applyFill="1" applyBorder="1"/>
    <xf numFmtId="37" fontId="16" fillId="3" borderId="14" xfId="0" applyNumberFormat="1" applyFont="1" applyFill="1" applyBorder="1"/>
    <xf numFmtId="168" fontId="16" fillId="3" borderId="16" xfId="0" applyNumberFormat="1" applyFont="1" applyFill="1" applyBorder="1"/>
    <xf numFmtId="169" fontId="16" fillId="0" borderId="7" xfId="0" applyNumberFormat="1" applyFont="1" applyBorder="1"/>
    <xf numFmtId="37" fontId="16" fillId="0" borderId="20" xfId="0" applyNumberFormat="1" applyFont="1" applyBorder="1"/>
    <xf numFmtId="37" fontId="16" fillId="0" borderId="19" xfId="0" applyNumberFormat="1" applyFont="1" applyBorder="1"/>
    <xf numFmtId="37" fontId="16" fillId="0" borderId="21" xfId="0" applyNumberFormat="1" applyFont="1" applyBorder="1"/>
    <xf numFmtId="169" fontId="16" fillId="3" borderId="7" xfId="0" applyNumberFormat="1" applyFont="1" applyFill="1" applyBorder="1"/>
    <xf numFmtId="37" fontId="16" fillId="3" borderId="20" xfId="0" applyNumberFormat="1" applyFont="1" applyFill="1" applyBorder="1"/>
    <xf numFmtId="37" fontId="16" fillId="3" borderId="19" xfId="0" applyNumberFormat="1" applyFont="1" applyFill="1" applyBorder="1"/>
    <xf numFmtId="37" fontId="16" fillId="3" borderId="21" xfId="0" applyNumberFormat="1" applyFont="1" applyFill="1" applyBorder="1"/>
    <xf numFmtId="168" fontId="16" fillId="2" borderId="27" xfId="0" applyNumberFormat="1" applyFont="1" applyFill="1" applyBorder="1"/>
    <xf numFmtId="168" fontId="16" fillId="2" borderId="30" xfId="0" applyNumberFormat="1" applyFont="1" applyFill="1" applyBorder="1"/>
    <xf numFmtId="170" fontId="12" fillId="0" borderId="0" xfId="1" applyNumberFormat="1" applyFont="1"/>
    <xf numFmtId="170" fontId="12" fillId="0" borderId="9" xfId="1" applyNumberFormat="1" applyFont="1" applyBorder="1"/>
    <xf numFmtId="170" fontId="12" fillId="0" borderId="8" xfId="1" applyNumberFormat="1" applyFont="1" applyBorder="1"/>
    <xf numFmtId="170" fontId="12" fillId="0" borderId="10" xfId="1" applyNumberFormat="1" applyFont="1" applyBorder="1"/>
    <xf numFmtId="170" fontId="12" fillId="0" borderId="13" xfId="1" applyNumberFormat="1" applyFont="1" applyBorder="1"/>
    <xf numFmtId="170" fontId="12" fillId="0" borderId="0" xfId="1" applyNumberFormat="1" applyFont="1" applyAlignment="1">
      <alignment horizontal="right"/>
    </xf>
    <xf numFmtId="170" fontId="12" fillId="0" borderId="7" xfId="1" applyNumberFormat="1" applyFont="1" applyBorder="1"/>
    <xf numFmtId="170" fontId="12" fillId="0" borderId="7" xfId="1" applyNumberFormat="1" applyFont="1" applyBorder="1" applyAlignment="1">
      <alignment horizontal="right"/>
    </xf>
    <xf numFmtId="170" fontId="12" fillId="0" borderId="20" xfId="1" applyNumberFormat="1" applyFont="1" applyBorder="1"/>
    <xf numFmtId="170" fontId="12" fillId="0" borderId="19" xfId="1" applyNumberFormat="1" applyFont="1" applyBorder="1"/>
    <xf numFmtId="170" fontId="12" fillId="0" borderId="21" xfId="1" applyNumberFormat="1" applyFont="1" applyBorder="1"/>
    <xf numFmtId="170" fontId="12" fillId="0" borderId="12" xfId="1" applyNumberFormat="1" applyFont="1" applyBorder="1"/>
    <xf numFmtId="170" fontId="12" fillId="0" borderId="12" xfId="1" applyNumberFormat="1" applyFont="1" applyBorder="1" applyAlignment="1">
      <alignment horizontal="right"/>
    </xf>
    <xf numFmtId="170" fontId="12" fillId="0" borderId="14" xfId="1" applyNumberFormat="1" applyFont="1" applyBorder="1"/>
    <xf numFmtId="170" fontId="12" fillId="0" borderId="16" xfId="1" applyNumberFormat="1" applyFont="1" applyBorder="1"/>
    <xf numFmtId="170" fontId="12" fillId="0" borderId="17" xfId="1" applyNumberFormat="1" applyFont="1" applyBorder="1"/>
    <xf numFmtId="170" fontId="16" fillId="2" borderId="35" xfId="1" applyNumberFormat="1" applyFont="1" applyFill="1" applyBorder="1"/>
    <xf numFmtId="170" fontId="16" fillId="2" borderId="36" xfId="1" applyNumberFormat="1" applyFont="1" applyFill="1" applyBorder="1"/>
    <xf numFmtId="170" fontId="16" fillId="2" borderId="35" xfId="1" applyNumberFormat="1" applyFont="1" applyFill="1" applyBorder="1" applyAlignment="1">
      <alignment horizontal="center"/>
    </xf>
    <xf numFmtId="170" fontId="12" fillId="2" borderId="14" xfId="1" applyNumberFormat="1" applyFont="1" applyFill="1" applyBorder="1"/>
    <xf numFmtId="170" fontId="16" fillId="2" borderId="17" xfId="1" applyNumberFormat="1" applyFont="1" applyFill="1" applyBorder="1"/>
    <xf numFmtId="37" fontId="16" fillId="2" borderId="42" xfId="0" applyNumberFormat="1" applyFont="1" applyFill="1" applyBorder="1"/>
    <xf numFmtId="1" fontId="12" fillId="0" borderId="0" xfId="0" applyNumberFormat="1" applyFont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3" fontId="12" fillId="0" borderId="47" xfId="0" applyNumberFormat="1" applyFont="1" applyBorder="1"/>
    <xf numFmtId="2" fontId="12" fillId="0" borderId="12" xfId="0" applyNumberFormat="1" applyFont="1" applyBorder="1"/>
    <xf numFmtId="168" fontId="16" fillId="0" borderId="20" xfId="0" applyNumberFormat="1" applyFont="1" applyBorder="1"/>
    <xf numFmtId="0" fontId="12" fillId="0" borderId="16" xfId="0" applyFont="1" applyBorder="1"/>
    <xf numFmtId="0" fontId="17" fillId="0" borderId="12" xfId="0" applyFont="1" applyBorder="1"/>
    <xf numFmtId="37" fontId="12" fillId="0" borderId="13" xfId="0" applyNumberFormat="1" applyFont="1" applyBorder="1"/>
    <xf numFmtId="168" fontId="16" fillId="2" borderId="25" xfId="0" applyNumberFormat="1" applyFont="1" applyFill="1" applyBorder="1"/>
    <xf numFmtId="168" fontId="16" fillId="2" borderId="49" xfId="0" applyNumberFormat="1" applyFont="1" applyFill="1" applyBorder="1"/>
    <xf numFmtId="37" fontId="16" fillId="2" borderId="50" xfId="0" applyNumberFormat="1" applyFont="1" applyFill="1" applyBorder="1"/>
    <xf numFmtId="37" fontId="16" fillId="2" borderId="51" xfId="0" applyNumberFormat="1" applyFont="1" applyFill="1" applyBorder="1"/>
    <xf numFmtId="0" fontId="16" fillId="2" borderId="52" xfId="0" applyFont="1" applyFill="1" applyBorder="1"/>
    <xf numFmtId="37" fontId="16" fillId="2" borderId="53" xfId="0" applyNumberFormat="1" applyFont="1" applyFill="1" applyBorder="1"/>
    <xf numFmtId="169" fontId="16" fillId="2" borderId="53" xfId="0" applyNumberFormat="1" applyFont="1" applyFill="1" applyBorder="1"/>
    <xf numFmtId="37" fontId="16" fillId="2" borderId="54" xfId="0" applyNumberFormat="1" applyFont="1" applyFill="1" applyBorder="1"/>
    <xf numFmtId="37" fontId="16" fillId="2" borderId="55" xfId="0" applyNumberFormat="1" applyFont="1" applyFill="1" applyBorder="1"/>
    <xf numFmtId="0" fontId="12" fillId="2" borderId="32" xfId="0" applyFont="1" applyFill="1" applyBorder="1"/>
    <xf numFmtId="170" fontId="12" fillId="0" borderId="8" xfId="1" applyNumberFormat="1" applyFont="1" applyFill="1" applyBorder="1"/>
    <xf numFmtId="0" fontId="17" fillId="0" borderId="56" xfId="0" applyFont="1" applyBorder="1"/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37" fontId="12" fillId="4" borderId="0" xfId="0" applyNumberFormat="1" applyFont="1" applyFill="1"/>
    <xf numFmtId="168" fontId="16" fillId="2" borderId="0" xfId="0" applyNumberFormat="1" applyFont="1" applyFill="1"/>
    <xf numFmtId="37" fontId="12" fillId="4" borderId="5" xfId="0" applyNumberFormat="1" applyFont="1" applyFill="1" applyBorder="1"/>
    <xf numFmtId="3" fontId="12" fillId="4" borderId="1" xfId="0" applyNumberFormat="1" applyFont="1" applyFill="1" applyBorder="1"/>
    <xf numFmtId="3" fontId="12" fillId="4" borderId="3" xfId="0" applyNumberFormat="1" applyFont="1" applyFill="1" applyBorder="1"/>
    <xf numFmtId="37" fontId="32" fillId="0" borderId="0" xfId="0" applyNumberFormat="1" applyFont="1"/>
    <xf numFmtId="168" fontId="12" fillId="0" borderId="0" xfId="2" applyNumberFormat="1" applyFont="1" applyFill="1" applyBorder="1"/>
    <xf numFmtId="0" fontId="17" fillId="0" borderId="0" xfId="0" applyFont="1"/>
    <xf numFmtId="168" fontId="12" fillId="0" borderId="8" xfId="2" applyNumberFormat="1" applyFont="1" applyFill="1" applyBorder="1"/>
    <xf numFmtId="0" fontId="16" fillId="0" borderId="10" xfId="0" applyFont="1" applyBorder="1"/>
    <xf numFmtId="37" fontId="16" fillId="2" borderId="59" xfId="0" applyNumberFormat="1" applyFont="1" applyFill="1" applyBorder="1"/>
    <xf numFmtId="0" fontId="16" fillId="2" borderId="60" xfId="0" applyFont="1" applyFill="1" applyBorder="1"/>
    <xf numFmtId="0" fontId="12" fillId="2" borderId="60" xfId="0" applyFont="1" applyFill="1" applyBorder="1"/>
    <xf numFmtId="0" fontId="12" fillId="2" borderId="58" xfId="0" applyFont="1" applyFill="1" applyBorder="1"/>
    <xf numFmtId="37" fontId="16" fillId="2" borderId="61" xfId="0" applyNumberFormat="1" applyFont="1" applyFill="1" applyBorder="1"/>
    <xf numFmtId="0" fontId="16" fillId="0" borderId="0" xfId="0" applyFont="1" applyAlignment="1">
      <alignment horizontal="right" vertical="center"/>
    </xf>
    <xf numFmtId="0" fontId="12" fillId="0" borderId="62" xfId="0" applyFont="1" applyBorder="1" applyAlignment="1">
      <alignment horizontal="left"/>
    </xf>
    <xf numFmtId="0" fontId="16" fillId="0" borderId="6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166" fontId="12" fillId="0" borderId="0" xfId="0" applyNumberFormat="1" applyFont="1"/>
    <xf numFmtId="166" fontId="29" fillId="0" borderId="0" xfId="0" applyNumberFormat="1" applyFont="1"/>
    <xf numFmtId="37" fontId="29" fillId="0" borderId="0" xfId="0" applyNumberFormat="1" applyFont="1"/>
    <xf numFmtId="171" fontId="29" fillId="0" borderId="0" xfId="0" applyNumberFormat="1" applyFont="1"/>
    <xf numFmtId="170" fontId="29" fillId="0" borderId="0" xfId="0" applyNumberFormat="1" applyFont="1"/>
    <xf numFmtId="0" fontId="29" fillId="3" borderId="0" xfId="0" applyFont="1" applyFill="1"/>
    <xf numFmtId="9" fontId="29" fillId="0" borderId="0" xfId="0" applyNumberFormat="1" applyFont="1"/>
    <xf numFmtId="0" fontId="29" fillId="0" borderId="18" xfId="0" applyFont="1" applyBorder="1"/>
    <xf numFmtId="37" fontId="29" fillId="0" borderId="70" xfId="0" applyNumberFormat="1" applyFont="1" applyBorder="1"/>
    <xf numFmtId="0" fontId="29" fillId="0" borderId="70" xfId="0" applyFont="1" applyBorder="1"/>
    <xf numFmtId="0" fontId="29" fillId="0" borderId="72" xfId="0" applyFont="1" applyBorder="1"/>
    <xf numFmtId="0" fontId="29" fillId="0" borderId="10" xfId="0" applyFont="1" applyBorder="1"/>
    <xf numFmtId="1" fontId="12" fillId="0" borderId="72" xfId="0" applyNumberFormat="1" applyFont="1" applyBorder="1"/>
    <xf numFmtId="37" fontId="27" fillId="0" borderId="0" xfId="0" applyNumberFormat="1" applyFont="1"/>
    <xf numFmtId="0" fontId="27" fillId="3" borderId="0" xfId="0" applyFont="1" applyFill="1"/>
    <xf numFmtId="37" fontId="29" fillId="3" borderId="0" xfId="0" applyNumberFormat="1" applyFont="1" applyFill="1"/>
    <xf numFmtId="0" fontId="33" fillId="3" borderId="0" xfId="0" applyFont="1" applyFill="1"/>
    <xf numFmtId="37" fontId="27" fillId="3" borderId="0" xfId="0" applyNumberFormat="1" applyFont="1" applyFill="1"/>
    <xf numFmtId="0" fontId="29" fillId="3" borderId="0" xfId="0" applyFont="1" applyFill="1" applyAlignment="1">
      <alignment horizontal="center" vertical="center"/>
    </xf>
    <xf numFmtId="167" fontId="34" fillId="3" borderId="0" xfId="0" applyNumberFormat="1" applyFont="1" applyFill="1" applyAlignment="1">
      <alignment horizontal="right"/>
    </xf>
    <xf numFmtId="0" fontId="27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0" fontId="34" fillId="3" borderId="0" xfId="0" applyFont="1" applyFill="1"/>
    <xf numFmtId="168" fontId="29" fillId="3" borderId="0" xfId="0" applyNumberFormat="1" applyFont="1" applyFill="1"/>
    <xf numFmtId="9" fontId="29" fillId="3" borderId="0" xfId="0" applyNumberFormat="1" applyFont="1" applyFill="1"/>
    <xf numFmtId="168" fontId="27" fillId="3" borderId="0" xfId="0" applyNumberFormat="1" applyFont="1" applyFill="1"/>
    <xf numFmtId="0" fontId="18" fillId="3" borderId="0" xfId="0" applyFont="1" applyFill="1"/>
    <xf numFmtId="167" fontId="29" fillId="3" borderId="0" xfId="0" applyNumberFormat="1" applyFont="1" applyFill="1" applyAlignment="1">
      <alignment horizontal="center"/>
    </xf>
    <xf numFmtId="0" fontId="34" fillId="3" borderId="0" xfId="0" applyFont="1" applyFill="1" applyAlignment="1">
      <alignment horizontal="left"/>
    </xf>
    <xf numFmtId="0" fontId="35" fillId="3" borderId="0" xfId="0" applyFont="1" applyFill="1"/>
    <xf numFmtId="170" fontId="12" fillId="0" borderId="0" xfId="1" applyNumberFormat="1" applyFont="1" applyBorder="1"/>
    <xf numFmtId="170" fontId="12" fillId="0" borderId="0" xfId="1" applyNumberFormat="1" applyFont="1" applyBorder="1" applyAlignment="1">
      <alignment horizontal="right"/>
    </xf>
    <xf numFmtId="0" fontId="12" fillId="0" borderId="111" xfId="0" applyFont="1" applyBorder="1"/>
    <xf numFmtId="0" fontId="12" fillId="0" borderId="110" xfId="0" applyFont="1" applyBorder="1"/>
    <xf numFmtId="0" fontId="12" fillId="0" borderId="108" xfId="0" applyFont="1" applyBorder="1" applyAlignment="1">
      <alignment horizontal="center"/>
    </xf>
    <xf numFmtId="37" fontId="12" fillId="0" borderId="108" xfId="0" applyNumberFormat="1" applyFont="1" applyBorder="1"/>
    <xf numFmtId="168" fontId="12" fillId="0" borderId="108" xfId="0" applyNumberFormat="1" applyFont="1" applyBorder="1"/>
    <xf numFmtId="0" fontId="12" fillId="0" borderId="114" xfId="0" applyFont="1" applyBorder="1"/>
    <xf numFmtId="168" fontId="12" fillId="0" borderId="109" xfId="0" applyNumberFormat="1" applyFont="1" applyBorder="1"/>
    <xf numFmtId="0" fontId="12" fillId="0" borderId="115" xfId="0" applyFont="1" applyBorder="1"/>
    <xf numFmtId="168" fontId="12" fillId="0" borderId="116" xfId="0" applyNumberFormat="1" applyFont="1" applyBorder="1"/>
    <xf numFmtId="0" fontId="16" fillId="3" borderId="117" xfId="0" applyFont="1" applyFill="1" applyBorder="1"/>
    <xf numFmtId="37" fontId="16" fillId="3" borderId="118" xfId="0" applyNumberFormat="1" applyFont="1" applyFill="1" applyBorder="1"/>
    <xf numFmtId="0" fontId="16" fillId="3" borderId="114" xfId="0" applyFont="1" applyFill="1" applyBorder="1"/>
    <xf numFmtId="168" fontId="16" fillId="3" borderId="109" xfId="0" applyNumberFormat="1" applyFont="1" applyFill="1" applyBorder="1"/>
    <xf numFmtId="0" fontId="16" fillId="0" borderId="115" xfId="0" applyFont="1" applyBorder="1"/>
    <xf numFmtId="37" fontId="16" fillId="0" borderId="119" xfId="0" applyNumberFormat="1" applyFont="1" applyBorder="1"/>
    <xf numFmtId="0" fontId="16" fillId="3" borderId="115" xfId="0" applyFont="1" applyFill="1" applyBorder="1"/>
    <xf numFmtId="37" fontId="16" fillId="3" borderId="119" xfId="0" applyNumberFormat="1" applyFont="1" applyFill="1" applyBorder="1"/>
    <xf numFmtId="0" fontId="16" fillId="2" borderId="117" xfId="0" applyFont="1" applyFill="1" applyBorder="1"/>
    <xf numFmtId="37" fontId="16" fillId="2" borderId="118" xfId="0" applyNumberFormat="1" applyFont="1" applyFill="1" applyBorder="1"/>
    <xf numFmtId="0" fontId="16" fillId="2" borderId="120" xfId="0" applyFont="1" applyFill="1" applyBorder="1"/>
    <xf numFmtId="168" fontId="16" fillId="2" borderId="121" xfId="0" applyNumberFormat="1" applyFont="1" applyFill="1" applyBorder="1"/>
    <xf numFmtId="0" fontId="16" fillId="0" borderId="110" xfId="0" applyFont="1" applyBorder="1"/>
    <xf numFmtId="168" fontId="16" fillId="0" borderId="108" xfId="0" applyNumberFormat="1" applyFont="1" applyBorder="1"/>
    <xf numFmtId="0" fontId="16" fillId="0" borderId="110" xfId="0" applyFont="1" applyBorder="1" applyAlignment="1">
      <alignment horizontal="left"/>
    </xf>
    <xf numFmtId="170" fontId="12" fillId="0" borderId="108" xfId="1" applyNumberFormat="1" applyFont="1" applyBorder="1"/>
    <xf numFmtId="170" fontId="12" fillId="0" borderId="116" xfId="1" applyNumberFormat="1" applyFont="1" applyBorder="1"/>
    <xf numFmtId="170" fontId="12" fillId="0" borderId="119" xfId="1" applyNumberFormat="1" applyFont="1" applyBorder="1"/>
    <xf numFmtId="0" fontId="16" fillId="2" borderId="122" xfId="0" applyFont="1" applyFill="1" applyBorder="1"/>
    <xf numFmtId="170" fontId="16" fillId="2" borderId="123" xfId="1" applyNumberFormat="1" applyFont="1" applyFill="1" applyBorder="1"/>
    <xf numFmtId="3" fontId="12" fillId="0" borderId="108" xfId="0" applyNumberFormat="1" applyFont="1" applyBorder="1"/>
    <xf numFmtId="37" fontId="16" fillId="2" borderId="123" xfId="0" applyNumberFormat="1" applyFont="1" applyFill="1" applyBorder="1"/>
    <xf numFmtId="37" fontId="12" fillId="0" borderId="109" xfId="0" applyNumberFormat="1" applyFont="1" applyBorder="1"/>
    <xf numFmtId="0" fontId="16" fillId="2" borderId="124" xfId="0" applyFont="1" applyFill="1" applyBorder="1"/>
    <xf numFmtId="0" fontId="12" fillId="2" borderId="125" xfId="0" applyFont="1" applyFill="1" applyBorder="1" applyAlignment="1">
      <alignment horizontal="right"/>
    </xf>
    <xf numFmtId="0" fontId="12" fillId="2" borderId="125" xfId="0" applyFont="1" applyFill="1" applyBorder="1"/>
    <xf numFmtId="37" fontId="16" fillId="2" borderId="126" xfId="0" applyNumberFormat="1" applyFont="1" applyFill="1" applyBorder="1"/>
    <xf numFmtId="164" fontId="12" fillId="0" borderId="0" xfId="0" applyNumberFormat="1" applyFont="1"/>
    <xf numFmtId="0" fontId="21" fillId="8" borderId="95" xfId="0" applyFont="1" applyFill="1" applyBorder="1" applyAlignment="1">
      <alignment horizontal="center" vertical="center"/>
    </xf>
    <xf numFmtId="0" fontId="21" fillId="9" borderId="95" xfId="0" applyFont="1" applyFill="1" applyBorder="1" applyAlignment="1">
      <alignment horizontal="center" vertical="center"/>
    </xf>
    <xf numFmtId="0" fontId="21" fillId="7" borderId="95" xfId="0" applyFont="1" applyFill="1" applyBorder="1" applyAlignment="1">
      <alignment horizontal="center" vertical="center"/>
    </xf>
    <xf numFmtId="0" fontId="21" fillId="6" borderId="95" xfId="0" applyFont="1" applyFill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7" fillId="0" borderId="63" xfId="0" applyFont="1" applyBorder="1"/>
    <xf numFmtId="0" fontId="17" fillId="0" borderId="66" xfId="0" applyFont="1" applyBorder="1"/>
    <xf numFmtId="0" fontId="16" fillId="0" borderId="2" xfId="0" applyFont="1" applyBorder="1" applyAlignment="1">
      <alignment horizontal="center"/>
    </xf>
    <xf numFmtId="0" fontId="17" fillId="0" borderId="2" xfId="0" applyFont="1" applyBorder="1"/>
    <xf numFmtId="0" fontId="17" fillId="0" borderId="3" xfId="0" applyFont="1" applyBorder="1"/>
    <xf numFmtId="0" fontId="16" fillId="0" borderId="4" xfId="0" applyFont="1" applyBorder="1" applyAlignment="1">
      <alignment horizontal="center"/>
    </xf>
    <xf numFmtId="0" fontId="17" fillId="0" borderId="5" xfId="0" applyFont="1" applyBorder="1"/>
    <xf numFmtId="0" fontId="16" fillId="0" borderId="63" xfId="0" applyFont="1" applyBorder="1" applyAlignment="1">
      <alignment horizontal="center" vertical="center"/>
    </xf>
    <xf numFmtId="0" fontId="17" fillId="0" borderId="64" xfId="0" applyFont="1" applyBorder="1"/>
    <xf numFmtId="0" fontId="16" fillId="0" borderId="1" xfId="0" applyFont="1" applyBorder="1" applyAlignment="1">
      <alignment horizontal="center"/>
    </xf>
    <xf numFmtId="0" fontId="16" fillId="0" borderId="112" xfId="0" applyFont="1" applyBorder="1" applyAlignment="1">
      <alignment horizontal="center"/>
    </xf>
    <xf numFmtId="0" fontId="16" fillId="0" borderId="113" xfId="0" applyFont="1" applyBorder="1" applyAlignment="1">
      <alignment horizontal="center"/>
    </xf>
    <xf numFmtId="0" fontId="1" fillId="0" borderId="0" xfId="17"/>
    <xf numFmtId="0" fontId="5" fillId="0" borderId="0" xfId="17" applyFont="1"/>
    <xf numFmtId="0" fontId="36" fillId="10" borderId="0" xfId="17" applyFont="1" applyFill="1"/>
    <xf numFmtId="0" fontId="5" fillId="0" borderId="0" xfId="17" applyFont="1" applyAlignment="1">
      <alignment horizontal="center" vertical="center"/>
    </xf>
    <xf numFmtId="0" fontId="7" fillId="0" borderId="0" xfId="17" applyFont="1" applyAlignment="1">
      <alignment horizontal="left" vertical="center"/>
    </xf>
    <xf numFmtId="0" fontId="5" fillId="0" borderId="0" xfId="17" applyFont="1" applyAlignment="1">
      <alignment horizontal="center"/>
    </xf>
    <xf numFmtId="3" fontId="5" fillId="0" borderId="0" xfId="17" applyNumberFormat="1" applyFont="1"/>
    <xf numFmtId="0" fontId="36" fillId="10" borderId="0" xfId="17" applyFont="1" applyFill="1" applyAlignment="1">
      <alignment horizontal="center" vertical="center"/>
    </xf>
    <xf numFmtId="0" fontId="36" fillId="10" borderId="0" xfId="17" applyFont="1" applyFill="1" applyAlignment="1">
      <alignment horizontal="right"/>
    </xf>
    <xf numFmtId="0" fontId="6" fillId="0" borderId="0" xfId="17" applyFont="1"/>
    <xf numFmtId="167" fontId="7" fillId="0" borderId="0" xfId="17" applyNumberFormat="1" applyFont="1" applyAlignment="1">
      <alignment horizontal="left"/>
    </xf>
    <xf numFmtId="0" fontId="7" fillId="0" borderId="0" xfId="17" applyFont="1" applyAlignment="1">
      <alignment horizontal="center"/>
    </xf>
    <xf numFmtId="0" fontId="7" fillId="0" borderId="0" xfId="17" applyFont="1"/>
    <xf numFmtId="0" fontId="37" fillId="11" borderId="27" xfId="17" applyFont="1" applyFill="1" applyBorder="1"/>
    <xf numFmtId="0" fontId="38" fillId="11" borderId="26" xfId="17" applyFont="1" applyFill="1" applyBorder="1"/>
    <xf numFmtId="0" fontId="8" fillId="0" borderId="0" xfId="17" applyFont="1"/>
    <xf numFmtId="0" fontId="8" fillId="0" borderId="49" xfId="17" applyFont="1" applyBorder="1"/>
    <xf numFmtId="0" fontId="9" fillId="0" borderId="127" xfId="17" applyFont="1" applyBorder="1" applyAlignment="1">
      <alignment horizontal="center"/>
    </xf>
    <xf numFmtId="0" fontId="10" fillId="0" borderId="127" xfId="17" applyFont="1" applyBorder="1"/>
    <xf numFmtId="0" fontId="10" fillId="0" borderId="50" xfId="17" applyFont="1" applyBorder="1"/>
    <xf numFmtId="0" fontId="9" fillId="0" borderId="49" xfId="17" applyFont="1" applyBorder="1" applyAlignment="1">
      <alignment horizontal="center"/>
    </xf>
    <xf numFmtId="0" fontId="39" fillId="11" borderId="9" xfId="17" applyFont="1" applyFill="1" applyBorder="1"/>
    <xf numFmtId="10" fontId="39" fillId="11" borderId="8" xfId="17" applyNumberFormat="1" applyFont="1" applyFill="1" applyBorder="1"/>
    <xf numFmtId="0" fontId="8" fillId="0" borderId="20" xfId="17" applyFont="1" applyBorder="1"/>
    <xf numFmtId="3" fontId="8" fillId="0" borderId="7" xfId="17" applyNumberFormat="1" applyFont="1" applyBorder="1" applyAlignment="1">
      <alignment horizontal="center"/>
    </xf>
    <xf numFmtId="3" fontId="8" fillId="0" borderId="0" xfId="17" applyNumberFormat="1" applyFont="1" applyAlignment="1">
      <alignment horizontal="center"/>
    </xf>
    <xf numFmtId="3" fontId="8" fillId="0" borderId="8" xfId="17" applyNumberFormat="1" applyFont="1" applyBorder="1" applyAlignment="1">
      <alignment horizontal="center"/>
    </xf>
    <xf numFmtId="3" fontId="8" fillId="0" borderId="9" xfId="17" applyNumberFormat="1" applyFont="1" applyBorder="1" applyAlignment="1">
      <alignment horizontal="center"/>
    </xf>
    <xf numFmtId="0" fontId="8" fillId="0" borderId="14" xfId="17" applyFont="1" applyBorder="1"/>
    <xf numFmtId="3" fontId="8" fillId="0" borderId="12" xfId="17" applyNumberFormat="1" applyFont="1" applyBorder="1" applyAlignment="1">
      <alignment horizontal="center"/>
    </xf>
    <xf numFmtId="3" fontId="8" fillId="0" borderId="16" xfId="17" applyNumberFormat="1" applyFont="1" applyBorder="1"/>
    <xf numFmtId="3" fontId="8" fillId="0" borderId="12" xfId="17" applyNumberFormat="1" applyFont="1" applyBorder="1" applyAlignment="1">
      <alignment horizontal="right"/>
    </xf>
    <xf numFmtId="3" fontId="8" fillId="0" borderId="12" xfId="17" applyNumberFormat="1" applyFont="1" applyBorder="1"/>
    <xf numFmtId="3" fontId="8" fillId="0" borderId="14" xfId="17" applyNumberFormat="1" applyFont="1" applyBorder="1" applyAlignment="1">
      <alignment horizontal="center"/>
    </xf>
    <xf numFmtId="3" fontId="8" fillId="0" borderId="16" xfId="17" applyNumberFormat="1" applyFont="1" applyBorder="1" applyAlignment="1">
      <alignment horizontal="center"/>
    </xf>
    <xf numFmtId="0" fontId="8" fillId="0" borderId="9" xfId="17" applyFont="1" applyBorder="1"/>
    <xf numFmtId="3" fontId="8" fillId="0" borderId="0" xfId="17" applyNumberFormat="1" applyFont="1"/>
    <xf numFmtId="3" fontId="8" fillId="0" borderId="9" xfId="17" applyNumberFormat="1" applyFont="1" applyBorder="1"/>
    <xf numFmtId="3" fontId="8" fillId="0" borderId="8" xfId="17" applyNumberFormat="1" applyFont="1" applyBorder="1"/>
    <xf numFmtId="0" fontId="38" fillId="11" borderId="32" xfId="17" applyFont="1" applyFill="1" applyBorder="1"/>
    <xf numFmtId="10" fontId="39" fillId="11" borderId="31" xfId="17" applyNumberFormat="1" applyFont="1" applyFill="1" applyBorder="1"/>
    <xf numFmtId="0" fontId="9" fillId="0" borderId="20" xfId="17" applyFont="1" applyBorder="1"/>
    <xf numFmtId="3" fontId="9" fillId="0" borderId="7" xfId="17" applyNumberFormat="1" applyFont="1" applyBorder="1"/>
    <xf numFmtId="3" fontId="9" fillId="0" borderId="19" xfId="17" applyNumberFormat="1" applyFont="1" applyBorder="1"/>
    <xf numFmtId="3" fontId="9" fillId="0" borderId="20" xfId="17" applyNumberFormat="1" applyFont="1" applyBorder="1"/>
    <xf numFmtId="0" fontId="8" fillId="0" borderId="8" xfId="17" applyFont="1" applyBorder="1"/>
    <xf numFmtId="168" fontId="16" fillId="0" borderId="9" xfId="17" applyNumberFormat="1" applyFont="1" applyBorder="1" applyAlignment="1">
      <alignment vertical="center"/>
    </xf>
    <xf numFmtId="168" fontId="16" fillId="0" borderId="8" xfId="17" applyNumberFormat="1" applyFont="1" applyBorder="1" applyAlignment="1">
      <alignment vertical="center"/>
    </xf>
    <xf numFmtId="0" fontId="9" fillId="0" borderId="14" xfId="17" applyFont="1" applyBorder="1"/>
    <xf numFmtId="3" fontId="8" fillId="0" borderId="14" xfId="17" applyNumberFormat="1" applyFont="1" applyBorder="1"/>
    <xf numFmtId="3" fontId="9" fillId="0" borderId="14" xfId="17" applyNumberFormat="1" applyFont="1" applyBorder="1"/>
    <xf numFmtId="3" fontId="9" fillId="0" borderId="12" xfId="17" applyNumberFormat="1" applyFont="1" applyBorder="1"/>
    <xf numFmtId="168" fontId="9" fillId="0" borderId="9" xfId="17" applyNumberFormat="1" applyFont="1" applyBorder="1"/>
    <xf numFmtId="168" fontId="9" fillId="0" borderId="8" xfId="17" applyNumberFormat="1" applyFont="1" applyBorder="1"/>
    <xf numFmtId="0" fontId="9" fillId="0" borderId="9" xfId="17" applyFont="1" applyBorder="1"/>
    <xf numFmtId="3" fontId="1" fillId="0" borderId="0" xfId="17" applyNumberFormat="1"/>
    <xf numFmtId="3" fontId="8" fillId="0" borderId="7" xfId="17" applyNumberFormat="1" applyFont="1" applyBorder="1"/>
    <xf numFmtId="3" fontId="8" fillId="0" borderId="19" xfId="17" applyNumberFormat="1" applyFont="1" applyBorder="1"/>
    <xf numFmtId="3" fontId="8" fillId="0" borderId="20" xfId="17" applyNumberFormat="1" applyFont="1" applyBorder="1"/>
    <xf numFmtId="166" fontId="8" fillId="0" borderId="0" xfId="17" applyNumberFormat="1" applyFont="1"/>
    <xf numFmtId="3" fontId="9" fillId="0" borderId="9" xfId="17" applyNumberFormat="1" applyFont="1" applyBorder="1"/>
    <xf numFmtId="37" fontId="8" fillId="0" borderId="8" xfId="17" applyNumberFormat="1" applyFont="1" applyBorder="1"/>
    <xf numFmtId="37" fontId="8" fillId="0" borderId="9" xfId="17" applyNumberFormat="1" applyFont="1" applyBorder="1"/>
    <xf numFmtId="0" fontId="9" fillId="2" borderId="27" xfId="17" applyFont="1" applyFill="1" applyBorder="1"/>
    <xf numFmtId="37" fontId="9" fillId="2" borderId="25" xfId="17" applyNumberFormat="1" applyFont="1" applyFill="1" applyBorder="1"/>
    <xf numFmtId="3" fontId="9" fillId="2" borderId="25" xfId="17" applyNumberFormat="1" applyFont="1" applyFill="1" applyBorder="1"/>
    <xf numFmtId="37" fontId="9" fillId="2" borderId="26" xfId="17" applyNumberFormat="1" applyFont="1" applyFill="1" applyBorder="1"/>
    <xf numFmtId="37" fontId="9" fillId="2" borderId="27" xfId="17" applyNumberFormat="1" applyFont="1" applyFill="1" applyBorder="1"/>
    <xf numFmtId="0" fontId="9" fillId="2" borderId="32" xfId="17" applyFont="1" applyFill="1" applyBorder="1"/>
    <xf numFmtId="0" fontId="9" fillId="2" borderId="30" xfId="17" applyFont="1" applyFill="1" applyBorder="1"/>
    <xf numFmtId="0" fontId="9" fillId="2" borderId="31" xfId="17" applyFont="1" applyFill="1" applyBorder="1"/>
    <xf numFmtId="168" fontId="9" fillId="2" borderId="31" xfId="18" applyNumberFormat="1" applyFont="1" applyFill="1" applyBorder="1"/>
    <xf numFmtId="168" fontId="9" fillId="2" borderId="32" xfId="17" applyNumberFormat="1" applyFont="1" applyFill="1" applyBorder="1"/>
    <xf numFmtId="168" fontId="9" fillId="2" borderId="31" xfId="17" applyNumberFormat="1" applyFont="1" applyFill="1" applyBorder="1"/>
    <xf numFmtId="0" fontId="9" fillId="0" borderId="0" xfId="17" applyFont="1"/>
    <xf numFmtId="0" fontId="9" fillId="0" borderId="8" xfId="17" applyFont="1" applyBorder="1"/>
    <xf numFmtId="37" fontId="8" fillId="0" borderId="0" xfId="17" applyNumberFormat="1" applyFont="1"/>
    <xf numFmtId="0" fontId="9" fillId="0" borderId="9" xfId="17" applyFont="1" applyBorder="1" applyAlignment="1">
      <alignment horizontal="left"/>
    </xf>
    <xf numFmtId="0" fontId="8" fillId="0" borderId="0" xfId="17" applyFont="1" applyAlignment="1">
      <alignment horizontal="center"/>
    </xf>
    <xf numFmtId="168" fontId="8" fillId="0" borderId="0" xfId="17" applyNumberFormat="1" applyFont="1" applyAlignment="1">
      <alignment horizontal="right"/>
    </xf>
    <xf numFmtId="168" fontId="8" fillId="0" borderId="9" xfId="17" applyNumberFormat="1" applyFont="1" applyBorder="1"/>
    <xf numFmtId="168" fontId="8" fillId="0" borderId="9" xfId="18" applyNumberFormat="1" applyFont="1" applyBorder="1"/>
    <xf numFmtId="168" fontId="8" fillId="0" borderId="12" xfId="17" applyNumberFormat="1" applyFont="1" applyBorder="1" applyAlignment="1">
      <alignment horizontal="right"/>
    </xf>
    <xf numFmtId="37" fontId="8" fillId="0" borderId="12" xfId="17" applyNumberFormat="1" applyFont="1" applyBorder="1"/>
    <xf numFmtId="168" fontId="8" fillId="0" borderId="14" xfId="17" applyNumberFormat="1" applyFont="1" applyBorder="1"/>
    <xf numFmtId="37" fontId="8" fillId="0" borderId="16" xfId="17" applyNumberFormat="1" applyFont="1" applyBorder="1"/>
    <xf numFmtId="168" fontId="8" fillId="0" borderId="14" xfId="18" applyNumberFormat="1" applyFont="1" applyBorder="1"/>
    <xf numFmtId="0" fontId="8" fillId="0" borderId="0" xfId="17" applyFont="1" applyAlignment="1">
      <alignment horizontal="right"/>
    </xf>
    <xf numFmtId="0" fontId="8" fillId="0" borderId="9" xfId="17" applyFont="1" applyBorder="1" applyAlignment="1">
      <alignment horizontal="right"/>
    </xf>
    <xf numFmtId="0" fontId="8" fillId="0" borderId="12" xfId="17" applyFont="1" applyBorder="1" applyAlignment="1">
      <alignment horizontal="right"/>
    </xf>
    <xf numFmtId="0" fontId="8" fillId="0" borderId="14" xfId="17" applyFont="1" applyBorder="1" applyAlignment="1">
      <alignment horizontal="right"/>
    </xf>
    <xf numFmtId="3" fontId="8" fillId="0" borderId="84" xfId="17" applyNumberFormat="1" applyFont="1" applyBorder="1"/>
    <xf numFmtId="3" fontId="8" fillId="0" borderId="85" xfId="17" applyNumberFormat="1" applyFont="1" applyBorder="1"/>
    <xf numFmtId="3" fontId="8" fillId="0" borderId="128" xfId="17" applyNumberFormat="1" applyFont="1" applyBorder="1"/>
    <xf numFmtId="0" fontId="9" fillId="2" borderId="37" xfId="17" applyFont="1" applyFill="1" applyBorder="1"/>
    <xf numFmtId="0" fontId="9" fillId="2" borderId="35" xfId="17" applyFont="1" applyFill="1" applyBorder="1" applyAlignment="1">
      <alignment horizontal="center"/>
    </xf>
    <xf numFmtId="168" fontId="9" fillId="2" borderId="35" xfId="17" applyNumberFormat="1" applyFont="1" applyFill="1" applyBorder="1"/>
    <xf numFmtId="37" fontId="9" fillId="2" borderId="36" xfId="17" applyNumberFormat="1" applyFont="1" applyFill="1" applyBorder="1"/>
    <xf numFmtId="0" fontId="9" fillId="2" borderId="37" xfId="17" applyFont="1" applyFill="1" applyBorder="1" applyAlignment="1">
      <alignment horizontal="center"/>
    </xf>
    <xf numFmtId="0" fontId="8" fillId="2" borderId="38" xfId="17" applyFont="1" applyFill="1" applyBorder="1"/>
    <xf numFmtId="37" fontId="9" fillId="2" borderId="35" xfId="17" applyNumberFormat="1" applyFont="1" applyFill="1" applyBorder="1"/>
    <xf numFmtId="0" fontId="8" fillId="2" borderId="37" xfId="17" applyFont="1" applyFill="1" applyBorder="1"/>
    <xf numFmtId="0" fontId="12" fillId="0" borderId="9" xfId="17" applyFont="1" applyBorder="1"/>
    <xf numFmtId="168" fontId="8" fillId="0" borderId="0" xfId="18" applyNumberFormat="1" applyFont="1"/>
    <xf numFmtId="0" fontId="12" fillId="0" borderId="14" xfId="17" applyFont="1" applyBorder="1"/>
    <xf numFmtId="0" fontId="8" fillId="0" borderId="7" xfId="17" applyFont="1" applyBorder="1" applyAlignment="1">
      <alignment horizontal="right"/>
    </xf>
    <xf numFmtId="0" fontId="8" fillId="0" borderId="7" xfId="17" applyFont="1" applyBorder="1"/>
    <xf numFmtId="0" fontId="8" fillId="0" borderId="20" xfId="17" applyFont="1" applyBorder="1" applyAlignment="1">
      <alignment horizontal="right"/>
    </xf>
    <xf numFmtId="37" fontId="8" fillId="0" borderId="19" xfId="17" applyNumberFormat="1" applyFont="1" applyBorder="1"/>
    <xf numFmtId="0" fontId="8" fillId="0" borderId="12" xfId="17" applyFont="1" applyBorder="1"/>
    <xf numFmtId="37" fontId="9" fillId="0" borderId="0" xfId="17" applyNumberFormat="1" applyFont="1"/>
    <xf numFmtId="37" fontId="9" fillId="2" borderId="16" xfId="17" applyNumberFormat="1" applyFont="1" applyFill="1" applyBorder="1"/>
    <xf numFmtId="170" fontId="8" fillId="0" borderId="0" xfId="19" applyNumberFormat="1" applyFont="1"/>
    <xf numFmtId="43" fontId="8" fillId="0" borderId="9" xfId="17" applyNumberFormat="1" applyFont="1" applyBorder="1"/>
    <xf numFmtId="0" fontId="11" fillId="12" borderId="0" xfId="17" applyFont="1" applyFill="1"/>
    <xf numFmtId="0" fontId="8" fillId="12" borderId="0" xfId="17" applyFont="1" applyFill="1"/>
    <xf numFmtId="9" fontId="8" fillId="0" borderId="0" xfId="18" applyFont="1" applyAlignment="1">
      <alignment horizontal="right"/>
    </xf>
    <xf numFmtId="170" fontId="8" fillId="0" borderId="0" xfId="17" applyNumberFormat="1" applyFont="1"/>
    <xf numFmtId="9" fontId="8" fillId="0" borderId="9" xfId="18" applyFont="1" applyFill="1" applyBorder="1"/>
    <xf numFmtId="0" fontId="9" fillId="3" borderId="9" xfId="17" applyFont="1" applyFill="1" applyBorder="1"/>
    <xf numFmtId="0" fontId="8" fillId="3" borderId="0" xfId="17" applyFont="1" applyFill="1"/>
    <xf numFmtId="0" fontId="9" fillId="3" borderId="0" xfId="17" applyFont="1" applyFill="1"/>
    <xf numFmtId="37" fontId="9" fillId="3" borderId="8" xfId="17" applyNumberFormat="1" applyFont="1" applyFill="1" applyBorder="1"/>
    <xf numFmtId="0" fontId="8" fillId="3" borderId="9" xfId="17" applyFont="1" applyFill="1" applyBorder="1"/>
    <xf numFmtId="0" fontId="8" fillId="3" borderId="14" xfId="17" applyFont="1" applyFill="1" applyBorder="1"/>
    <xf numFmtId="0" fontId="8" fillId="3" borderId="12" xfId="17" applyFont="1" applyFill="1" applyBorder="1"/>
    <xf numFmtId="37" fontId="9" fillId="3" borderId="16" xfId="17" applyNumberFormat="1" applyFont="1" applyFill="1" applyBorder="1"/>
    <xf numFmtId="0" fontId="9" fillId="2" borderId="55" xfId="17" applyFont="1" applyFill="1" applyBorder="1"/>
    <xf numFmtId="0" fontId="8" fillId="2" borderId="53" xfId="17" applyFont="1" applyFill="1" applyBorder="1"/>
    <xf numFmtId="0" fontId="9" fillId="2" borderId="53" xfId="17" applyFont="1" applyFill="1" applyBorder="1"/>
    <xf numFmtId="37" fontId="9" fillId="2" borderId="54" xfId="17" applyNumberFormat="1" applyFont="1" applyFill="1" applyBorder="1"/>
    <xf numFmtId="0" fontId="8" fillId="2" borderId="55" xfId="17" applyFont="1" applyFill="1" applyBorder="1"/>
    <xf numFmtId="168" fontId="9" fillId="2" borderId="53" xfId="18" applyNumberFormat="1" applyFont="1" applyFill="1" applyBorder="1"/>
    <xf numFmtId="0" fontId="13" fillId="0" borderId="0" xfId="17" applyFont="1"/>
    <xf numFmtId="1" fontId="13" fillId="0" borderId="0" xfId="17" applyNumberFormat="1" applyFont="1"/>
    <xf numFmtId="9" fontId="13" fillId="0" borderId="0" xfId="18" applyFont="1"/>
    <xf numFmtId="37" fontId="13" fillId="0" borderId="0" xfId="17" applyNumberFormat="1" applyFont="1"/>
    <xf numFmtId="0" fontId="36" fillId="13" borderId="0" xfId="17" applyFont="1" applyFill="1"/>
    <xf numFmtId="0" fontId="5" fillId="0" borderId="0" xfId="17" applyFont="1" applyAlignment="1">
      <alignment horizontal="right"/>
    </xf>
    <xf numFmtId="0" fontId="8" fillId="0" borderId="14" xfId="17" applyFont="1" applyBorder="1" applyAlignment="1">
      <alignment horizontal="center"/>
    </xf>
    <xf numFmtId="0" fontId="8" fillId="0" borderId="16" xfId="17" applyFont="1" applyBorder="1" applyAlignment="1">
      <alignment horizontal="center"/>
    </xf>
    <xf numFmtId="0" fontId="14" fillId="0" borderId="0" xfId="17" applyFont="1"/>
    <xf numFmtId="168" fontId="16" fillId="0" borderId="9" xfId="17" applyNumberFormat="1" applyFont="1" applyBorder="1"/>
    <xf numFmtId="168" fontId="16" fillId="0" borderId="8" xfId="17" applyNumberFormat="1" applyFont="1" applyBorder="1"/>
    <xf numFmtId="39" fontId="8" fillId="0" borderId="0" xfId="17" applyNumberFormat="1" applyFont="1"/>
    <xf numFmtId="3" fontId="9" fillId="0" borderId="16" xfId="17" applyNumberFormat="1" applyFont="1" applyBorder="1"/>
    <xf numFmtId="169" fontId="8" fillId="0" borderId="0" xfId="17" applyNumberFormat="1" applyFont="1"/>
    <xf numFmtId="169" fontId="9" fillId="2" borderId="25" xfId="17" applyNumberFormat="1" applyFont="1" applyFill="1" applyBorder="1"/>
    <xf numFmtId="9" fontId="9" fillId="2" borderId="32" xfId="17" applyNumberFormat="1" applyFont="1" applyFill="1" applyBorder="1"/>
    <xf numFmtId="168" fontId="9" fillId="14" borderId="31" xfId="17" applyNumberFormat="1" applyFont="1" applyFill="1" applyBorder="1"/>
    <xf numFmtId="168" fontId="8" fillId="0" borderId="0" xfId="17" applyNumberFormat="1" applyFont="1"/>
    <xf numFmtId="168" fontId="8" fillId="0" borderId="12" xfId="17" applyNumberFormat="1" applyFont="1" applyBorder="1"/>
    <xf numFmtId="0" fontId="8" fillId="2" borderId="14" xfId="17" applyFont="1" applyFill="1" applyBorder="1"/>
    <xf numFmtId="0" fontId="9" fillId="0" borderId="0" xfId="17" applyFont="1" applyAlignment="1">
      <alignment horizontal="center"/>
    </xf>
    <xf numFmtId="168" fontId="9" fillId="0" borderId="0" xfId="17" applyNumberFormat="1" applyFont="1"/>
    <xf numFmtId="0" fontId="9" fillId="0" borderId="9" xfId="17" applyFont="1" applyBorder="1" applyAlignment="1">
      <alignment horizontal="center"/>
    </xf>
    <xf numFmtId="9" fontId="8" fillId="0" borderId="0" xfId="18" applyFont="1"/>
    <xf numFmtId="0" fontId="8" fillId="2" borderId="53" xfId="17" applyFont="1" applyFill="1" applyBorder="1" applyAlignment="1">
      <alignment horizontal="right"/>
    </xf>
    <xf numFmtId="0" fontId="8" fillId="2" borderId="55" xfId="17" applyFont="1" applyFill="1" applyBorder="1" applyAlignment="1">
      <alignment horizontal="right"/>
    </xf>
    <xf numFmtId="37" fontId="7" fillId="0" borderId="0" xfId="17" applyNumberFormat="1" applyFont="1"/>
    <xf numFmtId="0" fontId="8" fillId="0" borderId="8" xfId="17" applyFont="1" applyBorder="1" applyAlignment="1">
      <alignment horizontal="center"/>
    </xf>
    <xf numFmtId="0" fontId="8" fillId="0" borderId="9" xfId="17" applyFont="1" applyBorder="1" applyAlignment="1">
      <alignment horizontal="center"/>
    </xf>
    <xf numFmtId="168" fontId="8" fillId="0" borderId="8" xfId="17" applyNumberFormat="1" applyFont="1" applyBorder="1"/>
    <xf numFmtId="39" fontId="8" fillId="0" borderId="12" xfId="17" applyNumberFormat="1" applyFont="1" applyBorder="1" applyAlignment="1">
      <alignment horizontal="center"/>
    </xf>
    <xf numFmtId="168" fontId="8" fillId="0" borderId="16" xfId="17" applyNumberFormat="1" applyFont="1" applyBorder="1"/>
    <xf numFmtId="37" fontId="8" fillId="0" borderId="14" xfId="17" applyNumberFormat="1" applyFont="1" applyBorder="1"/>
    <xf numFmtId="37" fontId="8" fillId="0" borderId="7" xfId="17" applyNumberFormat="1" applyFont="1" applyBorder="1"/>
    <xf numFmtId="37" fontId="8" fillId="0" borderId="20" xfId="17" applyNumberFormat="1" applyFont="1" applyBorder="1"/>
    <xf numFmtId="10" fontId="8" fillId="0" borderId="0" xfId="17" applyNumberFormat="1" applyFont="1"/>
    <xf numFmtId="168" fontId="9" fillId="0" borderId="14" xfId="17" applyNumberFormat="1" applyFont="1" applyBorder="1"/>
    <xf numFmtId="168" fontId="9" fillId="0" borderId="16" xfId="17" applyNumberFormat="1" applyFont="1" applyBorder="1"/>
    <xf numFmtId="168" fontId="8" fillId="0" borderId="20" xfId="17" applyNumberFormat="1" applyFont="1" applyBorder="1"/>
    <xf numFmtId="169" fontId="9" fillId="0" borderId="0" xfId="17" applyNumberFormat="1" applyFont="1"/>
    <xf numFmtId="37" fontId="9" fillId="0" borderId="9" xfId="17" applyNumberFormat="1" applyFont="1" applyBorder="1"/>
    <xf numFmtId="37" fontId="9" fillId="0" borderId="8" xfId="17" applyNumberFormat="1" applyFont="1" applyBorder="1"/>
    <xf numFmtId="0" fontId="9" fillId="0" borderId="12" xfId="17" applyFont="1" applyBorder="1"/>
    <xf numFmtId="169" fontId="9" fillId="0" borderId="12" xfId="17" applyNumberFormat="1" applyFont="1" applyBorder="1"/>
    <xf numFmtId="37" fontId="9" fillId="0" borderId="14" xfId="17" applyNumberFormat="1" applyFont="1" applyBorder="1"/>
    <xf numFmtId="37" fontId="9" fillId="0" borderId="16" xfId="17" applyNumberFormat="1" applyFont="1" applyBorder="1"/>
    <xf numFmtId="37" fontId="8" fillId="0" borderId="55" xfId="17" applyNumberFormat="1" applyFont="1" applyBorder="1"/>
    <xf numFmtId="0" fontId="9" fillId="3" borderId="27" xfId="17" applyFont="1" applyFill="1" applyBorder="1"/>
    <xf numFmtId="37" fontId="9" fillId="3" borderId="25" xfId="17" applyNumberFormat="1" applyFont="1" applyFill="1" applyBorder="1"/>
    <xf numFmtId="37" fontId="9" fillId="3" borderId="26" xfId="17" applyNumberFormat="1" applyFont="1" applyFill="1" applyBorder="1"/>
    <xf numFmtId="37" fontId="9" fillId="3" borderId="27" xfId="17" applyNumberFormat="1" applyFont="1" applyFill="1" applyBorder="1"/>
    <xf numFmtId="168" fontId="9" fillId="3" borderId="27" xfId="17" applyNumberFormat="1" applyFont="1" applyFill="1" applyBorder="1"/>
    <xf numFmtId="0" fontId="9" fillId="3" borderId="14" xfId="17" applyFont="1" applyFill="1" applyBorder="1"/>
    <xf numFmtId="37" fontId="9" fillId="3" borderId="12" xfId="17" applyNumberFormat="1" applyFont="1" applyFill="1" applyBorder="1"/>
    <xf numFmtId="39" fontId="9" fillId="3" borderId="12" xfId="17" applyNumberFormat="1" applyFont="1" applyFill="1" applyBorder="1" applyAlignment="1">
      <alignment horizontal="center"/>
    </xf>
    <xf numFmtId="168" fontId="9" fillId="3" borderId="16" xfId="17" applyNumberFormat="1" applyFont="1" applyFill="1" applyBorder="1"/>
    <xf numFmtId="37" fontId="9" fillId="3" borderId="14" xfId="17" applyNumberFormat="1" applyFont="1" applyFill="1" applyBorder="1"/>
    <xf numFmtId="37" fontId="9" fillId="0" borderId="7" xfId="17" applyNumberFormat="1" applyFont="1" applyBorder="1"/>
    <xf numFmtId="169" fontId="9" fillId="0" borderId="7" xfId="17" applyNumberFormat="1" applyFont="1" applyBorder="1"/>
    <xf numFmtId="37" fontId="9" fillId="0" borderId="19" xfId="17" applyNumberFormat="1" applyFont="1" applyBorder="1"/>
    <xf numFmtId="37" fontId="9" fillId="0" borderId="20" xfId="17" applyNumberFormat="1" applyFont="1" applyBorder="1"/>
    <xf numFmtId="0" fontId="9" fillId="3" borderId="20" xfId="17" applyFont="1" applyFill="1" applyBorder="1"/>
    <xf numFmtId="37" fontId="9" fillId="3" borderId="7" xfId="17" applyNumberFormat="1" applyFont="1" applyFill="1" applyBorder="1"/>
    <xf numFmtId="169" fontId="9" fillId="3" borderId="7" xfId="17" applyNumberFormat="1" applyFont="1" applyFill="1" applyBorder="1"/>
    <xf numFmtId="37" fontId="9" fillId="3" borderId="19" xfId="17" applyNumberFormat="1" applyFont="1" applyFill="1" applyBorder="1"/>
    <xf numFmtId="37" fontId="9" fillId="3" borderId="20" xfId="17" applyNumberFormat="1" applyFont="1" applyFill="1" applyBorder="1"/>
    <xf numFmtId="168" fontId="9" fillId="2" borderId="27" xfId="17" applyNumberFormat="1" applyFont="1" applyFill="1" applyBorder="1"/>
    <xf numFmtId="168" fontId="8" fillId="0" borderId="0" xfId="18" applyNumberFormat="1" applyFont="1" applyFill="1"/>
    <xf numFmtId="37" fontId="8" fillId="5" borderId="16" xfId="17" applyNumberFormat="1" applyFont="1" applyFill="1" applyBorder="1"/>
    <xf numFmtId="37" fontId="8" fillId="0" borderId="0" xfId="17" applyNumberFormat="1" applyFont="1" applyAlignment="1">
      <alignment horizontal="center"/>
    </xf>
    <xf numFmtId="1" fontId="8" fillId="0" borderId="9" xfId="17" applyNumberFormat="1" applyFont="1" applyBorder="1"/>
    <xf numFmtId="0" fontId="8" fillId="0" borderId="12" xfId="17" applyFont="1" applyBorder="1" applyAlignment="1">
      <alignment horizontal="center"/>
    </xf>
    <xf numFmtId="1" fontId="8" fillId="0" borderId="20" xfId="17" applyNumberFormat="1" applyFont="1" applyBorder="1"/>
    <xf numFmtId="169" fontId="8" fillId="0" borderId="12" xfId="17" applyNumberFormat="1" applyFont="1" applyBorder="1"/>
    <xf numFmtId="2" fontId="8" fillId="0" borderId="12" xfId="17" applyNumberFormat="1" applyFont="1" applyBorder="1"/>
    <xf numFmtId="10" fontId="9" fillId="2" borderId="27" xfId="17" applyNumberFormat="1" applyFont="1" applyFill="1" applyBorder="1"/>
    <xf numFmtId="0" fontId="12" fillId="0" borderId="20" xfId="17" applyFont="1" applyBorder="1"/>
    <xf numFmtId="168" fontId="9" fillId="0" borderId="7" xfId="17" applyNumberFormat="1" applyFont="1" applyBorder="1"/>
    <xf numFmtId="168" fontId="9" fillId="0" borderId="20" xfId="17" applyNumberFormat="1" applyFont="1" applyBorder="1"/>
    <xf numFmtId="0" fontId="8" fillId="0" borderId="16" xfId="17" applyFont="1" applyBorder="1"/>
    <xf numFmtId="168" fontId="9" fillId="2" borderId="25" xfId="17" applyNumberFormat="1" applyFont="1" applyFill="1" applyBorder="1"/>
    <xf numFmtId="168" fontId="9" fillId="2" borderId="49" xfId="17" applyNumberFormat="1" applyFont="1" applyFill="1" applyBorder="1"/>
    <xf numFmtId="37" fontId="9" fillId="2" borderId="50" xfId="17" applyNumberFormat="1" applyFont="1" applyFill="1" applyBorder="1"/>
    <xf numFmtId="37" fontId="9" fillId="2" borderId="53" xfId="17" applyNumberFormat="1" applyFont="1" applyFill="1" applyBorder="1"/>
    <xf numFmtId="169" fontId="9" fillId="2" borderId="53" xfId="17" applyNumberFormat="1" applyFont="1" applyFill="1" applyBorder="1"/>
    <xf numFmtId="37" fontId="9" fillId="2" borderId="55" xfId="17" applyNumberFormat="1" applyFont="1" applyFill="1" applyBorder="1"/>
    <xf numFmtId="168" fontId="9" fillId="2" borderId="54" xfId="18" applyNumberFormat="1" applyFont="1" applyFill="1" applyBorder="1"/>
    <xf numFmtId="0" fontId="8" fillId="2" borderId="32" xfId="17" applyFont="1" applyFill="1" applyBorder="1"/>
    <xf numFmtId="176" fontId="8" fillId="0" borderId="0" xfId="17" applyNumberFormat="1" applyFont="1"/>
    <xf numFmtId="0" fontId="8" fillId="0" borderId="53" xfId="17" applyFont="1" applyBorder="1" applyAlignment="1">
      <alignment horizontal="center"/>
    </xf>
    <xf numFmtId="0" fontId="8" fillId="0" borderId="54" xfId="17" applyFont="1" applyBorder="1" applyAlignment="1">
      <alignment horizontal="center"/>
    </xf>
    <xf numFmtId="0" fontId="8" fillId="0" borderId="55" xfId="17" applyFont="1" applyBorder="1" applyAlignment="1">
      <alignment horizontal="center"/>
    </xf>
    <xf numFmtId="37" fontId="8" fillId="14" borderId="0" xfId="17" applyNumberFormat="1" applyFont="1" applyFill="1"/>
    <xf numFmtId="168" fontId="9" fillId="2" borderId="0" xfId="17" applyNumberFormat="1" applyFont="1" applyFill="1"/>
    <xf numFmtId="37" fontId="8" fillId="14" borderId="50" xfId="17" applyNumberFormat="1" applyFont="1" applyFill="1" applyBorder="1"/>
    <xf numFmtId="3" fontId="8" fillId="14" borderId="49" xfId="17" applyNumberFormat="1" applyFont="1" applyFill="1" applyBorder="1"/>
    <xf numFmtId="3" fontId="8" fillId="14" borderId="50" xfId="17" applyNumberFormat="1" applyFont="1" applyFill="1" applyBorder="1"/>
    <xf numFmtId="0" fontId="15" fillId="0" borderId="0" xfId="17" applyFont="1"/>
    <xf numFmtId="168" fontId="9" fillId="0" borderId="26" xfId="17" applyNumberFormat="1" applyFont="1" applyBorder="1"/>
    <xf numFmtId="0" fontId="9" fillId="2" borderId="103" xfId="17" applyFont="1" applyFill="1" applyBorder="1"/>
    <xf numFmtId="0" fontId="9" fillId="2" borderId="104" xfId="17" applyFont="1" applyFill="1" applyBorder="1"/>
    <xf numFmtId="37" fontId="9" fillId="2" borderId="129" xfId="17" applyNumberFormat="1" applyFont="1" applyFill="1" applyBorder="1"/>
    <xf numFmtId="0" fontId="8" fillId="2" borderId="103" xfId="17" applyFont="1" applyFill="1" applyBorder="1"/>
    <xf numFmtId="0" fontId="8" fillId="2" borderId="104" xfId="17" applyFont="1" applyFill="1" applyBorder="1"/>
    <xf numFmtId="3" fontId="9" fillId="0" borderId="0" xfId="17" applyNumberFormat="1" applyFont="1"/>
    <xf numFmtId="37" fontId="1" fillId="0" borderId="0" xfId="17" applyNumberFormat="1"/>
    <xf numFmtId="0" fontId="40" fillId="15" borderId="0" xfId="17" applyFont="1" applyFill="1"/>
    <xf numFmtId="0" fontId="36" fillId="10" borderId="0" xfId="17" applyFont="1" applyFill="1" applyAlignment="1">
      <alignment vertical="center"/>
    </xf>
    <xf numFmtId="0" fontId="5" fillId="0" borderId="0" xfId="17" applyFont="1" applyAlignment="1">
      <alignment horizontal="right" vertical="center"/>
    </xf>
    <xf numFmtId="0" fontId="16" fillId="0" borderId="0" xfId="17" applyFont="1" applyAlignment="1">
      <alignment horizontal="center" vertical="center"/>
    </xf>
    <xf numFmtId="0" fontId="8" fillId="0" borderId="130" xfId="17" applyFont="1" applyBorder="1" applyAlignment="1">
      <alignment horizontal="left"/>
    </xf>
    <xf numFmtId="0" fontId="9" fillId="0" borderId="101" xfId="17" applyFont="1" applyBorder="1" applyAlignment="1">
      <alignment horizontal="center" vertical="center"/>
    </xf>
    <xf numFmtId="0" fontId="9" fillId="0" borderId="101" xfId="17" applyFont="1" applyBorder="1" applyAlignment="1">
      <alignment horizontal="center" vertical="center"/>
    </xf>
    <xf numFmtId="0" fontId="10" fillId="0" borderId="101" xfId="17" applyFont="1" applyBorder="1"/>
    <xf numFmtId="0" fontId="10" fillId="0" borderId="131" xfId="17" applyFont="1" applyBorder="1"/>
    <xf numFmtId="0" fontId="9" fillId="0" borderId="132" xfId="17" applyFont="1" applyBorder="1" applyAlignment="1">
      <alignment horizontal="center" vertical="center"/>
    </xf>
    <xf numFmtId="0" fontId="10" fillId="0" borderId="102" xfId="17" applyFont="1" applyBorder="1"/>
    <xf numFmtId="0" fontId="8" fillId="0" borderId="67" xfId="17" applyFont="1" applyBorder="1" applyAlignment="1">
      <alignment horizontal="center"/>
    </xf>
    <xf numFmtId="0" fontId="8" fillId="0" borderId="68" xfId="17" applyFont="1" applyBorder="1" applyAlignment="1">
      <alignment horizontal="center"/>
    </xf>
    <xf numFmtId="0" fontId="8" fillId="0" borderId="69" xfId="17" applyFont="1" applyBorder="1" applyAlignment="1">
      <alignment horizontal="center"/>
    </xf>
    <xf numFmtId="0" fontId="12" fillId="0" borderId="12" xfId="17" applyFont="1" applyBorder="1"/>
    <xf numFmtId="37" fontId="12" fillId="0" borderId="67" xfId="17" applyNumberFormat="1" applyFont="1" applyBorder="1"/>
    <xf numFmtId="37" fontId="12" fillId="0" borderId="68" xfId="17" applyNumberFormat="1" applyFont="1" applyBorder="1"/>
    <xf numFmtId="37" fontId="12" fillId="0" borderId="12" xfId="17" applyNumberFormat="1" applyFont="1" applyBorder="1"/>
    <xf numFmtId="168" fontId="12" fillId="0" borderId="12" xfId="17" applyNumberFormat="1" applyFont="1" applyBorder="1"/>
    <xf numFmtId="37" fontId="12" fillId="0" borderId="69" xfId="17" applyNumberFormat="1" applyFont="1" applyBorder="1"/>
    <xf numFmtId="168" fontId="12" fillId="0" borderId="16" xfId="17" applyNumberFormat="1" applyFont="1" applyBorder="1"/>
    <xf numFmtId="0" fontId="16" fillId="2" borderId="14" xfId="17" applyFont="1" applyFill="1" applyBorder="1"/>
    <xf numFmtId="0" fontId="16" fillId="2" borderId="12" xfId="17" applyFont="1" applyFill="1" applyBorder="1"/>
    <xf numFmtId="37" fontId="16" fillId="2" borderId="67" xfId="17" applyNumberFormat="1" applyFont="1" applyFill="1" applyBorder="1"/>
    <xf numFmtId="37" fontId="16" fillId="2" borderId="68" xfId="17" applyNumberFormat="1" applyFont="1" applyFill="1" applyBorder="1"/>
    <xf numFmtId="37" fontId="16" fillId="2" borderId="12" xfId="17" applyNumberFormat="1" applyFont="1" applyFill="1" applyBorder="1"/>
    <xf numFmtId="168" fontId="16" fillId="2" borderId="12" xfId="17" applyNumberFormat="1" applyFont="1" applyFill="1" applyBorder="1"/>
    <xf numFmtId="37" fontId="16" fillId="2" borderId="69" xfId="17" applyNumberFormat="1" applyFont="1" applyFill="1" applyBorder="1"/>
    <xf numFmtId="168" fontId="16" fillId="2" borderId="16" xfId="17" applyNumberFormat="1" applyFont="1" applyFill="1" applyBorder="1"/>
    <xf numFmtId="0" fontId="16" fillId="0" borderId="9" xfId="17" applyFont="1" applyBorder="1"/>
    <xf numFmtId="0" fontId="12" fillId="0" borderId="0" xfId="17" applyFont="1"/>
    <xf numFmtId="37" fontId="12" fillId="0" borderId="70" xfId="17" applyNumberFormat="1" applyFont="1" applyBorder="1"/>
    <xf numFmtId="37" fontId="12" fillId="0" borderId="71" xfId="17" applyNumberFormat="1" applyFont="1" applyBorder="1"/>
    <xf numFmtId="37" fontId="12" fillId="0" borderId="0" xfId="17" applyNumberFormat="1" applyFont="1"/>
    <xf numFmtId="168" fontId="12" fillId="0" borderId="0" xfId="17" applyNumberFormat="1" applyFont="1"/>
    <xf numFmtId="37" fontId="12" fillId="0" borderId="72" xfId="17" applyNumberFormat="1" applyFont="1" applyBorder="1"/>
    <xf numFmtId="168" fontId="12" fillId="0" borderId="19" xfId="17" applyNumberFormat="1" applyFont="1" applyBorder="1"/>
    <xf numFmtId="0" fontId="12" fillId="0" borderId="0" xfId="17" applyFont="1" applyAlignment="1">
      <alignment horizontal="right"/>
    </xf>
    <xf numFmtId="169" fontId="12" fillId="0" borderId="0" xfId="17" applyNumberFormat="1" applyFont="1"/>
    <xf numFmtId="0" fontId="12" fillId="0" borderId="71" xfId="17" applyFont="1" applyBorder="1"/>
    <xf numFmtId="168" fontId="12" fillId="0" borderId="71" xfId="18" applyNumberFormat="1" applyFont="1" applyBorder="1"/>
    <xf numFmtId="168" fontId="12" fillId="0" borderId="8" xfId="17" applyNumberFormat="1" applyFont="1" applyBorder="1"/>
    <xf numFmtId="0" fontId="12" fillId="0" borderId="12" xfId="17" applyFont="1" applyBorder="1" applyAlignment="1">
      <alignment horizontal="right"/>
    </xf>
    <xf numFmtId="169" fontId="12" fillId="0" borderId="12" xfId="17" applyNumberFormat="1" applyFont="1" applyBorder="1"/>
    <xf numFmtId="0" fontId="12" fillId="0" borderId="68" xfId="17" applyFont="1" applyBorder="1"/>
    <xf numFmtId="168" fontId="12" fillId="0" borderId="67" xfId="17" applyNumberFormat="1" applyFont="1" applyBorder="1"/>
    <xf numFmtId="168" fontId="12" fillId="0" borderId="68" xfId="18" applyNumberFormat="1" applyFont="1" applyBorder="1"/>
    <xf numFmtId="0" fontId="16" fillId="2" borderId="37" xfId="17" applyFont="1" applyFill="1" applyBorder="1"/>
    <xf numFmtId="0" fontId="16" fillId="2" borderId="35" xfId="17" applyFont="1" applyFill="1" applyBorder="1"/>
    <xf numFmtId="168" fontId="16" fillId="2" borderId="35" xfId="17" applyNumberFormat="1" applyFont="1" applyFill="1" applyBorder="1"/>
    <xf numFmtId="37" fontId="16" fillId="2" borderId="74" xfId="17" applyNumberFormat="1" applyFont="1" applyFill="1" applyBorder="1"/>
    <xf numFmtId="168" fontId="16" fillId="2" borderId="38" xfId="17" applyNumberFormat="1" applyFont="1" applyFill="1" applyBorder="1"/>
    <xf numFmtId="0" fontId="16" fillId="2" borderId="38" xfId="17" applyFont="1" applyFill="1" applyBorder="1"/>
    <xf numFmtId="37" fontId="16" fillId="2" borderId="35" xfId="17" applyNumberFormat="1" applyFont="1" applyFill="1" applyBorder="1"/>
    <xf numFmtId="0" fontId="16" fillId="2" borderId="75" xfId="17" applyFont="1" applyFill="1" applyBorder="1"/>
    <xf numFmtId="168" fontId="12" fillId="0" borderId="12" xfId="18" applyNumberFormat="1" applyFont="1" applyBorder="1"/>
    <xf numFmtId="168" fontId="12" fillId="0" borderId="0" xfId="18" applyNumberFormat="1" applyFont="1"/>
    <xf numFmtId="168" fontId="12" fillId="0" borderId="70" xfId="17" applyNumberFormat="1" applyFont="1" applyBorder="1"/>
    <xf numFmtId="169" fontId="16" fillId="2" borderId="35" xfId="17" applyNumberFormat="1" applyFont="1" applyFill="1" applyBorder="1"/>
    <xf numFmtId="37" fontId="16" fillId="2" borderId="75" xfId="17" applyNumberFormat="1" applyFont="1" applyFill="1" applyBorder="1"/>
    <xf numFmtId="0" fontId="12" fillId="0" borderId="7" xfId="17" applyFont="1" applyBorder="1" applyAlignment="1">
      <alignment horizontal="right"/>
    </xf>
    <xf numFmtId="0" fontId="12" fillId="0" borderId="7" xfId="17" applyFont="1" applyBorder="1"/>
    <xf numFmtId="37" fontId="12" fillId="0" borderId="76" xfId="17" applyNumberFormat="1" applyFont="1" applyBorder="1"/>
    <xf numFmtId="0" fontId="12" fillId="0" borderId="77" xfId="17" applyFont="1" applyBorder="1"/>
    <xf numFmtId="169" fontId="12" fillId="0" borderId="7" xfId="17" applyNumberFormat="1" applyFont="1" applyBorder="1"/>
    <xf numFmtId="37" fontId="12" fillId="0" borderId="7" xfId="17" applyNumberFormat="1" applyFont="1" applyBorder="1"/>
    <xf numFmtId="168" fontId="12" fillId="0" borderId="7" xfId="17" applyNumberFormat="1" applyFont="1" applyBorder="1"/>
    <xf numFmtId="37" fontId="12" fillId="0" borderId="78" xfId="17" applyNumberFormat="1" applyFont="1" applyBorder="1"/>
    <xf numFmtId="9" fontId="11" fillId="0" borderId="0" xfId="17" applyNumberFormat="1" applyFont="1"/>
    <xf numFmtId="37" fontId="31" fillId="0" borderId="0" xfId="17" applyNumberFormat="1" applyFont="1"/>
    <xf numFmtId="0" fontId="8" fillId="16" borderId="0" xfId="17" applyFont="1" applyFill="1"/>
    <xf numFmtId="37" fontId="12" fillId="0" borderId="77" xfId="17" applyNumberFormat="1" applyFont="1" applyBorder="1"/>
    <xf numFmtId="0" fontId="12" fillId="2" borderId="35" xfId="17" applyFont="1" applyFill="1" applyBorder="1"/>
    <xf numFmtId="37" fontId="16" fillId="2" borderId="38" xfId="17" applyNumberFormat="1" applyFont="1" applyFill="1" applyBorder="1"/>
    <xf numFmtId="3" fontId="16" fillId="2" borderId="35" xfId="17" applyNumberFormat="1" applyFont="1" applyFill="1" applyBorder="1" applyAlignment="1">
      <alignment horizontal="center"/>
    </xf>
    <xf numFmtId="168" fontId="16" fillId="2" borderId="36" xfId="17" applyNumberFormat="1" applyFont="1" applyFill="1" applyBorder="1"/>
    <xf numFmtId="168" fontId="16" fillId="0" borderId="0" xfId="17" applyNumberFormat="1" applyFont="1"/>
    <xf numFmtId="0" fontId="16" fillId="0" borderId="0" xfId="17" applyFont="1"/>
    <xf numFmtId="170" fontId="12" fillId="0" borderId="70" xfId="17" applyNumberFormat="1" applyFont="1" applyBorder="1"/>
    <xf numFmtId="0" fontId="7" fillId="3" borderId="0" xfId="17" applyFont="1" applyFill="1"/>
    <xf numFmtId="168" fontId="12" fillId="0" borderId="76" xfId="17" applyNumberFormat="1" applyFont="1" applyBorder="1"/>
    <xf numFmtId="0" fontId="12" fillId="0" borderId="70" xfId="17" applyFont="1" applyBorder="1"/>
    <xf numFmtId="0" fontId="12" fillId="0" borderId="72" xfId="17" applyFont="1" applyBorder="1"/>
    <xf numFmtId="168" fontId="12" fillId="0" borderId="36" xfId="17" applyNumberFormat="1" applyFont="1" applyBorder="1"/>
    <xf numFmtId="168" fontId="16" fillId="0" borderId="7" xfId="17" applyNumberFormat="1" applyFont="1" applyBorder="1"/>
    <xf numFmtId="0" fontId="16" fillId="0" borderId="7" xfId="17" applyFont="1" applyBorder="1"/>
    <xf numFmtId="168" fontId="16" fillId="0" borderId="77" xfId="17" applyNumberFormat="1" applyFont="1" applyBorder="1"/>
    <xf numFmtId="37" fontId="16" fillId="0" borderId="77" xfId="17" applyNumberFormat="1" applyFont="1" applyBorder="1"/>
    <xf numFmtId="37" fontId="12" fillId="0" borderId="84" xfId="17" applyNumberFormat="1" applyFont="1" applyBorder="1"/>
    <xf numFmtId="37" fontId="16" fillId="0" borderId="7" xfId="17" applyNumberFormat="1" applyFont="1" applyBorder="1"/>
    <xf numFmtId="37" fontId="16" fillId="0" borderId="0" xfId="17" applyNumberFormat="1" applyFont="1"/>
    <xf numFmtId="1" fontId="16" fillId="0" borderId="0" xfId="17" applyNumberFormat="1" applyFont="1"/>
    <xf numFmtId="37" fontId="16" fillId="0" borderId="71" xfId="17" applyNumberFormat="1" applyFont="1" applyBorder="1"/>
    <xf numFmtId="168" fontId="16" fillId="0" borderId="71" xfId="17" applyNumberFormat="1" applyFont="1" applyBorder="1"/>
    <xf numFmtId="37" fontId="12" fillId="0" borderId="85" xfId="17" applyNumberFormat="1" applyFont="1" applyBorder="1"/>
    <xf numFmtId="166" fontId="16" fillId="0" borderId="71" xfId="17" applyNumberFormat="1" applyFont="1" applyBorder="1"/>
    <xf numFmtId="168" fontId="12" fillId="2" borderId="38" xfId="17" applyNumberFormat="1" applyFont="1" applyFill="1" applyBorder="1"/>
    <xf numFmtId="168" fontId="12" fillId="2" borderId="35" xfId="17" applyNumberFormat="1" applyFont="1" applyFill="1" applyBorder="1"/>
    <xf numFmtId="37" fontId="12" fillId="2" borderId="75" xfId="17" applyNumberFormat="1" applyFont="1" applyFill="1" applyBorder="1"/>
    <xf numFmtId="0" fontId="16" fillId="3" borderId="20" xfId="17" applyFont="1" applyFill="1" applyBorder="1"/>
    <xf numFmtId="0" fontId="16" fillId="3" borderId="7" xfId="17" applyFont="1" applyFill="1" applyBorder="1"/>
    <xf numFmtId="37" fontId="16" fillId="3" borderId="7" xfId="17" applyNumberFormat="1" applyFont="1" applyFill="1" applyBorder="1"/>
    <xf numFmtId="37" fontId="12" fillId="3" borderId="76" xfId="17" applyNumberFormat="1" applyFont="1" applyFill="1" applyBorder="1"/>
    <xf numFmtId="0" fontId="12" fillId="3" borderId="7" xfId="17" applyFont="1" applyFill="1" applyBorder="1"/>
    <xf numFmtId="37" fontId="12" fillId="3" borderId="7" xfId="17" applyNumberFormat="1" applyFont="1" applyFill="1" applyBorder="1"/>
    <xf numFmtId="37" fontId="12" fillId="3" borderId="77" xfId="17" applyNumberFormat="1" applyFont="1" applyFill="1" applyBorder="1"/>
    <xf numFmtId="37" fontId="12" fillId="3" borderId="0" xfId="17" applyNumberFormat="1" applyFont="1" applyFill="1"/>
    <xf numFmtId="168" fontId="12" fillId="3" borderId="0" xfId="17" applyNumberFormat="1" applyFont="1" applyFill="1"/>
    <xf numFmtId="168" fontId="12" fillId="3" borderId="77" xfId="17" applyNumberFormat="1" applyFont="1" applyFill="1" applyBorder="1"/>
    <xf numFmtId="168" fontId="12" fillId="3" borderId="7" xfId="17" applyNumberFormat="1" applyFont="1" applyFill="1" applyBorder="1"/>
    <xf numFmtId="37" fontId="12" fillId="3" borderId="78" xfId="17" applyNumberFormat="1" applyFont="1" applyFill="1" applyBorder="1"/>
    <xf numFmtId="168" fontId="12" fillId="0" borderId="54" xfId="17" applyNumberFormat="1" applyFont="1" applyBorder="1"/>
    <xf numFmtId="0" fontId="16" fillId="2" borderId="103" xfId="17" applyFont="1" applyFill="1" applyBorder="1"/>
    <xf numFmtId="0" fontId="16" fillId="2" borderId="104" xfId="17" applyFont="1" applyFill="1" applyBorder="1"/>
    <xf numFmtId="0" fontId="16" fillId="2" borderId="104" xfId="17" applyFont="1" applyFill="1" applyBorder="1" applyAlignment="1">
      <alignment horizontal="center"/>
    </xf>
    <xf numFmtId="168" fontId="16" fillId="2" borderId="104" xfId="17" applyNumberFormat="1" applyFont="1" applyFill="1" applyBorder="1"/>
    <xf numFmtId="37" fontId="16" fillId="2" borderId="105" xfId="17" applyNumberFormat="1" applyFont="1" applyFill="1" applyBorder="1"/>
    <xf numFmtId="37" fontId="16" fillId="2" borderId="104" xfId="17" applyNumberFormat="1" applyFont="1" applyFill="1" applyBorder="1"/>
    <xf numFmtId="37" fontId="16" fillId="2" borderId="133" xfId="17" applyNumberFormat="1" applyFont="1" applyFill="1" applyBorder="1"/>
    <xf numFmtId="168" fontId="16" fillId="2" borderId="106" xfId="17" applyNumberFormat="1" applyFont="1" applyFill="1" applyBorder="1"/>
    <xf numFmtId="0" fontId="16" fillId="2" borderId="133" xfId="17" applyFont="1" applyFill="1" applyBorder="1" applyAlignment="1">
      <alignment horizontal="center"/>
    </xf>
    <xf numFmtId="37" fontId="16" fillId="2" borderId="134" xfId="17" applyNumberFormat="1" applyFont="1" applyFill="1" applyBorder="1"/>
    <xf numFmtId="168" fontId="16" fillId="2" borderId="31" xfId="17" applyNumberFormat="1" applyFont="1" applyFill="1" applyBorder="1"/>
    <xf numFmtId="39" fontId="12" fillId="0" borderId="0" xfId="17" applyNumberFormat="1" applyFont="1"/>
    <xf numFmtId="0" fontId="41" fillId="0" borderId="0" xfId="17" applyFont="1"/>
    <xf numFmtId="0" fontId="41" fillId="0" borderId="0" xfId="17" applyFont="1" applyAlignment="1">
      <alignment horizontal="center"/>
    </xf>
    <xf numFmtId="0" fontId="41" fillId="0" borderId="0" xfId="17" applyFont="1" applyAlignment="1">
      <alignment horizontal="right" vertical="center"/>
    </xf>
    <xf numFmtId="0" fontId="41" fillId="0" borderId="0" xfId="17" applyFont="1" applyAlignment="1">
      <alignment horizontal="center" vertical="center"/>
    </xf>
    <xf numFmtId="0" fontId="41" fillId="0" borderId="0" xfId="17" applyFont="1" applyAlignment="1">
      <alignment horizontal="right"/>
    </xf>
    <xf numFmtId="37" fontId="16" fillId="2" borderId="135" xfId="17" applyNumberFormat="1" applyFont="1" applyFill="1" applyBorder="1"/>
    <xf numFmtId="37" fontId="16" fillId="2" borderId="107" xfId="17" applyNumberFormat="1" applyFont="1" applyFill="1" applyBorder="1"/>
    <xf numFmtId="37" fontId="16" fillId="2" borderId="101" xfId="17" applyNumberFormat="1" applyFont="1" applyFill="1" applyBorder="1"/>
    <xf numFmtId="168" fontId="16" fillId="2" borderId="102" xfId="17" applyNumberFormat="1" applyFont="1" applyFill="1" applyBorder="1"/>
    <xf numFmtId="0" fontId="7" fillId="0" borderId="9" xfId="17" applyFont="1" applyBorder="1"/>
    <xf numFmtId="37" fontId="7" fillId="0" borderId="70" xfId="17" applyNumberFormat="1" applyFont="1" applyBorder="1"/>
    <xf numFmtId="0" fontId="7" fillId="0" borderId="70" xfId="17" applyFont="1" applyBorder="1"/>
    <xf numFmtId="0" fontId="7" fillId="0" borderId="85" xfId="17" applyFont="1" applyBorder="1"/>
    <xf numFmtId="0" fontId="7" fillId="0" borderId="72" xfId="17" applyFont="1" applyBorder="1"/>
    <xf numFmtId="0" fontId="7" fillId="0" borderId="8" xfId="17" applyFont="1" applyBorder="1"/>
    <xf numFmtId="168" fontId="16" fillId="2" borderId="129" xfId="17" applyNumberFormat="1" applyFont="1" applyFill="1" applyBorder="1"/>
    <xf numFmtId="0" fontId="42" fillId="0" borderId="0" xfId="17" applyFont="1"/>
    <xf numFmtId="37" fontId="42" fillId="0" borderId="0" xfId="17" applyNumberFormat="1" applyFont="1"/>
    <xf numFmtId="177" fontId="7" fillId="0" borderId="0" xfId="17" applyNumberFormat="1" applyFont="1" applyAlignment="1">
      <alignment horizontal="right"/>
    </xf>
    <xf numFmtId="10" fontId="1" fillId="0" borderId="0" xfId="17" applyNumberFormat="1"/>
    <xf numFmtId="166" fontId="7" fillId="0" borderId="0" xfId="19" applyFont="1"/>
    <xf numFmtId="166" fontId="7" fillId="0" borderId="0" xfId="17" applyNumberFormat="1" applyFont="1"/>
    <xf numFmtId="17" fontId="7" fillId="0" borderId="0" xfId="17" applyNumberFormat="1" applyFont="1" applyAlignment="1">
      <alignment horizontal="right"/>
    </xf>
    <xf numFmtId="43" fontId="7" fillId="0" borderId="0" xfId="17" applyNumberFormat="1" applyFont="1"/>
    <xf numFmtId="9" fontId="16" fillId="2" borderId="68" xfId="18" applyFont="1" applyFill="1" applyBorder="1"/>
  </cellXfs>
  <cellStyles count="20">
    <cellStyle name="Comma" xfId="1" builtinId="3"/>
    <cellStyle name="Comma 2" xfId="19" xr:uid="{A9FDC553-7F3E-49BE-9832-7C68A5C08E3B}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Normal 9" xfId="17" xr:uid="{248A7BC1-ED6B-40A4-935E-A1DDE53AB124}"/>
    <cellStyle name="Percent" xfId="2" builtinId="5"/>
    <cellStyle name="Percent 2" xfId="18" xr:uid="{72ED2FE2-A8B7-4000-8EF7-62610D30D379}"/>
    <cellStyle name="Pourcentage 2" xfId="8" xr:uid="{00000000-0005-0000-0000-000009000000}"/>
    <cellStyle name="Pourcentage 3" xfId="15" xr:uid="{B09CCB1C-0232-46FA-AAFA-AA26EA7AA4F5}"/>
  </cellStyles>
  <dxfs count="28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04_R&#233;alis&#233;_VW.xlsx" TargetMode="External"/><Relationship Id="rId1" Type="http://schemas.openxmlformats.org/officeDocument/2006/relationships/externalLinkPath" Target="2024-04_R&#233;alis&#233;_VW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05_R&#233;alis&#233;_VW.xlsx" TargetMode="External"/><Relationship Id="rId1" Type="http://schemas.openxmlformats.org/officeDocument/2006/relationships/externalLinkPath" Target="2024-05_R&#233;alis&#233;_VW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06_R&#233;alis&#233;_VW.xlsx" TargetMode="External"/><Relationship Id="rId1" Type="http://schemas.openxmlformats.org/officeDocument/2006/relationships/externalLinkPath" Target="2024-06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</sheetData>
      <sheetData sheetId="1" refreshError="1"/>
      <sheetData sheetId="2">
        <row r="2">
          <cell r="B2" t="str">
            <v>Mois</v>
          </cell>
        </row>
      </sheetData>
      <sheetData sheetId="3">
        <row r="2">
          <cell r="B2" t="str">
            <v>Mois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Solde d'ouverture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</sheetData>
      <sheetData sheetId="1" refreshError="1"/>
      <sheetData sheetId="2">
        <row r="2">
          <cell r="B2" t="str">
            <v>Mois</v>
          </cell>
        </row>
      </sheetData>
      <sheetData sheetId="3">
        <row r="2">
          <cell r="B2" t="str">
            <v>Mois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Solde d'ouverture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</sheetData>
      <sheetData sheetId="1" refreshError="1"/>
      <sheetData sheetId="2">
        <row r="2">
          <cell r="B2" t="str">
            <v>Mois</v>
          </cell>
        </row>
      </sheetData>
      <sheetData sheetId="3">
        <row r="2">
          <cell r="B2" t="str">
            <v>Mois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Solde d'ouverture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20" sqref="C20"/>
    </sheetView>
  </sheetViews>
  <sheetFormatPr defaultColWidth="11.19921875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hidden="1" customWidth="1"/>
    <col min="7" max="7" width="12.59765625" hidden="1" customWidth="1"/>
    <col min="8" max="9" width="11" hidden="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3" spans="1:17">
      <c r="B3" t="s">
        <v>213</v>
      </c>
      <c r="P3" s="150"/>
      <c r="Q3" s="151"/>
    </row>
    <row r="5" spans="1:17" s="130" customFormat="1" ht="16.5" customHeight="1"/>
    <row r="6" spans="1:17" s="130" customFormat="1" ht="16.5" customHeight="1">
      <c r="B6" s="477" t="s">
        <v>205</v>
      </c>
      <c r="C6" s="477"/>
      <c r="D6" s="477"/>
      <c r="E6" s="477"/>
      <c r="F6" s="478" t="s">
        <v>206</v>
      </c>
      <c r="G6" s="478"/>
      <c r="H6" s="478"/>
      <c r="I6" s="478"/>
      <c r="J6" s="479" t="s">
        <v>207</v>
      </c>
      <c r="K6" s="479"/>
      <c r="L6" s="479"/>
      <c r="M6" s="479"/>
      <c r="N6" s="480" t="s">
        <v>208</v>
      </c>
      <c r="O6" s="480"/>
      <c r="P6" s="480"/>
      <c r="Q6" s="480"/>
    </row>
    <row r="7" spans="1:17" s="130" customFormat="1" ht="16.5" customHeight="1">
      <c r="A7"/>
      <c r="B7" s="137" t="s">
        <v>198</v>
      </c>
      <c r="C7" s="137" t="s">
        <v>199</v>
      </c>
      <c r="D7" s="137" t="s">
        <v>200</v>
      </c>
      <c r="E7" s="137" t="s">
        <v>201</v>
      </c>
      <c r="F7" s="138" t="s">
        <v>198</v>
      </c>
      <c r="G7" s="138" t="s">
        <v>199</v>
      </c>
      <c r="H7" s="138" t="s">
        <v>200</v>
      </c>
      <c r="I7" s="138" t="s">
        <v>201</v>
      </c>
      <c r="J7" s="149" t="s">
        <v>198</v>
      </c>
      <c r="K7" s="149" t="s">
        <v>199</v>
      </c>
      <c r="L7" s="149" t="s">
        <v>200</v>
      </c>
      <c r="M7" s="149" t="s">
        <v>201</v>
      </c>
      <c r="N7" s="139" t="s">
        <v>198</v>
      </c>
      <c r="O7" s="139" t="s">
        <v>199</v>
      </c>
      <c r="P7" s="139" t="s">
        <v>200</v>
      </c>
      <c r="Q7" s="139" t="s">
        <v>201</v>
      </c>
    </row>
    <row r="8" spans="1:17" s="130" customFormat="1" ht="16.5" customHeight="1">
      <c r="A8" s="129" t="s">
        <v>204</v>
      </c>
      <c r="B8" s="140" t="e">
        <f>+B9-B10</f>
        <v>#REF!</v>
      </c>
      <c r="C8" s="140" t="e">
        <f t="shared" ref="C8:F8" si="0">+C9-C10</f>
        <v>#REF!</v>
      </c>
      <c r="D8" s="140" t="e">
        <f t="shared" si="0"/>
        <v>#REF!</v>
      </c>
      <c r="E8" s="140" t="e">
        <f t="shared" si="0"/>
        <v>#REF!</v>
      </c>
      <c r="F8" s="140" t="e">
        <f t="shared" si="0"/>
        <v>#REF!</v>
      </c>
      <c r="G8" s="140" t="e">
        <f t="shared" ref="G8" si="1">+G9-G10</f>
        <v>#REF!</v>
      </c>
      <c r="H8" s="140" t="e">
        <f t="shared" ref="H8" si="2">+H9-H10</f>
        <v>#REF!</v>
      </c>
      <c r="I8" s="140" t="e">
        <f t="shared" ref="I8:J8" si="3">+I9-I10</f>
        <v>#REF!</v>
      </c>
      <c r="J8" s="145" t="e">
        <f t="shared" si="3"/>
        <v>#REF!</v>
      </c>
      <c r="K8" s="145" t="e">
        <f t="shared" ref="K8" si="4">+K9-K10</f>
        <v>#REF!</v>
      </c>
      <c r="L8" s="145" t="e">
        <f t="shared" ref="L8" si="5">+L9-L10</f>
        <v>#REF!</v>
      </c>
      <c r="M8" s="145" t="e">
        <f t="shared" ref="M8:N8" si="6">+M9-M10</f>
        <v>#REF!</v>
      </c>
      <c r="N8" s="140" t="e">
        <f t="shared" si="6"/>
        <v>#REF!</v>
      </c>
      <c r="O8" s="140" t="e">
        <f t="shared" ref="O8" si="7">+O9-O10</f>
        <v>#REF!</v>
      </c>
      <c r="P8" s="140" t="e">
        <f>+P9-P10</f>
        <v>#REF!</v>
      </c>
      <c r="Q8" s="140" t="e">
        <f t="shared" ref="Q8" si="8">+Q9-Q10</f>
        <v>#REF!</v>
      </c>
    </row>
    <row r="9" spans="1:17" s="130" customFormat="1" ht="16.5" customHeight="1">
      <c r="A9" s="131" t="s">
        <v>202</v>
      </c>
      <c r="B9" s="133">
        <f>+Conso!$Z$405</f>
        <v>19264266.73642844</v>
      </c>
      <c r="C9" s="133">
        <f>+Conso!$Z$406</f>
        <v>2767342.7254505185</v>
      </c>
      <c r="D9" s="133">
        <f>+Conso!$Z$482</f>
        <v>1036365.5675588686</v>
      </c>
      <c r="E9" s="133">
        <f>+Conso!$Z$497</f>
        <v>1031420.5675588686</v>
      </c>
      <c r="F9" s="133">
        <f>+Conso!$AC$405</f>
        <v>0</v>
      </c>
      <c r="G9" s="133">
        <f>+Conso!$AC$406</f>
        <v>0</v>
      </c>
      <c r="H9" s="133">
        <f>+Conso!$AC$482</f>
        <v>0</v>
      </c>
      <c r="I9" s="133">
        <f>+Conso!$AC$497</f>
        <v>0</v>
      </c>
      <c r="J9" s="133">
        <f>+Conso!$AF$405</f>
        <v>16428061.57</v>
      </c>
      <c r="K9" s="133">
        <f>+Conso!$AF$406</f>
        <v>1897181.04</v>
      </c>
      <c r="L9" s="133">
        <f>+Conso!$AF$482</f>
        <v>366005.6799999997</v>
      </c>
      <c r="M9" s="133">
        <f>+Conso!$AF$497</f>
        <v>361195.18999999971</v>
      </c>
      <c r="N9" s="133">
        <f>+Conso!$AL$405</f>
        <v>13893960.939999986</v>
      </c>
      <c r="O9" s="133">
        <f>+Conso!$AL$406</f>
        <v>1960729.2399999967</v>
      </c>
      <c r="P9" s="133">
        <f>+Conso!$AL$482</f>
        <v>554891.32999999693</v>
      </c>
      <c r="Q9" s="133">
        <f>+Conso!$AL$497</f>
        <v>541947.82999999693</v>
      </c>
    </row>
    <row r="10" spans="1:17" s="130" customFormat="1" ht="16.5" customHeight="1">
      <c r="A10" s="132" t="s">
        <v>203</v>
      </c>
      <c r="B10" s="144" t="e">
        <f>+SUM(B11:B13)</f>
        <v>#REF!</v>
      </c>
      <c r="C10" s="144" t="e">
        <f t="shared" ref="C10:Q10" si="9">+SUM(C11:C13)</f>
        <v>#REF!</v>
      </c>
      <c r="D10" s="144" t="e">
        <f t="shared" si="9"/>
        <v>#REF!</v>
      </c>
      <c r="E10" s="144" t="e">
        <f t="shared" si="9"/>
        <v>#REF!</v>
      </c>
      <c r="F10" s="144" t="e">
        <f t="shared" si="9"/>
        <v>#REF!</v>
      </c>
      <c r="G10" s="144" t="e">
        <f t="shared" si="9"/>
        <v>#REF!</v>
      </c>
      <c r="H10" s="144" t="e">
        <f t="shared" si="9"/>
        <v>#REF!</v>
      </c>
      <c r="I10" s="144" t="e">
        <f t="shared" si="9"/>
        <v>#REF!</v>
      </c>
      <c r="J10" s="144" t="e">
        <f t="shared" si="9"/>
        <v>#REF!</v>
      </c>
      <c r="K10" s="144" t="e">
        <f t="shared" si="9"/>
        <v>#REF!</v>
      </c>
      <c r="L10" s="144" t="e">
        <f t="shared" si="9"/>
        <v>#REF!</v>
      </c>
      <c r="M10" s="144" t="e">
        <f t="shared" si="9"/>
        <v>#REF!</v>
      </c>
      <c r="N10" s="144" t="e">
        <f t="shared" si="9"/>
        <v>#REF!</v>
      </c>
      <c r="O10" s="144" t="e">
        <f t="shared" si="9"/>
        <v>#REF!</v>
      </c>
      <c r="P10" s="144" t="e">
        <f t="shared" si="9"/>
        <v>#REF!</v>
      </c>
      <c r="Q10" s="144" t="e">
        <f t="shared" si="9"/>
        <v>#REF!</v>
      </c>
    </row>
    <row r="11" spans="1:17" s="130" customFormat="1" ht="16.5" customHeight="1">
      <c r="A11" s="141" t="s">
        <v>210</v>
      </c>
      <c r="B11" s="134" t="e">
        <f>+#REF!</f>
        <v>#REF!</v>
      </c>
      <c r="C11" s="134" t="e">
        <f>+#REF!</f>
        <v>#REF!</v>
      </c>
      <c r="D11" s="134" t="e">
        <f>+#REF!</f>
        <v>#REF!</v>
      </c>
      <c r="E11" s="134" t="e">
        <f>+#REF!</f>
        <v>#REF!</v>
      </c>
      <c r="F11" s="134" t="e">
        <f>+#REF!</f>
        <v>#REF!</v>
      </c>
      <c r="G11" s="134" t="e">
        <f>+#REF!</f>
        <v>#REF!</v>
      </c>
      <c r="H11" s="134" t="e">
        <f>+#REF!</f>
        <v>#REF!</v>
      </c>
      <c r="I11" s="134" t="e">
        <f>+#REF!</f>
        <v>#REF!</v>
      </c>
      <c r="J11" s="146" t="e">
        <f>+#REF!</f>
        <v>#REF!</v>
      </c>
      <c r="K11" s="146" t="e">
        <f>+#REF!</f>
        <v>#REF!</v>
      </c>
      <c r="L11" s="146" t="e">
        <f>+#REF!</f>
        <v>#REF!</v>
      </c>
      <c r="M11" s="146" t="e">
        <f>+#REF!</f>
        <v>#REF!</v>
      </c>
      <c r="N11" s="134" t="e">
        <f>+#REF!</f>
        <v>#REF!</v>
      </c>
      <c r="O11" s="134" t="e">
        <f>+#REF!</f>
        <v>#REF!</v>
      </c>
      <c r="P11" s="134" t="e">
        <f>+#REF!</f>
        <v>#REF!</v>
      </c>
      <c r="Q11" s="134" t="e">
        <f>+#REF!</f>
        <v>#REF!</v>
      </c>
    </row>
    <row r="12" spans="1:17" s="130" customFormat="1" ht="16.5" customHeight="1">
      <c r="A12" s="142" t="s">
        <v>211</v>
      </c>
      <c r="B12" s="135" t="e">
        <f>+#REF!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47" t="e">
        <f>+#REF!</f>
        <v>#REF!</v>
      </c>
      <c r="K12" s="147" t="e">
        <f>+#REF!</f>
        <v>#REF!</v>
      </c>
      <c r="L12" s="147" t="e">
        <f>+#REF!</f>
        <v>#REF!</v>
      </c>
      <c r="M12" s="147" t="e">
        <f>+#REF!</f>
        <v>#REF!</v>
      </c>
      <c r="N12" s="135" t="e">
        <f>+#REF!</f>
        <v>#REF!</v>
      </c>
      <c r="O12" s="135" t="e">
        <f>+#REF!</f>
        <v>#REF!</v>
      </c>
      <c r="P12" s="135" t="e">
        <f>+#REF!</f>
        <v>#REF!</v>
      </c>
      <c r="Q12" s="135" t="e">
        <f>+#REF!</f>
        <v>#REF!</v>
      </c>
    </row>
    <row r="13" spans="1:17">
      <c r="A13" s="143" t="s">
        <v>212</v>
      </c>
      <c r="B13" s="136" t="e">
        <f>+#REF!</f>
        <v>#REF!</v>
      </c>
      <c r="C13" s="136" t="e">
        <f>+#REF!</f>
        <v>#REF!</v>
      </c>
      <c r="D13" s="136" t="e">
        <f>+#REF!</f>
        <v>#REF!</v>
      </c>
      <c r="E13" s="136" t="e">
        <f>+#REF!</f>
        <v>#REF!</v>
      </c>
      <c r="F13" s="136" t="e">
        <f>+#REF!</f>
        <v>#REF!</v>
      </c>
      <c r="G13" s="136" t="e">
        <f>+#REF!</f>
        <v>#REF!</v>
      </c>
      <c r="H13" s="136" t="e">
        <f>+#REF!</f>
        <v>#REF!</v>
      </c>
      <c r="I13" s="136" t="e">
        <f>+#REF!</f>
        <v>#REF!</v>
      </c>
      <c r="J13" s="148" t="e">
        <f>+#REF!</f>
        <v>#REF!</v>
      </c>
      <c r="K13" s="148" t="e">
        <f>+#REF!</f>
        <v>#REF!</v>
      </c>
      <c r="L13" s="148" t="e">
        <f>+#REF!</f>
        <v>#REF!</v>
      </c>
      <c r="M13" s="148" t="e">
        <f>+#REF!</f>
        <v>#REF!</v>
      </c>
      <c r="N13" s="136" t="e">
        <f>+#REF!</f>
        <v>#REF!</v>
      </c>
      <c r="O13" s="136" t="e">
        <f>+#REF!</f>
        <v>#REF!</v>
      </c>
      <c r="P13" s="136" t="e">
        <f>+#REF!</f>
        <v>#REF!</v>
      </c>
      <c r="Q13" s="136" t="e">
        <f>+#REF!</f>
        <v>#REF!</v>
      </c>
    </row>
  </sheetData>
  <mergeCells count="4">
    <mergeCell ref="B6:E6"/>
    <mergeCell ref="F6:I6"/>
    <mergeCell ref="J6:M6"/>
    <mergeCell ref="N6:Q6"/>
  </mergeCells>
  <phoneticPr fontId="2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C1" zoomScale="70" zoomScaleNormal="70" workbookViewId="0">
      <selection activeCell="K33" sqref="K33"/>
    </sheetView>
  </sheetViews>
  <sheetFormatPr defaultColWidth="12.59765625" defaultRowHeight="15" customHeight="1"/>
  <cols>
    <col min="1" max="1" width="24.09765625" style="23" hidden="1" customWidth="1"/>
    <col min="2" max="2" width="21.59765625" style="23" hidden="1" customWidth="1"/>
    <col min="3" max="3" width="34.59765625" style="23" customWidth="1"/>
    <col min="4" max="4" width="16.3984375" style="23" customWidth="1"/>
    <col min="5" max="5" width="15.59765625" style="23" customWidth="1"/>
    <col min="6" max="6" width="16.8984375" style="23" customWidth="1"/>
    <col min="7" max="7" width="17.69921875" style="23" hidden="1" customWidth="1"/>
    <col min="8" max="8" width="15.59765625" style="23" hidden="1" customWidth="1"/>
    <col min="9" max="9" width="15.8984375" style="23" hidden="1" customWidth="1"/>
    <col min="10" max="10" width="16.69921875" style="23" customWidth="1"/>
    <col min="11" max="11" width="14.5" style="23" customWidth="1"/>
    <col min="12" max="12" width="15.8984375" style="23" customWidth="1"/>
    <col min="13" max="13" width="12" style="23" customWidth="1"/>
    <col min="14" max="14" width="18.59765625" style="23" customWidth="1"/>
    <col min="15" max="15" width="16.3984375" style="23" customWidth="1"/>
    <col min="16" max="16" width="15.59765625" style="23" customWidth="1"/>
    <col min="17" max="17" width="16.3984375" style="23" customWidth="1"/>
    <col min="18" max="19" width="18.69921875" style="23" customWidth="1"/>
    <col min="20" max="20" width="3" style="23" customWidth="1"/>
    <col min="21" max="21" width="4" style="23" customWidth="1"/>
    <col min="22" max="22" width="29.8984375" style="23" customWidth="1"/>
    <col min="23" max="23" width="12.8984375" style="23" customWidth="1"/>
    <col min="24" max="24" width="13.3984375" style="23" customWidth="1"/>
    <col min="25" max="25" width="10.5" style="23" customWidth="1"/>
    <col min="26" max="26" width="17.3984375" style="23" customWidth="1"/>
    <col min="27" max="27" width="10.8984375" style="23" hidden="1" customWidth="1"/>
    <col min="28" max="28" width="10" style="23" hidden="1" customWidth="1"/>
    <col min="29" max="29" width="17.5" style="23" hidden="1" customWidth="1"/>
    <col min="30" max="30" width="16.3984375" style="23" customWidth="1"/>
    <col min="31" max="31" width="12" style="23" customWidth="1"/>
    <col min="32" max="32" width="18.8984375" style="23" customWidth="1"/>
    <col min="33" max="33" width="10.8984375" style="23" customWidth="1"/>
    <col min="34" max="34" width="16.19921875" style="23" customWidth="1"/>
    <col min="35" max="35" width="12.3984375" style="23" customWidth="1"/>
    <col min="36" max="36" width="10.8984375" style="23" customWidth="1"/>
    <col min="37" max="37" width="10" style="23" customWidth="1"/>
    <col min="38" max="38" width="17.5" style="23" customWidth="1"/>
    <col min="39" max="39" width="10.8984375" style="23" customWidth="1"/>
    <col min="40" max="40" width="16" style="23" customWidth="1"/>
    <col min="41" max="41" width="12.3984375" style="23" customWidth="1"/>
    <col min="42" max="42" width="11" style="23" customWidth="1"/>
    <col min="43" max="43" width="24" style="23" customWidth="1"/>
    <col min="44" max="62" width="11" style="23" customWidth="1"/>
    <col min="63" max="16384" width="12.59765625" style="23"/>
  </cols>
  <sheetData>
    <row r="1" spans="1:40" ht="17.399999999999999">
      <c r="B1" s="177"/>
      <c r="C1" s="177" t="s">
        <v>192</v>
      </c>
      <c r="D1" s="6"/>
      <c r="E1" s="6"/>
      <c r="F1" s="6"/>
      <c r="G1" s="6"/>
      <c r="H1" s="177"/>
      <c r="I1" s="6"/>
      <c r="J1" s="177"/>
      <c r="K1" s="178" t="s">
        <v>0</v>
      </c>
      <c r="L1" s="6"/>
      <c r="M1" s="6"/>
      <c r="N1" s="179"/>
      <c r="O1" s="177"/>
      <c r="P1" s="6"/>
      <c r="Q1" s="177"/>
      <c r="R1" s="6"/>
      <c r="S1" s="180" t="str">
        <f>CONCATENATE("Réalisé"," ",Paramètre!$C$2," ",Paramètre!$C$3)</f>
        <v xml:space="preserve">Réalisé  </v>
      </c>
      <c r="T1" s="6" t="s">
        <v>1</v>
      </c>
      <c r="U1" s="73"/>
      <c r="V1" s="176"/>
      <c r="W1" s="176"/>
      <c r="X1" s="176"/>
      <c r="Y1" s="176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</row>
    <row r="2" spans="1:40" ht="15" customHeight="1" thickBot="1">
      <c r="B2" s="181"/>
      <c r="C2" s="182"/>
      <c r="D2" s="175" t="s">
        <v>2</v>
      </c>
      <c r="E2" s="175" t="s">
        <v>3</v>
      </c>
      <c r="F2" s="175" t="s">
        <v>4</v>
      </c>
      <c r="G2" s="175" t="s">
        <v>2</v>
      </c>
      <c r="H2" s="175" t="s">
        <v>3</v>
      </c>
      <c r="I2" s="175" t="s">
        <v>4</v>
      </c>
      <c r="J2" s="183"/>
      <c r="K2" s="175"/>
      <c r="L2" s="183"/>
      <c r="O2" s="175"/>
      <c r="P2" s="175"/>
      <c r="Q2" s="175"/>
    </row>
    <row r="3" spans="1:40" ht="18" thickTop="1">
      <c r="B3" s="184"/>
      <c r="C3" s="185"/>
      <c r="D3" s="484" t="s">
        <v>5</v>
      </c>
      <c r="E3" s="485"/>
      <c r="F3" s="486"/>
      <c r="G3" s="487" t="s">
        <v>6</v>
      </c>
      <c r="H3" s="485"/>
      <c r="I3" s="486"/>
      <c r="J3" s="487" t="s">
        <v>7</v>
      </c>
      <c r="K3" s="485"/>
      <c r="L3" s="486"/>
      <c r="M3" s="487" t="s">
        <v>9</v>
      </c>
      <c r="N3" s="486"/>
      <c r="O3" s="484" t="s">
        <v>8</v>
      </c>
      <c r="P3" s="485"/>
      <c r="Q3" s="486"/>
      <c r="R3" s="487" t="s">
        <v>217</v>
      </c>
      <c r="S3" s="488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7.399999999999999">
      <c r="B4" s="184"/>
      <c r="C4" s="3"/>
      <c r="D4" s="186" t="s">
        <v>10</v>
      </c>
      <c r="E4" s="183" t="s">
        <v>11</v>
      </c>
      <c r="F4" s="187" t="s">
        <v>12</v>
      </c>
      <c r="G4" s="188" t="s">
        <v>10</v>
      </c>
      <c r="H4" s="183" t="s">
        <v>11</v>
      </c>
      <c r="I4" s="187" t="s">
        <v>12</v>
      </c>
      <c r="J4" s="188" t="s">
        <v>10</v>
      </c>
      <c r="K4" s="183" t="s">
        <v>13</v>
      </c>
      <c r="L4" s="187" t="s">
        <v>12</v>
      </c>
      <c r="M4" s="188" t="s">
        <v>14</v>
      </c>
      <c r="N4" s="187" t="s">
        <v>12</v>
      </c>
      <c r="O4" s="183" t="s">
        <v>10</v>
      </c>
      <c r="P4" s="183" t="s">
        <v>13</v>
      </c>
      <c r="Q4" s="187" t="s">
        <v>12</v>
      </c>
      <c r="R4" s="188" t="s">
        <v>10</v>
      </c>
      <c r="S4" s="189" t="s">
        <v>12</v>
      </c>
      <c r="V4" s="190"/>
      <c r="W4" s="190"/>
      <c r="X4" s="191"/>
      <c r="Y4" s="191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</row>
    <row r="5" spans="1:40" ht="17.399999999999999">
      <c r="A5" s="23" t="str">
        <f>+B5&amp;C5</f>
        <v>Véhicules neufsVentes nettes</v>
      </c>
      <c r="B5" s="184" t="str">
        <f t="shared" ref="B5:B85" si="0">+$K$1</f>
        <v>Véhicules neufs</v>
      </c>
      <c r="C5" s="5" t="s">
        <v>15</v>
      </c>
      <c r="D5" s="192"/>
      <c r="E5" s="192"/>
      <c r="F5" s="193">
        <f>+SUM(START:END!F5)</f>
        <v>9890625.2129493617</v>
      </c>
      <c r="G5" s="153"/>
      <c r="H5" s="192"/>
      <c r="I5" s="193">
        <f>+SUM(START:END!I5)</f>
        <v>0</v>
      </c>
      <c r="J5" s="153"/>
      <c r="K5" s="194"/>
      <c r="L5" s="193">
        <f>+SUM(START:END!L5)</f>
        <v>9890070.0399999991</v>
      </c>
      <c r="M5" s="195"/>
      <c r="N5" s="196"/>
      <c r="O5" s="153"/>
      <c r="P5" s="194"/>
      <c r="Q5" s="193">
        <f>+SUM(START:END!Q5)</f>
        <v>7425353.9299999997</v>
      </c>
      <c r="R5" s="195"/>
      <c r="S5" s="197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</row>
    <row r="6" spans="1:40" ht="17.399999999999999">
      <c r="A6" s="23" t="str">
        <f t="shared" ref="A6:A85" si="1">+B6&amp;C6</f>
        <v>Véhicules neufsAutos détail</v>
      </c>
      <c r="B6" s="184" t="str">
        <f t="shared" si="0"/>
        <v>Véhicules neufs</v>
      </c>
      <c r="C6" s="1" t="s">
        <v>16</v>
      </c>
      <c r="D6" s="198">
        <f>+SUM(START:END!D6)</f>
        <v>37</v>
      </c>
      <c r="E6" s="198">
        <f>IF(D6=0,0,F6/D6)</f>
        <v>2174.358448241202</v>
      </c>
      <c r="F6" s="198">
        <f>+SUM(START:END!F6)</f>
        <v>80451.26258492448</v>
      </c>
      <c r="G6" s="199">
        <f>+SUM(START:END!G6)</f>
        <v>0</v>
      </c>
      <c r="H6" s="198">
        <f>IF(G6=0,0,I6/G6)</f>
        <v>0</v>
      </c>
      <c r="I6" s="198">
        <f>+SUM(START:END!I6)</f>
        <v>0</v>
      </c>
      <c r="J6" s="199">
        <f>+SUM(START:END!J6)</f>
        <v>51</v>
      </c>
      <c r="K6" s="198">
        <f>IF(J6=0,0,L6/J6)</f>
        <v>1956.1580392156839</v>
      </c>
      <c r="L6" s="200">
        <f>+SUM(START:END!L6)</f>
        <v>99764.059999999881</v>
      </c>
      <c r="M6" s="199">
        <f>J6-D6</f>
        <v>14</v>
      </c>
      <c r="N6" s="201">
        <f>L6-F6</f>
        <v>19312.797415075402</v>
      </c>
      <c r="O6" s="199">
        <f>+SUM(START:END!O6)</f>
        <v>40</v>
      </c>
      <c r="P6" s="198">
        <f>IF(O6=0,0,Q6/O6)</f>
        <v>2348.4692499999951</v>
      </c>
      <c r="Q6" s="200">
        <f>+SUM(START:END!Q6)</f>
        <v>93938.7699999998</v>
      </c>
      <c r="R6" s="199">
        <f t="shared" ref="R6:R12" si="2">J6-O6</f>
        <v>11</v>
      </c>
      <c r="S6" s="202">
        <f t="shared" ref="S6:S12" si="3">L6-Q6</f>
        <v>5825.2900000000809</v>
      </c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</row>
    <row r="7" spans="1:40" ht="17.399999999999999">
      <c r="A7" s="23" t="str">
        <f t="shared" si="1"/>
        <v>Véhicules neufsCamions détail</v>
      </c>
      <c r="B7" s="184" t="str">
        <f t="shared" si="0"/>
        <v>Véhicules neufs</v>
      </c>
      <c r="C7" s="1" t="s">
        <v>17</v>
      </c>
      <c r="D7" s="198">
        <f>+SUM(START:END!D7)</f>
        <v>151.68</v>
      </c>
      <c r="E7" s="198">
        <f t="shared" ref="E7:E12" si="4">IF(D7=0,0,F7/D7)</f>
        <v>2865.6675315873927</v>
      </c>
      <c r="F7" s="198">
        <f>+SUM(START:END!F7)</f>
        <v>434664.45119117573</v>
      </c>
      <c r="G7" s="199">
        <f>+SUM(START:END!G7)</f>
        <v>0</v>
      </c>
      <c r="H7" s="198">
        <f t="shared" ref="H7:H12" si="5">IF(G7=0,0,I7/G7)</f>
        <v>0</v>
      </c>
      <c r="I7" s="198">
        <f>+SUM(START:END!I7)</f>
        <v>0</v>
      </c>
      <c r="J7" s="199">
        <f>+SUM(START:END!J7)</f>
        <v>127</v>
      </c>
      <c r="K7" s="198">
        <f t="shared" ref="K7:K12" si="6">IF(J7=0,0,L7/J7)</f>
        <v>2623.2422834645681</v>
      </c>
      <c r="L7" s="200">
        <f>+SUM(START:END!L7)</f>
        <v>333151.77000000014</v>
      </c>
      <c r="M7" s="199">
        <f t="shared" ref="M7:M9" si="7">J7-D7</f>
        <v>-24.680000000000007</v>
      </c>
      <c r="N7" s="201">
        <f t="shared" ref="N7:N9" si="8">L7-F7</f>
        <v>-101512.68119117559</v>
      </c>
      <c r="O7" s="199">
        <f>+SUM(START:END!O7)</f>
        <v>89</v>
      </c>
      <c r="P7" s="198">
        <f t="shared" ref="P7:P12" si="9">IF(O7=0,0,Q7/O7)</f>
        <v>2474.2397752809011</v>
      </c>
      <c r="Q7" s="200">
        <f>+SUM(START:END!Q7)</f>
        <v>220207.3400000002</v>
      </c>
      <c r="R7" s="199">
        <f t="shared" si="2"/>
        <v>38</v>
      </c>
      <c r="S7" s="202">
        <f t="shared" si="3"/>
        <v>112944.42999999993</v>
      </c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</row>
    <row r="8" spans="1:40" ht="17.399999999999999">
      <c r="A8" s="23" t="str">
        <f t="shared" si="1"/>
        <v>Véhicules neufsSprinter</v>
      </c>
      <c r="B8" s="184" t="str">
        <f t="shared" si="0"/>
        <v>Véhicules neufs</v>
      </c>
      <c r="C8" s="1" t="s">
        <v>18</v>
      </c>
      <c r="D8" s="198">
        <f>+SUM(START:END!D8)</f>
        <v>0</v>
      </c>
      <c r="E8" s="198">
        <f t="shared" si="4"/>
        <v>0</v>
      </c>
      <c r="F8" s="198">
        <f>+SUM(START:END!F8)</f>
        <v>0</v>
      </c>
      <c r="G8" s="199">
        <f>+SUM(START:END!G8)</f>
        <v>0</v>
      </c>
      <c r="H8" s="198">
        <f t="shared" si="5"/>
        <v>0</v>
      </c>
      <c r="I8" s="198">
        <f>+SUM(START:END!I8)</f>
        <v>0</v>
      </c>
      <c r="J8" s="199">
        <f>+SUM(START:END!J8)</f>
        <v>0</v>
      </c>
      <c r="K8" s="198">
        <f t="shared" si="6"/>
        <v>0</v>
      </c>
      <c r="L8" s="200">
        <f>+SUM(START:END!L8)</f>
        <v>0</v>
      </c>
      <c r="M8" s="199">
        <f t="shared" si="7"/>
        <v>0</v>
      </c>
      <c r="N8" s="201">
        <f t="shared" si="8"/>
        <v>0</v>
      </c>
      <c r="O8" s="199">
        <f>+SUM(START:END!O8)</f>
        <v>0</v>
      </c>
      <c r="P8" s="198">
        <f t="shared" si="9"/>
        <v>0</v>
      </c>
      <c r="Q8" s="200">
        <f>+SUM(START:END!Q8)</f>
        <v>0</v>
      </c>
      <c r="R8" s="199">
        <f t="shared" si="2"/>
        <v>0</v>
      </c>
      <c r="S8" s="202">
        <f t="shared" si="3"/>
        <v>0</v>
      </c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</row>
    <row r="9" spans="1:40" ht="17.399999999999999">
      <c r="A9" s="23" t="str">
        <f t="shared" si="1"/>
        <v>Véhicules neufsMoto détail</v>
      </c>
      <c r="B9" s="184" t="str">
        <f t="shared" si="0"/>
        <v>Véhicules neufs</v>
      </c>
      <c r="C9" s="1" t="s">
        <v>19</v>
      </c>
      <c r="D9" s="198">
        <f>+SUM(START:END!D9)</f>
        <v>0</v>
      </c>
      <c r="E9" s="198">
        <f t="shared" si="4"/>
        <v>0</v>
      </c>
      <c r="F9" s="198">
        <f>+SUM(START:END!F9)</f>
        <v>0</v>
      </c>
      <c r="G9" s="199">
        <f>+SUM(START:END!G9)</f>
        <v>0</v>
      </c>
      <c r="H9" s="198">
        <f t="shared" si="5"/>
        <v>0</v>
      </c>
      <c r="I9" s="198">
        <f>+SUM(START:END!I9)</f>
        <v>0</v>
      </c>
      <c r="J9" s="199">
        <f>+SUM(START:END!J9)</f>
        <v>0</v>
      </c>
      <c r="K9" s="198">
        <f t="shared" si="6"/>
        <v>0</v>
      </c>
      <c r="L9" s="200">
        <f>+SUM(START:END!L9)</f>
        <v>0</v>
      </c>
      <c r="M9" s="199">
        <f t="shared" si="7"/>
        <v>0</v>
      </c>
      <c r="N9" s="201">
        <f t="shared" si="8"/>
        <v>0</v>
      </c>
      <c r="O9" s="199">
        <f>+SUM(START:END!O9)</f>
        <v>0</v>
      </c>
      <c r="P9" s="198">
        <f t="shared" si="9"/>
        <v>0</v>
      </c>
      <c r="Q9" s="200">
        <f>+SUM(START:END!Q9)</f>
        <v>0</v>
      </c>
      <c r="R9" s="199">
        <f t="shared" si="2"/>
        <v>0</v>
      </c>
      <c r="S9" s="202">
        <f t="shared" si="3"/>
        <v>0</v>
      </c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0" ht="17.399999999999999" hidden="1">
      <c r="A10" s="23" t="str">
        <f t="shared" si="1"/>
        <v>Véhicules neufs[...]</v>
      </c>
      <c r="B10" s="184" t="str">
        <f t="shared" si="0"/>
        <v>Véhicules neufs</v>
      </c>
      <c r="C10" s="1" t="s">
        <v>20</v>
      </c>
      <c r="D10" s="198">
        <f>+SUM(START:END!D10)</f>
        <v>0</v>
      </c>
      <c r="E10" s="198">
        <f t="shared" si="4"/>
        <v>0</v>
      </c>
      <c r="F10" s="198">
        <f>+SUM(START:END!F10)</f>
        <v>0</v>
      </c>
      <c r="G10" s="199">
        <f>+SUM(START:END!G10)</f>
        <v>0</v>
      </c>
      <c r="H10" s="198">
        <f t="shared" si="5"/>
        <v>0</v>
      </c>
      <c r="I10" s="198">
        <f>+SUM(START:END!I10)</f>
        <v>0</v>
      </c>
      <c r="J10" s="199">
        <f>+SUM(START:END!J10)</f>
        <v>0</v>
      </c>
      <c r="K10" s="198">
        <f t="shared" si="6"/>
        <v>0</v>
      </c>
      <c r="L10" s="200">
        <f>+SUM(START:END!L10)</f>
        <v>0</v>
      </c>
      <c r="M10" s="199">
        <f t="shared" ref="M10:M12" si="10">J10-G10</f>
        <v>0</v>
      </c>
      <c r="N10" s="201">
        <f t="shared" ref="N10:N12" si="11">L10-I10</f>
        <v>0</v>
      </c>
      <c r="O10" s="199">
        <f>+SUM(START:END!O10)</f>
        <v>0</v>
      </c>
      <c r="P10" s="198">
        <f t="shared" si="9"/>
        <v>0</v>
      </c>
      <c r="Q10" s="200">
        <f>+SUM(START:END!Q10)</f>
        <v>0</v>
      </c>
      <c r="R10" s="199">
        <f t="shared" si="2"/>
        <v>0</v>
      </c>
      <c r="S10" s="202">
        <f t="shared" si="3"/>
        <v>0</v>
      </c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0" ht="17.399999999999999" hidden="1">
      <c r="A11" s="23" t="str">
        <f t="shared" si="1"/>
        <v>Véhicules neufs[...]</v>
      </c>
      <c r="B11" s="184" t="str">
        <f t="shared" si="0"/>
        <v>Véhicules neufs</v>
      </c>
      <c r="C11" s="1" t="s">
        <v>20</v>
      </c>
      <c r="D11" s="198">
        <f>+SUM(START:END!D11)</f>
        <v>0</v>
      </c>
      <c r="E11" s="198">
        <f t="shared" si="4"/>
        <v>0</v>
      </c>
      <c r="F11" s="198">
        <f>+SUM(START:END!F11)</f>
        <v>0</v>
      </c>
      <c r="G11" s="199">
        <f>+SUM(START:END!G11)</f>
        <v>0</v>
      </c>
      <c r="H11" s="198">
        <f t="shared" si="5"/>
        <v>0</v>
      </c>
      <c r="I11" s="198">
        <f>+SUM(START:END!I11)</f>
        <v>0</v>
      </c>
      <c r="J11" s="199">
        <f>+SUM(START:END!J11)</f>
        <v>0</v>
      </c>
      <c r="K11" s="198">
        <f t="shared" si="6"/>
        <v>0</v>
      </c>
      <c r="L11" s="200">
        <f>+SUM(START:END!L11)</f>
        <v>0</v>
      </c>
      <c r="M11" s="199">
        <f t="shared" si="10"/>
        <v>0</v>
      </c>
      <c r="N11" s="201">
        <f t="shared" si="11"/>
        <v>0</v>
      </c>
      <c r="O11" s="199">
        <f>+SUM(START:END!O11)</f>
        <v>0</v>
      </c>
      <c r="P11" s="198">
        <f t="shared" si="9"/>
        <v>0</v>
      </c>
      <c r="Q11" s="200">
        <f>+SUM(START:END!Q11)</f>
        <v>0</v>
      </c>
      <c r="R11" s="199">
        <f t="shared" si="2"/>
        <v>0</v>
      </c>
      <c r="S11" s="202">
        <f t="shared" si="3"/>
        <v>0</v>
      </c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0" ht="17.399999999999999" hidden="1">
      <c r="A12" s="23" t="str">
        <f t="shared" si="1"/>
        <v>Véhicules neufs[...]</v>
      </c>
      <c r="B12" s="184" t="str">
        <f t="shared" si="0"/>
        <v>Véhicules neufs</v>
      </c>
      <c r="C12" s="1" t="s">
        <v>20</v>
      </c>
      <c r="D12" s="198">
        <f>+SUM(START:END!D12)</f>
        <v>0</v>
      </c>
      <c r="E12" s="198">
        <f t="shared" si="4"/>
        <v>0</v>
      </c>
      <c r="F12" s="198">
        <f>+SUM(START:END!F12)</f>
        <v>0</v>
      </c>
      <c r="G12" s="199">
        <f>+SUM(START:END!G12)</f>
        <v>0</v>
      </c>
      <c r="H12" s="198">
        <f t="shared" si="5"/>
        <v>0</v>
      </c>
      <c r="I12" s="198">
        <f>+SUM(START:END!I12)</f>
        <v>0</v>
      </c>
      <c r="J12" s="199">
        <f>+SUM(START:END!J12)</f>
        <v>0</v>
      </c>
      <c r="K12" s="198">
        <f t="shared" si="6"/>
        <v>0</v>
      </c>
      <c r="L12" s="200">
        <f>+SUM(START:END!L12)</f>
        <v>0</v>
      </c>
      <c r="M12" s="199">
        <f t="shared" si="10"/>
        <v>0</v>
      </c>
      <c r="N12" s="201">
        <f t="shared" si="11"/>
        <v>0</v>
      </c>
      <c r="O12" s="199">
        <f>+SUM(START:END!O12)</f>
        <v>0</v>
      </c>
      <c r="P12" s="198">
        <f t="shared" si="9"/>
        <v>0</v>
      </c>
      <c r="Q12" s="200">
        <f>+SUM(START:END!Q12)</f>
        <v>0</v>
      </c>
      <c r="R12" s="199">
        <f t="shared" si="2"/>
        <v>0</v>
      </c>
      <c r="S12" s="202">
        <f t="shared" si="3"/>
        <v>0</v>
      </c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0" ht="17.399999999999999">
      <c r="A13" s="23" t="str">
        <f t="shared" si="1"/>
        <v>Véhicules neufsTotal Neufs</v>
      </c>
      <c r="B13" s="184" t="str">
        <f t="shared" si="0"/>
        <v>Véhicules neufs</v>
      </c>
      <c r="C13" s="203" t="s">
        <v>21</v>
      </c>
      <c r="D13" s="204">
        <f>+SUM(D6:D12)</f>
        <v>188.68</v>
      </c>
      <c r="E13" s="204">
        <f>IF(D13&lt;=0,0,F13/D13)</f>
        <v>2730.1023626038805</v>
      </c>
      <c r="F13" s="205">
        <f>+SUM(F6:F12)</f>
        <v>515115.71377610019</v>
      </c>
      <c r="G13" s="206">
        <f>+SUM(G6:G12)</f>
        <v>0</v>
      </c>
      <c r="H13" s="204">
        <f>IF(G13&lt;=0,0,I13/G13)</f>
        <v>0</v>
      </c>
      <c r="I13" s="205">
        <f>+SUM(I6:I12)</f>
        <v>0</v>
      </c>
      <c r="J13" s="206">
        <f>+SUM(J6:J12)</f>
        <v>178</v>
      </c>
      <c r="K13" s="204">
        <f>IF(J13&lt;=0,0,L13/J13)</f>
        <v>2432.111404494382</v>
      </c>
      <c r="L13" s="205">
        <f>+SUM(L6:L12)</f>
        <v>432915.83</v>
      </c>
      <c r="M13" s="206">
        <f>+SUM(M6:M12)</f>
        <v>-10.680000000000007</v>
      </c>
      <c r="N13" s="205">
        <f>+SUM(N6:N12)</f>
        <v>-82199.883776100192</v>
      </c>
      <c r="O13" s="206">
        <f>+SUM(O6:O12)</f>
        <v>129</v>
      </c>
      <c r="P13" s="204">
        <f>IF(O13&lt;=0,0,Q13/O13)</f>
        <v>2435.2411627906977</v>
      </c>
      <c r="Q13" s="205">
        <f>+SUM(Q6:Q12)</f>
        <v>314146.11</v>
      </c>
      <c r="R13" s="206">
        <f>+SUM(R6:R12)</f>
        <v>49</v>
      </c>
      <c r="S13" s="207">
        <f>+SUM(S6:S12)</f>
        <v>118769.72000000002</v>
      </c>
      <c r="V13" s="198"/>
      <c r="W13" s="198"/>
      <c r="X13" s="198"/>
      <c r="Y13" s="19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</row>
    <row r="14" spans="1:40" ht="17.399999999999999">
      <c r="A14" s="23" t="str">
        <f t="shared" si="1"/>
        <v>Véhicules neufs</v>
      </c>
      <c r="B14" s="184" t="str">
        <f t="shared" si="0"/>
        <v>Véhicules neufs</v>
      </c>
      <c r="C14" s="1"/>
      <c r="E14" s="198"/>
      <c r="F14" s="208"/>
      <c r="G14" s="152"/>
      <c r="H14" s="198"/>
      <c r="I14" s="208"/>
      <c r="J14" s="152"/>
      <c r="K14" s="198"/>
      <c r="L14" s="208"/>
      <c r="M14" s="170"/>
      <c r="N14" s="171">
        <f>IF(F13=0,0,N13/F13)</f>
        <v>-0.15957557026076113</v>
      </c>
      <c r="O14" s="152"/>
      <c r="P14" s="198"/>
      <c r="Q14" s="208"/>
      <c r="R14" s="170">
        <f>R13/O13</f>
        <v>0.37984496124031009</v>
      </c>
      <c r="S14" s="209">
        <f>IF(Q13=0,0,(S13/Q13))</f>
        <v>0.37807159222821513</v>
      </c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</row>
    <row r="15" spans="1:40" ht="17.399999999999999">
      <c r="A15" s="23" t="str">
        <f t="shared" si="1"/>
        <v>Véhicules neufsEx-Démos et courtoisies</v>
      </c>
      <c r="B15" s="184" t="str">
        <f t="shared" si="0"/>
        <v>Véhicules neufs</v>
      </c>
      <c r="C15" s="210" t="s">
        <v>22</v>
      </c>
      <c r="D15" s="194">
        <f>+SUM(START:END!D15)</f>
        <v>15.045000000000002</v>
      </c>
      <c r="E15" s="194">
        <f t="shared" ref="E15" si="12">IF(D15=0,0,F15/D15)</f>
        <v>2518.2713278153178</v>
      </c>
      <c r="F15" s="193">
        <f>+SUM(START:END!F15)</f>
        <v>37887.39212698146</v>
      </c>
      <c r="G15" s="211">
        <f>+SUM(START:END!G15)</f>
        <v>0</v>
      </c>
      <c r="H15" s="212">
        <f t="shared" ref="H15" si="13">IF(G15=0,0,I15/G15)</f>
        <v>0</v>
      </c>
      <c r="I15" s="213">
        <f>+SUM(START:END!I15)</f>
        <v>0</v>
      </c>
      <c r="J15" s="214">
        <f>+SUM(START:END!J15)</f>
        <v>9</v>
      </c>
      <c r="K15" s="215">
        <f>IF(J15=0,0,L15/J15)</f>
        <v>1653.9344444444448</v>
      </c>
      <c r="L15" s="215">
        <f>+SUM(START:END!L15)</f>
        <v>14885.410000000003</v>
      </c>
      <c r="M15" s="216">
        <f>J15-G15</f>
        <v>9</v>
      </c>
      <c r="N15" s="213">
        <f>L15-I15</f>
        <v>14885.410000000003</v>
      </c>
      <c r="O15" s="214">
        <f>+SUM(START:END!O15)</f>
        <v>15</v>
      </c>
      <c r="P15" s="215">
        <f>IF(O15=0,0,Q15/O15)</f>
        <v>2083.5413333333267</v>
      </c>
      <c r="Q15" s="215">
        <f>+SUM(START:END!Q15)</f>
        <v>31253.119999999901</v>
      </c>
      <c r="R15" s="216">
        <f>J15-O15</f>
        <v>-6</v>
      </c>
      <c r="S15" s="217">
        <f>L15-Q15</f>
        <v>-16367.709999999897</v>
      </c>
      <c r="V15" s="198"/>
      <c r="W15" s="198"/>
      <c r="X15" s="198"/>
      <c r="Y15" s="19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</row>
    <row r="16" spans="1:40" ht="17.399999999999999">
      <c r="A16" s="23" t="str">
        <f t="shared" si="1"/>
        <v>Véhicules neufs</v>
      </c>
      <c r="B16" s="184" t="str">
        <f t="shared" si="0"/>
        <v>Véhicules neufs</v>
      </c>
      <c r="C16" s="1"/>
      <c r="E16" s="198"/>
      <c r="F16" s="208"/>
      <c r="G16" s="152"/>
      <c r="H16" s="198"/>
      <c r="I16" s="208"/>
      <c r="J16" s="152"/>
      <c r="K16" s="198"/>
      <c r="L16" s="201"/>
      <c r="M16" s="170"/>
      <c r="N16" s="171"/>
      <c r="O16" s="152"/>
      <c r="P16" s="198"/>
      <c r="Q16" s="201"/>
      <c r="R16" s="170"/>
      <c r="S16" s="209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7.399999999999999">
      <c r="A17" s="23" t="str">
        <f t="shared" si="1"/>
        <v>Véhicules neufsFlottes</v>
      </c>
      <c r="B17" s="184" t="str">
        <f t="shared" si="0"/>
        <v>Véhicules neufs</v>
      </c>
      <c r="C17" s="22" t="s">
        <v>23</v>
      </c>
      <c r="D17" s="198">
        <f>+SUM(START:END!D17)</f>
        <v>13.725000000000001</v>
      </c>
      <c r="E17" s="198">
        <f t="shared" ref="E17" si="14">IF(D17=0,0,F17/D17)</f>
        <v>2664.4640678584237</v>
      </c>
      <c r="F17" s="198">
        <f>+SUM(START:END!F17)</f>
        <v>36569.769331356867</v>
      </c>
      <c r="G17" s="199">
        <f>+SUM(START:END!G17)</f>
        <v>0</v>
      </c>
      <c r="H17" s="198">
        <f t="shared" ref="H17" si="15">IF(G17=0,0,I17/G17)</f>
        <v>0</v>
      </c>
      <c r="I17" s="198">
        <f>+SUM(START:END!I17)</f>
        <v>0</v>
      </c>
      <c r="J17" s="216">
        <f>+SUM(START:END!J17)</f>
        <v>0</v>
      </c>
      <c r="K17" s="198">
        <f>IF(J17=0,0,L17/J17)</f>
        <v>0</v>
      </c>
      <c r="L17" s="201">
        <f>+SUM(START:END!L17)</f>
        <v>0</v>
      </c>
      <c r="M17" s="216">
        <f>J17-D17</f>
        <v>-13.725000000000001</v>
      </c>
      <c r="N17" s="201">
        <f>L17-F17</f>
        <v>-36569.769331356867</v>
      </c>
      <c r="O17" s="216">
        <f>+SUM(START:END!O17)</f>
        <v>8</v>
      </c>
      <c r="P17" s="198">
        <f>IF(O17=0,0,Q17/O17)</f>
        <v>2410.1687499999989</v>
      </c>
      <c r="Q17" s="201">
        <f>+SUM(START:END!Q17)</f>
        <v>19281.349999999991</v>
      </c>
      <c r="R17" s="199">
        <f>J17-O17</f>
        <v>-8</v>
      </c>
      <c r="S17" s="202">
        <f>L17-Q17</f>
        <v>-19281.349999999991</v>
      </c>
      <c r="V17" s="198"/>
      <c r="W17" s="198"/>
      <c r="X17" s="198"/>
      <c r="Y17" s="198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7.399999999999999">
      <c r="A18" s="23" t="str">
        <f t="shared" si="1"/>
        <v>Véhicules neufs</v>
      </c>
      <c r="B18" s="184" t="str">
        <f t="shared" si="0"/>
        <v>Véhicules neufs</v>
      </c>
      <c r="C18" s="203"/>
      <c r="D18" s="218"/>
      <c r="E18" s="218"/>
      <c r="F18" s="219"/>
      <c r="G18" s="220"/>
      <c r="H18" s="218"/>
      <c r="I18" s="219"/>
      <c r="J18" s="199"/>
      <c r="K18" s="218"/>
      <c r="L18" s="219"/>
      <c r="M18" s="199"/>
      <c r="N18" s="219"/>
      <c r="O18" s="199"/>
      <c r="P18" s="218"/>
      <c r="Q18" s="219"/>
      <c r="R18" s="220"/>
      <c r="S18" s="221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0" ht="17.399999999999999">
      <c r="A19" s="23" t="str">
        <f t="shared" si="1"/>
        <v>Véhicules neufsRachat bail</v>
      </c>
      <c r="B19" s="184" t="str">
        <f t="shared" si="0"/>
        <v>Véhicules neufs</v>
      </c>
      <c r="C19" s="210" t="s">
        <v>24</v>
      </c>
      <c r="D19" s="198"/>
      <c r="E19" s="198"/>
      <c r="F19" s="198">
        <f>+SUM(START:END!F19)</f>
        <v>25925</v>
      </c>
      <c r="G19" s="199"/>
      <c r="H19" s="198"/>
      <c r="I19" s="198">
        <f>+SUM(START:END!I19)</f>
        <v>0</v>
      </c>
      <c r="J19" s="211"/>
      <c r="K19" s="198"/>
      <c r="L19" s="201">
        <f>+SUM(START:END!L19)</f>
        <v>22060.369999999995</v>
      </c>
      <c r="M19" s="199"/>
      <c r="N19" s="201">
        <f>L19-F19</f>
        <v>-3864.6300000000047</v>
      </c>
      <c r="O19" s="211"/>
      <c r="P19" s="198"/>
      <c r="Q19" s="201">
        <f>+SUM(START:END!Q19)</f>
        <v>32801.62999999991</v>
      </c>
      <c r="R19" s="199">
        <f>O19-K19</f>
        <v>0</v>
      </c>
      <c r="S19" s="202">
        <f>L19-Q19</f>
        <v>-10741.259999999915</v>
      </c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</row>
    <row r="20" spans="1:40" ht="17.399999999999999">
      <c r="A20" s="23" t="str">
        <f t="shared" si="1"/>
        <v>Véhicules neufs</v>
      </c>
      <c r="B20" s="184" t="str">
        <f t="shared" si="0"/>
        <v>Véhicules neufs</v>
      </c>
      <c r="C20" s="203"/>
      <c r="D20" s="218"/>
      <c r="E20" s="218"/>
      <c r="F20" s="219"/>
      <c r="G20" s="220"/>
      <c r="H20" s="218"/>
      <c r="I20" s="219"/>
      <c r="J20" s="199"/>
      <c r="K20" s="218"/>
      <c r="L20" s="219"/>
      <c r="M20" s="220"/>
      <c r="N20" s="219"/>
      <c r="O20" s="199"/>
      <c r="P20" s="218"/>
      <c r="Q20" s="219"/>
      <c r="R20" s="220"/>
      <c r="S20" s="221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</row>
    <row r="21" spans="1:40" ht="15.75" customHeight="1">
      <c r="A21" s="23" t="str">
        <f t="shared" si="1"/>
        <v>Véhicules neufsRev. Finances</v>
      </c>
      <c r="B21" s="184" t="str">
        <f t="shared" si="0"/>
        <v>Véhicules neufs</v>
      </c>
      <c r="C21" s="1" t="s">
        <v>25</v>
      </c>
      <c r="D21" s="198">
        <v>0</v>
      </c>
      <c r="E21" s="198">
        <f t="shared" ref="E21:E23" si="16">IF(D21=0,0,F21/D21)</f>
        <v>0</v>
      </c>
      <c r="F21" s="198">
        <f>+SUM(START:END!F21)</f>
        <v>40745</v>
      </c>
      <c r="G21" s="152">
        <v>0</v>
      </c>
      <c r="H21" s="198">
        <f t="shared" ref="H21:H23" si="17">IF(G21=0,0,I21/G21)</f>
        <v>0</v>
      </c>
      <c r="I21" s="198">
        <f>+SUM(START:END!I21)</f>
        <v>0</v>
      </c>
      <c r="J21" s="199"/>
      <c r="K21" s="198">
        <f>IF(J13=0,0,L21/(J13+J15))</f>
        <v>4.2780748663101607</v>
      </c>
      <c r="L21" s="201">
        <f>+SUM(START:END!L21)</f>
        <v>800</v>
      </c>
      <c r="M21" s="199"/>
      <c r="N21" s="201">
        <f t="shared" ref="N21:N23" si="18">L21-F21</f>
        <v>-39945</v>
      </c>
      <c r="O21" s="199"/>
      <c r="P21" s="198">
        <f>IF(O13=0,0,Q21/(O13+O15))</f>
        <v>102.54680555555557</v>
      </c>
      <c r="Q21" s="201">
        <f>+SUM(START:END!Q21)</f>
        <v>14766.740000000002</v>
      </c>
      <c r="R21" s="199">
        <f t="shared" ref="R21:R23" si="19">O21-K21</f>
        <v>-4.2780748663101607</v>
      </c>
      <c r="S21" s="202">
        <f t="shared" ref="S21:S24" si="20">L21-Q21</f>
        <v>-13966.740000000002</v>
      </c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</row>
    <row r="22" spans="1:40" ht="15.75" customHeight="1">
      <c r="A22" s="23" t="str">
        <f t="shared" si="1"/>
        <v>Véhicules neufsRev. Protections</v>
      </c>
      <c r="B22" s="184" t="str">
        <f t="shared" si="0"/>
        <v>Véhicules neufs</v>
      </c>
      <c r="C22" s="1" t="s">
        <v>26</v>
      </c>
      <c r="D22" s="198">
        <v>0</v>
      </c>
      <c r="E22" s="198">
        <f t="shared" si="16"/>
        <v>0</v>
      </c>
      <c r="F22" s="198">
        <f>+SUM(START:END!F22)</f>
        <v>220023</v>
      </c>
      <c r="G22" s="152">
        <v>0</v>
      </c>
      <c r="H22" s="198">
        <f t="shared" si="17"/>
        <v>0</v>
      </c>
      <c r="I22" s="198">
        <f>+SUM(START:END!I22)</f>
        <v>0</v>
      </c>
      <c r="J22" s="199"/>
      <c r="K22" s="198">
        <f>IF(J13=0,0,L22/(J13+J15))</f>
        <v>777.99171122994653</v>
      </c>
      <c r="L22" s="201">
        <f>+SUM(START:END!L22)</f>
        <v>145484.45000000001</v>
      </c>
      <c r="M22" s="199"/>
      <c r="N22" s="201">
        <f t="shared" si="18"/>
        <v>-74538.549999999988</v>
      </c>
      <c r="O22" s="199"/>
      <c r="P22" s="198">
        <f>IF(O13=0,0,Q22/(O13+O15))</f>
        <v>928.50687499999992</v>
      </c>
      <c r="Q22" s="201">
        <f>+SUM(START:END!Q22)</f>
        <v>133704.99</v>
      </c>
      <c r="R22" s="199">
        <f t="shared" si="19"/>
        <v>-777.99171122994653</v>
      </c>
      <c r="S22" s="202">
        <f t="shared" si="20"/>
        <v>11779.460000000021</v>
      </c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</row>
    <row r="23" spans="1:40" ht="15.75" customHeight="1">
      <c r="A23" s="23" t="str">
        <f t="shared" si="1"/>
        <v>Véhicules neufsRev. Autres</v>
      </c>
      <c r="B23" s="184" t="str">
        <f t="shared" si="0"/>
        <v>Véhicules neufs</v>
      </c>
      <c r="C23" s="1" t="s">
        <v>27</v>
      </c>
      <c r="D23" s="198">
        <v>0</v>
      </c>
      <c r="E23" s="198">
        <f t="shared" si="16"/>
        <v>0</v>
      </c>
      <c r="F23" s="198">
        <f>+SUM(START:END!F23)</f>
        <v>4074.5</v>
      </c>
      <c r="G23" s="152">
        <v>0</v>
      </c>
      <c r="H23" s="198">
        <f t="shared" si="17"/>
        <v>0</v>
      </c>
      <c r="I23" s="198">
        <f>+SUM(START:END!I23)</f>
        <v>0</v>
      </c>
      <c r="J23" s="199"/>
      <c r="K23" s="198">
        <f>IF(J13=0,0,L23/(J13+J15))</f>
        <v>21.696417112299464</v>
      </c>
      <c r="L23" s="201">
        <f>+SUM(START:END!L23)</f>
        <v>4057.23</v>
      </c>
      <c r="M23" s="216"/>
      <c r="N23" s="201">
        <f t="shared" si="18"/>
        <v>-17.269999999999982</v>
      </c>
      <c r="O23" s="199"/>
      <c r="P23" s="198">
        <f>IF(O13=0,0,Q23/(O13+O15))</f>
        <v>12.119236111111112</v>
      </c>
      <c r="Q23" s="201">
        <f>+SUM(START:END!Q23)</f>
        <v>1745.17</v>
      </c>
      <c r="R23" s="199">
        <f t="shared" si="19"/>
        <v>-21.696417112299464</v>
      </c>
      <c r="S23" s="202">
        <f t="shared" si="20"/>
        <v>2312.06</v>
      </c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</row>
    <row r="24" spans="1:40" ht="15.75" customHeight="1">
      <c r="A24" s="23" t="str">
        <f t="shared" si="1"/>
        <v>Véhicules neufsTotal F&amp;I</v>
      </c>
      <c r="B24" s="184" t="str">
        <f t="shared" si="0"/>
        <v>Véhicules neufs</v>
      </c>
      <c r="C24" s="203" t="s">
        <v>28</v>
      </c>
      <c r="D24" s="204">
        <f>+D15+D13</f>
        <v>203.72500000000002</v>
      </c>
      <c r="E24" s="204">
        <f>IF(D24&lt;=0,0,F24/D24)</f>
        <v>1299.9999999999998</v>
      </c>
      <c r="F24" s="205">
        <f>F21+F22+F23</f>
        <v>264842.5</v>
      </c>
      <c r="G24" s="206">
        <f>+G15+G13</f>
        <v>0</v>
      </c>
      <c r="H24" s="204">
        <f>IF(G24&lt;=0,0,I24/G24)</f>
        <v>0</v>
      </c>
      <c r="I24" s="205">
        <f>I21+I22+I23</f>
        <v>0</v>
      </c>
      <c r="J24" s="206">
        <f>+J15+J13</f>
        <v>187</v>
      </c>
      <c r="K24" s="204">
        <f>IF(J24&lt;=0,0,L24/J24)</f>
        <v>803.96620320855629</v>
      </c>
      <c r="L24" s="205">
        <f>L21+L22+L23</f>
        <v>150341.68000000002</v>
      </c>
      <c r="M24" s="206">
        <f>+M15+M13</f>
        <v>-1.6800000000000068</v>
      </c>
      <c r="N24" s="205">
        <f>N21+N22+N23</f>
        <v>-114500.81999999999</v>
      </c>
      <c r="O24" s="206">
        <f>+O15+O13</f>
        <v>144</v>
      </c>
      <c r="P24" s="204">
        <f>IF(O24&lt;=0,0,Q24/O24)</f>
        <v>1043.1729166666667</v>
      </c>
      <c r="Q24" s="205">
        <f>Q21+Q22+Q23</f>
        <v>150216.9</v>
      </c>
      <c r="R24" s="220"/>
      <c r="S24" s="207">
        <f t="shared" si="20"/>
        <v>124.78000000002794</v>
      </c>
      <c r="V24" s="198"/>
      <c r="W24" s="198"/>
      <c r="X24" s="198"/>
      <c r="Y24" s="198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 ht="15.75" customHeight="1">
      <c r="A25" s="23" t="str">
        <f t="shared" si="1"/>
        <v>Véhicules neufs</v>
      </c>
      <c r="B25" s="184" t="str">
        <f t="shared" si="0"/>
        <v>Véhicules neufs</v>
      </c>
      <c r="C25" s="1"/>
      <c r="F25" s="222"/>
      <c r="G25" s="152"/>
      <c r="I25" s="222"/>
      <c r="J25" s="152"/>
      <c r="L25" s="222"/>
      <c r="M25" s="170"/>
      <c r="N25" s="171"/>
      <c r="O25" s="152"/>
      <c r="Q25" s="222"/>
      <c r="R25" s="223"/>
      <c r="S25" s="209">
        <f>IF(Q24=0,0,(S24/Q24))</f>
        <v>8.3066552431868815E-4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 ht="15.75" customHeight="1" thickBot="1">
      <c r="A26" s="23" t="str">
        <f t="shared" si="1"/>
        <v>Véhicules neufs</v>
      </c>
      <c r="B26" s="184" t="str">
        <f t="shared" si="0"/>
        <v>Véhicules neufs</v>
      </c>
      <c r="C26" s="1"/>
      <c r="F26" s="208"/>
      <c r="G26" s="152"/>
      <c r="I26" s="208"/>
      <c r="J26" s="152"/>
      <c r="L26" s="208"/>
      <c r="M26" s="152"/>
      <c r="N26" s="208"/>
      <c r="O26" s="152"/>
      <c r="Q26" s="208"/>
      <c r="R26" s="152"/>
      <c r="S26" s="22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 ht="18" customHeight="1" thickTop="1">
      <c r="A27" s="23" t="str">
        <f t="shared" si="1"/>
        <v>Véhicules neufsTotal Dépt. Neufs</v>
      </c>
      <c r="B27" s="184" t="str">
        <f t="shared" si="0"/>
        <v>Véhicules neufs</v>
      </c>
      <c r="C27" s="225" t="s">
        <v>29</v>
      </c>
      <c r="D27" s="226">
        <f>+D13+D15+D17</f>
        <v>217.45000000000002</v>
      </c>
      <c r="E27" s="227">
        <f>IF(D27&lt;=0,0,F27/D27)</f>
        <v>4048.4726384660312</v>
      </c>
      <c r="F27" s="228">
        <f>F13+F17+F24+F19+F15</f>
        <v>880340.37523443857</v>
      </c>
      <c r="G27" s="229">
        <f>+G13+G15+G17</f>
        <v>0</v>
      </c>
      <c r="H27" s="230">
        <f>IF(G27&lt;=0,0,I27/G27)</f>
        <v>0</v>
      </c>
      <c r="I27" s="228">
        <f>I13+I17+I24+I19+I15</f>
        <v>0</v>
      </c>
      <c r="J27" s="229">
        <f>+J13+J15+J17</f>
        <v>187</v>
      </c>
      <c r="K27" s="230">
        <f>IF(J27&lt;=0,0,L27/J27)</f>
        <v>3316.5951336898397</v>
      </c>
      <c r="L27" s="228">
        <f>L13+L17+L24+L19+L15</f>
        <v>620203.29</v>
      </c>
      <c r="M27" s="229">
        <f>+M13+M15+M17</f>
        <v>-15.405000000000008</v>
      </c>
      <c r="N27" s="228">
        <f>N13+N17+N24+N19+N15</f>
        <v>-222249.69310745705</v>
      </c>
      <c r="O27" s="229">
        <f>+O13+O15+O17</f>
        <v>152</v>
      </c>
      <c r="P27" s="230">
        <f>IF(O27&lt;=0,0,Q27/O27)</f>
        <v>3603.283618421051</v>
      </c>
      <c r="Q27" s="228">
        <f>Q13+Q17+Q24+Q19+Q15</f>
        <v>547699.10999999975</v>
      </c>
      <c r="R27" s="229">
        <f>J27-O27</f>
        <v>35</v>
      </c>
      <c r="S27" s="231">
        <f>L27-Q27</f>
        <v>72504.180000000284</v>
      </c>
      <c r="V27" s="198"/>
      <c r="W27" s="198"/>
      <c r="X27" s="198"/>
      <c r="Y27" s="198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</row>
    <row r="28" spans="1:40" ht="22.5" customHeight="1" thickBot="1">
      <c r="A28" s="23" t="str">
        <f t="shared" si="1"/>
        <v>Véhicules neufs</v>
      </c>
      <c r="B28" s="184" t="str">
        <f t="shared" si="0"/>
        <v>Véhicules neufs</v>
      </c>
      <c r="C28" s="232"/>
      <c r="D28" s="233"/>
      <c r="E28" s="233"/>
      <c r="F28" s="234"/>
      <c r="G28" s="235"/>
      <c r="H28" s="233"/>
      <c r="I28" s="234"/>
      <c r="J28" s="235"/>
      <c r="K28" s="233"/>
      <c r="L28" s="234"/>
      <c r="M28" s="236">
        <f>M27/D27</f>
        <v>-7.0843872154518317E-2</v>
      </c>
      <c r="N28" s="166">
        <f>N27/F27</f>
        <v>-0.2524588208830828</v>
      </c>
      <c r="O28" s="235"/>
      <c r="P28" s="233"/>
      <c r="Q28" s="234"/>
      <c r="R28" s="236">
        <f>R27/O27</f>
        <v>0.23026315789473684</v>
      </c>
      <c r="S28" s="237">
        <f>IF(Q27=0,0,S27/Q27)</f>
        <v>0.13237958338110192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</row>
    <row r="29" spans="1:40" ht="15.75" customHeight="1" thickTop="1">
      <c r="A29" s="23" t="str">
        <f t="shared" si="1"/>
        <v>Véhicules neufs</v>
      </c>
      <c r="B29" s="184" t="str">
        <f t="shared" si="0"/>
        <v>Véhicules neufs</v>
      </c>
      <c r="C29" s="22"/>
      <c r="D29" s="73"/>
      <c r="E29" s="73"/>
      <c r="F29" s="238"/>
      <c r="G29" s="156"/>
      <c r="H29" s="73"/>
      <c r="I29" s="238"/>
      <c r="J29" s="156"/>
      <c r="K29" s="73"/>
      <c r="L29" s="238"/>
      <c r="M29" s="170"/>
      <c r="N29" s="171"/>
      <c r="O29" s="156"/>
      <c r="P29" s="73"/>
      <c r="Q29" s="238"/>
      <c r="R29" s="170"/>
      <c r="S29" s="209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5.75" customHeight="1">
      <c r="A30" s="23" t="str">
        <f t="shared" si="1"/>
        <v>Véhicules neufsDEPENSES</v>
      </c>
      <c r="B30" s="184" t="str">
        <f t="shared" si="0"/>
        <v>Véhicules neufs</v>
      </c>
      <c r="C30" s="239" t="s">
        <v>30</v>
      </c>
      <c r="E30" s="175"/>
      <c r="F30" s="222"/>
      <c r="G30" s="152"/>
      <c r="H30" s="175"/>
      <c r="I30" s="222"/>
      <c r="J30" s="152"/>
      <c r="K30" s="175"/>
      <c r="L30" s="208"/>
      <c r="M30" s="152"/>
      <c r="N30" s="208"/>
      <c r="O30" s="152"/>
      <c r="P30" s="175"/>
      <c r="Q30" s="208"/>
      <c r="R30" s="152"/>
      <c r="S30" s="22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0" ht="15.75" customHeight="1">
      <c r="A31" s="23" t="str">
        <f t="shared" si="1"/>
        <v>Véhicules neufsComm. vendeurs</v>
      </c>
      <c r="B31" s="184" t="str">
        <f t="shared" si="0"/>
        <v>Véhicules neufs</v>
      </c>
      <c r="C31" s="1" t="s">
        <v>31</v>
      </c>
      <c r="D31" s="30"/>
      <c r="E31" s="26">
        <f t="shared" ref="E31:E40" si="21">F31/D$24</f>
        <v>922.91597009227019</v>
      </c>
      <c r="F31" s="198">
        <f>+SUM(START:END!F31)</f>
        <v>188021.05600704777</v>
      </c>
      <c r="G31" s="240"/>
      <c r="H31" s="26" t="e">
        <f t="shared" ref="H31:H40" si="22">I31/G$24</f>
        <v>#DIV/0!</v>
      </c>
      <c r="I31" s="198">
        <f>+SUM(START:END!I31)</f>
        <v>0</v>
      </c>
      <c r="J31" s="241">
        <f>L31/L13</f>
        <v>0.25250261696367166</v>
      </c>
      <c r="K31" s="26">
        <f t="shared" ref="K31:K40" si="23">IF(L31=0,0,L31/J$24)</f>
        <v>584.55818181818188</v>
      </c>
      <c r="L31" s="198">
        <f>+SUM(START:END!L31)</f>
        <v>109312.38</v>
      </c>
      <c r="M31" s="152"/>
      <c r="N31" s="222">
        <f t="shared" ref="N31:N37" si="24">L31-F31</f>
        <v>-78708.676007047761</v>
      </c>
      <c r="O31" s="152"/>
      <c r="P31" s="26">
        <f t="shared" ref="P31:P40" si="25">IF(Q31=0,0,Q31/O$24)</f>
        <v>853.17652777777766</v>
      </c>
      <c r="Q31" s="201">
        <f>+SUM(START:END!Q31)</f>
        <v>122857.41999999998</v>
      </c>
      <c r="R31" s="152"/>
      <c r="S31" s="242">
        <f t="shared" ref="S31:S41" si="26">L31-Q31</f>
        <v>-13545.039999999979</v>
      </c>
      <c r="V31" s="243"/>
      <c r="W31" s="243"/>
      <c r="X31" s="243"/>
      <c r="Y31" s="24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5.75" customHeight="1">
      <c r="A32" s="23" t="str">
        <f t="shared" si="1"/>
        <v>Véhicules neufsComm. F&amp;I</v>
      </c>
      <c r="B32" s="184" t="str">
        <f t="shared" si="0"/>
        <v>Véhicules neufs</v>
      </c>
      <c r="C32" s="2" t="s">
        <v>32</v>
      </c>
      <c r="D32" s="34"/>
      <c r="E32" s="10">
        <f t="shared" si="21"/>
        <v>389.99999999999994</v>
      </c>
      <c r="F32" s="193">
        <f>+SUM(START:END!F32)</f>
        <v>79452.75</v>
      </c>
      <c r="G32" s="244"/>
      <c r="H32" s="245" t="e">
        <f t="shared" si="22"/>
        <v>#DIV/0!</v>
      </c>
      <c r="I32" s="193">
        <f>+SUM(START:END!I32)</f>
        <v>0</v>
      </c>
      <c r="J32" s="246">
        <f>L32/L24</f>
        <v>0.23238791797457631</v>
      </c>
      <c r="K32" s="10">
        <f t="shared" si="23"/>
        <v>186.83203208556151</v>
      </c>
      <c r="L32" s="193">
        <f>+SUM(START:END!L32)</f>
        <v>34937.590000000004</v>
      </c>
      <c r="M32" s="153"/>
      <c r="N32" s="247">
        <f t="shared" si="24"/>
        <v>-44515.159999999996</v>
      </c>
      <c r="O32" s="153"/>
      <c r="P32" s="10">
        <f t="shared" si="25"/>
        <v>312.93013888888891</v>
      </c>
      <c r="Q32" s="193">
        <f>+SUM(START:END!Q32)</f>
        <v>45061.94</v>
      </c>
      <c r="R32" s="153"/>
      <c r="S32" s="248">
        <f t="shared" si="26"/>
        <v>-10124.349999999999</v>
      </c>
      <c r="V32" s="243"/>
      <c r="W32" s="243"/>
      <c r="X32" s="243"/>
      <c r="Y32" s="243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</row>
    <row r="33" spans="1:40" ht="15.75" customHeight="1">
      <c r="A33" s="23" t="str">
        <f t="shared" si="1"/>
        <v>Véhicules neufsFrais de livraison</v>
      </c>
      <c r="B33" s="184" t="str">
        <f t="shared" si="0"/>
        <v>Véhicules neufs</v>
      </c>
      <c r="C33" s="1" t="s">
        <v>33</v>
      </c>
      <c r="D33" s="30"/>
      <c r="E33" s="26">
        <f t="shared" si="21"/>
        <v>114.99999999999999</v>
      </c>
      <c r="F33" s="198">
        <f>+SUM(START:END!F33)</f>
        <v>23428.375</v>
      </c>
      <c r="G33" s="240"/>
      <c r="H33" s="26" t="e">
        <f t="shared" si="22"/>
        <v>#DIV/0!</v>
      </c>
      <c r="I33" s="198">
        <f>+SUM(START:END!I33)</f>
        <v>0</v>
      </c>
      <c r="J33" s="152"/>
      <c r="K33" s="26">
        <f t="shared" si="23"/>
        <v>108.7468449197861</v>
      </c>
      <c r="L33" s="198">
        <f>+SUM(START:END!L33)</f>
        <v>20335.66</v>
      </c>
      <c r="M33" s="152"/>
      <c r="N33" s="222">
        <f t="shared" si="24"/>
        <v>-3092.7150000000001</v>
      </c>
      <c r="O33" s="152"/>
      <c r="P33" s="26">
        <f t="shared" si="25"/>
        <v>103.89999999999999</v>
      </c>
      <c r="Q33" s="201">
        <f>+SUM(START:END!Q33)</f>
        <v>14961.599999999999</v>
      </c>
      <c r="R33" s="152"/>
      <c r="S33" s="242">
        <f t="shared" si="26"/>
        <v>5374.0600000000013</v>
      </c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</row>
    <row r="34" spans="1:40" ht="15.75" customHeight="1">
      <c r="A34" s="23" t="str">
        <f t="shared" si="1"/>
        <v>Véhicules neufsService gratuit 1</v>
      </c>
      <c r="B34" s="184" t="str">
        <f t="shared" si="0"/>
        <v>Véhicules neufs</v>
      </c>
      <c r="C34" s="1" t="s">
        <v>34</v>
      </c>
      <c r="D34" s="30"/>
      <c r="E34" s="26">
        <f t="shared" si="21"/>
        <v>2.9999999999999996</v>
      </c>
      <c r="F34" s="198">
        <f>+SUM(START:END!F34)</f>
        <v>611.17499999999995</v>
      </c>
      <c r="G34" s="240"/>
      <c r="H34" s="26" t="e">
        <f t="shared" si="22"/>
        <v>#DIV/0!</v>
      </c>
      <c r="I34" s="198">
        <f>+SUM(START:END!I34)</f>
        <v>0</v>
      </c>
      <c r="J34" s="152"/>
      <c r="K34" s="26">
        <f t="shared" si="23"/>
        <v>6.8069518716577546</v>
      </c>
      <c r="L34" s="198">
        <f>+SUM(START:END!L34)</f>
        <v>1272.9000000000001</v>
      </c>
      <c r="M34" s="152"/>
      <c r="N34" s="222">
        <f t="shared" si="24"/>
        <v>661.72500000000014</v>
      </c>
      <c r="O34" s="152"/>
      <c r="P34" s="26">
        <f t="shared" si="25"/>
        <v>0.55555555555555558</v>
      </c>
      <c r="Q34" s="201">
        <f>+SUM(START:END!Q34)</f>
        <v>80</v>
      </c>
      <c r="R34" s="152"/>
      <c r="S34" s="242">
        <f t="shared" si="26"/>
        <v>1192.9000000000001</v>
      </c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5.75" customHeight="1">
      <c r="A35" s="23" t="str">
        <f t="shared" si="1"/>
        <v>Véhicules neufsEntretien stock</v>
      </c>
      <c r="B35" s="184" t="str">
        <f t="shared" si="0"/>
        <v>Véhicules neufs</v>
      </c>
      <c r="C35" s="2" t="s">
        <v>35</v>
      </c>
      <c r="D35" s="34"/>
      <c r="E35" s="10">
        <f t="shared" si="21"/>
        <v>85.049999999999983</v>
      </c>
      <c r="F35" s="193">
        <f>+SUM(START:END!F35)</f>
        <v>17326.811249999999</v>
      </c>
      <c r="G35" s="244"/>
      <c r="H35" s="245" t="e">
        <f t="shared" si="22"/>
        <v>#DIV/0!</v>
      </c>
      <c r="I35" s="193">
        <f>+SUM(START:END!I35)</f>
        <v>0</v>
      </c>
      <c r="J35" s="153"/>
      <c r="K35" s="10">
        <f t="shared" si="23"/>
        <v>156.67278074866311</v>
      </c>
      <c r="L35" s="193">
        <f>+SUM(START:END!L35)</f>
        <v>29297.810000000005</v>
      </c>
      <c r="M35" s="153"/>
      <c r="N35" s="247">
        <f t="shared" si="24"/>
        <v>11970.998750000006</v>
      </c>
      <c r="O35" s="153"/>
      <c r="P35" s="10">
        <f t="shared" si="25"/>
        <v>73.293611111111119</v>
      </c>
      <c r="Q35" s="201">
        <f>+SUM(START:END!Q35)</f>
        <v>10554.28</v>
      </c>
      <c r="R35" s="153"/>
      <c r="S35" s="248">
        <f t="shared" si="26"/>
        <v>18743.530000000006</v>
      </c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</row>
    <row r="36" spans="1:40" ht="15.75" customHeight="1">
      <c r="A36" s="23" t="str">
        <f t="shared" si="1"/>
        <v>Véhicules neufsPublicité 1</v>
      </c>
      <c r="B36" s="184" t="str">
        <f t="shared" si="0"/>
        <v>Véhicules neufs</v>
      </c>
      <c r="C36" s="1" t="s">
        <v>36</v>
      </c>
      <c r="D36" s="30"/>
      <c r="E36" s="26">
        <f t="shared" si="21"/>
        <v>87.546938274634911</v>
      </c>
      <c r="F36" s="198">
        <f>+SUM(START:END!F36)</f>
        <v>17835.5</v>
      </c>
      <c r="G36" s="240"/>
      <c r="H36" s="26" t="e">
        <f t="shared" si="22"/>
        <v>#DIV/0!</v>
      </c>
      <c r="I36" s="198">
        <f>+SUM(START:END!I36)</f>
        <v>0</v>
      </c>
      <c r="J36" s="152"/>
      <c r="K36" s="26">
        <f t="shared" si="23"/>
        <v>173.37181818181818</v>
      </c>
      <c r="L36" s="249">
        <f>+SUM(START:END!L36)</f>
        <v>32420.53</v>
      </c>
      <c r="N36" s="222">
        <f t="shared" si="24"/>
        <v>14585.029999999999</v>
      </c>
      <c r="O36" s="152"/>
      <c r="P36" s="26">
        <f t="shared" si="25"/>
        <v>106.97472222222216</v>
      </c>
      <c r="Q36" s="219">
        <f>+SUM(START:END!Q36)</f>
        <v>15404.35999999999</v>
      </c>
      <c r="R36" s="152"/>
      <c r="S36" s="242">
        <f t="shared" si="26"/>
        <v>17016.170000000009</v>
      </c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5.75" customHeight="1">
      <c r="A37" s="23" t="str">
        <f t="shared" si="1"/>
        <v>Véhicules neufsIntérêt de gros</v>
      </c>
      <c r="B37" s="184" t="str">
        <f t="shared" si="0"/>
        <v>Véhicules neufs</v>
      </c>
      <c r="C37" s="1" t="s">
        <v>37</v>
      </c>
      <c r="D37" s="30"/>
      <c r="E37" s="26">
        <f t="shared" si="21"/>
        <v>274.63015440231919</v>
      </c>
      <c r="F37" s="198">
        <f>+SUM(START:END!F37)</f>
        <v>55949.028205612485</v>
      </c>
      <c r="G37" s="240"/>
      <c r="H37" s="26" t="e">
        <f t="shared" si="22"/>
        <v>#DIV/0!</v>
      </c>
      <c r="I37" s="198">
        <f>+SUM(START:END!I37)</f>
        <v>0</v>
      </c>
      <c r="J37" s="152"/>
      <c r="K37" s="26">
        <f t="shared" si="23"/>
        <v>654.65048128342244</v>
      </c>
      <c r="L37" s="202">
        <f>+SUM(START:END!L37)</f>
        <v>122419.64</v>
      </c>
      <c r="N37" s="222">
        <f t="shared" si="24"/>
        <v>66470.611794387514</v>
      </c>
      <c r="O37" s="152"/>
      <c r="P37" s="26">
        <f t="shared" si="25"/>
        <v>86.623472222222233</v>
      </c>
      <c r="Q37" s="201">
        <f>+SUM(START:END!Q37)</f>
        <v>12473.78</v>
      </c>
      <c r="R37" s="152"/>
      <c r="S37" s="242">
        <f t="shared" si="26"/>
        <v>109945.86</v>
      </c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</row>
    <row r="38" spans="1:40" ht="15.75" hidden="1" customHeight="1">
      <c r="A38" s="23" t="str">
        <f t="shared" si="1"/>
        <v>Véhicules neufs[...]</v>
      </c>
      <c r="B38" s="184" t="str">
        <f t="shared" si="0"/>
        <v>Véhicules neufs</v>
      </c>
      <c r="C38" s="1" t="s">
        <v>20</v>
      </c>
      <c r="D38" s="30"/>
      <c r="E38" s="26">
        <f t="shared" si="21"/>
        <v>0</v>
      </c>
      <c r="F38" s="198">
        <f>+SUM(START:END!F38)</f>
        <v>0</v>
      </c>
      <c r="G38" s="240"/>
      <c r="H38" s="26" t="e">
        <f t="shared" si="22"/>
        <v>#DIV/0!</v>
      </c>
      <c r="I38" s="198">
        <f>+SUM(START:END!I38)</f>
        <v>0</v>
      </c>
      <c r="J38" s="152"/>
      <c r="K38" s="26">
        <f t="shared" si="23"/>
        <v>0</v>
      </c>
      <c r="L38" s="202">
        <f>+SUM(START:END!L38)</f>
        <v>0</v>
      </c>
      <c r="N38" s="222">
        <f t="shared" ref="N38:N53" si="27">L38-I38</f>
        <v>0</v>
      </c>
      <c r="O38" s="152"/>
      <c r="P38" s="26">
        <f t="shared" si="25"/>
        <v>0</v>
      </c>
      <c r="Q38" s="201">
        <f>+SUM(START:END!Q38)</f>
        <v>0</v>
      </c>
      <c r="R38" s="152"/>
      <c r="S38" s="242">
        <f t="shared" si="26"/>
        <v>0</v>
      </c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</row>
    <row r="39" spans="1:40" ht="15.75" hidden="1" customHeight="1">
      <c r="A39" s="23" t="str">
        <f t="shared" si="1"/>
        <v>Véhicules neufs[...]</v>
      </c>
      <c r="B39" s="184" t="str">
        <f t="shared" si="0"/>
        <v>Véhicules neufs</v>
      </c>
      <c r="C39" s="1" t="s">
        <v>20</v>
      </c>
      <c r="D39" s="30"/>
      <c r="E39" s="26">
        <f t="shared" si="21"/>
        <v>0</v>
      </c>
      <c r="F39" s="198">
        <f>+SUM(START:END!F39)</f>
        <v>0</v>
      </c>
      <c r="G39" s="240"/>
      <c r="H39" s="26" t="e">
        <f t="shared" si="22"/>
        <v>#DIV/0!</v>
      </c>
      <c r="I39" s="198">
        <f>+SUM(START:END!I39)</f>
        <v>0</v>
      </c>
      <c r="J39" s="152"/>
      <c r="K39" s="26">
        <f t="shared" si="23"/>
        <v>0</v>
      </c>
      <c r="L39" s="202">
        <f>+SUM(START:END!L39)</f>
        <v>0</v>
      </c>
      <c r="N39" s="222">
        <f t="shared" si="27"/>
        <v>0</v>
      </c>
      <c r="O39" s="152"/>
      <c r="P39" s="26">
        <f t="shared" si="25"/>
        <v>0</v>
      </c>
      <c r="Q39" s="201">
        <f>+SUM(START:END!Q39)</f>
        <v>0</v>
      </c>
      <c r="R39" s="152"/>
      <c r="S39" s="242">
        <f t="shared" si="26"/>
        <v>0</v>
      </c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</row>
    <row r="40" spans="1:40" ht="15.75" hidden="1" customHeight="1">
      <c r="A40" s="23" t="str">
        <f t="shared" si="1"/>
        <v>Véhicules neufs[...]</v>
      </c>
      <c r="B40" s="184" t="str">
        <f t="shared" si="0"/>
        <v>Véhicules neufs</v>
      </c>
      <c r="C40" s="1" t="s">
        <v>20</v>
      </c>
      <c r="D40" s="30"/>
      <c r="E40" s="26">
        <f t="shared" si="21"/>
        <v>0</v>
      </c>
      <c r="F40" s="198">
        <f>+SUM(START:END!F40)</f>
        <v>0</v>
      </c>
      <c r="G40" s="240"/>
      <c r="H40" s="26" t="e">
        <f t="shared" si="22"/>
        <v>#DIV/0!</v>
      </c>
      <c r="I40" s="198">
        <f>+SUM(START:END!I40)</f>
        <v>0</v>
      </c>
      <c r="J40" s="152"/>
      <c r="K40" s="26">
        <f t="shared" si="23"/>
        <v>0</v>
      </c>
      <c r="L40" s="217">
        <f>+SUM(START:END!L40)</f>
        <v>0</v>
      </c>
      <c r="N40" s="222">
        <f t="shared" si="27"/>
        <v>0</v>
      </c>
      <c r="O40" s="152"/>
      <c r="P40" s="26">
        <f t="shared" si="25"/>
        <v>0</v>
      </c>
      <c r="Q40" s="201">
        <f>+SUM(START:END!Q40)</f>
        <v>0</v>
      </c>
      <c r="R40" s="152"/>
      <c r="S40" s="242">
        <f t="shared" si="26"/>
        <v>0</v>
      </c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</row>
    <row r="41" spans="1:40" ht="15.75" customHeight="1">
      <c r="A41" s="23" t="str">
        <f t="shared" si="1"/>
        <v>Véhicules neufsTOTAL VARIABLES</v>
      </c>
      <c r="B41" s="184" t="str">
        <f t="shared" si="0"/>
        <v>Véhicules neufs</v>
      </c>
      <c r="C41" s="40" t="s">
        <v>38</v>
      </c>
      <c r="D41" s="250" t="s">
        <v>39</v>
      </c>
      <c r="E41" s="42">
        <f>F41/F$27</f>
        <v>0.43463267870767097</v>
      </c>
      <c r="F41" s="251">
        <f>SUM(F31:F40)</f>
        <v>382624.69546266022</v>
      </c>
      <c r="G41" s="252" t="s">
        <v>39</v>
      </c>
      <c r="H41" s="42" t="e">
        <f>I41/I$27</f>
        <v>#DIV/0!</v>
      </c>
      <c r="I41" s="251">
        <f>SUM(I31:I40)</f>
        <v>0</v>
      </c>
      <c r="J41" s="252" t="s">
        <v>39</v>
      </c>
      <c r="K41" s="42">
        <f>L41/L$27</f>
        <v>0.56432546496165792</v>
      </c>
      <c r="L41" s="251">
        <f>SUM(L31:L40)</f>
        <v>349996.51</v>
      </c>
      <c r="M41" s="253"/>
      <c r="N41" s="251">
        <f>SUM(N31:N40)</f>
        <v>-32628.185462660244</v>
      </c>
      <c r="O41" s="252" t="s">
        <v>39</v>
      </c>
      <c r="P41" s="42">
        <f>Q41/Q$27</f>
        <v>0.40422446550990393</v>
      </c>
      <c r="Q41" s="46">
        <f>SUM(Q31:Q40)</f>
        <v>221393.37999999998</v>
      </c>
      <c r="R41" s="254"/>
      <c r="S41" s="255">
        <f t="shared" si="26"/>
        <v>128603.13000000003</v>
      </c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</row>
    <row r="42" spans="1:40" ht="15.75" customHeight="1">
      <c r="A42" s="23" t="str">
        <f t="shared" si="1"/>
        <v>Véhicules neufsSalaires cadres</v>
      </c>
      <c r="B42" s="184" t="str">
        <f t="shared" si="0"/>
        <v>Véhicules neufs</v>
      </c>
      <c r="C42" s="1" t="s">
        <v>41</v>
      </c>
      <c r="F42" s="198">
        <f>+SUM(START:END!F42)</f>
        <v>57527.712500000009</v>
      </c>
      <c r="G42" s="152"/>
      <c r="I42" s="198">
        <f>+SUM(START:END!I42)</f>
        <v>0</v>
      </c>
      <c r="J42" s="152"/>
      <c r="L42" s="201">
        <f>+SUM(START:END!L42)</f>
        <v>37570.229999999996</v>
      </c>
      <c r="M42" s="152"/>
      <c r="N42" s="222">
        <f t="shared" ref="N42:N52" si="28">L42-F42</f>
        <v>-19957.482500000013</v>
      </c>
      <c r="O42" s="152"/>
      <c r="Q42" s="201">
        <f>+SUM(START:END!Q42)</f>
        <v>40618.61</v>
      </c>
      <c r="R42" s="152"/>
      <c r="S42" s="224"/>
    </row>
    <row r="43" spans="1:40" ht="15.75" customHeight="1">
      <c r="A43" s="23" t="str">
        <f t="shared" si="1"/>
        <v>Véhicules neufsSalaires commis</v>
      </c>
      <c r="B43" s="184" t="str">
        <f t="shared" si="0"/>
        <v>Véhicules neufs</v>
      </c>
      <c r="C43" s="2" t="s">
        <v>42</v>
      </c>
      <c r="D43" s="30"/>
      <c r="F43" s="193">
        <f>+SUM(START:END!F43)</f>
        <v>36489.411</v>
      </c>
      <c r="G43" s="240"/>
      <c r="I43" s="193">
        <f>+SUM(START:END!I43)</f>
        <v>0</v>
      </c>
      <c r="J43" s="152"/>
      <c r="L43" s="201">
        <f>+SUM(START:END!L43)</f>
        <v>29871.64</v>
      </c>
      <c r="M43" s="152"/>
      <c r="N43" s="222">
        <f t="shared" si="28"/>
        <v>-6617.7710000000006</v>
      </c>
      <c r="O43" s="152"/>
      <c r="Q43" s="201">
        <f>+SUM(START:END!Q43)</f>
        <v>37255.949999999997</v>
      </c>
      <c r="R43" s="152"/>
      <c r="S43" s="242">
        <f t="shared" ref="S43:S53" si="29">L43-Q43</f>
        <v>-7384.3099999999977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</row>
    <row r="44" spans="1:40" ht="15.75" customHeight="1">
      <c r="A44" s="23" t="str">
        <f t="shared" si="1"/>
        <v>Véhicules neufsSalaires autres</v>
      </c>
      <c r="B44" s="184" t="str">
        <f t="shared" si="0"/>
        <v>Véhicules neufs</v>
      </c>
      <c r="C44" s="1" t="s">
        <v>43</v>
      </c>
      <c r="D44" s="52"/>
      <c r="E44" s="53"/>
      <c r="F44" s="198">
        <f>+SUM(START:END!F44)</f>
        <v>8659.1500000000015</v>
      </c>
      <c r="G44" s="256"/>
      <c r="H44" s="53"/>
      <c r="I44" s="198">
        <f>+SUM(START:END!I44)</f>
        <v>0</v>
      </c>
      <c r="J44" s="154"/>
      <c r="K44" s="53"/>
      <c r="L44" s="257">
        <f>+SUM(START:END!L44)</f>
        <v>11085.06</v>
      </c>
      <c r="M44" s="154"/>
      <c r="N44" s="258">
        <f t="shared" si="28"/>
        <v>2425.909999999998</v>
      </c>
      <c r="O44" s="154"/>
      <c r="P44" s="53"/>
      <c r="Q44" s="257">
        <f>+SUM(START:END!Q44)</f>
        <v>39850.160000000003</v>
      </c>
      <c r="R44" s="154"/>
      <c r="S44" s="259">
        <f t="shared" si="29"/>
        <v>-28765.100000000006</v>
      </c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</row>
    <row r="45" spans="1:40" ht="15.75" customHeight="1">
      <c r="A45" s="23" t="str">
        <f t="shared" si="1"/>
        <v>Véhicules neufsSalaires spécialistes</v>
      </c>
      <c r="B45" s="184" t="str">
        <f t="shared" si="0"/>
        <v>Véhicules neufs</v>
      </c>
      <c r="C45" s="1" t="s">
        <v>44</v>
      </c>
      <c r="D45" s="30"/>
      <c r="F45" s="198">
        <f>+SUM(START:END!F45)</f>
        <v>0</v>
      </c>
      <c r="G45" s="240"/>
      <c r="I45" s="198">
        <f>+SUM(START:END!I45)</f>
        <v>0</v>
      </c>
      <c r="J45" s="152"/>
      <c r="L45" s="201">
        <f>+SUM(START:END!L45)</f>
        <v>0</v>
      </c>
      <c r="M45" s="152"/>
      <c r="N45" s="222">
        <f t="shared" si="28"/>
        <v>0</v>
      </c>
      <c r="O45" s="152"/>
      <c r="Q45" s="201">
        <f>+SUM(START:END!Q45)</f>
        <v>0</v>
      </c>
      <c r="R45" s="152"/>
      <c r="S45" s="242">
        <f t="shared" si="29"/>
        <v>0</v>
      </c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</row>
    <row r="46" spans="1:40" ht="15.75" hidden="1" customHeight="1">
      <c r="A46" s="23" t="str">
        <f t="shared" si="1"/>
        <v>Véhicules neufs[...]</v>
      </c>
      <c r="B46" s="184" t="str">
        <f t="shared" si="0"/>
        <v>Véhicules neufs</v>
      </c>
      <c r="C46" s="1" t="s">
        <v>20</v>
      </c>
      <c r="D46" s="30"/>
      <c r="F46" s="198">
        <f>+SUM(START:END!F46)</f>
        <v>0</v>
      </c>
      <c r="G46" s="240"/>
      <c r="I46" s="198">
        <f>+SUM(START:END!I46)</f>
        <v>0</v>
      </c>
      <c r="J46" s="152"/>
      <c r="L46" s="201">
        <f>+SUM(START:END!L46)</f>
        <v>0</v>
      </c>
      <c r="M46" s="152"/>
      <c r="N46" s="222">
        <f t="shared" si="28"/>
        <v>0</v>
      </c>
      <c r="O46" s="152"/>
      <c r="Q46" s="201">
        <f>+SUM(START:END!Q46)</f>
        <v>0</v>
      </c>
      <c r="R46" s="152"/>
      <c r="S46" s="242">
        <f t="shared" si="29"/>
        <v>0</v>
      </c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</row>
    <row r="47" spans="1:40" ht="15.75" hidden="1" customHeight="1">
      <c r="A47" s="23" t="str">
        <f t="shared" si="1"/>
        <v>Véhicules neufs[...]</v>
      </c>
      <c r="B47" s="184" t="str">
        <f t="shared" si="0"/>
        <v>Véhicules neufs</v>
      </c>
      <c r="C47" s="1" t="s">
        <v>20</v>
      </c>
      <c r="D47" s="30"/>
      <c r="F47" s="198">
        <f>+SUM(START:END!F47)</f>
        <v>0</v>
      </c>
      <c r="G47" s="240"/>
      <c r="I47" s="198">
        <f>+SUM(START:END!I47)</f>
        <v>0</v>
      </c>
      <c r="J47" s="152"/>
      <c r="L47" s="201">
        <f>+SUM(START:END!L47)</f>
        <v>0</v>
      </c>
      <c r="M47" s="152"/>
      <c r="N47" s="222">
        <f t="shared" si="28"/>
        <v>0</v>
      </c>
      <c r="O47" s="152"/>
      <c r="Q47" s="201">
        <f>+SUM(START:END!Q47)</f>
        <v>0</v>
      </c>
      <c r="R47" s="152"/>
      <c r="S47" s="242">
        <f t="shared" si="29"/>
        <v>0</v>
      </c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</row>
    <row r="48" spans="1:40" ht="15.75" hidden="1" customHeight="1">
      <c r="A48" s="23" t="str">
        <f t="shared" si="1"/>
        <v>Véhicules neufs[...]</v>
      </c>
      <c r="B48" s="184" t="str">
        <f t="shared" si="0"/>
        <v>Véhicules neufs</v>
      </c>
      <c r="C48" s="1" t="s">
        <v>20</v>
      </c>
      <c r="D48" s="30"/>
      <c r="F48" s="198">
        <f>+SUM(START:END!F48)</f>
        <v>0</v>
      </c>
      <c r="G48" s="240"/>
      <c r="I48" s="198">
        <f>+SUM(START:END!I48)</f>
        <v>0</v>
      </c>
      <c r="J48" s="152"/>
      <c r="L48" s="201">
        <f>+SUM(START:END!L48)</f>
        <v>0</v>
      </c>
      <c r="M48" s="152"/>
      <c r="N48" s="222">
        <f t="shared" si="28"/>
        <v>0</v>
      </c>
      <c r="O48" s="152"/>
      <c r="Q48" s="201">
        <f>+SUM(START:END!Q48)</f>
        <v>0</v>
      </c>
      <c r="R48" s="152"/>
      <c r="S48" s="242">
        <f t="shared" si="29"/>
        <v>0</v>
      </c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</row>
    <row r="49" spans="1:40" ht="15.75" customHeight="1">
      <c r="A49" s="23" t="str">
        <f t="shared" si="1"/>
        <v>Véhicules neufsSalaires en absences</v>
      </c>
      <c r="B49" s="184" t="str">
        <f t="shared" si="0"/>
        <v>Véhicules neufs</v>
      </c>
      <c r="C49" s="2" t="s">
        <v>45</v>
      </c>
      <c r="D49" s="30"/>
      <c r="F49" s="193">
        <f>+SUM(START:END!F49)</f>
        <v>37259.510524148493</v>
      </c>
      <c r="G49" s="240"/>
      <c r="I49" s="193">
        <f>+SUM(START:END!I49)</f>
        <v>0</v>
      </c>
      <c r="J49" s="152"/>
      <c r="L49" s="193">
        <f>+SUM(START:END!L49)</f>
        <v>36530.25</v>
      </c>
      <c r="M49" s="152"/>
      <c r="N49" s="222">
        <f t="shared" si="28"/>
        <v>-729.26052414849255</v>
      </c>
      <c r="O49" s="152"/>
      <c r="Q49" s="193">
        <f>+SUM(START:END!Q49)</f>
        <v>36604.959999999999</v>
      </c>
      <c r="R49" s="152"/>
      <c r="S49" s="242">
        <f t="shared" si="29"/>
        <v>-74.709999999999127</v>
      </c>
    </row>
    <row r="50" spans="1:40" ht="15.75" customHeight="1">
      <c r="A50" s="23" t="str">
        <f t="shared" si="1"/>
        <v>Véhicules neufsDéduction à la source</v>
      </c>
      <c r="B50" s="184" t="str">
        <f t="shared" si="0"/>
        <v>Véhicules neufs</v>
      </c>
      <c r="C50" s="1" t="s">
        <v>46</v>
      </c>
      <c r="D50" s="52"/>
      <c r="E50" s="53"/>
      <c r="F50" s="198">
        <f>+SUM(START:END!F50)</f>
        <v>45302.312355352355</v>
      </c>
      <c r="G50" s="256"/>
      <c r="H50" s="53"/>
      <c r="I50" s="198">
        <f>+SUM(START:END!I50)</f>
        <v>0</v>
      </c>
      <c r="J50" s="154"/>
      <c r="K50" s="53"/>
      <c r="L50" s="201">
        <f>+SUM(START:END!L50)</f>
        <v>46567.67</v>
      </c>
      <c r="M50" s="154"/>
      <c r="N50" s="258">
        <f t="shared" si="28"/>
        <v>1265.3576446476436</v>
      </c>
      <c r="O50" s="154"/>
      <c r="P50" s="53"/>
      <c r="Q50" s="201">
        <f>+SUM(START:END!Q50)</f>
        <v>41184.46</v>
      </c>
      <c r="R50" s="154"/>
      <c r="S50" s="259">
        <f t="shared" si="29"/>
        <v>5383.2099999999991</v>
      </c>
    </row>
    <row r="51" spans="1:40" ht="15.75" customHeight="1">
      <c r="A51" s="23" t="str">
        <f t="shared" si="1"/>
        <v>Véhicules neufsBénéfices marginaux</v>
      </c>
      <c r="B51" s="184" t="str">
        <f t="shared" si="0"/>
        <v>Véhicules neufs</v>
      </c>
      <c r="C51" s="1" t="s">
        <v>47</v>
      </c>
      <c r="D51" s="30"/>
      <c r="F51" s="198">
        <f>+SUM(START:END!F51)</f>
        <v>23340.539191779364</v>
      </c>
      <c r="G51" s="240"/>
      <c r="I51" s="198">
        <f>+SUM(START:END!I51)</f>
        <v>0</v>
      </c>
      <c r="J51" s="152"/>
      <c r="L51" s="201">
        <f>+SUM(START:END!L51)</f>
        <v>22166.690000000002</v>
      </c>
      <c r="M51" s="152"/>
      <c r="N51" s="222">
        <f t="shared" si="28"/>
        <v>-1173.8491917793617</v>
      </c>
      <c r="O51" s="152"/>
      <c r="Q51" s="201">
        <f>+SUM(START:END!Q51)</f>
        <v>21410.25</v>
      </c>
      <c r="R51" s="152"/>
      <c r="S51" s="242">
        <f t="shared" si="29"/>
        <v>756.44000000000233</v>
      </c>
    </row>
    <row r="52" spans="1:40" ht="15.75" customHeight="1">
      <c r="A52" s="23" t="str">
        <f t="shared" si="1"/>
        <v>Véhicules neufsCsst</v>
      </c>
      <c r="B52" s="184" t="str">
        <f t="shared" si="0"/>
        <v>Véhicules neufs</v>
      </c>
      <c r="C52" s="1" t="s">
        <v>48</v>
      </c>
      <c r="D52" s="30"/>
      <c r="F52" s="198">
        <f>+SUM(START:END!F52)</f>
        <v>10176.606398666108</v>
      </c>
      <c r="G52" s="240"/>
      <c r="I52" s="198">
        <f>+SUM(START:END!I52)</f>
        <v>0</v>
      </c>
      <c r="J52" s="152"/>
      <c r="L52" s="201">
        <f>+SUM(START:END!L52)</f>
        <v>8614.36</v>
      </c>
      <c r="M52" s="152"/>
      <c r="N52" s="222">
        <f t="shared" si="28"/>
        <v>-1562.2463986661078</v>
      </c>
      <c r="O52" s="152"/>
      <c r="Q52" s="201">
        <f>+SUM(START:END!Q52)</f>
        <v>8386.98</v>
      </c>
      <c r="R52" s="152"/>
      <c r="S52" s="242">
        <f t="shared" si="29"/>
        <v>227.38000000000102</v>
      </c>
    </row>
    <row r="53" spans="1:40" ht="15.75" hidden="1" customHeight="1">
      <c r="A53" s="23" t="str">
        <f t="shared" si="1"/>
        <v>Véhicules neufs[...]</v>
      </c>
      <c r="B53" s="184" t="str">
        <f t="shared" si="0"/>
        <v>Véhicules neufs</v>
      </c>
      <c r="C53" s="1" t="s">
        <v>20</v>
      </c>
      <c r="D53" s="34"/>
      <c r="E53" s="7"/>
      <c r="F53" s="198">
        <f>+SUM(START:END!F53)</f>
        <v>0</v>
      </c>
      <c r="G53" s="244"/>
      <c r="H53" s="7"/>
      <c r="I53" s="198">
        <f>+SUM(START:END!I53)</f>
        <v>0</v>
      </c>
      <c r="J53" s="153"/>
      <c r="K53" s="7"/>
      <c r="L53" s="201">
        <f>+SUM(START:END!L53)</f>
        <v>0</v>
      </c>
      <c r="M53" s="153"/>
      <c r="N53" s="247">
        <f t="shared" si="27"/>
        <v>0</v>
      </c>
      <c r="O53" s="153"/>
      <c r="P53" s="7"/>
      <c r="Q53" s="201">
        <f>+SUM(START:END!Q53)</f>
        <v>0</v>
      </c>
      <c r="R53" s="153"/>
      <c r="S53" s="248">
        <f t="shared" si="29"/>
        <v>0</v>
      </c>
    </row>
    <row r="54" spans="1:40" ht="15.75" customHeight="1">
      <c r="A54" s="23" t="str">
        <f t="shared" si="1"/>
        <v>Véhicules neufsTOTAL PERSONNEL</v>
      </c>
      <c r="B54" s="184" t="str">
        <f t="shared" si="0"/>
        <v>Véhicules neufs</v>
      </c>
      <c r="C54" s="40" t="s">
        <v>49</v>
      </c>
      <c r="D54" s="250" t="s">
        <v>39</v>
      </c>
      <c r="E54" s="42">
        <f>F54/F$27</f>
        <v>0.24848938901807252</v>
      </c>
      <c r="F54" s="251">
        <f>+SUM(F42:F53)</f>
        <v>218755.24196994634</v>
      </c>
      <c r="G54" s="252" t="s">
        <v>39</v>
      </c>
      <c r="H54" s="42" t="e">
        <f>I54/I$27</f>
        <v>#DIV/0!</v>
      </c>
      <c r="I54" s="251">
        <f>+SUM(I42:I53)</f>
        <v>0</v>
      </c>
      <c r="J54" s="252" t="s">
        <v>39</v>
      </c>
      <c r="K54" s="42">
        <f>L54/L$27</f>
        <v>0.310230376236798</v>
      </c>
      <c r="L54" s="251">
        <f>+SUM(L42:L53)</f>
        <v>192405.89999999997</v>
      </c>
      <c r="M54" s="254"/>
      <c r="N54" s="251">
        <f>+SUM(N42:N53)</f>
        <v>-26349.341969946334</v>
      </c>
      <c r="O54" s="252" t="s">
        <v>39</v>
      </c>
      <c r="P54" s="42">
        <f>Q54/Q$27</f>
        <v>0.41137801009024844</v>
      </c>
      <c r="Q54" s="251">
        <f>+SUM(Q42:Q53)</f>
        <v>225311.37</v>
      </c>
      <c r="R54" s="254"/>
      <c r="S54" s="255">
        <f>+SUM(S42:S53)</f>
        <v>-29857.09</v>
      </c>
      <c r="T54" s="26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</row>
    <row r="55" spans="1:40" ht="15.75" customHeight="1">
      <c r="A55" s="23" t="str">
        <f t="shared" si="1"/>
        <v>Véhicules neufsPublicité 2</v>
      </c>
      <c r="B55" s="184" t="str">
        <f t="shared" si="0"/>
        <v>Véhicules neufs</v>
      </c>
      <c r="C55" s="1" t="s">
        <v>50</v>
      </c>
      <c r="D55" s="30"/>
      <c r="F55" s="198">
        <f>+SUM(START:END!F55)</f>
        <v>0</v>
      </c>
      <c r="G55" s="240"/>
      <c r="I55" s="198">
        <f>+SUM(START:END!I55)</f>
        <v>0</v>
      </c>
      <c r="J55" s="152"/>
      <c r="L55" s="201">
        <f>+SUM(START:END!L55)</f>
        <v>0</v>
      </c>
      <c r="M55" s="152"/>
      <c r="N55" s="222">
        <f t="shared" ref="N55:N68" si="30">L55-F55</f>
        <v>0</v>
      </c>
      <c r="O55" s="152"/>
      <c r="Q55" s="201">
        <f>+SUM(START:END!Q55)</f>
        <v>0</v>
      </c>
      <c r="R55" s="152"/>
      <c r="S55" s="242">
        <f t="shared" ref="S55:S71" si="31">L55-Q55</f>
        <v>0</v>
      </c>
      <c r="T55" s="26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</row>
    <row r="56" spans="1:40" ht="15.75" customHeight="1">
      <c r="A56" s="23" t="str">
        <f t="shared" si="1"/>
        <v>Véhicules neufsService gratuit 2</v>
      </c>
      <c r="B56" s="184" t="str">
        <f t="shared" si="0"/>
        <v>Véhicules neufs</v>
      </c>
      <c r="C56" s="1" t="s">
        <v>51</v>
      </c>
      <c r="D56" s="30"/>
      <c r="F56" s="198">
        <f>+SUM(START:END!F56)</f>
        <v>0</v>
      </c>
      <c r="G56" s="240"/>
      <c r="I56" s="198">
        <f>+SUM(START:END!I56)</f>
        <v>0</v>
      </c>
      <c r="J56" s="152"/>
      <c r="L56" s="201">
        <f>+SUM(START:END!L56)</f>
        <v>0</v>
      </c>
      <c r="M56" s="152"/>
      <c r="N56" s="222">
        <f t="shared" si="30"/>
        <v>0</v>
      </c>
      <c r="O56" s="152"/>
      <c r="Q56" s="201">
        <f>+SUM(START:END!Q56)</f>
        <v>0</v>
      </c>
      <c r="R56" s="152"/>
      <c r="S56" s="242">
        <f t="shared" si="31"/>
        <v>0</v>
      </c>
      <c r="T56" s="26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</row>
    <row r="57" spans="1:40" ht="15.75" customHeight="1">
      <c r="A57" s="23" t="str">
        <f t="shared" si="1"/>
        <v>Véhicules neufsFrais véhicules de cie</v>
      </c>
      <c r="B57" s="184" t="str">
        <f t="shared" si="0"/>
        <v>Véhicules neufs</v>
      </c>
      <c r="C57" s="2" t="s">
        <v>52</v>
      </c>
      <c r="D57" s="34"/>
      <c r="E57" s="7"/>
      <c r="F57" s="193">
        <f>+SUM(START:END!F57)</f>
        <v>27600</v>
      </c>
      <c r="G57" s="244"/>
      <c r="H57" s="7"/>
      <c r="I57" s="193">
        <f>+SUM(START:END!I57)</f>
        <v>0</v>
      </c>
      <c r="J57" s="153"/>
      <c r="K57" s="7"/>
      <c r="L57" s="193">
        <f>+SUM(START:END!L57)</f>
        <v>26284.78</v>
      </c>
      <c r="M57" s="153"/>
      <c r="N57" s="247">
        <f t="shared" si="30"/>
        <v>-1315.2200000000012</v>
      </c>
      <c r="O57" s="153"/>
      <c r="P57" s="7"/>
      <c r="Q57" s="193">
        <f>+SUM(START:END!Q57)</f>
        <v>19573.96</v>
      </c>
      <c r="R57" s="153"/>
      <c r="S57" s="248">
        <f t="shared" si="31"/>
        <v>6710.82</v>
      </c>
      <c r="T57" s="87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</row>
    <row r="58" spans="1:40" ht="15.75" customHeight="1">
      <c r="A58" s="23" t="str">
        <f t="shared" si="1"/>
        <v>Véhicules neufsInformatique</v>
      </c>
      <c r="B58" s="184" t="str">
        <f t="shared" si="0"/>
        <v>Véhicules neufs</v>
      </c>
      <c r="C58" s="1" t="s">
        <v>53</v>
      </c>
      <c r="D58" s="30"/>
      <c r="F58" s="198">
        <f>+SUM(START:END!F58)</f>
        <v>27119.086398666666</v>
      </c>
      <c r="G58" s="240"/>
      <c r="I58" s="198">
        <f>+SUM(START:END!I58)</f>
        <v>0</v>
      </c>
      <c r="J58" s="152"/>
      <c r="L58" s="201">
        <f>+SUM(START:END!L58)</f>
        <v>22020.98</v>
      </c>
      <c r="M58" s="152"/>
      <c r="N58" s="222">
        <f t="shared" si="30"/>
        <v>-5098.1063986666668</v>
      </c>
      <c r="O58" s="152"/>
      <c r="Q58" s="201">
        <f>+SUM(START:END!Q58)</f>
        <v>22876.67</v>
      </c>
      <c r="R58" s="152"/>
      <c r="S58" s="242">
        <f t="shared" si="31"/>
        <v>-855.68999999999869</v>
      </c>
      <c r="T58" s="26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</row>
    <row r="59" spans="1:40" ht="15.75" customHeight="1">
      <c r="A59" s="23" t="str">
        <f t="shared" si="1"/>
        <v>Véhicules neufsFrais de déplacement</v>
      </c>
      <c r="B59" s="184" t="str">
        <f t="shared" si="0"/>
        <v>Véhicules neufs</v>
      </c>
      <c r="C59" s="1" t="s">
        <v>54</v>
      </c>
      <c r="D59" s="30"/>
      <c r="F59" s="198">
        <f>+SUM(START:END!F59)</f>
        <v>3315.677654673359</v>
      </c>
      <c r="G59" s="240"/>
      <c r="I59" s="198">
        <f>+SUM(START:END!I59)</f>
        <v>0</v>
      </c>
      <c r="J59" s="152"/>
      <c r="L59" s="201">
        <f>+SUM(START:END!L59)</f>
        <v>5300.42</v>
      </c>
      <c r="M59" s="152"/>
      <c r="N59" s="222">
        <f t="shared" si="30"/>
        <v>1984.742345326641</v>
      </c>
      <c r="O59" s="152"/>
      <c r="Q59" s="201">
        <f>+SUM(START:END!Q59)</f>
        <v>4892.99</v>
      </c>
      <c r="R59" s="152"/>
      <c r="S59" s="242">
        <f t="shared" si="31"/>
        <v>407.43000000000029</v>
      </c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</row>
    <row r="60" spans="1:40" ht="15.75" customHeight="1">
      <c r="A60" s="23" t="str">
        <f t="shared" si="1"/>
        <v>Véhicules neufsServices extérieurs</v>
      </c>
      <c r="B60" s="184" t="str">
        <f t="shared" si="0"/>
        <v>Véhicules neufs</v>
      </c>
      <c r="C60" s="2" t="s">
        <v>55</v>
      </c>
      <c r="D60" s="34"/>
      <c r="E60" s="7"/>
      <c r="F60" s="193">
        <f>+SUM(START:END!F60)</f>
        <v>20134.255926622223</v>
      </c>
      <c r="G60" s="244"/>
      <c r="H60" s="7"/>
      <c r="I60" s="193">
        <f>+SUM(START:END!I60)</f>
        <v>0</v>
      </c>
      <c r="J60" s="153"/>
      <c r="K60" s="7"/>
      <c r="L60" s="193">
        <f>+SUM(START:END!L60)</f>
        <v>21333.34</v>
      </c>
      <c r="M60" s="153"/>
      <c r="N60" s="247">
        <f t="shared" si="30"/>
        <v>1199.0840733777768</v>
      </c>
      <c r="O60" s="153"/>
      <c r="P60" s="7"/>
      <c r="Q60" s="193">
        <f>+SUM(START:END!Q60)</f>
        <v>18065.25</v>
      </c>
      <c r="R60" s="153"/>
      <c r="S60" s="248">
        <f t="shared" si="31"/>
        <v>3268.09</v>
      </c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</row>
    <row r="61" spans="1:40" ht="15.75" customHeight="1">
      <c r="A61" s="23" t="str">
        <f t="shared" si="1"/>
        <v>Véhicules neufsFournitures autres</v>
      </c>
      <c r="B61" s="184" t="str">
        <f t="shared" si="0"/>
        <v>Véhicules neufs</v>
      </c>
      <c r="C61" s="1" t="s">
        <v>56</v>
      </c>
      <c r="D61" s="30"/>
      <c r="F61" s="198">
        <f>+SUM(START:END!F61)</f>
        <v>375</v>
      </c>
      <c r="G61" s="240"/>
      <c r="I61" s="198">
        <f>+SUM(START:END!I61)</f>
        <v>0</v>
      </c>
      <c r="J61" s="152"/>
      <c r="L61" s="201">
        <f>+SUM(START:END!L61)</f>
        <v>58.06</v>
      </c>
      <c r="M61" s="152"/>
      <c r="N61" s="222">
        <f t="shared" si="30"/>
        <v>-316.94</v>
      </c>
      <c r="O61" s="152"/>
      <c r="Q61" s="201">
        <f>+SUM(START:END!Q61)</f>
        <v>0</v>
      </c>
      <c r="R61" s="152"/>
      <c r="S61" s="242">
        <f t="shared" si="31"/>
        <v>58.06</v>
      </c>
    </row>
    <row r="62" spans="1:40" ht="15.75" customHeight="1">
      <c r="A62" s="23" t="str">
        <f t="shared" si="1"/>
        <v>Véhicules neufsUniformes</v>
      </c>
      <c r="B62" s="184" t="str">
        <f t="shared" si="0"/>
        <v>Véhicules neufs</v>
      </c>
      <c r="C62" s="1" t="s">
        <v>57</v>
      </c>
      <c r="D62" s="30"/>
      <c r="F62" s="198">
        <f>+SUM(START:END!F62)</f>
        <v>250</v>
      </c>
      <c r="G62" s="240"/>
      <c r="I62" s="198">
        <f>+SUM(START:END!I62)</f>
        <v>0</v>
      </c>
      <c r="J62" s="152"/>
      <c r="L62" s="201">
        <f>+SUM(START:END!L62)</f>
        <v>0</v>
      </c>
      <c r="M62" s="152"/>
      <c r="N62" s="222">
        <f t="shared" si="30"/>
        <v>-250</v>
      </c>
      <c r="O62" s="152"/>
      <c r="Q62" s="201">
        <f>+SUM(START:END!Q62)</f>
        <v>0</v>
      </c>
      <c r="R62" s="152"/>
      <c r="S62" s="242">
        <f t="shared" si="31"/>
        <v>0</v>
      </c>
    </row>
    <row r="63" spans="1:40" ht="15.75" customHeight="1">
      <c r="A63" s="23" t="str">
        <f t="shared" si="1"/>
        <v>Véhicules neufsPapeterie</v>
      </c>
      <c r="B63" s="184" t="str">
        <f t="shared" si="0"/>
        <v>Véhicules neufs</v>
      </c>
      <c r="C63" s="1" t="s">
        <v>58</v>
      </c>
      <c r="D63" s="30"/>
      <c r="F63" s="198">
        <f>+SUM(START:END!F63)</f>
        <v>2270.8398059040001</v>
      </c>
      <c r="G63" s="240"/>
      <c r="I63" s="198">
        <f>+SUM(START:END!I63)</f>
        <v>0</v>
      </c>
      <c r="J63" s="152"/>
      <c r="L63" s="200">
        <f>+SUM(START:END!L63)</f>
        <v>1654.51</v>
      </c>
      <c r="M63" s="152"/>
      <c r="N63" s="222">
        <f t="shared" si="30"/>
        <v>-616.32980590400007</v>
      </c>
      <c r="O63" s="152"/>
      <c r="Q63" s="200">
        <f>+SUM(START:END!Q63)</f>
        <v>1925.96</v>
      </c>
      <c r="R63" s="152"/>
      <c r="S63" s="242">
        <f t="shared" si="31"/>
        <v>-271.45000000000005</v>
      </c>
    </row>
    <row r="64" spans="1:40" ht="15.75" customHeight="1">
      <c r="A64" s="23" t="str">
        <f t="shared" si="1"/>
        <v>Véhicules neufsTéléphone</v>
      </c>
      <c r="B64" s="184" t="str">
        <f t="shared" si="0"/>
        <v>Véhicules neufs</v>
      </c>
      <c r="C64" s="1" t="s">
        <v>59</v>
      </c>
      <c r="D64" s="30"/>
      <c r="F64" s="198">
        <f>+SUM(START:END!F64)</f>
        <v>928.21045515866672</v>
      </c>
      <c r="G64" s="240"/>
      <c r="I64" s="198">
        <f>+SUM(START:END!I64)</f>
        <v>0</v>
      </c>
      <c r="J64" s="152"/>
      <c r="L64" s="201">
        <f>+SUM(START:END!L64)</f>
        <v>985.98</v>
      </c>
      <c r="M64" s="152"/>
      <c r="N64" s="222">
        <f t="shared" si="30"/>
        <v>57.7695448413333</v>
      </c>
      <c r="O64" s="152"/>
      <c r="Q64" s="201">
        <f>+SUM(START:END!Q64)</f>
        <v>804.43999999999994</v>
      </c>
      <c r="R64" s="152"/>
      <c r="S64" s="242">
        <f t="shared" si="31"/>
        <v>181.54000000000008</v>
      </c>
    </row>
    <row r="65" spans="1:40" ht="15.75" customHeight="1">
      <c r="A65" s="23" t="str">
        <f t="shared" si="1"/>
        <v>Véhicules neufsFrais postaux</v>
      </c>
      <c r="B65" s="184" t="str">
        <f t="shared" si="0"/>
        <v>Véhicules neufs</v>
      </c>
      <c r="C65" s="1" t="s">
        <v>60</v>
      </c>
      <c r="D65" s="30"/>
      <c r="F65" s="198">
        <f>+SUM(START:END!F65)</f>
        <v>339.38642972133334</v>
      </c>
      <c r="G65" s="240"/>
      <c r="I65" s="198">
        <f>+SUM(START:END!I65)</f>
        <v>0</v>
      </c>
      <c r="J65" s="152"/>
      <c r="L65" s="201">
        <f>+SUM(START:END!L65)</f>
        <v>54.08</v>
      </c>
      <c r="M65" s="152"/>
      <c r="N65" s="222">
        <f t="shared" si="30"/>
        <v>-285.30642972133336</v>
      </c>
      <c r="O65" s="152"/>
      <c r="Q65" s="201">
        <f>+SUM(START:END!Q65)</f>
        <v>326.52999999999997</v>
      </c>
      <c r="R65" s="152"/>
      <c r="S65" s="242">
        <f t="shared" si="31"/>
        <v>-272.45</v>
      </c>
    </row>
    <row r="66" spans="1:40" ht="15.75" customHeight="1">
      <c r="A66" s="23" t="str">
        <f t="shared" si="1"/>
        <v>Véhicules neufsDivers</v>
      </c>
      <c r="B66" s="184" t="str">
        <f t="shared" si="0"/>
        <v>Véhicules neufs</v>
      </c>
      <c r="C66" s="1" t="s">
        <v>61</v>
      </c>
      <c r="D66" s="30"/>
      <c r="F66" s="198">
        <f>+SUM(START:END!F66)</f>
        <v>847.38781030533346</v>
      </c>
      <c r="G66" s="240"/>
      <c r="I66" s="198">
        <f>+SUM(START:END!I66)</f>
        <v>0</v>
      </c>
      <c r="J66" s="152"/>
      <c r="L66" s="201">
        <f>+SUM(START:END!L66)</f>
        <v>431.03</v>
      </c>
      <c r="M66" s="152"/>
      <c r="N66" s="222">
        <f t="shared" si="30"/>
        <v>-416.35781030533349</v>
      </c>
      <c r="O66" s="152"/>
      <c r="Q66" s="201">
        <f>+SUM(START:END!Q66)</f>
        <v>306.74</v>
      </c>
      <c r="R66" s="152"/>
      <c r="S66" s="242">
        <f t="shared" si="31"/>
        <v>124.28999999999996</v>
      </c>
    </row>
    <row r="67" spans="1:40" ht="15.75" customHeight="1">
      <c r="A67" s="23" t="str">
        <f t="shared" si="1"/>
        <v>Véhicules neufsFormation</v>
      </c>
      <c r="B67" s="184" t="str">
        <f t="shared" si="0"/>
        <v>Véhicules neufs</v>
      </c>
      <c r="C67" s="1" t="s">
        <v>62</v>
      </c>
      <c r="D67" s="30"/>
      <c r="F67" s="198">
        <f>+SUM(START:END!F67)</f>
        <v>5697.3225000000002</v>
      </c>
      <c r="G67" s="240"/>
      <c r="I67" s="198">
        <f>+SUM(START:END!I67)</f>
        <v>0</v>
      </c>
      <c r="J67" s="152"/>
      <c r="L67" s="201">
        <f>+SUM(START:END!L67)</f>
        <v>3712.88</v>
      </c>
      <c r="M67" s="152"/>
      <c r="N67" s="222">
        <f t="shared" si="30"/>
        <v>-1984.4425000000001</v>
      </c>
      <c r="O67" s="152"/>
      <c r="Q67" s="201">
        <f>+SUM(START:END!Q67)</f>
        <v>3958.9</v>
      </c>
      <c r="R67" s="152"/>
      <c r="S67" s="242">
        <f t="shared" si="31"/>
        <v>-246.01999999999998</v>
      </c>
    </row>
    <row r="68" spans="1:40" ht="15.75" customHeight="1">
      <c r="A68" s="23" t="str">
        <f t="shared" si="1"/>
        <v>Véhicules neufsFrais bancaires</v>
      </c>
      <c r="B68" s="184" t="str">
        <f t="shared" si="0"/>
        <v>Véhicules neufs</v>
      </c>
      <c r="C68" s="1" t="s">
        <v>63</v>
      </c>
      <c r="D68" s="30"/>
      <c r="F68" s="198">
        <f>+SUM(START:END!F68)</f>
        <v>10089.887787027848</v>
      </c>
      <c r="G68" s="240"/>
      <c r="I68" s="198">
        <f>+SUM(START:END!I68)</f>
        <v>0</v>
      </c>
      <c r="J68" s="152"/>
      <c r="L68" s="200">
        <f>+SUM(START:END!L68)</f>
        <v>12385.38</v>
      </c>
      <c r="M68" s="152"/>
      <c r="N68" s="222">
        <f t="shared" si="30"/>
        <v>2295.4922129721508</v>
      </c>
      <c r="O68" s="152"/>
      <c r="Q68" s="201">
        <f>+SUM(START:END!Q68)</f>
        <v>14309.499999999998</v>
      </c>
      <c r="R68" s="152"/>
      <c r="S68" s="242">
        <f t="shared" si="31"/>
        <v>-1924.119999999999</v>
      </c>
    </row>
    <row r="69" spans="1:40" ht="15.75" hidden="1" customHeight="1">
      <c r="A69" s="23" t="str">
        <f t="shared" si="1"/>
        <v>Véhicules neufs[...]</v>
      </c>
      <c r="B69" s="184" t="str">
        <f t="shared" si="0"/>
        <v>Véhicules neufs</v>
      </c>
      <c r="C69" s="1" t="s">
        <v>20</v>
      </c>
      <c r="D69" s="30"/>
      <c r="F69" s="198">
        <f>+SUM(START:END!F69)</f>
        <v>0</v>
      </c>
      <c r="G69" s="240"/>
      <c r="I69" s="198">
        <f>+SUM(START:END!I69)</f>
        <v>0</v>
      </c>
      <c r="J69" s="152"/>
      <c r="L69" s="201">
        <f>+SUM(START:END!L69)</f>
        <v>0</v>
      </c>
      <c r="M69" s="152"/>
      <c r="N69" s="222">
        <f t="shared" ref="N69:N71" si="32">L69-I69</f>
        <v>0</v>
      </c>
      <c r="O69" s="152"/>
      <c r="Q69" s="201">
        <f>+SUM(START:END!Q69)</f>
        <v>0</v>
      </c>
      <c r="R69" s="152"/>
      <c r="S69" s="242">
        <f t="shared" si="31"/>
        <v>0</v>
      </c>
    </row>
    <row r="70" spans="1:40" ht="15.75" hidden="1" customHeight="1">
      <c r="A70" s="23" t="str">
        <f t="shared" si="1"/>
        <v>Véhicules neufs[...]</v>
      </c>
      <c r="B70" s="184" t="str">
        <f t="shared" si="0"/>
        <v>Véhicules neufs</v>
      </c>
      <c r="C70" s="1" t="s">
        <v>20</v>
      </c>
      <c r="D70" s="30"/>
      <c r="F70" s="198">
        <f>+SUM(START:END!F70)</f>
        <v>0</v>
      </c>
      <c r="G70" s="240"/>
      <c r="I70" s="198">
        <f>+SUM(START:END!I70)</f>
        <v>0</v>
      </c>
      <c r="J70" s="152"/>
      <c r="L70" s="201">
        <f>+SUM(START:END!L70)</f>
        <v>0</v>
      </c>
      <c r="M70" s="152"/>
      <c r="N70" s="222">
        <f t="shared" si="32"/>
        <v>0</v>
      </c>
      <c r="O70" s="152"/>
      <c r="Q70" s="201">
        <f>+SUM(START:END!Q70)</f>
        <v>0</v>
      </c>
      <c r="R70" s="152"/>
      <c r="S70" s="242">
        <f t="shared" si="31"/>
        <v>0</v>
      </c>
    </row>
    <row r="71" spans="1:40" ht="15.75" hidden="1" customHeight="1">
      <c r="A71" s="23" t="str">
        <f t="shared" si="1"/>
        <v>Véhicules neufs[...]</v>
      </c>
      <c r="B71" s="184" t="str">
        <f t="shared" si="0"/>
        <v>Véhicules neufs</v>
      </c>
      <c r="C71" s="1" t="s">
        <v>20</v>
      </c>
      <c r="D71" s="30"/>
      <c r="F71" s="198">
        <f>+SUM(START:END!F71)</f>
        <v>0</v>
      </c>
      <c r="G71" s="240"/>
      <c r="I71" s="198">
        <f>+SUM(START:END!I71)</f>
        <v>0</v>
      </c>
      <c r="J71" s="152"/>
      <c r="L71" s="201">
        <f>+SUM(START:END!L71)</f>
        <v>0</v>
      </c>
      <c r="M71" s="152"/>
      <c r="N71" s="222">
        <f t="shared" si="32"/>
        <v>0</v>
      </c>
      <c r="O71" s="152"/>
      <c r="Q71" s="201">
        <f>+SUM(START:END!Q71)</f>
        <v>0</v>
      </c>
      <c r="R71" s="152"/>
      <c r="S71" s="242">
        <f t="shared" si="31"/>
        <v>0</v>
      </c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</row>
    <row r="72" spans="1:40" ht="15.75" customHeight="1">
      <c r="A72" s="23" t="str">
        <f t="shared" si="1"/>
        <v>Véhicules neufsTOTAL SEMI-FIXES</v>
      </c>
      <c r="B72" s="184" t="str">
        <f t="shared" si="0"/>
        <v>Véhicules neufs</v>
      </c>
      <c r="C72" s="40" t="s">
        <v>64</v>
      </c>
      <c r="D72" s="250" t="s">
        <v>39</v>
      </c>
      <c r="E72" s="42">
        <f>F72/F$27</f>
        <v>0.11241907965623417</v>
      </c>
      <c r="F72" s="251">
        <f>+SUM(F55:F71)</f>
        <v>98967.054768079426</v>
      </c>
      <c r="G72" s="252" t="s">
        <v>39</v>
      </c>
      <c r="H72" s="42" t="e">
        <f>I72/I$27</f>
        <v>#DIV/0!</v>
      </c>
      <c r="I72" s="251">
        <f>+SUM(I55:I71)</f>
        <v>0</v>
      </c>
      <c r="J72" s="252" t="s">
        <v>39</v>
      </c>
      <c r="K72" s="42">
        <f>L72/L$27</f>
        <v>0.15192025182581664</v>
      </c>
      <c r="L72" s="251">
        <f>+SUM(L55:L71)</f>
        <v>94221.439999999988</v>
      </c>
      <c r="M72" s="254"/>
      <c r="N72" s="251">
        <f>+SUM(N55:N71)</f>
        <v>-4745.6147680794329</v>
      </c>
      <c r="O72" s="252" t="s">
        <v>39</v>
      </c>
      <c r="P72" s="42">
        <f>Q72/Q$27</f>
        <v>0.15892109081572187</v>
      </c>
      <c r="Q72" s="251">
        <f>+SUM(Q55:Q71)</f>
        <v>87040.94</v>
      </c>
      <c r="R72" s="254"/>
      <c r="S72" s="255">
        <f>+SUM(S55:S71)</f>
        <v>7180.5</v>
      </c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</row>
    <row r="73" spans="1:40" ht="15.75" customHeight="1">
      <c r="A73" s="23" t="str">
        <f t="shared" si="1"/>
        <v>Véhicules neufs</v>
      </c>
      <c r="B73" s="184" t="str">
        <f t="shared" si="0"/>
        <v>Véhicules neufs</v>
      </c>
      <c r="C73" s="2"/>
      <c r="D73" s="34"/>
      <c r="E73" s="7"/>
      <c r="F73" s="222"/>
      <c r="G73" s="244"/>
      <c r="H73" s="7"/>
      <c r="I73" s="222"/>
      <c r="J73" s="153"/>
      <c r="K73" s="7"/>
      <c r="L73" s="247"/>
      <c r="M73" s="153"/>
      <c r="N73" s="247"/>
      <c r="O73" s="153"/>
      <c r="P73" s="7"/>
      <c r="Q73" s="247"/>
      <c r="R73" s="153"/>
      <c r="S73" s="248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</row>
    <row r="74" spans="1:40" ht="15.75" customHeight="1">
      <c r="A74" s="23" t="str">
        <f t="shared" si="1"/>
        <v>Véhicules neufsTOTAL DES DÉPENSES</v>
      </c>
      <c r="B74" s="184" t="str">
        <f t="shared" si="0"/>
        <v>Véhicules neufs</v>
      </c>
      <c r="C74" s="40" t="s">
        <v>65</v>
      </c>
      <c r="D74" s="250" t="s">
        <v>39</v>
      </c>
      <c r="E74" s="42">
        <f>F74/F$27</f>
        <v>0.79554114738197768</v>
      </c>
      <c r="F74" s="251">
        <f>F41+F54+F72</f>
        <v>700346.99220068601</v>
      </c>
      <c r="G74" s="252" t="s">
        <v>39</v>
      </c>
      <c r="H74" s="42" t="e">
        <f>I74/I$27</f>
        <v>#DIV/0!</v>
      </c>
      <c r="I74" s="251">
        <f>I41+I54+I72</f>
        <v>0</v>
      </c>
      <c r="J74" s="252" t="s">
        <v>39</v>
      </c>
      <c r="K74" s="42">
        <f>L74/L$27</f>
        <v>1.0264760930242725</v>
      </c>
      <c r="L74" s="251">
        <f>L41+L54+L72</f>
        <v>636623.84999999986</v>
      </c>
      <c r="M74" s="254"/>
      <c r="N74" s="251">
        <f>N41+N54+N72</f>
        <v>-63723.142200686008</v>
      </c>
      <c r="O74" s="252" t="s">
        <v>39</v>
      </c>
      <c r="P74" s="42">
        <f>Q74/Q$27</f>
        <v>0.97452356641587423</v>
      </c>
      <c r="Q74" s="251">
        <f>Q41+Q54+Q72</f>
        <v>533745.68999999994</v>
      </c>
      <c r="R74" s="254"/>
      <c r="S74" s="261">
        <f>L74-Q74</f>
        <v>102878.15999999992</v>
      </c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</row>
    <row r="75" spans="1:40" ht="15.75" customHeight="1">
      <c r="A75" s="23" t="str">
        <f t="shared" si="1"/>
        <v>Véhicules neufsProgramme neuf 1</v>
      </c>
      <c r="B75" s="184" t="str">
        <f t="shared" si="0"/>
        <v>Véhicules neufs</v>
      </c>
      <c r="C75" s="1" t="s">
        <v>197</v>
      </c>
      <c r="D75" s="30"/>
      <c r="F75" s="198">
        <f>+SUM(START:END!F75)</f>
        <v>20000</v>
      </c>
      <c r="G75" s="240"/>
      <c r="I75" s="198">
        <f>+SUM(START:END!I75)</f>
        <v>0</v>
      </c>
      <c r="J75" s="152"/>
      <c r="L75" s="200">
        <f>+SUM(START:END!L75)</f>
        <v>20695</v>
      </c>
      <c r="M75" s="152"/>
      <c r="N75" s="222">
        <f t="shared" ref="N75:N82" si="33">L75-F75</f>
        <v>695</v>
      </c>
      <c r="O75" s="152"/>
      <c r="Q75" s="200">
        <f>+SUM(START:END!Q75)</f>
        <v>0</v>
      </c>
      <c r="R75" s="152"/>
      <c r="S75" s="242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</row>
    <row r="76" spans="1:40" ht="15.75" customHeight="1">
      <c r="A76" s="23" t="str">
        <f t="shared" si="1"/>
        <v>Véhicules neufsProgramme neuf 2</v>
      </c>
      <c r="B76" s="184" t="str">
        <f t="shared" si="0"/>
        <v>Véhicules neufs</v>
      </c>
      <c r="C76" s="1" t="s">
        <v>194</v>
      </c>
      <c r="D76" s="30"/>
      <c r="F76" s="198">
        <f>+SUM(START:END!F76)</f>
        <v>0</v>
      </c>
      <c r="G76" s="240"/>
      <c r="I76" s="198">
        <f>+SUM(START:END!I76)</f>
        <v>0</v>
      </c>
      <c r="J76" s="152"/>
      <c r="L76" s="200">
        <f>+SUM(START:END!L76)</f>
        <v>0</v>
      </c>
      <c r="M76" s="152"/>
      <c r="N76" s="222">
        <f t="shared" si="33"/>
        <v>0</v>
      </c>
      <c r="O76" s="152"/>
      <c r="Q76" s="200">
        <f>+SUM(START:END!Q76)</f>
        <v>0</v>
      </c>
      <c r="R76" s="152"/>
      <c r="S76" s="242">
        <f>L76-Q76</f>
        <v>0</v>
      </c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</row>
    <row r="77" spans="1:40" ht="15.75" customHeight="1">
      <c r="A77" s="23" t="str">
        <f t="shared" si="1"/>
        <v>Véhicules neufsProgramme neuf 3</v>
      </c>
      <c r="B77" s="184" t="str">
        <f t="shared" si="0"/>
        <v>Véhicules neufs</v>
      </c>
      <c r="C77" s="1" t="s">
        <v>68</v>
      </c>
      <c r="D77" s="30"/>
      <c r="F77" s="198">
        <f>+SUM(START:END!F77)</f>
        <v>0</v>
      </c>
      <c r="G77" s="240"/>
      <c r="I77" s="198">
        <f>+SUM(START:END!I77)</f>
        <v>0</v>
      </c>
      <c r="J77" s="152"/>
      <c r="L77" s="200">
        <f>+SUM(START:END!L77)</f>
        <v>0</v>
      </c>
      <c r="M77" s="152"/>
      <c r="N77" s="222">
        <f t="shared" si="33"/>
        <v>0</v>
      </c>
      <c r="O77" s="152"/>
      <c r="Q77" s="200">
        <f>+SUM(START:END!Q77)</f>
        <v>0</v>
      </c>
      <c r="R77" s="152"/>
      <c r="S77" s="242">
        <f t="shared" ref="S77:S82" si="34">L77-Q77</f>
        <v>0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</row>
    <row r="78" spans="1:40" ht="15.75" customHeight="1">
      <c r="A78" s="23" t="str">
        <f t="shared" si="1"/>
        <v>Véhicules neufsHoldbacks</v>
      </c>
      <c r="B78" s="184" t="str">
        <f t="shared" si="0"/>
        <v>Véhicules neufs</v>
      </c>
      <c r="C78" s="1" t="s">
        <v>69</v>
      </c>
      <c r="D78" s="30"/>
      <c r="F78" s="198">
        <f>+SUM(START:END!F78)</f>
        <v>283999.027681618</v>
      </c>
      <c r="G78" s="240"/>
      <c r="I78" s="198">
        <f>+SUM(START:END!I78)</f>
        <v>0</v>
      </c>
      <c r="J78" s="152"/>
      <c r="L78" s="201">
        <f>+SUM(START:END!L78)</f>
        <v>260645.55</v>
      </c>
      <c r="M78" s="152"/>
      <c r="N78" s="222">
        <f t="shared" si="33"/>
        <v>-23353.477681618009</v>
      </c>
      <c r="O78" s="152"/>
      <c r="Q78" s="200">
        <f>+SUM(START:END!Q78)</f>
        <v>169980.38</v>
      </c>
      <c r="R78" s="152"/>
      <c r="S78" s="242">
        <f t="shared" si="34"/>
        <v>90665.169999999984</v>
      </c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</row>
    <row r="79" spans="1:40" ht="15.75" hidden="1" customHeight="1">
      <c r="A79" s="23" t="str">
        <f t="shared" si="1"/>
        <v>Véhicules neufs[...]</v>
      </c>
      <c r="B79" s="184" t="str">
        <f t="shared" si="0"/>
        <v>Véhicules neufs</v>
      </c>
      <c r="C79" s="1" t="s">
        <v>20</v>
      </c>
      <c r="D79" s="30"/>
      <c r="F79" s="198">
        <f>+SUM(START:END!F79)</f>
        <v>0</v>
      </c>
      <c r="G79" s="240"/>
      <c r="I79" s="198">
        <f>+SUM(START:END!I79)</f>
        <v>0</v>
      </c>
      <c r="J79" s="152"/>
      <c r="L79" s="201">
        <f>+SUM(START:END!L79)</f>
        <v>0</v>
      </c>
      <c r="M79" s="152"/>
      <c r="N79" s="222">
        <f t="shared" si="33"/>
        <v>0</v>
      </c>
      <c r="O79" s="152"/>
      <c r="Q79" s="200">
        <f>+SUM(START:END!Q79)</f>
        <v>0</v>
      </c>
      <c r="R79" s="152"/>
      <c r="S79" s="242">
        <f t="shared" si="34"/>
        <v>0</v>
      </c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</row>
    <row r="80" spans="1:40" ht="15.75" hidden="1" customHeight="1">
      <c r="A80" s="23" t="str">
        <f t="shared" si="1"/>
        <v>Véhicules neufs[...]</v>
      </c>
      <c r="B80" s="184" t="str">
        <f t="shared" si="0"/>
        <v>Véhicules neufs</v>
      </c>
      <c r="C80" s="1" t="s">
        <v>20</v>
      </c>
      <c r="D80" s="30"/>
      <c r="F80" s="198">
        <f>+SUM(START:END!F80)</f>
        <v>0</v>
      </c>
      <c r="G80" s="240"/>
      <c r="I80" s="198">
        <f>+SUM(START:END!I80)</f>
        <v>0</v>
      </c>
      <c r="J80" s="152"/>
      <c r="L80" s="201">
        <f>+SUM(START:END!L80)</f>
        <v>0</v>
      </c>
      <c r="M80" s="152"/>
      <c r="N80" s="222">
        <f t="shared" si="33"/>
        <v>0</v>
      </c>
      <c r="O80" s="152"/>
      <c r="Q80" s="200">
        <f>+SUM(START:END!Q80)</f>
        <v>0</v>
      </c>
      <c r="R80" s="152"/>
      <c r="S80" s="242">
        <f t="shared" si="34"/>
        <v>0</v>
      </c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</row>
    <row r="81" spans="1:40" ht="15.75" hidden="1" customHeight="1">
      <c r="A81" s="23" t="str">
        <f t="shared" si="1"/>
        <v>Véhicules neufs[...]</v>
      </c>
      <c r="B81" s="184" t="str">
        <f t="shared" si="0"/>
        <v>Véhicules neufs</v>
      </c>
      <c r="C81" s="1" t="s">
        <v>20</v>
      </c>
      <c r="D81" s="30"/>
      <c r="F81" s="198">
        <f>+SUM(START:END!F81)</f>
        <v>0</v>
      </c>
      <c r="G81" s="240"/>
      <c r="I81" s="198">
        <f>+SUM(START:END!I81)</f>
        <v>0</v>
      </c>
      <c r="J81" s="152"/>
      <c r="L81" s="201">
        <f>+SUM(START:END!L81)</f>
        <v>0</v>
      </c>
      <c r="M81" s="152"/>
      <c r="N81" s="222">
        <f t="shared" si="33"/>
        <v>0</v>
      </c>
      <c r="O81" s="152"/>
      <c r="Q81" s="200">
        <f>+SUM(START:END!Q81)</f>
        <v>0</v>
      </c>
      <c r="R81" s="152"/>
      <c r="S81" s="242">
        <f t="shared" si="34"/>
        <v>0</v>
      </c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</row>
    <row r="82" spans="1:40" ht="15.75" customHeight="1">
      <c r="A82" s="23" t="str">
        <f t="shared" si="1"/>
        <v>Véhicules neufsFrais administration</v>
      </c>
      <c r="B82" s="184" t="str">
        <f t="shared" si="0"/>
        <v>Véhicules neufs</v>
      </c>
      <c r="C82" s="1" t="s">
        <v>70</v>
      </c>
      <c r="D82" s="30"/>
      <c r="F82" s="198">
        <f>+SUM(START:END!F82)</f>
        <v>96575.836249999993</v>
      </c>
      <c r="G82" s="240"/>
      <c r="I82" s="198">
        <f>+SUM(START:END!I82)</f>
        <v>0</v>
      </c>
      <c r="J82" s="152"/>
      <c r="L82" s="200">
        <f>+SUM(START:END!L82)</f>
        <v>88156.5</v>
      </c>
      <c r="M82" s="152"/>
      <c r="N82" s="222">
        <f t="shared" si="33"/>
        <v>-8419.336249999993</v>
      </c>
      <c r="O82" s="152"/>
      <c r="Q82" s="200">
        <f>+SUM(START:END!Q82)</f>
        <v>62286</v>
      </c>
      <c r="R82" s="152"/>
      <c r="S82" s="242">
        <f t="shared" si="34"/>
        <v>25870.5</v>
      </c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</row>
    <row r="83" spans="1:40" ht="15.75" customHeight="1">
      <c r="A83" s="23" t="str">
        <f t="shared" si="1"/>
        <v>Véhicules neufsAUTRES REVENUS</v>
      </c>
      <c r="B83" s="184" t="str">
        <f t="shared" si="0"/>
        <v>Véhicules neufs</v>
      </c>
      <c r="C83" s="40" t="s">
        <v>71</v>
      </c>
      <c r="D83" s="250"/>
      <c r="E83" s="42"/>
      <c r="F83" s="251">
        <f>+SUM(F75:F82)</f>
        <v>400574.86393161799</v>
      </c>
      <c r="G83" s="252"/>
      <c r="H83" s="42"/>
      <c r="I83" s="251">
        <f>+SUM(I75:I82)</f>
        <v>0</v>
      </c>
      <c r="J83" s="252"/>
      <c r="K83" s="42"/>
      <c r="L83" s="251">
        <f>+SUM(L75:L82)</f>
        <v>369497.05</v>
      </c>
      <c r="M83" s="254"/>
      <c r="N83" s="251">
        <f>+SUM(N75:N82)</f>
        <v>-31077.813931618002</v>
      </c>
      <c r="O83" s="252"/>
      <c r="P83" s="42"/>
      <c r="Q83" s="251">
        <f>+SUM(Q75:Q82)</f>
        <v>232266.38</v>
      </c>
      <c r="R83" s="254"/>
      <c r="S83" s="255">
        <f>+SUM(S75:S82)</f>
        <v>116535.66999999998</v>
      </c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</row>
    <row r="84" spans="1:40" ht="15.75" customHeight="1">
      <c r="A84" s="23" t="str">
        <f t="shared" si="1"/>
        <v>Véhicules neufs</v>
      </c>
      <c r="B84" s="184" t="str">
        <f t="shared" si="0"/>
        <v>Véhicules neufs</v>
      </c>
      <c r="C84" s="262"/>
      <c r="D84" s="263"/>
      <c r="E84" s="264"/>
      <c r="F84" s="265"/>
      <c r="G84" s="266"/>
      <c r="H84" s="264"/>
      <c r="I84" s="265"/>
      <c r="J84" s="267"/>
      <c r="K84" s="268"/>
      <c r="L84" s="265"/>
      <c r="M84" s="267"/>
      <c r="N84" s="269"/>
      <c r="O84" s="267"/>
      <c r="P84" s="268"/>
      <c r="Q84" s="265"/>
      <c r="R84" s="267"/>
      <c r="S84" s="270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</row>
    <row r="85" spans="1:40" ht="15.75" customHeight="1" thickBot="1">
      <c r="A85" s="23" t="str">
        <f t="shared" si="1"/>
        <v>Véhicules neufsPROFIT DÉPARTEMENTAL</v>
      </c>
      <c r="B85" s="184" t="str">
        <f t="shared" si="0"/>
        <v>Véhicules neufs</v>
      </c>
      <c r="C85" s="271" t="s">
        <v>72</v>
      </c>
      <c r="D85" s="272"/>
      <c r="E85" s="273"/>
      <c r="F85" s="274">
        <f>F27-F74+F83</f>
        <v>580568.24696537061</v>
      </c>
      <c r="G85" s="275"/>
      <c r="H85" s="273"/>
      <c r="I85" s="274">
        <f>I27-I74+I83</f>
        <v>0</v>
      </c>
      <c r="J85" s="275"/>
      <c r="K85" s="272"/>
      <c r="L85" s="274">
        <f>L27-L74+L83</f>
        <v>353076.49000000017</v>
      </c>
      <c r="M85" s="275"/>
      <c r="N85" s="274">
        <f>N27-N74+N83</f>
        <v>-189604.36483838904</v>
      </c>
      <c r="O85" s="275"/>
      <c r="P85" s="272"/>
      <c r="Q85" s="274">
        <f>Q27-Q74+Q83</f>
        <v>246219.79999999981</v>
      </c>
      <c r="R85" s="275"/>
      <c r="S85" s="276">
        <f>S27-S41-S54-S72+S83</f>
        <v>83113.310000000231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</row>
    <row r="86" spans="1:40" ht="15.75" customHeight="1" thickTop="1">
      <c r="B86" s="184"/>
      <c r="F86" s="26" t="e">
        <f>+F85-#REF!-#REF!-#REF!</f>
        <v>#REF!</v>
      </c>
      <c r="L86" s="26" t="e">
        <f>+L85-#REF!-#REF!-#REF!</f>
        <v>#REF!</v>
      </c>
      <c r="N86" s="26" t="e">
        <f>+N85-#REF!-#REF!-#REF!</f>
        <v>#REF!</v>
      </c>
      <c r="Q86" s="26" t="e">
        <f>+Q85-#REF!-#REF!-#REF!</f>
        <v>#REF!</v>
      </c>
      <c r="S86" s="26" t="e">
        <f>+S85-#REF!-#REF!-#REF!</f>
        <v>#REF!</v>
      </c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</row>
    <row r="87" spans="1:40" ht="40.5" customHeight="1">
      <c r="B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</row>
    <row r="88" spans="1:40" ht="15.75" hidden="1" customHeight="1">
      <c r="B88" s="181"/>
    </row>
    <row r="89" spans="1:40" ht="33" customHeight="1">
      <c r="B89" s="177"/>
      <c r="C89" s="73" t="str">
        <f>C1</f>
        <v>Conso</v>
      </c>
      <c r="D89" s="6"/>
      <c r="E89" s="6"/>
      <c r="F89" s="6"/>
      <c r="G89" s="6"/>
      <c r="H89" s="177"/>
      <c r="I89" s="177"/>
      <c r="J89" s="177"/>
      <c r="K89" s="178" t="s">
        <v>73</v>
      </c>
      <c r="L89" s="6"/>
      <c r="M89" s="6"/>
      <c r="N89" s="177"/>
      <c r="O89" s="177"/>
      <c r="P89" s="6"/>
      <c r="Q89" s="177"/>
      <c r="R89" s="6"/>
      <c r="S89" s="180" t="str">
        <f>$S$1</f>
        <v xml:space="preserve">Réalisé  </v>
      </c>
      <c r="T89" s="73"/>
      <c r="U89" s="73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</row>
    <row r="90" spans="1:40" ht="15.75" customHeight="1" thickBot="1">
      <c r="B90" s="181"/>
      <c r="C90" s="182"/>
    </row>
    <row r="91" spans="1:40" ht="15.75" customHeight="1" thickTop="1">
      <c r="B91" s="184"/>
      <c r="C91" s="185"/>
      <c r="D91" s="484" t="s">
        <v>5</v>
      </c>
      <c r="E91" s="485"/>
      <c r="F91" s="486"/>
      <c r="G91" s="487" t="s">
        <v>74</v>
      </c>
      <c r="H91" s="485"/>
      <c r="I91" s="486"/>
      <c r="J91" s="487" t="s">
        <v>7</v>
      </c>
      <c r="K91" s="485"/>
      <c r="L91" s="486"/>
      <c r="M91" s="487" t="s">
        <v>9</v>
      </c>
      <c r="N91" s="486"/>
      <c r="O91" s="484" t="s">
        <v>8</v>
      </c>
      <c r="P91" s="485"/>
      <c r="Q91" s="486"/>
      <c r="R91" s="487" t="s">
        <v>217</v>
      </c>
      <c r="S91" s="488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</row>
    <row r="92" spans="1:40" ht="15.75" customHeight="1">
      <c r="B92" s="184"/>
      <c r="C92" s="1"/>
      <c r="D92" s="277" t="s">
        <v>10</v>
      </c>
      <c r="E92" s="175" t="s">
        <v>11</v>
      </c>
      <c r="F92" s="278" t="s">
        <v>12</v>
      </c>
      <c r="G92" s="279" t="s">
        <v>10</v>
      </c>
      <c r="H92" s="175" t="s">
        <v>11</v>
      </c>
      <c r="I92" s="278" t="s">
        <v>12</v>
      </c>
      <c r="J92" s="279" t="s">
        <v>10</v>
      </c>
      <c r="K92" s="175" t="s">
        <v>13</v>
      </c>
      <c r="L92" s="278" t="s">
        <v>12</v>
      </c>
      <c r="M92" s="279" t="s">
        <v>14</v>
      </c>
      <c r="N92" s="278" t="s">
        <v>12</v>
      </c>
      <c r="O92" s="175" t="s">
        <v>10</v>
      </c>
      <c r="P92" s="175" t="s">
        <v>13</v>
      </c>
      <c r="Q92" s="278" t="s">
        <v>12</v>
      </c>
      <c r="R92" s="279" t="s">
        <v>10</v>
      </c>
      <c r="S92" s="280" t="s">
        <v>12</v>
      </c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</row>
    <row r="93" spans="1:40" ht="24" customHeight="1">
      <c r="A93" s="23" t="str">
        <f t="shared" ref="A93:A158" si="35">+B93&amp;C93</f>
        <v>Véhicules usagésVentes nettes</v>
      </c>
      <c r="B93" s="184" t="s">
        <v>73</v>
      </c>
      <c r="C93" s="2" t="s">
        <v>15</v>
      </c>
      <c r="D93" s="194"/>
      <c r="E93" s="194"/>
      <c r="F93" s="193">
        <f>+SUM(START:END!F93)</f>
        <v>6174615.2895166576</v>
      </c>
      <c r="G93" s="211"/>
      <c r="H93" s="194"/>
      <c r="I93" s="193">
        <f>+SUM(START:END!I93)</f>
        <v>0</v>
      </c>
      <c r="J93" s="153"/>
      <c r="K93" s="194"/>
      <c r="L93" s="193">
        <f>+SUM(START:END!L93)</f>
        <v>4212048.8199999994</v>
      </c>
      <c r="M93" s="281"/>
      <c r="N93" s="282"/>
      <c r="O93" s="153"/>
      <c r="P93" s="194"/>
      <c r="Q93" s="193">
        <f>+SUM(START:END!Q93)</f>
        <v>4271243.8399999887</v>
      </c>
      <c r="R93" s="281"/>
      <c r="S93" s="283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</row>
    <row r="94" spans="1:40" ht="21.75" customHeight="1">
      <c r="A94" s="23" t="str">
        <f t="shared" si="35"/>
        <v>Véhicules usagésCertifié</v>
      </c>
      <c r="B94" s="184" t="s">
        <v>73</v>
      </c>
      <c r="C94" s="1" t="s">
        <v>75</v>
      </c>
      <c r="D94" s="198">
        <f>+SUM(START:END!D94)</f>
        <v>113.919</v>
      </c>
      <c r="E94" s="198">
        <f>IF(D94=0,0,F94/D94)</f>
        <v>1800.0000000000002</v>
      </c>
      <c r="F94" s="249">
        <f>+SUM(START:END!F94)</f>
        <v>205054.2</v>
      </c>
      <c r="G94" s="198">
        <f>+SUM(START:END!G94)</f>
        <v>0</v>
      </c>
      <c r="H94" s="198">
        <f>IF(G94=0,0,I94/G94)</f>
        <v>0</v>
      </c>
      <c r="I94" s="249">
        <f>+SUM(START:END!I94)</f>
        <v>0</v>
      </c>
      <c r="J94" s="198">
        <f>+SUM(START:END!J94)</f>
        <v>91</v>
      </c>
      <c r="K94" s="198">
        <f>IF(J94=0,0,L94/J94)</f>
        <v>620.13967032967003</v>
      </c>
      <c r="L94" s="198">
        <f>+SUM(START:END!L94)</f>
        <v>56432.70999999997</v>
      </c>
      <c r="M94" s="199">
        <f t="shared" ref="M94:M96" si="36">J94-D94</f>
        <v>-22.918999999999997</v>
      </c>
      <c r="N94" s="201">
        <f t="shared" ref="N94:N96" si="37">L94-F94</f>
        <v>-148621.49000000005</v>
      </c>
      <c r="O94" s="198">
        <f>+SUM(START:END!O94)</f>
        <v>48</v>
      </c>
      <c r="P94" s="198">
        <f>IF(O94=0,0,Q94/O94)</f>
        <v>2082.5087499999977</v>
      </c>
      <c r="Q94" s="198">
        <f>+SUM(START:END!Q94)</f>
        <v>99960.419999999896</v>
      </c>
      <c r="R94" s="199">
        <f t="shared" ref="R94:R95" si="38">J94-O94</f>
        <v>43</v>
      </c>
      <c r="S94" s="202">
        <f t="shared" ref="S94:S95" si="39">L94-Q94</f>
        <v>-43527.709999999926</v>
      </c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</row>
    <row r="95" spans="1:40" ht="18.75" customHeight="1">
      <c r="A95" s="23" t="str">
        <f t="shared" si="35"/>
        <v>Véhicules usagésNon Certifié</v>
      </c>
      <c r="B95" s="184" t="s">
        <v>73</v>
      </c>
      <c r="C95" s="1" t="s">
        <v>76</v>
      </c>
      <c r="D95" s="198">
        <f>+SUM(START:END!D95)</f>
        <v>6.4261999999999997</v>
      </c>
      <c r="E95" s="198">
        <f t="shared" ref="E95:E105" si="40">IF(D95=0,0,F95/D95)</f>
        <v>1800</v>
      </c>
      <c r="F95" s="202">
        <f>+SUM(START:END!F95)</f>
        <v>11567.16</v>
      </c>
      <c r="G95" s="198">
        <f>+SUM(START:END!G95)</f>
        <v>0</v>
      </c>
      <c r="H95" s="198">
        <f t="shared" ref="H95" si="41">IF(G95=0,0,I95/G95)</f>
        <v>0</v>
      </c>
      <c r="I95" s="202">
        <f>+SUM(START:END!I95)</f>
        <v>0</v>
      </c>
      <c r="J95" s="198">
        <f>+SUM(START:END!J95)</f>
        <v>5</v>
      </c>
      <c r="K95" s="198">
        <f t="shared" ref="K95" si="42">IF(J95=0,0,L95/J95)</f>
        <v>471.85599999999977</v>
      </c>
      <c r="L95" s="198">
        <f>+SUM(START:END!L95)</f>
        <v>2359.2799999999988</v>
      </c>
      <c r="M95" s="199">
        <f t="shared" si="36"/>
        <v>-1.4261999999999997</v>
      </c>
      <c r="N95" s="201">
        <f t="shared" si="37"/>
        <v>-9207.880000000001</v>
      </c>
      <c r="O95" s="198">
        <f>+SUM(START:END!O95)</f>
        <v>22</v>
      </c>
      <c r="P95" s="198">
        <f t="shared" ref="P95" si="43">IF(O95=0,0,Q95/O95)</f>
        <v>2295.1036363636272</v>
      </c>
      <c r="Q95" s="198">
        <f>+SUM(START:END!Q95)</f>
        <v>50492.279999999802</v>
      </c>
      <c r="R95" s="199">
        <f t="shared" si="38"/>
        <v>-17</v>
      </c>
      <c r="S95" s="202">
        <f t="shared" si="39"/>
        <v>-48132.999999999804</v>
      </c>
      <c r="V95" s="284"/>
      <c r="W95" s="284"/>
      <c r="X95" s="284"/>
      <c r="Y95" s="284"/>
    </row>
    <row r="96" spans="1:40" ht="18.75" customHeight="1">
      <c r="A96" s="23" t="str">
        <f t="shared" ref="A96" si="44">+B96&amp;C96</f>
        <v>Véhicules usagésAutres marques</v>
      </c>
      <c r="B96" s="184" t="s">
        <v>73</v>
      </c>
      <c r="C96" s="1" t="s">
        <v>214</v>
      </c>
      <c r="D96" s="198">
        <f>+SUM(START:END!D96)</f>
        <v>3.7972999999999999</v>
      </c>
      <c r="E96" s="194">
        <f t="shared" ref="E96" si="45">IF(D96=0,0,F96/D96)</f>
        <v>1800</v>
      </c>
      <c r="F96" s="202">
        <f>+SUM(START:END!F96)</f>
        <v>6835.1399999999994</v>
      </c>
      <c r="G96" s="198">
        <f>+SUM(START:END!G96)</f>
        <v>0</v>
      </c>
      <c r="H96" s="194">
        <f t="shared" ref="H96" si="46">IF(G96=0,0,I96/G96)</f>
        <v>0</v>
      </c>
      <c r="I96" s="202">
        <f>+SUM(START:END!I96)</f>
        <v>0</v>
      </c>
      <c r="J96" s="198">
        <f>+SUM(START:END!J96)</f>
        <v>0</v>
      </c>
      <c r="K96" s="194">
        <f t="shared" ref="K96" si="47">IF(J96=0,0,L96/J96)</f>
        <v>0</v>
      </c>
      <c r="L96" s="198">
        <f>+SUM(START:END!L96)</f>
        <v>0</v>
      </c>
      <c r="M96" s="199">
        <f t="shared" si="36"/>
        <v>-3.7972999999999999</v>
      </c>
      <c r="N96" s="201">
        <f t="shared" si="37"/>
        <v>-6835.1399999999994</v>
      </c>
      <c r="O96" s="198">
        <f>+SUM(START:END!O96)</f>
        <v>0</v>
      </c>
      <c r="P96" s="198">
        <f t="shared" ref="P96" si="48">IF(O96=0,0,Q96/O96)</f>
        <v>0</v>
      </c>
      <c r="Q96" s="198">
        <f>+SUM(START:END!Q96)</f>
        <v>0</v>
      </c>
      <c r="R96" s="199">
        <f t="shared" ref="R96" si="49">J96-O96</f>
        <v>0</v>
      </c>
      <c r="S96" s="202">
        <f t="shared" ref="S96" si="50">L96-Q96</f>
        <v>0</v>
      </c>
      <c r="V96" s="284"/>
      <c r="W96" s="284"/>
      <c r="X96" s="284"/>
      <c r="Y96" s="284"/>
    </row>
    <row r="97" spans="1:32" ht="15.75" customHeight="1">
      <c r="A97" s="23" t="str">
        <f t="shared" si="35"/>
        <v>Véhicules usagésTotal Usagés</v>
      </c>
      <c r="B97" s="184" t="s">
        <v>73</v>
      </c>
      <c r="C97" s="203" t="s">
        <v>77</v>
      </c>
      <c r="D97" s="204">
        <f>+D95+D94+D96</f>
        <v>124.14249999999998</v>
      </c>
      <c r="E97" s="198">
        <f t="shared" si="40"/>
        <v>1800.0000000000002</v>
      </c>
      <c r="F97" s="205">
        <f>+F94+F95+F96</f>
        <v>223456.5</v>
      </c>
      <c r="G97" s="204">
        <f>+G95+G94+G96</f>
        <v>0</v>
      </c>
      <c r="H97" s="198">
        <f t="shared" ref="H97" si="51">IF(G97=0,0,I97/G97)</f>
        <v>0</v>
      </c>
      <c r="I97" s="205">
        <f>+I94+I95+I96</f>
        <v>0</v>
      </c>
      <c r="J97" s="204">
        <f>+J95+J94+J96</f>
        <v>96</v>
      </c>
      <c r="K97" s="198">
        <f t="shared" ref="K97" si="52">IF(J97=0,0,L97/J97)</f>
        <v>612.41656249999971</v>
      </c>
      <c r="L97" s="205">
        <f>+L94+L95+L96</f>
        <v>58791.989999999969</v>
      </c>
      <c r="M97" s="204">
        <f>+M95+M94+M96</f>
        <v>-28.142499999999998</v>
      </c>
      <c r="N97" s="205">
        <f>+N94+N95+N96</f>
        <v>-164664.51000000007</v>
      </c>
      <c r="O97" s="204">
        <f>+O95+O94+O96</f>
        <v>70</v>
      </c>
      <c r="P97" s="204">
        <f>IF(O97&lt;=0,0,Q97/O97)</f>
        <v>2149.3242857142814</v>
      </c>
      <c r="Q97" s="205">
        <f>+Q94+Q95+Q96</f>
        <v>150452.69999999969</v>
      </c>
      <c r="R97" s="206">
        <f>R94+R95+R96</f>
        <v>26</v>
      </c>
      <c r="S97" s="207">
        <f>S94+S95+S96</f>
        <v>-91660.70999999973</v>
      </c>
      <c r="V97" s="198"/>
      <c r="W97" s="198"/>
      <c r="X97" s="198"/>
      <c r="Y97" s="198"/>
      <c r="AC97" s="26"/>
      <c r="AF97" s="26"/>
    </row>
    <row r="98" spans="1:32" ht="15.75" customHeight="1">
      <c r="A98" s="23" t="str">
        <f t="shared" si="35"/>
        <v>Véhicules usagés</v>
      </c>
      <c r="B98" s="184" t="s">
        <v>73</v>
      </c>
      <c r="C98" s="1"/>
      <c r="E98" s="198">
        <f t="shared" si="40"/>
        <v>0</v>
      </c>
      <c r="F98" s="208"/>
      <c r="G98" s="152"/>
      <c r="H98" s="23">
        <f t="shared" ref="H98:H99" si="53">IF(G98=0,0,I98/G98)</f>
        <v>0</v>
      </c>
      <c r="I98" s="208"/>
      <c r="J98" s="152"/>
      <c r="L98" s="208"/>
      <c r="M98" s="170">
        <f>D97/D97</f>
        <v>1</v>
      </c>
      <c r="N98" s="171">
        <f>N97/F97</f>
        <v>-0.73689738271207172</v>
      </c>
      <c r="O98" s="152"/>
      <c r="Q98" s="208"/>
      <c r="R98" s="170">
        <f>R97/O97</f>
        <v>0.37142857142857144</v>
      </c>
      <c r="S98" s="209">
        <f>IF(Q97=0,0,(S97/Q97))</f>
        <v>-0.60923273560394675</v>
      </c>
      <c r="AC98" s="184"/>
    </row>
    <row r="99" spans="1:32" ht="15.75" customHeight="1">
      <c r="A99" s="23" t="str">
        <f t="shared" si="35"/>
        <v>Véhicules usagésUS</v>
      </c>
      <c r="B99" s="184" t="s">
        <v>73</v>
      </c>
      <c r="C99" s="1" t="s">
        <v>193</v>
      </c>
      <c r="D99" s="198">
        <f>+SUM(START:END!D99)</f>
        <v>0</v>
      </c>
      <c r="E99" s="198">
        <f t="shared" si="40"/>
        <v>0</v>
      </c>
      <c r="F99" s="198">
        <f>+SUM(START:END!F99)</f>
        <v>0</v>
      </c>
      <c r="G99" s="285">
        <f>+SUM(START:END!G99)</f>
        <v>0</v>
      </c>
      <c r="H99" s="198">
        <f t="shared" si="53"/>
        <v>0</v>
      </c>
      <c r="I99" s="198">
        <f>+SUM(START:END!I99)</f>
        <v>0</v>
      </c>
      <c r="J99" s="199">
        <f>+SUM(START:END!J99)</f>
        <v>0</v>
      </c>
      <c r="K99" s="198">
        <f t="shared" ref="K99" si="54">IF(J99=0,0,L99/J99)</f>
        <v>0</v>
      </c>
      <c r="L99" s="201">
        <f>+SUM(START:END!L99)</f>
        <v>0</v>
      </c>
      <c r="M99" s="199">
        <f t="shared" ref="M99:M100" si="55">J99-D99</f>
        <v>0</v>
      </c>
      <c r="N99" s="201">
        <f t="shared" ref="N99:N104" si="56">L99-F99</f>
        <v>0</v>
      </c>
      <c r="O99" s="199">
        <f>+SUM(START:END!O99)</f>
        <v>0</v>
      </c>
      <c r="P99" s="198">
        <f t="shared" ref="P99" si="57">IF(O99=0,0,Q99/O99)</f>
        <v>0</v>
      </c>
      <c r="Q99" s="200">
        <f>+SUM(START:END!Q99)</f>
        <v>0</v>
      </c>
      <c r="R99" s="199"/>
      <c r="S99" s="202"/>
      <c r="V99" s="198"/>
      <c r="W99" s="198"/>
      <c r="X99" s="198"/>
      <c r="Y99" s="198"/>
      <c r="AC99" s="184"/>
    </row>
    <row r="100" spans="1:32" ht="15.75" customHeight="1">
      <c r="A100" s="23" t="str">
        <f t="shared" si="35"/>
        <v>Véhicules usagésVentes au Gros</v>
      </c>
      <c r="B100" s="184" t="s">
        <v>73</v>
      </c>
      <c r="C100" s="1" t="s">
        <v>78</v>
      </c>
      <c r="D100" s="198">
        <f>+SUM(START:END!D100)</f>
        <v>127.0635</v>
      </c>
      <c r="E100" s="198">
        <f t="shared" ref="E100" si="58">IF(D100=0,0,F100/D100)</f>
        <v>400</v>
      </c>
      <c r="F100" s="198">
        <f>+SUM(START:END!F100)</f>
        <v>50825.4</v>
      </c>
      <c r="G100" s="285">
        <f>+SUM(START:END!G100)</f>
        <v>0</v>
      </c>
      <c r="H100" s="198">
        <f t="shared" ref="H100" si="59">IF(G100=0,0,I100/G100)</f>
        <v>0</v>
      </c>
      <c r="I100" s="198">
        <f>+SUM(START:END!I100)</f>
        <v>0</v>
      </c>
      <c r="J100" s="199">
        <f>+SUM(START:END!J100)</f>
        <v>107</v>
      </c>
      <c r="K100" s="198">
        <f t="shared" ref="K100" si="60">IF(J100=0,0,L100/J100)</f>
        <v>-358.56887850467393</v>
      </c>
      <c r="L100" s="201">
        <f>+SUM(START:END!L100)</f>
        <v>-38366.870000000112</v>
      </c>
      <c r="M100" s="199">
        <f t="shared" si="55"/>
        <v>-20.063500000000005</v>
      </c>
      <c r="N100" s="201">
        <f t="shared" si="56"/>
        <v>-89192.270000000106</v>
      </c>
      <c r="O100" s="199">
        <f>+SUM(START:END!O100)</f>
        <v>110</v>
      </c>
      <c r="P100" s="198">
        <f t="shared" ref="P100" si="61">IF(O100=0,0,Q100/O100)</f>
        <v>620.26963636363644</v>
      </c>
      <c r="Q100" s="200">
        <f>+SUM(START:END!Q100)</f>
        <v>68229.66</v>
      </c>
      <c r="R100" s="199">
        <f t="shared" ref="R100" si="62">J100-O100</f>
        <v>-3</v>
      </c>
      <c r="S100" s="202">
        <f t="shared" ref="S100" si="63">L100-Q100</f>
        <v>-106596.53000000012</v>
      </c>
      <c r="V100" s="198"/>
      <c r="W100" s="198"/>
      <c r="X100" s="198"/>
      <c r="Y100" s="198"/>
      <c r="AC100" s="26"/>
      <c r="AF100" s="115"/>
    </row>
    <row r="101" spans="1:32" ht="15.75" customHeight="1">
      <c r="A101" s="23" t="str">
        <f t="shared" si="35"/>
        <v>Véhicules usagés</v>
      </c>
      <c r="B101" s="184" t="s">
        <v>73</v>
      </c>
      <c r="C101" s="2"/>
      <c r="D101" s="194"/>
      <c r="E101" s="194"/>
      <c r="F101" s="213"/>
      <c r="G101" s="216"/>
      <c r="H101" s="212"/>
      <c r="I101" s="213"/>
      <c r="J101" s="216"/>
      <c r="K101" s="212"/>
      <c r="L101" s="213"/>
      <c r="M101" s="214"/>
      <c r="N101" s="286"/>
      <c r="O101" s="216"/>
      <c r="P101" s="212"/>
      <c r="Q101" s="213"/>
      <c r="R101" s="214"/>
      <c r="S101" s="287"/>
      <c r="AF101" s="115"/>
    </row>
    <row r="102" spans="1:32" ht="15.75" customHeight="1">
      <c r="A102" s="23" t="str">
        <f t="shared" si="35"/>
        <v>Véhicules usagésRev. Finances</v>
      </c>
      <c r="B102" s="184" t="s">
        <v>73</v>
      </c>
      <c r="C102" s="1" t="s">
        <v>25</v>
      </c>
      <c r="D102" s="198">
        <f>+SUM(START:END!D102)</f>
        <v>0</v>
      </c>
      <c r="E102" s="198">
        <f t="shared" ref="E102:E104" si="64">IF(D102=0,0,F102/D102)</f>
        <v>0</v>
      </c>
      <c r="F102" s="201">
        <f>+SUM(START:END!F102)</f>
        <v>86899.75</v>
      </c>
      <c r="G102" s="199">
        <f>+SUM(START:END!G102)</f>
        <v>0</v>
      </c>
      <c r="H102" s="198">
        <f t="shared" ref="H102:H104" si="65">IF(G102=0,0,I102/G102)</f>
        <v>0</v>
      </c>
      <c r="I102" s="198">
        <f>+SUM(START:END!I102)</f>
        <v>0</v>
      </c>
      <c r="J102" s="199">
        <f>+SUM(START:END!J102)</f>
        <v>0</v>
      </c>
      <c r="K102" s="198">
        <f t="shared" ref="K102:K104" si="66">IF(J102=0,0,L102/J102)</f>
        <v>0</v>
      </c>
      <c r="L102" s="201">
        <f>+SUM(START:END!L102)</f>
        <v>27863.969999999998</v>
      </c>
      <c r="M102" s="199">
        <f t="shared" ref="M102:M104" si="67">J102-G102</f>
        <v>0</v>
      </c>
      <c r="N102" s="201">
        <f t="shared" si="56"/>
        <v>-59035.78</v>
      </c>
      <c r="O102" s="199">
        <f>+SUM(START:END!O102)</f>
        <v>0</v>
      </c>
      <c r="P102" s="198">
        <f t="shared" ref="P102:P104" si="68">IF(O102=0,0,Q102/O102)</f>
        <v>0</v>
      </c>
      <c r="Q102" s="201">
        <f>+SUM(START:END!Q102)</f>
        <v>58096.08</v>
      </c>
      <c r="R102" s="199">
        <f t="shared" ref="R102:R104" si="69">J102-O102</f>
        <v>0</v>
      </c>
      <c r="S102" s="202">
        <f t="shared" ref="S102:S104" si="70">L102-Q102</f>
        <v>-30232.110000000004</v>
      </c>
    </row>
    <row r="103" spans="1:32" ht="15.75" customHeight="1">
      <c r="A103" s="23" t="str">
        <f t="shared" si="35"/>
        <v>Véhicules usagésRev. Protections</v>
      </c>
      <c r="B103" s="184" t="s">
        <v>73</v>
      </c>
      <c r="C103" s="1" t="s">
        <v>26</v>
      </c>
      <c r="D103" s="198">
        <f>+SUM(START:END!D103)</f>
        <v>0</v>
      </c>
      <c r="E103" s="198">
        <f t="shared" si="64"/>
        <v>0</v>
      </c>
      <c r="F103" s="201">
        <f>+SUM(START:END!F103)</f>
        <v>180006.62499999997</v>
      </c>
      <c r="G103" s="199">
        <f>+SUM(START:END!G103)</f>
        <v>0</v>
      </c>
      <c r="H103" s="198">
        <f t="shared" si="65"/>
        <v>0</v>
      </c>
      <c r="I103" s="198">
        <f>+SUM(START:END!I103)</f>
        <v>0</v>
      </c>
      <c r="J103" s="199">
        <f>+SUM(START:END!J103)</f>
        <v>0</v>
      </c>
      <c r="K103" s="198">
        <f t="shared" si="66"/>
        <v>0</v>
      </c>
      <c r="L103" s="201">
        <f>+SUM(START:END!L103)</f>
        <v>146636.99</v>
      </c>
      <c r="M103" s="199">
        <f t="shared" si="67"/>
        <v>0</v>
      </c>
      <c r="N103" s="201">
        <f t="shared" si="56"/>
        <v>-33369.63499999998</v>
      </c>
      <c r="O103" s="199">
        <f>+SUM(START:END!O103)</f>
        <v>0</v>
      </c>
      <c r="P103" s="198">
        <f t="shared" si="68"/>
        <v>0</v>
      </c>
      <c r="Q103" s="201">
        <f>+SUM(START:END!Q103)</f>
        <v>121288.60999999999</v>
      </c>
      <c r="R103" s="199">
        <f t="shared" si="69"/>
        <v>0</v>
      </c>
      <c r="S103" s="202">
        <f t="shared" si="70"/>
        <v>25348.380000000005</v>
      </c>
    </row>
    <row r="104" spans="1:32" ht="15.75" customHeight="1">
      <c r="A104" s="23" t="str">
        <f t="shared" si="35"/>
        <v>Véhicules usagésRev. Autres</v>
      </c>
      <c r="B104" s="184" t="s">
        <v>73</v>
      </c>
      <c r="C104" s="1" t="s">
        <v>27</v>
      </c>
      <c r="D104" s="198">
        <f>+SUM(START:END!D104)</f>
        <v>0</v>
      </c>
      <c r="E104" s="194">
        <f t="shared" si="64"/>
        <v>0</v>
      </c>
      <c r="F104" s="201">
        <f>+SUM(START:END!F104)</f>
        <v>6207.125</v>
      </c>
      <c r="G104" s="199">
        <f>+SUM(START:END!G104)</f>
        <v>0</v>
      </c>
      <c r="H104" s="212">
        <f t="shared" si="65"/>
        <v>0</v>
      </c>
      <c r="I104" s="198">
        <f>+SUM(START:END!I104)</f>
        <v>0</v>
      </c>
      <c r="J104" s="199">
        <f>+SUM(START:END!J104)</f>
        <v>0</v>
      </c>
      <c r="K104" s="212">
        <f t="shared" si="66"/>
        <v>0</v>
      </c>
      <c r="L104" s="201">
        <f>+SUM(START:END!L104)</f>
        <v>1973</v>
      </c>
      <c r="M104" s="216">
        <f t="shared" si="67"/>
        <v>0</v>
      </c>
      <c r="N104" s="201">
        <f t="shared" si="56"/>
        <v>-4234.125</v>
      </c>
      <c r="O104" s="199">
        <f>+SUM(START:END!O104)</f>
        <v>0</v>
      </c>
      <c r="P104" s="212">
        <f t="shared" si="68"/>
        <v>0</v>
      </c>
      <c r="Q104" s="201">
        <f>+SUM(START:END!Q104)</f>
        <v>2391.5100000000002</v>
      </c>
      <c r="R104" s="199">
        <f t="shared" si="69"/>
        <v>0</v>
      </c>
      <c r="S104" s="202">
        <f t="shared" si="70"/>
        <v>-418.51000000000022</v>
      </c>
    </row>
    <row r="105" spans="1:32" ht="15.75" customHeight="1">
      <c r="A105" s="23" t="str">
        <f t="shared" si="35"/>
        <v>Véhicules usagésTotal F&amp;I</v>
      </c>
      <c r="B105" s="184" t="s">
        <v>73</v>
      </c>
      <c r="C105" s="203" t="s">
        <v>28</v>
      </c>
      <c r="D105" s="204">
        <f>D97</f>
        <v>124.14249999999998</v>
      </c>
      <c r="E105" s="198">
        <f t="shared" si="40"/>
        <v>2200.0000000000005</v>
      </c>
      <c r="F105" s="205">
        <f>F102+F103+F104</f>
        <v>273113.5</v>
      </c>
      <c r="G105" s="206">
        <f>G97</f>
        <v>0</v>
      </c>
      <c r="H105" s="204">
        <f t="shared" ref="H105" si="71">IF(G105=0,0,I105/G105)</f>
        <v>0</v>
      </c>
      <c r="I105" s="205">
        <f>I102+I103+I104</f>
        <v>0</v>
      </c>
      <c r="J105" s="206">
        <f>J97</f>
        <v>96</v>
      </c>
      <c r="K105" s="204">
        <f>IF(J105&lt;=0,0,L105/J105)</f>
        <v>1838.2704166666665</v>
      </c>
      <c r="L105" s="205">
        <f>L102+L103+L104</f>
        <v>176473.96</v>
      </c>
      <c r="M105" s="199">
        <f>M97</f>
        <v>-28.142499999999998</v>
      </c>
      <c r="N105" s="205">
        <f>N102+N103+N104</f>
        <v>-96639.539999999979</v>
      </c>
      <c r="O105" s="206">
        <f>O97</f>
        <v>70</v>
      </c>
      <c r="P105" s="204">
        <f>IF(O105&lt;=0,0,Q105/O105)</f>
        <v>2596.8028571428572</v>
      </c>
      <c r="Q105" s="205">
        <f>Q102+Q103+Q104</f>
        <v>181776.2</v>
      </c>
      <c r="R105" s="220"/>
      <c r="S105" s="207">
        <f t="shared" ref="S105" si="72">L105-Q105</f>
        <v>-5302.2400000000198</v>
      </c>
      <c r="V105" s="198"/>
      <c r="W105" s="198"/>
      <c r="X105" s="198"/>
      <c r="Y105" s="198"/>
    </row>
    <row r="106" spans="1:32" ht="15.75" customHeight="1">
      <c r="A106" s="23" t="str">
        <f t="shared" si="35"/>
        <v>Véhicules usagés</v>
      </c>
      <c r="B106" s="184" t="s">
        <v>73</v>
      </c>
      <c r="C106" s="1"/>
      <c r="F106" s="222"/>
      <c r="G106" s="152"/>
      <c r="H106" s="31"/>
      <c r="I106" s="222"/>
      <c r="J106" s="152"/>
      <c r="L106" s="222"/>
      <c r="M106" s="170"/>
      <c r="N106" s="171">
        <f>N105/F105</f>
        <v>-0.35384387809463824</v>
      </c>
      <c r="O106" s="152"/>
      <c r="Q106" s="222"/>
      <c r="R106" s="223"/>
      <c r="S106" s="209">
        <f>IF(Q105=0,0,(S105/Q105))</f>
        <v>-2.916905513483074E-2</v>
      </c>
    </row>
    <row r="107" spans="1:32" ht="15.75" customHeight="1" thickBot="1">
      <c r="A107" s="23" t="str">
        <f t="shared" si="35"/>
        <v>Véhicules usagés</v>
      </c>
      <c r="B107" s="184" t="s">
        <v>73</v>
      </c>
      <c r="C107" s="1"/>
      <c r="F107" s="222"/>
      <c r="G107" s="152"/>
      <c r="H107" s="31"/>
      <c r="I107" s="222"/>
      <c r="J107" s="152"/>
      <c r="K107" s="198"/>
      <c r="L107" s="222"/>
      <c r="M107" s="170"/>
      <c r="N107" s="171"/>
      <c r="O107" s="152"/>
      <c r="Q107" s="222"/>
      <c r="R107" s="223"/>
      <c r="S107" s="209"/>
    </row>
    <row r="108" spans="1:32" ht="15.75" customHeight="1" thickTop="1">
      <c r="A108" s="23" t="str">
        <f t="shared" si="35"/>
        <v>Véhicules usagésTotal Dépt. Usagés</v>
      </c>
      <c r="B108" s="184" t="s">
        <v>73</v>
      </c>
      <c r="C108" s="225" t="s">
        <v>79</v>
      </c>
      <c r="D108" s="226">
        <f>D97+D100</f>
        <v>251.20599999999999</v>
      </c>
      <c r="E108" s="230">
        <f>IF(D108&lt;=0,0,F108/D108)</f>
        <v>2179.0697674418607</v>
      </c>
      <c r="F108" s="228">
        <f>F97+F105+F100</f>
        <v>547395.4</v>
      </c>
      <c r="G108" s="229">
        <f>G97+G100</f>
        <v>0</v>
      </c>
      <c r="H108" s="230">
        <f>IF(G108&lt;=0,0,I108/G108)</f>
        <v>0</v>
      </c>
      <c r="I108" s="228">
        <f>I97+I105+I100</f>
        <v>0</v>
      </c>
      <c r="J108" s="229">
        <f>J97+J100+J99</f>
        <v>203</v>
      </c>
      <c r="K108" s="230">
        <f>IF(J108&lt;=0,0,L108/J108)</f>
        <v>969.94620689655096</v>
      </c>
      <c r="L108" s="228">
        <f>L97+L105+L100+L99</f>
        <v>196899.07999999984</v>
      </c>
      <c r="M108" s="229">
        <f>M97+M100+M99</f>
        <v>-48.206000000000003</v>
      </c>
      <c r="N108" s="228">
        <f>N97+N105+N100+N99</f>
        <v>-350496.32000000018</v>
      </c>
      <c r="O108" s="229">
        <f>O97+O100+O99</f>
        <v>180</v>
      </c>
      <c r="P108" s="230">
        <f>IF(O108&lt;=0,0,Q108/O108)</f>
        <v>2224.7697777777762</v>
      </c>
      <c r="Q108" s="228">
        <f>Q97+Q105+Q100+Q99</f>
        <v>400458.55999999971</v>
      </c>
      <c r="R108" s="229">
        <f>J108-O108</f>
        <v>23</v>
      </c>
      <c r="S108" s="231">
        <f>L108-Q108</f>
        <v>-203559.47999999986</v>
      </c>
      <c r="V108" s="198"/>
      <c r="W108" s="198"/>
      <c r="X108" s="198"/>
      <c r="Y108" s="198"/>
    </row>
    <row r="109" spans="1:32" ht="19.5" customHeight="1" thickBot="1">
      <c r="A109" s="23" t="str">
        <f t="shared" si="35"/>
        <v>Véhicules usagés</v>
      </c>
      <c r="B109" s="184" t="s">
        <v>73</v>
      </c>
      <c r="C109" s="232"/>
      <c r="D109" s="233"/>
      <c r="E109" s="233"/>
      <c r="F109" s="234"/>
      <c r="G109" s="235"/>
      <c r="H109" s="233"/>
      <c r="I109" s="234"/>
      <c r="J109" s="235"/>
      <c r="K109" s="233"/>
      <c r="L109" s="234"/>
      <c r="M109" s="236">
        <f>M108/D108</f>
        <v>-0.19189828268433082</v>
      </c>
      <c r="N109" s="166">
        <f>N108/F108</f>
        <v>-0.64029825606864832</v>
      </c>
      <c r="O109" s="235"/>
      <c r="P109" s="233"/>
      <c r="Q109" s="234"/>
      <c r="R109" s="236">
        <f>O108/R108</f>
        <v>7.8260869565217392</v>
      </c>
      <c r="S109" s="288">
        <f>IF(Q108=0,0,(S108/Q108))</f>
        <v>-0.50831596657591738</v>
      </c>
    </row>
    <row r="110" spans="1:32" ht="15.75" customHeight="1" thickTop="1">
      <c r="A110" s="23" t="str">
        <f t="shared" si="35"/>
        <v>Véhicules usagés</v>
      </c>
      <c r="B110" s="184" t="s">
        <v>73</v>
      </c>
      <c r="C110" s="22"/>
      <c r="D110" s="73"/>
      <c r="E110" s="73"/>
      <c r="F110" s="238"/>
      <c r="G110" s="156"/>
      <c r="H110" s="73"/>
      <c r="I110" s="238"/>
      <c r="J110" s="156"/>
      <c r="K110" s="73"/>
      <c r="L110" s="238"/>
      <c r="M110" s="170"/>
      <c r="N110" s="171"/>
      <c r="O110" s="156"/>
      <c r="P110" s="73"/>
      <c r="Q110" s="238"/>
      <c r="R110" s="170"/>
      <c r="S110" s="209"/>
    </row>
    <row r="111" spans="1:32" ht="15.75" customHeight="1">
      <c r="A111" s="23" t="str">
        <f t="shared" si="35"/>
        <v>Véhicules usagésDEPENSES</v>
      </c>
      <c r="B111" s="184" t="s">
        <v>73</v>
      </c>
      <c r="C111" s="239" t="s">
        <v>30</v>
      </c>
      <c r="E111" s="175"/>
      <c r="F111" s="222"/>
      <c r="G111" s="152"/>
      <c r="H111" s="175"/>
      <c r="I111" s="222"/>
      <c r="J111" s="152"/>
      <c r="K111" s="175"/>
      <c r="L111" s="208"/>
      <c r="M111" s="152"/>
      <c r="N111" s="208"/>
      <c r="O111" s="152"/>
      <c r="P111" s="175"/>
      <c r="Q111" s="208"/>
      <c r="R111" s="152"/>
      <c r="S111" s="224"/>
    </row>
    <row r="112" spans="1:32" ht="15.75" customHeight="1">
      <c r="A112" s="23" t="str">
        <f t="shared" si="35"/>
        <v>Véhicules usagésComm. vendeurs</v>
      </c>
      <c r="B112" s="184" t="s">
        <v>73</v>
      </c>
      <c r="C112" s="1" t="s">
        <v>31</v>
      </c>
      <c r="D112" s="30"/>
      <c r="E112" s="26">
        <f>F112/D$97</f>
        <v>594.00000000000011</v>
      </c>
      <c r="F112" s="198">
        <f>+SUM(START:END!F112)</f>
        <v>73740.645000000004</v>
      </c>
      <c r="G112" s="289" t="e">
        <f>I112/I97</f>
        <v>#DIV/0!</v>
      </c>
      <c r="H112" s="26" t="e">
        <f>I112/G$97</f>
        <v>#DIV/0!</v>
      </c>
      <c r="I112" s="198">
        <f>+SUM(START:END!I112)</f>
        <v>0</v>
      </c>
      <c r="J112" s="289">
        <f>L112/L97</f>
        <v>0.8830908768354333</v>
      </c>
      <c r="K112" s="26">
        <f>IF($J$97=0,0,L112/(J$94+J$95))</f>
        <v>540.81947916666661</v>
      </c>
      <c r="L112" s="201">
        <f>+SUM(START:END!L112)</f>
        <v>51918.67</v>
      </c>
      <c r="M112" s="152"/>
      <c r="N112" s="222">
        <f t="shared" ref="N112:N118" si="73">L112-F112</f>
        <v>-21821.975000000006</v>
      </c>
      <c r="O112" s="152"/>
      <c r="P112" s="26">
        <f>IF($J$97=0,0,Q112/(O$94+O$95))</f>
        <v>1004.4867142857141</v>
      </c>
      <c r="Q112" s="201">
        <f>+SUM(START:END!Q112)</f>
        <v>70314.069999999992</v>
      </c>
      <c r="R112" s="152"/>
      <c r="S112" s="242">
        <f t="shared" ref="S112:S122" si="74">L112-Q112</f>
        <v>-18395.399999999994</v>
      </c>
    </row>
    <row r="113" spans="1:19" ht="15.75" customHeight="1">
      <c r="A113" s="23" t="str">
        <f t="shared" si="35"/>
        <v>Véhicules usagésComm. F&amp;I</v>
      </c>
      <c r="B113" s="184" t="s">
        <v>73</v>
      </c>
      <c r="C113" s="2" t="s">
        <v>32</v>
      </c>
      <c r="D113" s="34"/>
      <c r="E113" s="10">
        <f>F113/D$97</f>
        <v>660</v>
      </c>
      <c r="F113" s="193">
        <f>+SUM(START:END!F113)</f>
        <v>81934.049999999988</v>
      </c>
      <c r="G113" s="246" t="e">
        <f>I113/I98</f>
        <v>#DIV/0!</v>
      </c>
      <c r="H113" s="10" t="e">
        <f>I113/G$97</f>
        <v>#DIV/0!</v>
      </c>
      <c r="I113" s="193">
        <f>+SUM(START:END!I113)</f>
        <v>0</v>
      </c>
      <c r="J113" s="246" t="e">
        <f>L113/L98</f>
        <v>#DIV/0!</v>
      </c>
      <c r="K113" s="10">
        <f>IF($J$97=0,0,L113/(J$94+J$95))</f>
        <v>551.47958333333338</v>
      </c>
      <c r="L113" s="201">
        <f>+SUM(START:END!L113)</f>
        <v>52942.040000000008</v>
      </c>
      <c r="M113" s="153"/>
      <c r="N113" s="247">
        <f t="shared" si="73"/>
        <v>-28992.00999999998</v>
      </c>
      <c r="O113" s="153"/>
      <c r="P113" s="10">
        <f>IF($J$97=0,0,Q113/(O$94+O$95))</f>
        <v>822.0971428571429</v>
      </c>
      <c r="Q113" s="201">
        <f>+SUM(START:END!Q113)</f>
        <v>57546.8</v>
      </c>
      <c r="R113" s="153"/>
      <c r="S113" s="248">
        <f t="shared" ref="S113" si="75">L113-Q113</f>
        <v>-4604.7599999999948</v>
      </c>
    </row>
    <row r="114" spans="1:19" ht="15.75" customHeight="1">
      <c r="A114" s="23" t="str">
        <f t="shared" si="35"/>
        <v>Véhicules usagésFrais de livraison</v>
      </c>
      <c r="B114" s="184" t="s">
        <v>73</v>
      </c>
      <c r="C114" s="1" t="s">
        <v>33</v>
      </c>
      <c r="D114" s="30"/>
      <c r="E114" s="26">
        <f>F114/D$97</f>
        <v>10.000000000000002</v>
      </c>
      <c r="F114" s="198">
        <f>+SUM(START:END!F114)</f>
        <v>1241.425</v>
      </c>
      <c r="G114" s="240"/>
      <c r="H114" s="26" t="e">
        <f>I114/G$97</f>
        <v>#DIV/0!</v>
      </c>
      <c r="I114" s="198">
        <f>+SUM(START:END!I114)</f>
        <v>0</v>
      </c>
      <c r="J114" s="152"/>
      <c r="K114" s="26">
        <f>IF($J$97=0,0,L114/(J$94+J$95))</f>
        <v>41.762708333333329</v>
      </c>
      <c r="L114" s="257">
        <f>+SUM(START:END!L114)</f>
        <v>4009.22</v>
      </c>
      <c r="M114" s="152"/>
      <c r="N114" s="222">
        <f t="shared" si="73"/>
        <v>2767.7950000000001</v>
      </c>
      <c r="O114" s="152"/>
      <c r="P114" s="26">
        <f>IF($J$97=0,0,Q114/(O$94+O$95))</f>
        <v>-35.148714285714284</v>
      </c>
      <c r="Q114" s="257">
        <f>+SUM(START:END!Q114)</f>
        <v>-2460.41</v>
      </c>
      <c r="R114" s="152"/>
      <c r="S114" s="242">
        <f t="shared" si="74"/>
        <v>6469.6299999999992</v>
      </c>
    </row>
    <row r="115" spans="1:19" ht="15.75" customHeight="1">
      <c r="A115" s="23" t="str">
        <f t="shared" si="35"/>
        <v>Véhicules usagésService gratuit 1</v>
      </c>
      <c r="B115" s="184" t="s">
        <v>73</v>
      </c>
      <c r="C115" s="1" t="s">
        <v>34</v>
      </c>
      <c r="D115" s="30"/>
      <c r="E115" s="26">
        <f t="shared" ref="E115:E121" si="76">F115/D$97</f>
        <v>7.0000000000000009</v>
      </c>
      <c r="F115" s="198">
        <f>+SUM(START:END!F115)</f>
        <v>868.99749999999995</v>
      </c>
      <c r="G115" s="240"/>
      <c r="H115" s="26" t="e">
        <f t="shared" ref="H115:H121" si="77">I115/G$97</f>
        <v>#DIV/0!</v>
      </c>
      <c r="I115" s="198">
        <f>+SUM(START:END!I115)</f>
        <v>0</v>
      </c>
      <c r="J115" s="152"/>
      <c r="K115" s="26">
        <f t="shared" ref="K115:K121" si="78">IF($J$97=0,0,L115/(J$94+J$95))</f>
        <v>49.651250000000005</v>
      </c>
      <c r="L115" s="201">
        <f>+SUM(START:END!L115)</f>
        <v>4766.5200000000004</v>
      </c>
      <c r="M115" s="152"/>
      <c r="N115" s="222">
        <f t="shared" si="73"/>
        <v>3897.5225000000005</v>
      </c>
      <c r="O115" s="152"/>
      <c r="P115" s="26">
        <f t="shared" ref="P115:P121" si="79">IF($J$97=0,0,Q115/(O$94+O$95))</f>
        <v>8.2901428571428557</v>
      </c>
      <c r="Q115" s="201">
        <f>+SUM(START:END!Q115)</f>
        <v>580.30999999999995</v>
      </c>
      <c r="R115" s="152"/>
      <c r="S115" s="242">
        <f t="shared" ref="S115:S118" si="80">L115-Q115</f>
        <v>4186.2100000000009</v>
      </c>
    </row>
    <row r="116" spans="1:19" ht="15.75" customHeight="1">
      <c r="A116" s="23" t="str">
        <f t="shared" si="35"/>
        <v>Véhicules usagésEntretien stock</v>
      </c>
      <c r="B116" s="184" t="s">
        <v>73</v>
      </c>
      <c r="C116" s="2" t="s">
        <v>35</v>
      </c>
      <c r="D116" s="34"/>
      <c r="E116" s="10">
        <f t="shared" si="76"/>
        <v>162</v>
      </c>
      <c r="F116" s="193">
        <f>+SUM(START:END!F116)</f>
        <v>20111.084999999999</v>
      </c>
      <c r="G116" s="244"/>
      <c r="H116" s="10" t="e">
        <f t="shared" si="77"/>
        <v>#DIV/0!</v>
      </c>
      <c r="I116" s="193">
        <f>+SUM(START:END!I116)</f>
        <v>0</v>
      </c>
      <c r="J116" s="153"/>
      <c r="K116" s="10">
        <f t="shared" si="78"/>
        <v>145.62458333333333</v>
      </c>
      <c r="L116" s="213">
        <f>+SUM(START:END!L116)</f>
        <v>13979.96</v>
      </c>
      <c r="M116" s="153"/>
      <c r="N116" s="247">
        <f t="shared" si="73"/>
        <v>-6131.125</v>
      </c>
      <c r="O116" s="153"/>
      <c r="P116" s="10">
        <f t="shared" si="79"/>
        <v>192.96414285714286</v>
      </c>
      <c r="Q116" s="213">
        <f>+SUM(START:END!Q116)</f>
        <v>13507.49</v>
      </c>
      <c r="R116" s="153"/>
      <c r="S116" s="248">
        <f t="shared" si="80"/>
        <v>472.46999999999935</v>
      </c>
    </row>
    <row r="117" spans="1:19" ht="15.75" customHeight="1">
      <c r="A117" s="23" t="str">
        <f t="shared" si="35"/>
        <v>Véhicules usagésPublicité 1</v>
      </c>
      <c r="B117" s="184" t="s">
        <v>73</v>
      </c>
      <c r="C117" s="1" t="s">
        <v>36</v>
      </c>
      <c r="D117" s="30"/>
      <c r="E117" s="26">
        <f t="shared" si="76"/>
        <v>266.15985661638848</v>
      </c>
      <c r="F117" s="198">
        <f>+SUM(START:END!F117)</f>
        <v>33041.75</v>
      </c>
      <c r="G117" s="240"/>
      <c r="H117" s="26" t="e">
        <f t="shared" si="77"/>
        <v>#DIV/0!</v>
      </c>
      <c r="I117" s="198">
        <f>+SUM(START:END!I117)</f>
        <v>0</v>
      </c>
      <c r="J117" s="152"/>
      <c r="K117" s="26">
        <f t="shared" si="78"/>
        <v>338.46260416666667</v>
      </c>
      <c r="L117" s="201">
        <f>+SUM(START:END!L117)</f>
        <v>32492.41</v>
      </c>
      <c r="M117" s="152"/>
      <c r="N117" s="222">
        <f t="shared" si="73"/>
        <v>-549.34000000000015</v>
      </c>
      <c r="O117" s="152"/>
      <c r="P117" s="26">
        <f t="shared" si="79"/>
        <v>625.34028571428576</v>
      </c>
      <c r="Q117" s="201">
        <f>+SUM(START:END!Q117)</f>
        <v>43773.82</v>
      </c>
      <c r="R117" s="152"/>
      <c r="S117" s="242">
        <f t="shared" si="80"/>
        <v>-11281.41</v>
      </c>
    </row>
    <row r="118" spans="1:19" ht="15.75" customHeight="1">
      <c r="A118" s="23" t="str">
        <f t="shared" si="35"/>
        <v>Véhicules usagésIntérêt de gros</v>
      </c>
      <c r="B118" s="184" t="s">
        <v>73</v>
      </c>
      <c r="C118" s="1" t="s">
        <v>37</v>
      </c>
      <c r="D118" s="30"/>
      <c r="E118" s="26">
        <f t="shared" si="76"/>
        <v>197.66389274752999</v>
      </c>
      <c r="F118" s="198">
        <f>+SUM(START:END!F118)</f>
        <v>24538.489805410238</v>
      </c>
      <c r="G118" s="240"/>
      <c r="H118" s="26" t="e">
        <f t="shared" si="77"/>
        <v>#DIV/0!</v>
      </c>
      <c r="I118" s="198">
        <f>+SUM(START:END!I118)</f>
        <v>0</v>
      </c>
      <c r="J118" s="152"/>
      <c r="K118" s="26">
        <f t="shared" si="78"/>
        <v>208.36510416666667</v>
      </c>
      <c r="L118" s="201">
        <f>+SUM(START:END!L118)</f>
        <v>20003.05</v>
      </c>
      <c r="M118" s="152"/>
      <c r="N118" s="222">
        <f t="shared" si="73"/>
        <v>-4535.4398054102385</v>
      </c>
      <c r="O118" s="152"/>
      <c r="P118" s="26">
        <f t="shared" si="79"/>
        <v>82.138142857142853</v>
      </c>
      <c r="Q118" s="201">
        <f>+SUM(START:END!Q118)</f>
        <v>5749.67</v>
      </c>
      <c r="R118" s="152"/>
      <c r="S118" s="242">
        <f t="shared" si="80"/>
        <v>14253.38</v>
      </c>
    </row>
    <row r="119" spans="1:19" ht="15.75" hidden="1" customHeight="1">
      <c r="A119" s="23" t="str">
        <f t="shared" si="35"/>
        <v>Véhicules usagés[...]</v>
      </c>
      <c r="B119" s="184" t="s">
        <v>73</v>
      </c>
      <c r="C119" s="1" t="s">
        <v>20</v>
      </c>
      <c r="D119" s="30"/>
      <c r="E119" s="26">
        <f t="shared" si="76"/>
        <v>0</v>
      </c>
      <c r="F119" s="198">
        <f>+SUM(START:END!F119)</f>
        <v>0</v>
      </c>
      <c r="G119" s="240"/>
      <c r="H119" s="26" t="e">
        <f t="shared" si="77"/>
        <v>#DIV/0!</v>
      </c>
      <c r="I119" s="198">
        <f>+SUM(START:END!I119)</f>
        <v>0</v>
      </c>
      <c r="J119" s="152"/>
      <c r="K119" s="26">
        <f t="shared" si="78"/>
        <v>0</v>
      </c>
      <c r="L119" s="201">
        <f>+SUM(START:END!L119)</f>
        <v>0</v>
      </c>
      <c r="M119" s="152"/>
      <c r="N119" s="222">
        <f t="shared" ref="N119:N121" si="81">L119-I119</f>
        <v>0</v>
      </c>
      <c r="O119" s="152"/>
      <c r="P119" s="26">
        <f t="shared" si="79"/>
        <v>0</v>
      </c>
      <c r="Q119" s="201">
        <f>+SUM(START:END!Q119)</f>
        <v>0</v>
      </c>
      <c r="R119" s="152"/>
      <c r="S119" s="242">
        <f t="shared" ref="S119:S121" si="82">L119-Q119</f>
        <v>0</v>
      </c>
    </row>
    <row r="120" spans="1:19" ht="15.75" hidden="1" customHeight="1">
      <c r="A120" s="23" t="str">
        <f t="shared" si="35"/>
        <v>Véhicules usagés[...]</v>
      </c>
      <c r="B120" s="184" t="s">
        <v>73</v>
      </c>
      <c r="C120" s="1" t="s">
        <v>20</v>
      </c>
      <c r="D120" s="30"/>
      <c r="E120" s="26">
        <f t="shared" si="76"/>
        <v>0</v>
      </c>
      <c r="F120" s="198">
        <f>+SUM(START:END!F120)</f>
        <v>0</v>
      </c>
      <c r="G120" s="240"/>
      <c r="H120" s="26" t="e">
        <f t="shared" si="77"/>
        <v>#DIV/0!</v>
      </c>
      <c r="I120" s="198">
        <f>+SUM(START:END!I120)</f>
        <v>0</v>
      </c>
      <c r="J120" s="152"/>
      <c r="K120" s="26">
        <f t="shared" si="78"/>
        <v>0</v>
      </c>
      <c r="L120" s="201">
        <f>+SUM(START:END!L120)</f>
        <v>0</v>
      </c>
      <c r="M120" s="152"/>
      <c r="N120" s="222">
        <f t="shared" si="81"/>
        <v>0</v>
      </c>
      <c r="O120" s="152"/>
      <c r="P120" s="26">
        <f t="shared" si="79"/>
        <v>0</v>
      </c>
      <c r="Q120" s="201">
        <f>+SUM(START:END!Q120)</f>
        <v>0</v>
      </c>
      <c r="R120" s="152"/>
      <c r="S120" s="242">
        <f t="shared" si="82"/>
        <v>0</v>
      </c>
    </row>
    <row r="121" spans="1:19" ht="15.75" hidden="1" customHeight="1">
      <c r="A121" s="23" t="str">
        <f t="shared" si="35"/>
        <v>Véhicules usagés[...]</v>
      </c>
      <c r="B121" s="184" t="s">
        <v>73</v>
      </c>
      <c r="C121" s="1" t="s">
        <v>20</v>
      </c>
      <c r="D121" s="30"/>
      <c r="E121" s="26">
        <f t="shared" si="76"/>
        <v>0</v>
      </c>
      <c r="F121" s="198">
        <f>+SUM(START:END!F121)</f>
        <v>0</v>
      </c>
      <c r="G121" s="240"/>
      <c r="H121" s="26" t="e">
        <f t="shared" si="77"/>
        <v>#DIV/0!</v>
      </c>
      <c r="I121" s="198">
        <f>+SUM(START:END!I121)</f>
        <v>0</v>
      </c>
      <c r="J121" s="152"/>
      <c r="K121" s="26">
        <f t="shared" si="78"/>
        <v>0</v>
      </c>
      <c r="L121" s="201">
        <f>+SUM(START:END!L121)</f>
        <v>0</v>
      </c>
      <c r="M121" s="152"/>
      <c r="N121" s="222">
        <f t="shared" si="81"/>
        <v>0</v>
      </c>
      <c r="O121" s="152"/>
      <c r="P121" s="26">
        <f t="shared" si="79"/>
        <v>0</v>
      </c>
      <c r="Q121" s="201">
        <f>+SUM(START:END!Q121)</f>
        <v>0</v>
      </c>
      <c r="R121" s="152"/>
      <c r="S121" s="242">
        <f t="shared" si="82"/>
        <v>0</v>
      </c>
    </row>
    <row r="122" spans="1:19" ht="15.75" customHeight="1">
      <c r="A122" s="23" t="str">
        <f t="shared" si="35"/>
        <v>Véhicules usagésTOTAL VARIABLES</v>
      </c>
      <c r="B122" s="184" t="s">
        <v>73</v>
      </c>
      <c r="C122" s="40" t="s">
        <v>38</v>
      </c>
      <c r="D122" s="250" t="s">
        <v>39</v>
      </c>
      <c r="E122" s="42">
        <f>F122/F$108</f>
        <v>0.43017614379918101</v>
      </c>
      <c r="F122" s="251">
        <f>SUM(F112:F121)</f>
        <v>235476.44230541022</v>
      </c>
      <c r="G122" s="252" t="s">
        <v>39</v>
      </c>
      <c r="H122" s="42" t="e">
        <f>I122/I$108</f>
        <v>#DIV/0!</v>
      </c>
      <c r="I122" s="251">
        <f>SUM(I112:I121)</f>
        <v>0</v>
      </c>
      <c r="J122" s="252" t="s">
        <v>39</v>
      </c>
      <c r="K122" s="42">
        <f>L122/L$108</f>
        <v>0.91474205973943679</v>
      </c>
      <c r="L122" s="251">
        <f>SUM(L112:L121)</f>
        <v>180111.87</v>
      </c>
      <c r="M122" s="254"/>
      <c r="N122" s="251">
        <f>SUM(N112:N121)</f>
        <v>-55364.572305410227</v>
      </c>
      <c r="O122" s="252" t="s">
        <v>39</v>
      </c>
      <c r="P122" s="42">
        <f>Q122/Q$108</f>
        <v>0.47198828762706468</v>
      </c>
      <c r="Q122" s="251">
        <f>SUM(Q112:Q121)</f>
        <v>189011.75</v>
      </c>
      <c r="R122" s="254"/>
      <c r="S122" s="255">
        <f t="shared" si="74"/>
        <v>-8899.8800000000047</v>
      </c>
    </row>
    <row r="123" spans="1:19" ht="15.75" customHeight="1">
      <c r="A123" s="23" t="str">
        <f t="shared" si="35"/>
        <v>Véhicules usagésSalaires cadres</v>
      </c>
      <c r="B123" s="184" t="s">
        <v>73</v>
      </c>
      <c r="C123" s="1" t="s">
        <v>41</v>
      </c>
      <c r="F123" s="198">
        <f>+SUM(START:END!F123)</f>
        <v>39491.025000000001</v>
      </c>
      <c r="G123" s="152"/>
      <c r="I123" s="198">
        <f>+SUM(START:END!I123)</f>
        <v>0</v>
      </c>
      <c r="J123" s="152"/>
      <c r="L123" s="201">
        <f>+SUM(START:END!L123)</f>
        <v>33492.869999999995</v>
      </c>
      <c r="M123" s="152"/>
      <c r="N123" s="222">
        <f t="shared" ref="N123:N133" si="83">L123-F123</f>
        <v>-5998.1550000000061</v>
      </c>
      <c r="O123" s="152"/>
      <c r="Q123" s="201">
        <f>+SUM(START:END!Q123)</f>
        <v>21392.18</v>
      </c>
      <c r="R123" s="152"/>
      <c r="S123" s="224"/>
    </row>
    <row r="124" spans="1:19" ht="15.75" customHeight="1">
      <c r="A124" s="23" t="str">
        <f t="shared" si="35"/>
        <v>Véhicules usagésSalaires commis</v>
      </c>
      <c r="B124" s="184" t="s">
        <v>73</v>
      </c>
      <c r="C124" s="2" t="s">
        <v>42</v>
      </c>
      <c r="D124" s="30"/>
      <c r="F124" s="193">
        <f>+SUM(START:END!F124)</f>
        <v>13578.758000000002</v>
      </c>
      <c r="G124" s="240"/>
      <c r="I124" s="193">
        <f>+SUM(START:END!I124)</f>
        <v>0</v>
      </c>
      <c r="J124" s="152"/>
      <c r="L124" s="193">
        <f>+SUM(START:END!L124)</f>
        <v>5578.08</v>
      </c>
      <c r="M124" s="152"/>
      <c r="N124" s="222">
        <f t="shared" si="83"/>
        <v>-8000.6780000000017</v>
      </c>
      <c r="O124" s="152"/>
      <c r="Q124" s="193">
        <f>+SUM(START:END!Q124)</f>
        <v>16547.8</v>
      </c>
      <c r="R124" s="152"/>
      <c r="S124" s="242"/>
    </row>
    <row r="125" spans="1:19" ht="15.75" customHeight="1">
      <c r="A125" s="23" t="str">
        <f t="shared" si="35"/>
        <v>Véhicules usagésSalaires autres</v>
      </c>
      <c r="B125" s="184" t="s">
        <v>73</v>
      </c>
      <c r="C125" s="1" t="s">
        <v>43</v>
      </c>
      <c r="D125" s="52"/>
      <c r="E125" s="53"/>
      <c r="F125" s="198">
        <f>+SUM(START:END!F125)</f>
        <v>18504.5</v>
      </c>
      <c r="G125" s="256"/>
      <c r="H125" s="53"/>
      <c r="I125" s="198">
        <f>+SUM(START:END!I125)</f>
        <v>0</v>
      </c>
      <c r="J125" s="154"/>
      <c r="K125" s="53"/>
      <c r="L125" s="201">
        <f>+SUM(START:END!L125)</f>
        <v>19028.98</v>
      </c>
      <c r="M125" s="154"/>
      <c r="N125" s="258">
        <f t="shared" si="83"/>
        <v>524.47999999999956</v>
      </c>
      <c r="O125" s="154"/>
      <c r="P125" s="53"/>
      <c r="Q125" s="201">
        <f>+SUM(START:END!Q125)</f>
        <v>37978.65</v>
      </c>
      <c r="R125" s="154"/>
      <c r="S125" s="259"/>
    </row>
    <row r="126" spans="1:19" ht="15.75" customHeight="1">
      <c r="A126" s="23" t="str">
        <f t="shared" si="35"/>
        <v>Véhicules usagésSalaires spécialistes</v>
      </c>
      <c r="B126" s="184" t="s">
        <v>73</v>
      </c>
      <c r="C126" s="1" t="s">
        <v>44</v>
      </c>
      <c r="D126" s="30"/>
      <c r="F126" s="198">
        <f>+SUM(START:END!F126)</f>
        <v>0</v>
      </c>
      <c r="G126" s="240"/>
      <c r="I126" s="198">
        <f>+SUM(START:END!I126)</f>
        <v>0</v>
      </c>
      <c r="J126" s="152"/>
      <c r="L126" s="201">
        <f>+SUM(START:END!L126)</f>
        <v>0</v>
      </c>
      <c r="M126" s="152"/>
      <c r="N126" s="222">
        <f t="shared" si="83"/>
        <v>0</v>
      </c>
      <c r="O126" s="152"/>
      <c r="Q126" s="201">
        <f>+SUM(START:END!Q126)</f>
        <v>0</v>
      </c>
      <c r="R126" s="152"/>
      <c r="S126" s="242"/>
    </row>
    <row r="127" spans="1:19" ht="15.75" hidden="1" customHeight="1">
      <c r="A127" s="23" t="str">
        <f t="shared" si="35"/>
        <v>Véhicules usagés[...]</v>
      </c>
      <c r="B127" s="184" t="s">
        <v>73</v>
      </c>
      <c r="C127" s="1" t="s">
        <v>20</v>
      </c>
      <c r="D127" s="30"/>
      <c r="F127" s="198">
        <f>+SUM(START:END!F127)</f>
        <v>0</v>
      </c>
      <c r="G127" s="240"/>
      <c r="I127" s="198">
        <f>+SUM(START:END!I127)</f>
        <v>0</v>
      </c>
      <c r="J127" s="152"/>
      <c r="L127" s="201">
        <f>+SUM(START:END!L127)</f>
        <v>0</v>
      </c>
      <c r="M127" s="152"/>
      <c r="N127" s="222">
        <f t="shared" si="83"/>
        <v>0</v>
      </c>
      <c r="O127" s="152"/>
      <c r="Q127" s="201">
        <f>+SUM(START:END!Q127)</f>
        <v>0</v>
      </c>
      <c r="R127" s="152"/>
      <c r="S127" s="242"/>
    </row>
    <row r="128" spans="1:19" ht="15.75" hidden="1" customHeight="1">
      <c r="A128" s="23" t="str">
        <f t="shared" si="35"/>
        <v>Véhicules usagés[...]</v>
      </c>
      <c r="B128" s="184" t="s">
        <v>73</v>
      </c>
      <c r="C128" s="1" t="s">
        <v>20</v>
      </c>
      <c r="D128" s="30"/>
      <c r="F128" s="198">
        <f>+SUM(START:END!F128)</f>
        <v>0</v>
      </c>
      <c r="G128" s="240"/>
      <c r="I128" s="198">
        <f>+SUM(START:END!I128)</f>
        <v>0</v>
      </c>
      <c r="J128" s="152"/>
      <c r="L128" s="201">
        <f>+SUM(START:END!L128)</f>
        <v>0</v>
      </c>
      <c r="M128" s="152"/>
      <c r="N128" s="222">
        <f t="shared" si="83"/>
        <v>0</v>
      </c>
      <c r="O128" s="152"/>
      <c r="Q128" s="201">
        <f>+SUM(START:END!Q128)</f>
        <v>0</v>
      </c>
      <c r="R128" s="152"/>
      <c r="S128" s="242"/>
    </row>
    <row r="129" spans="1:20" ht="15.75" hidden="1" customHeight="1">
      <c r="A129" s="23" t="str">
        <f t="shared" si="35"/>
        <v>Véhicules usagés[...]</v>
      </c>
      <c r="B129" s="184" t="s">
        <v>73</v>
      </c>
      <c r="C129" s="1" t="s">
        <v>20</v>
      </c>
      <c r="D129" s="30"/>
      <c r="F129" s="198">
        <f>+SUM(START:END!F129)</f>
        <v>0</v>
      </c>
      <c r="G129" s="240"/>
      <c r="I129" s="198">
        <f>+SUM(START:END!I129)</f>
        <v>0</v>
      </c>
      <c r="J129" s="152"/>
      <c r="L129" s="201">
        <f>+SUM(START:END!L129)</f>
        <v>0</v>
      </c>
      <c r="M129" s="152"/>
      <c r="N129" s="222">
        <f t="shared" si="83"/>
        <v>0</v>
      </c>
      <c r="O129" s="152"/>
      <c r="Q129" s="201">
        <f>+SUM(START:END!Q129)</f>
        <v>0</v>
      </c>
      <c r="R129" s="152"/>
      <c r="S129" s="242"/>
    </row>
    <row r="130" spans="1:20" ht="15.75" customHeight="1">
      <c r="A130" s="23" t="str">
        <f t="shared" si="35"/>
        <v>Véhicules usagésSalaires en absences</v>
      </c>
      <c r="B130" s="184" t="s">
        <v>73</v>
      </c>
      <c r="C130" s="2" t="s">
        <v>45</v>
      </c>
      <c r="D130" s="30"/>
      <c r="F130" s="198">
        <f>+SUM(START:END!F130)</f>
        <v>27751.077220500003</v>
      </c>
      <c r="G130" s="240"/>
      <c r="I130" s="198">
        <f>+SUM(START:END!I130)</f>
        <v>0</v>
      </c>
      <c r="J130" s="152"/>
      <c r="L130" s="201">
        <f>+SUM(START:END!L130)</f>
        <v>23136.39</v>
      </c>
      <c r="M130" s="152"/>
      <c r="N130" s="222">
        <f t="shared" si="83"/>
        <v>-4614.6872205000036</v>
      </c>
      <c r="O130" s="152"/>
      <c r="Q130" s="201">
        <f>+SUM(START:END!Q130)</f>
        <v>17905.349999999999</v>
      </c>
      <c r="R130" s="152"/>
      <c r="S130" s="242"/>
    </row>
    <row r="131" spans="1:20" ht="15.75" customHeight="1">
      <c r="A131" s="23" t="str">
        <f t="shared" si="35"/>
        <v>Véhicules usagésDéduction à la source</v>
      </c>
      <c r="B131" s="184" t="s">
        <v>73</v>
      </c>
      <c r="C131" s="1" t="s">
        <v>46</v>
      </c>
      <c r="D131" s="52"/>
      <c r="E131" s="53"/>
      <c r="F131" s="218">
        <f>+SUM(START:END!F131)</f>
        <v>33741.397854000003</v>
      </c>
      <c r="G131" s="256"/>
      <c r="H131" s="53"/>
      <c r="I131" s="218">
        <f>+SUM(START:END!I131)</f>
        <v>0</v>
      </c>
      <c r="J131" s="154"/>
      <c r="K131" s="53"/>
      <c r="L131" s="219">
        <f>+SUM(START:END!L131)</f>
        <v>20326.980000000003</v>
      </c>
      <c r="M131" s="154"/>
      <c r="N131" s="258">
        <f t="shared" si="83"/>
        <v>-13414.417853999999</v>
      </c>
      <c r="O131" s="154"/>
      <c r="P131" s="53"/>
      <c r="Q131" s="219">
        <f>+SUM(START:END!Q131)</f>
        <v>24847.22</v>
      </c>
      <c r="R131" s="154"/>
      <c r="S131" s="259"/>
    </row>
    <row r="132" spans="1:20" ht="15.75" customHeight="1">
      <c r="A132" s="23" t="str">
        <f t="shared" si="35"/>
        <v>Véhicules usagésBénéfices marginaux</v>
      </c>
      <c r="B132" s="184" t="s">
        <v>73</v>
      </c>
      <c r="C132" s="1" t="s">
        <v>47</v>
      </c>
      <c r="D132" s="30"/>
      <c r="F132" s="198">
        <f>+SUM(START:END!F132)</f>
        <v>17384.154981300002</v>
      </c>
      <c r="G132" s="240"/>
      <c r="I132" s="198">
        <f>+SUM(START:END!I132)</f>
        <v>0</v>
      </c>
      <c r="J132" s="152"/>
      <c r="L132" s="201">
        <f>+SUM(START:END!L132)</f>
        <v>3697.73</v>
      </c>
      <c r="M132" s="152"/>
      <c r="N132" s="222">
        <f t="shared" si="83"/>
        <v>-13686.424981300002</v>
      </c>
      <c r="O132" s="152"/>
      <c r="Q132" s="201">
        <f>+SUM(START:END!Q132)</f>
        <v>5474.2400000000016</v>
      </c>
      <c r="R132" s="152"/>
      <c r="S132" s="242"/>
    </row>
    <row r="133" spans="1:20" ht="15.75" customHeight="1">
      <c r="A133" s="23" t="str">
        <f t="shared" si="35"/>
        <v>Véhicules usagésCsst</v>
      </c>
      <c r="B133" s="184" t="s">
        <v>73</v>
      </c>
      <c r="C133" s="1" t="s">
        <v>48</v>
      </c>
      <c r="D133" s="30"/>
      <c r="F133" s="198">
        <f>+SUM(START:END!F133)</f>
        <v>7579.5893730000007</v>
      </c>
      <c r="G133" s="240"/>
      <c r="I133" s="198">
        <f>+SUM(START:END!I133)</f>
        <v>0</v>
      </c>
      <c r="J133" s="152"/>
      <c r="L133" s="201">
        <f>+SUM(START:END!L133)</f>
        <v>3596.0099999999998</v>
      </c>
      <c r="M133" s="152"/>
      <c r="N133" s="222">
        <f t="shared" si="83"/>
        <v>-3983.5793730000009</v>
      </c>
      <c r="O133" s="152"/>
      <c r="Q133" s="201">
        <f>+SUM(START:END!Q133)</f>
        <v>4669.57</v>
      </c>
      <c r="R133" s="152"/>
      <c r="S133" s="242"/>
    </row>
    <row r="134" spans="1:20" ht="15.75" hidden="1" customHeight="1">
      <c r="A134" s="23" t="str">
        <f t="shared" si="35"/>
        <v>Véhicules usagés[...]</v>
      </c>
      <c r="B134" s="184" t="s">
        <v>73</v>
      </c>
      <c r="C134" s="1" t="s">
        <v>20</v>
      </c>
      <c r="D134" s="34"/>
      <c r="E134" s="7"/>
      <c r="F134" s="198">
        <f>+SUM(START:END!F134)</f>
        <v>0</v>
      </c>
      <c r="G134" s="240"/>
      <c r="I134" s="198">
        <f>+SUM(START:END!I134)</f>
        <v>0</v>
      </c>
      <c r="J134" s="152"/>
      <c r="L134" s="201">
        <f>+SUM(START:END!L134)</f>
        <v>0</v>
      </c>
      <c r="M134" s="152"/>
      <c r="N134" s="222">
        <f t="shared" ref="N134" si="84">L134-I134</f>
        <v>0</v>
      </c>
      <c r="O134" s="152"/>
      <c r="Q134" s="201">
        <f>+SUM(START:END!Q134)</f>
        <v>0</v>
      </c>
      <c r="R134" s="152"/>
      <c r="S134" s="242"/>
    </row>
    <row r="135" spans="1:20" ht="15.75" customHeight="1">
      <c r="A135" s="23" t="str">
        <f t="shared" si="35"/>
        <v>Véhicules usagésTOTAL PERSONNEL</v>
      </c>
      <c r="B135" s="184" t="s">
        <v>73</v>
      </c>
      <c r="C135" s="40" t="s">
        <v>49</v>
      </c>
      <c r="D135" s="250" t="s">
        <v>39</v>
      </c>
      <c r="E135" s="42">
        <f>F135/F$108</f>
        <v>0.2886953423956431</v>
      </c>
      <c r="F135" s="251">
        <f>+SUM(F123:F134)</f>
        <v>158030.50242880001</v>
      </c>
      <c r="G135" s="252" t="s">
        <v>39</v>
      </c>
      <c r="H135" s="42" t="e">
        <f>I135/I$108</f>
        <v>#DIV/0!</v>
      </c>
      <c r="I135" s="251">
        <f>+SUM(I123:I134)</f>
        <v>0</v>
      </c>
      <c r="J135" s="252" t="s">
        <v>39</v>
      </c>
      <c r="K135" s="42">
        <f>L135/L$108</f>
        <v>0.55285702706178241</v>
      </c>
      <c r="L135" s="251">
        <f>SUM(L123:L134)</f>
        <v>108857.03999999998</v>
      </c>
      <c r="M135" s="290"/>
      <c r="N135" s="251">
        <f>SUM(N123:N134)</f>
        <v>-49173.46242880002</v>
      </c>
      <c r="O135" s="252" t="s">
        <v>39</v>
      </c>
      <c r="P135" s="42">
        <f>Q135/Q$108</f>
        <v>0.32166876392903204</v>
      </c>
      <c r="Q135" s="251">
        <f>SUM(Q123:Q134)</f>
        <v>128815.01000000001</v>
      </c>
      <c r="R135" s="290"/>
      <c r="S135" s="261">
        <f t="shared" ref="S135:S153" si="85">L135-Q135</f>
        <v>-19957.97000000003</v>
      </c>
    </row>
    <row r="136" spans="1:20" ht="15.75" customHeight="1">
      <c r="A136" s="23" t="str">
        <f t="shared" si="35"/>
        <v>Véhicules usagésPublicité 2</v>
      </c>
      <c r="B136" s="184" t="s">
        <v>73</v>
      </c>
      <c r="C136" s="1" t="s">
        <v>50</v>
      </c>
      <c r="D136" s="30"/>
      <c r="F136" s="198">
        <f>+SUM(START:END!F136)</f>
        <v>0</v>
      </c>
      <c r="G136" s="240"/>
      <c r="I136" s="198">
        <f>+SUM(START:END!I136)</f>
        <v>0</v>
      </c>
      <c r="J136" s="152"/>
      <c r="L136" s="201">
        <f>+SUM(START:END!L136)</f>
        <v>0</v>
      </c>
      <c r="M136" s="152"/>
      <c r="N136" s="222">
        <f t="shared" ref="N136:N149" si="86">L136-F136</f>
        <v>0</v>
      </c>
      <c r="O136" s="152"/>
      <c r="Q136" s="201">
        <f>+SUM(START:END!Q136)</f>
        <v>0</v>
      </c>
      <c r="R136" s="152"/>
      <c r="S136" s="242"/>
    </row>
    <row r="137" spans="1:20" ht="15.75" customHeight="1">
      <c r="A137" s="23" t="str">
        <f t="shared" si="35"/>
        <v>Véhicules usagésService gratuit 2</v>
      </c>
      <c r="B137" s="184" t="s">
        <v>73</v>
      </c>
      <c r="C137" s="1" t="s">
        <v>51</v>
      </c>
      <c r="D137" s="30"/>
      <c r="F137" s="198">
        <f>+SUM(START:END!F137)</f>
        <v>0</v>
      </c>
      <c r="G137" s="240"/>
      <c r="I137" s="198">
        <f>+SUM(START:END!I137)</f>
        <v>0</v>
      </c>
      <c r="J137" s="152"/>
      <c r="L137" s="201">
        <f>+SUM(START:END!L137)</f>
        <v>0</v>
      </c>
      <c r="M137" s="152"/>
      <c r="N137" s="222">
        <f t="shared" si="86"/>
        <v>0</v>
      </c>
      <c r="O137" s="152"/>
      <c r="Q137" s="201">
        <f>+SUM(START:END!Q137)</f>
        <v>0</v>
      </c>
      <c r="R137" s="152"/>
      <c r="S137" s="242"/>
    </row>
    <row r="138" spans="1:20" ht="15.75" customHeight="1">
      <c r="A138" s="23" t="str">
        <f t="shared" si="35"/>
        <v>Véhicules usagésFrais véhicules de cie</v>
      </c>
      <c r="B138" s="184" t="s">
        <v>73</v>
      </c>
      <c r="C138" s="2" t="s">
        <v>52</v>
      </c>
      <c r="D138" s="34"/>
      <c r="E138" s="7"/>
      <c r="F138" s="193">
        <f>+SUM(START:END!F138)</f>
        <v>7375</v>
      </c>
      <c r="G138" s="244"/>
      <c r="H138" s="7"/>
      <c r="I138" s="193">
        <f>+SUM(START:END!I138)</f>
        <v>0</v>
      </c>
      <c r="J138" s="153"/>
      <c r="K138" s="7"/>
      <c r="L138" s="193">
        <f>+SUM(START:END!L138)</f>
        <v>2189.16</v>
      </c>
      <c r="M138" s="153"/>
      <c r="N138" s="247">
        <f t="shared" si="86"/>
        <v>-5185.84</v>
      </c>
      <c r="O138" s="153"/>
      <c r="P138" s="7"/>
      <c r="Q138" s="193">
        <f>+SUM(START:END!Q138)</f>
        <v>4854.9400000000005</v>
      </c>
      <c r="R138" s="153"/>
      <c r="S138" s="248"/>
    </row>
    <row r="139" spans="1:20" ht="15.75" customHeight="1">
      <c r="A139" s="23" t="str">
        <f t="shared" si="35"/>
        <v>Véhicules usagésInformatique</v>
      </c>
      <c r="B139" s="184" t="s">
        <v>73</v>
      </c>
      <c r="C139" s="1" t="s">
        <v>53</v>
      </c>
      <c r="D139" s="30"/>
      <c r="F139" s="198">
        <f>+SUM(START:END!F139)</f>
        <v>10881.124612</v>
      </c>
      <c r="G139" s="240"/>
      <c r="I139" s="198">
        <f>+SUM(START:END!I139)</f>
        <v>0</v>
      </c>
      <c r="J139" s="152"/>
      <c r="L139" s="201">
        <f>+SUM(START:END!L139)</f>
        <v>11720.189999999999</v>
      </c>
      <c r="M139" s="152"/>
      <c r="N139" s="222">
        <f t="shared" si="86"/>
        <v>839.06538799999907</v>
      </c>
      <c r="O139" s="152"/>
      <c r="Q139" s="201">
        <f>+SUM(START:END!Q139)</f>
        <v>10942.97</v>
      </c>
      <c r="R139" s="152"/>
      <c r="S139" s="242"/>
    </row>
    <row r="140" spans="1:20" ht="15.75" customHeight="1">
      <c r="A140" s="23" t="str">
        <f t="shared" si="35"/>
        <v>Véhicules usagésFrais de déplacement</v>
      </c>
      <c r="B140" s="184" t="s">
        <v>73</v>
      </c>
      <c r="C140" s="1" t="s">
        <v>54</v>
      </c>
      <c r="D140" s="30"/>
      <c r="F140" s="198">
        <f>+SUM(START:END!F140)</f>
        <v>1563.3277391827887</v>
      </c>
      <c r="G140" s="240"/>
      <c r="I140" s="198">
        <f>+SUM(START:END!I140)</f>
        <v>0</v>
      </c>
      <c r="J140" s="152"/>
      <c r="L140" s="201">
        <f>+SUM(START:END!L140)</f>
        <v>1841.24</v>
      </c>
      <c r="M140" s="152"/>
      <c r="N140" s="222">
        <f t="shared" si="86"/>
        <v>277.91226081721129</v>
      </c>
      <c r="O140" s="152"/>
      <c r="Q140" s="201">
        <f>+SUM(START:END!Q140)</f>
        <v>2546.3000000000002</v>
      </c>
      <c r="R140" s="152"/>
      <c r="S140" s="242"/>
      <c r="T140" s="27"/>
    </row>
    <row r="141" spans="1:20" ht="15.75" customHeight="1">
      <c r="A141" s="23" t="str">
        <f t="shared" si="35"/>
        <v>Véhicules usagésServices extérieurs</v>
      </c>
      <c r="B141" s="184" t="s">
        <v>73</v>
      </c>
      <c r="C141" s="2" t="s">
        <v>55</v>
      </c>
      <c r="D141" s="34"/>
      <c r="E141" s="7"/>
      <c r="F141" s="193">
        <f>+SUM(START:END!F141)</f>
        <v>4468.7731599833332</v>
      </c>
      <c r="G141" s="244"/>
      <c r="H141" s="7"/>
      <c r="I141" s="193">
        <f>+SUM(START:END!I141)</f>
        <v>0</v>
      </c>
      <c r="J141" s="153"/>
      <c r="K141" s="7"/>
      <c r="L141" s="193">
        <f>+SUM(START:END!L141)</f>
        <v>3585.36</v>
      </c>
      <c r="M141" s="153"/>
      <c r="N141" s="247">
        <f t="shared" si="86"/>
        <v>-883.41315998333312</v>
      </c>
      <c r="O141" s="153"/>
      <c r="P141" s="7"/>
      <c r="Q141" s="193">
        <f>+SUM(START:END!Q141)</f>
        <v>5644.2</v>
      </c>
      <c r="R141" s="153"/>
      <c r="S141" s="248"/>
    </row>
    <row r="142" spans="1:20" ht="15.75" customHeight="1">
      <c r="A142" s="23" t="str">
        <f t="shared" si="35"/>
        <v>Véhicules usagésFournitures autres</v>
      </c>
      <c r="B142" s="184" t="s">
        <v>73</v>
      </c>
      <c r="C142" s="1" t="s">
        <v>56</v>
      </c>
      <c r="D142" s="30"/>
      <c r="F142" s="198">
        <f>+SUM(START:END!F142)</f>
        <v>375</v>
      </c>
      <c r="G142" s="240"/>
      <c r="I142" s="198">
        <f>+SUM(START:END!I142)</f>
        <v>0</v>
      </c>
      <c r="J142" s="152"/>
      <c r="L142" s="201">
        <f>+SUM(START:END!L142)</f>
        <v>15.309999999999999</v>
      </c>
      <c r="M142" s="152"/>
      <c r="N142" s="222">
        <f t="shared" si="86"/>
        <v>-359.69</v>
      </c>
      <c r="O142" s="152"/>
      <c r="Q142" s="201">
        <f>+SUM(START:END!Q142)</f>
        <v>0</v>
      </c>
      <c r="R142" s="152"/>
      <c r="S142" s="242"/>
    </row>
    <row r="143" spans="1:20" ht="15.75" customHeight="1">
      <c r="A143" s="23" t="str">
        <f t="shared" si="35"/>
        <v>Véhicules usagésUniformes</v>
      </c>
      <c r="B143" s="184" t="s">
        <v>73</v>
      </c>
      <c r="C143" s="1" t="s">
        <v>57</v>
      </c>
      <c r="D143" s="30"/>
      <c r="F143" s="198">
        <f>+SUM(START:END!F143)</f>
        <v>250</v>
      </c>
      <c r="G143" s="240"/>
      <c r="I143" s="198">
        <f>+SUM(START:END!I143)</f>
        <v>0</v>
      </c>
      <c r="J143" s="152"/>
      <c r="L143" s="201">
        <f>+SUM(START:END!L143)</f>
        <v>0</v>
      </c>
      <c r="M143" s="152"/>
      <c r="N143" s="222">
        <f t="shared" si="86"/>
        <v>-250</v>
      </c>
      <c r="O143" s="152"/>
      <c r="Q143" s="201">
        <f>+SUM(START:END!Q143)</f>
        <v>0</v>
      </c>
      <c r="R143" s="152"/>
      <c r="S143" s="242"/>
    </row>
    <row r="144" spans="1:20" ht="15.75" customHeight="1">
      <c r="A144" s="23" t="str">
        <f t="shared" si="35"/>
        <v>Véhicules usagésPapeterie</v>
      </c>
      <c r="B144" s="184" t="s">
        <v>73</v>
      </c>
      <c r="C144" s="1" t="s">
        <v>58</v>
      </c>
      <c r="D144" s="30"/>
      <c r="F144" s="198">
        <f>+SUM(START:END!F144)</f>
        <v>920.352770964</v>
      </c>
      <c r="G144" s="240"/>
      <c r="I144" s="198">
        <f>+SUM(START:END!I144)</f>
        <v>0</v>
      </c>
      <c r="J144" s="152"/>
      <c r="L144" s="200">
        <f>+SUM(START:END!L144)</f>
        <v>620.46</v>
      </c>
      <c r="M144" s="152"/>
      <c r="N144" s="222">
        <f t="shared" si="86"/>
        <v>-299.89277096399996</v>
      </c>
      <c r="O144" s="152"/>
      <c r="Q144" s="200">
        <f>+SUM(START:END!Q144)</f>
        <v>722.20999999999992</v>
      </c>
      <c r="R144" s="152"/>
      <c r="S144" s="242"/>
    </row>
    <row r="145" spans="1:20" ht="15.75" customHeight="1">
      <c r="A145" s="23" t="str">
        <f t="shared" si="35"/>
        <v>Véhicules usagésTéléphone</v>
      </c>
      <c r="B145" s="184" t="s">
        <v>73</v>
      </c>
      <c r="C145" s="1" t="s">
        <v>59</v>
      </c>
      <c r="D145" s="30"/>
      <c r="F145" s="198">
        <f>+SUM(START:END!F145)</f>
        <v>253.45989568449994</v>
      </c>
      <c r="G145" s="240"/>
      <c r="I145" s="198">
        <f>+SUM(START:END!I145)</f>
        <v>0</v>
      </c>
      <c r="J145" s="152"/>
      <c r="L145" s="201">
        <f>+SUM(START:END!L145)</f>
        <v>125.67999999999999</v>
      </c>
      <c r="M145" s="152"/>
      <c r="N145" s="222">
        <f t="shared" si="86"/>
        <v>-127.77989568449995</v>
      </c>
      <c r="O145" s="152"/>
      <c r="Q145" s="201">
        <f>+SUM(START:END!Q145)</f>
        <v>213.52</v>
      </c>
      <c r="R145" s="152"/>
      <c r="S145" s="242"/>
    </row>
    <row r="146" spans="1:20" ht="15.75" customHeight="1">
      <c r="A146" s="23" t="str">
        <f t="shared" si="35"/>
        <v>Véhicules usagésFrais postaux</v>
      </c>
      <c r="B146" s="184" t="s">
        <v>73</v>
      </c>
      <c r="C146" s="1" t="s">
        <v>60</v>
      </c>
      <c r="D146" s="30"/>
      <c r="F146" s="198">
        <f>+SUM(START:END!F146)</f>
        <v>180.98024239549997</v>
      </c>
      <c r="G146" s="240"/>
      <c r="I146" s="198">
        <f>+SUM(START:END!I146)</f>
        <v>0</v>
      </c>
      <c r="J146" s="152"/>
      <c r="L146" s="201">
        <f>+SUM(START:END!L146)</f>
        <v>20.28</v>
      </c>
      <c r="M146" s="152"/>
      <c r="N146" s="222">
        <f t="shared" si="86"/>
        <v>-160.70024239549997</v>
      </c>
      <c r="O146" s="152"/>
      <c r="Q146" s="201">
        <f>+SUM(START:END!Q146)</f>
        <v>192.1</v>
      </c>
      <c r="R146" s="152"/>
      <c r="S146" s="242"/>
    </row>
    <row r="147" spans="1:20" ht="15.75" customHeight="1">
      <c r="A147" s="23" t="str">
        <f t="shared" si="35"/>
        <v>Véhicules usagésDivers</v>
      </c>
      <c r="B147" s="184" t="s">
        <v>73</v>
      </c>
      <c r="C147" s="1" t="s">
        <v>61</v>
      </c>
      <c r="D147" s="30"/>
      <c r="F147" s="198">
        <f>+SUM(START:END!F147)</f>
        <v>599.34015386449994</v>
      </c>
      <c r="G147" s="240"/>
      <c r="I147" s="198">
        <f>+SUM(START:END!I147)</f>
        <v>0</v>
      </c>
      <c r="J147" s="152"/>
      <c r="L147" s="201">
        <f>+SUM(START:END!L147)</f>
        <v>161.66000000000003</v>
      </c>
      <c r="M147" s="152"/>
      <c r="N147" s="222">
        <f t="shared" si="86"/>
        <v>-437.68015386449991</v>
      </c>
      <c r="O147" s="152"/>
      <c r="Q147" s="201">
        <f>+SUM(START:END!Q147)</f>
        <v>115.03</v>
      </c>
      <c r="R147" s="152"/>
      <c r="S147" s="242"/>
    </row>
    <row r="148" spans="1:20" ht="15.75" customHeight="1">
      <c r="A148" s="23" t="str">
        <f t="shared" si="35"/>
        <v>Véhicules usagésFormation</v>
      </c>
      <c r="B148" s="184" t="s">
        <v>73</v>
      </c>
      <c r="C148" s="1" t="s">
        <v>62</v>
      </c>
      <c r="D148" s="30"/>
      <c r="F148" s="198">
        <f>+SUM(START:END!F148)</f>
        <v>1506.696809091043</v>
      </c>
      <c r="G148" s="240"/>
      <c r="I148" s="198">
        <f>+SUM(START:END!I148)</f>
        <v>0</v>
      </c>
      <c r="J148" s="152"/>
      <c r="L148" s="201">
        <f>+SUM(START:END!L148)</f>
        <v>195.84</v>
      </c>
      <c r="M148" s="152"/>
      <c r="N148" s="222">
        <f t="shared" si="86"/>
        <v>-1310.856809091043</v>
      </c>
      <c r="O148" s="152"/>
      <c r="Q148" s="201">
        <f>+SUM(START:END!Q148)</f>
        <v>1736.28</v>
      </c>
      <c r="R148" s="152"/>
      <c r="S148" s="242"/>
    </row>
    <row r="149" spans="1:20" ht="15.75" customHeight="1">
      <c r="A149" s="23" t="str">
        <f t="shared" si="35"/>
        <v>Véhicules usagésFrais bancaires</v>
      </c>
      <c r="B149" s="184" t="s">
        <v>73</v>
      </c>
      <c r="C149" s="1" t="s">
        <v>63</v>
      </c>
      <c r="D149" s="30"/>
      <c r="F149" s="198">
        <f>+SUM(START:END!F149)</f>
        <v>2346.5237131748763</v>
      </c>
      <c r="G149" s="240"/>
      <c r="I149" s="198">
        <f>+SUM(START:END!I149)</f>
        <v>0</v>
      </c>
      <c r="J149" s="152"/>
      <c r="L149" s="201">
        <f>+SUM(START:END!L149)</f>
        <v>2767.12</v>
      </c>
      <c r="M149" s="152"/>
      <c r="N149" s="222">
        <f t="shared" si="86"/>
        <v>420.59628682512357</v>
      </c>
      <c r="O149" s="152"/>
      <c r="Q149" s="201">
        <f>+SUM(START:END!Q149)</f>
        <v>3176.62</v>
      </c>
      <c r="R149" s="152"/>
      <c r="S149" s="242"/>
      <c r="T149" s="26"/>
    </row>
    <row r="150" spans="1:20" ht="15.75" hidden="1" customHeight="1">
      <c r="A150" s="23" t="str">
        <f t="shared" si="35"/>
        <v>Véhicules usagés[...]</v>
      </c>
      <c r="B150" s="184" t="s">
        <v>73</v>
      </c>
      <c r="C150" s="1" t="s">
        <v>20</v>
      </c>
      <c r="D150" s="30"/>
      <c r="F150" s="198">
        <f>+SUM(START:END!F150)</f>
        <v>0</v>
      </c>
      <c r="G150" s="240"/>
      <c r="I150" s="198">
        <f>+SUM(START:END!I150)</f>
        <v>0</v>
      </c>
      <c r="J150" s="152"/>
      <c r="L150" s="201">
        <f>+SUM(START:END!L150)</f>
        <v>0</v>
      </c>
      <c r="M150" s="152"/>
      <c r="N150" s="222">
        <f t="shared" ref="N150:N152" si="87">L150-I150</f>
        <v>0</v>
      </c>
      <c r="O150" s="152"/>
      <c r="Q150" s="201">
        <f>+SUM(START:END!Q150)</f>
        <v>0</v>
      </c>
      <c r="R150" s="152"/>
      <c r="S150" s="242"/>
    </row>
    <row r="151" spans="1:20" ht="15.75" hidden="1" customHeight="1">
      <c r="A151" s="23" t="str">
        <f t="shared" si="35"/>
        <v>Véhicules usagés[...]</v>
      </c>
      <c r="B151" s="184" t="s">
        <v>73</v>
      </c>
      <c r="C151" s="1" t="s">
        <v>20</v>
      </c>
      <c r="D151" s="30"/>
      <c r="F151" s="198">
        <f>+SUM(START:END!F151)</f>
        <v>0</v>
      </c>
      <c r="G151" s="240"/>
      <c r="I151" s="198">
        <f>+SUM(START:END!I151)</f>
        <v>0</v>
      </c>
      <c r="J151" s="152"/>
      <c r="L151" s="201">
        <f>+SUM(START:END!L151)</f>
        <v>0</v>
      </c>
      <c r="M151" s="152"/>
      <c r="N151" s="222">
        <f t="shared" si="87"/>
        <v>0</v>
      </c>
      <c r="O151" s="152"/>
      <c r="Q151" s="201">
        <f>+SUM(START:END!Q151)</f>
        <v>0</v>
      </c>
      <c r="R151" s="152"/>
      <c r="S151" s="242"/>
    </row>
    <row r="152" spans="1:20" ht="15.75" hidden="1" customHeight="1">
      <c r="A152" s="23" t="str">
        <f t="shared" si="35"/>
        <v>Véhicules usagés[...]</v>
      </c>
      <c r="B152" s="184" t="s">
        <v>73</v>
      </c>
      <c r="C152" s="1" t="s">
        <v>20</v>
      </c>
      <c r="D152" s="30"/>
      <c r="F152" s="198">
        <f>+SUM(START:END!F152)</f>
        <v>0</v>
      </c>
      <c r="G152" s="240"/>
      <c r="I152" s="198">
        <f>+SUM(START:END!I152)</f>
        <v>0</v>
      </c>
      <c r="J152" s="152"/>
      <c r="L152" s="201">
        <f>+SUM(START:END!L152)</f>
        <v>0</v>
      </c>
      <c r="M152" s="152"/>
      <c r="N152" s="222">
        <f t="shared" si="87"/>
        <v>0</v>
      </c>
      <c r="O152" s="152"/>
      <c r="Q152" s="201">
        <f>+SUM(START:END!Q152)</f>
        <v>0</v>
      </c>
      <c r="R152" s="152"/>
      <c r="S152" s="242"/>
      <c r="T152" s="26"/>
    </row>
    <row r="153" spans="1:20" ht="15.75" customHeight="1">
      <c r="A153" s="23" t="str">
        <f t="shared" si="35"/>
        <v>Véhicules usagésTOTAL SEMI-FIXES</v>
      </c>
      <c r="B153" s="184" t="s">
        <v>73</v>
      </c>
      <c r="C153" s="40" t="s">
        <v>64</v>
      </c>
      <c r="D153" s="250" t="s">
        <v>39</v>
      </c>
      <c r="E153" s="42">
        <f>F153/F$108</f>
        <v>5.6121368751620021E-2</v>
      </c>
      <c r="F153" s="251">
        <f>+SUM(F136:F152)</f>
        <v>30720.579096340542</v>
      </c>
      <c r="G153" s="252" t="s">
        <v>39</v>
      </c>
      <c r="H153" s="42" t="e">
        <f>I153/I$108</f>
        <v>#DIV/0!</v>
      </c>
      <c r="I153" s="251">
        <f>+SUM(I136:I152)</f>
        <v>0</v>
      </c>
      <c r="J153" s="252" t="s">
        <v>39</v>
      </c>
      <c r="K153" s="42">
        <f>L153/L$108</f>
        <v>0.11804168917396676</v>
      </c>
      <c r="L153" s="251">
        <f>+SUM(L136:L152)</f>
        <v>23242.299999999996</v>
      </c>
      <c r="M153" s="254"/>
      <c r="N153" s="251">
        <f>+SUM(N136:N152)</f>
        <v>-7478.2790963405414</v>
      </c>
      <c r="O153" s="252" t="s">
        <v>39</v>
      </c>
      <c r="P153" s="42">
        <f>Q153/Q$108</f>
        <v>7.5274130736523698E-2</v>
      </c>
      <c r="Q153" s="251">
        <f>+SUM(Q136:Q152)</f>
        <v>30144.169999999995</v>
      </c>
      <c r="R153" s="254"/>
      <c r="S153" s="255">
        <f t="shared" si="85"/>
        <v>-6901.869999999999</v>
      </c>
      <c r="T153" s="87"/>
    </row>
    <row r="154" spans="1:20" ht="15.75" customHeight="1">
      <c r="A154" s="23" t="str">
        <f t="shared" si="35"/>
        <v>Véhicules usagés</v>
      </c>
      <c r="B154" s="184" t="s">
        <v>73</v>
      </c>
      <c r="C154" s="2"/>
      <c r="D154" s="34"/>
      <c r="E154" s="7"/>
      <c r="F154" s="222"/>
      <c r="G154" s="244"/>
      <c r="H154" s="7"/>
      <c r="I154" s="222"/>
      <c r="J154" s="153"/>
      <c r="K154" s="7"/>
      <c r="L154" s="247"/>
      <c r="M154" s="153"/>
      <c r="N154" s="247"/>
      <c r="O154" s="153"/>
      <c r="P154" s="7"/>
      <c r="Q154" s="247"/>
      <c r="R154" s="153"/>
      <c r="S154" s="248"/>
      <c r="T154" s="87"/>
    </row>
    <row r="155" spans="1:20" ht="15.75" customHeight="1">
      <c r="A155" s="23" t="str">
        <f t="shared" si="35"/>
        <v>Véhicules usagésTOTAL DES DÉPENSES</v>
      </c>
      <c r="B155" s="184" t="s">
        <v>73</v>
      </c>
      <c r="C155" s="40" t="s">
        <v>65</v>
      </c>
      <c r="D155" s="250" t="s">
        <v>39</v>
      </c>
      <c r="E155" s="42">
        <f>F155/F$108</f>
        <v>0.7749928549464441</v>
      </c>
      <c r="F155" s="251">
        <f>F122+F135+F153</f>
        <v>424227.52383055078</v>
      </c>
      <c r="G155" s="252" t="s">
        <v>39</v>
      </c>
      <c r="H155" s="42" t="e">
        <f>I155/I$108</f>
        <v>#DIV/0!</v>
      </c>
      <c r="I155" s="251">
        <f>I122+I135+I153</f>
        <v>0</v>
      </c>
      <c r="J155" s="252" t="s">
        <v>39</v>
      </c>
      <c r="K155" s="42">
        <f>L155/L$108</f>
        <v>1.585640775975186</v>
      </c>
      <c r="L155" s="251">
        <f>L122+L135+L153</f>
        <v>312211.20999999996</v>
      </c>
      <c r="M155" s="254"/>
      <c r="N155" s="251">
        <f>N122+N135+N153</f>
        <v>-112016.31383055079</v>
      </c>
      <c r="O155" s="252" t="s">
        <v>39</v>
      </c>
      <c r="P155" s="42">
        <f>Q155/Q$108</f>
        <v>0.86893118229262034</v>
      </c>
      <c r="Q155" s="251">
        <f>Q122+Q135+Q153</f>
        <v>347970.93</v>
      </c>
      <c r="R155" s="254"/>
      <c r="S155" s="261">
        <f>L155-Q155</f>
        <v>-35759.72000000003</v>
      </c>
      <c r="T155" s="87"/>
    </row>
    <row r="156" spans="1:20" ht="15.75" customHeight="1">
      <c r="A156" s="23" t="str">
        <f t="shared" si="35"/>
        <v>Véhicules usagésRemarketing Bonus</v>
      </c>
      <c r="B156" s="184" t="s">
        <v>73</v>
      </c>
      <c r="C156" s="1" t="s">
        <v>80</v>
      </c>
      <c r="D156" s="176"/>
      <c r="E156" s="72"/>
      <c r="F156" s="198">
        <f>+SUM(START:END!F156)</f>
        <v>0</v>
      </c>
      <c r="G156" s="291"/>
      <c r="H156" s="72"/>
      <c r="I156" s="198">
        <f>+SUM(START:END!I156)</f>
        <v>0</v>
      </c>
      <c r="J156" s="291"/>
      <c r="K156" s="72"/>
      <c r="L156" s="200">
        <f>+SUM(START:END!L156)</f>
        <v>0</v>
      </c>
      <c r="M156" s="152"/>
      <c r="N156" s="222">
        <f t="shared" ref="N156:N159" si="88">L156-F156</f>
        <v>0</v>
      </c>
      <c r="O156" s="291"/>
      <c r="P156" s="72"/>
      <c r="Q156" s="201">
        <f>+SUM(START:END!Q156)</f>
        <v>0</v>
      </c>
      <c r="R156" s="152"/>
      <c r="S156" s="242"/>
      <c r="T156" s="87"/>
    </row>
    <row r="157" spans="1:20" ht="15.75" customHeight="1">
      <c r="A157" s="23" t="str">
        <f t="shared" si="35"/>
        <v>Véhicules usagésProgramme used 2</v>
      </c>
      <c r="B157" s="184" t="s">
        <v>73</v>
      </c>
      <c r="C157" s="1" t="s">
        <v>81</v>
      </c>
      <c r="D157" s="176"/>
      <c r="E157" s="72"/>
      <c r="F157" s="198">
        <f>+SUM(START:END!F157)</f>
        <v>0</v>
      </c>
      <c r="G157" s="291"/>
      <c r="H157" s="72"/>
      <c r="I157" s="198">
        <f>+SUM(START:END!I157)</f>
        <v>0</v>
      </c>
      <c r="J157" s="291"/>
      <c r="K157" s="72"/>
      <c r="L157" s="201">
        <f>+SUM(START:END!L157)</f>
        <v>0</v>
      </c>
      <c r="M157" s="152"/>
      <c r="N157" s="222">
        <f t="shared" si="88"/>
        <v>0</v>
      </c>
      <c r="O157" s="291"/>
      <c r="P157" s="72"/>
      <c r="Q157" s="201">
        <f>+SUM(START:END!Q157)</f>
        <v>0</v>
      </c>
      <c r="R157" s="152"/>
      <c r="S157" s="242"/>
      <c r="T157" s="87"/>
    </row>
    <row r="158" spans="1:20" ht="15.75" customHeight="1">
      <c r="A158" s="23" t="str">
        <f t="shared" si="35"/>
        <v>Véhicules usagésProgramme used 3</v>
      </c>
      <c r="B158" s="184" t="s">
        <v>73</v>
      </c>
      <c r="C158" s="1" t="s">
        <v>82</v>
      </c>
      <c r="D158" s="30"/>
      <c r="F158" s="198">
        <f>+SUM(START:END!F158)</f>
        <v>0</v>
      </c>
      <c r="G158" s="240"/>
      <c r="I158" s="198">
        <f>+SUM(START:END!I158)</f>
        <v>0</v>
      </c>
      <c r="J158" s="152"/>
      <c r="L158" s="201">
        <f>+SUM(START:END!L158)</f>
        <v>0</v>
      </c>
      <c r="M158" s="152"/>
      <c r="N158" s="222">
        <f t="shared" si="88"/>
        <v>0</v>
      </c>
      <c r="O158" s="152"/>
      <c r="Q158" s="201">
        <f>+SUM(START:END!Q158)</f>
        <v>0</v>
      </c>
      <c r="R158" s="152"/>
      <c r="S158" s="242"/>
      <c r="T158" s="87"/>
    </row>
    <row r="159" spans="1:20" ht="15.75" customHeight="1">
      <c r="A159" s="23" t="str">
        <f t="shared" ref="A159:A162" si="89">+B159&amp;C159</f>
        <v>Véhicules usagésFrais administration</v>
      </c>
      <c r="B159" s="184" t="s">
        <v>73</v>
      </c>
      <c r="C159" s="1" t="s">
        <v>70</v>
      </c>
      <c r="D159" s="30"/>
      <c r="F159" s="198">
        <f>+SUM(START:END!F159)</f>
        <v>58849.752124999992</v>
      </c>
      <c r="G159" s="240"/>
      <c r="I159" s="198">
        <f>+SUM(START:END!I159)</f>
        <v>0</v>
      </c>
      <c r="J159" s="152"/>
      <c r="L159" s="200">
        <f>+SUM(START:END!L159)</f>
        <v>30772</v>
      </c>
      <c r="M159" s="152"/>
      <c r="N159" s="222">
        <f t="shared" si="88"/>
        <v>-28077.752124999992</v>
      </c>
      <c r="O159" s="152"/>
      <c r="Q159" s="201">
        <f>+SUM(START:END!Q159)</f>
        <v>25116</v>
      </c>
      <c r="R159" s="152"/>
      <c r="S159" s="242"/>
      <c r="T159" s="87"/>
    </row>
    <row r="160" spans="1:20" ht="15.75" hidden="1" customHeight="1">
      <c r="A160" s="23" t="str">
        <f t="shared" si="89"/>
        <v>Véhicules usagés[...]</v>
      </c>
      <c r="B160" s="184" t="s">
        <v>73</v>
      </c>
      <c r="C160" s="1" t="s">
        <v>20</v>
      </c>
      <c r="D160" s="30"/>
      <c r="F160" s="198">
        <f>+SUM(START:END!F160)</f>
        <v>0</v>
      </c>
      <c r="G160" s="240"/>
      <c r="I160" s="198">
        <f>+SUM(START:END!I160)</f>
        <v>0</v>
      </c>
      <c r="J160" s="152"/>
      <c r="L160" s="200">
        <f>+SUM(START:END!L160)</f>
        <v>0</v>
      </c>
      <c r="M160" s="152"/>
      <c r="N160" s="222">
        <f t="shared" ref="N160:N162" si="90">L160-I160</f>
        <v>0</v>
      </c>
      <c r="O160" s="152"/>
      <c r="Q160" s="201">
        <f>+SUM(START:END!Q160)</f>
        <v>0</v>
      </c>
      <c r="R160" s="152"/>
      <c r="S160" s="242"/>
      <c r="T160" s="87"/>
    </row>
    <row r="161" spans="1:40" ht="15.75" hidden="1" customHeight="1">
      <c r="A161" s="23" t="str">
        <f t="shared" si="89"/>
        <v>Véhicules usagés[...]</v>
      </c>
      <c r="B161" s="184" t="s">
        <v>73</v>
      </c>
      <c r="C161" s="1" t="s">
        <v>20</v>
      </c>
      <c r="D161" s="30"/>
      <c r="F161" s="198">
        <f>+SUM(START:END!F161)</f>
        <v>0</v>
      </c>
      <c r="G161" s="240"/>
      <c r="I161" s="198">
        <f>+SUM(START:END!I161)</f>
        <v>0</v>
      </c>
      <c r="J161" s="152"/>
      <c r="L161" s="200">
        <f>+SUM(START:END!L161)</f>
        <v>0</v>
      </c>
      <c r="M161" s="152"/>
      <c r="N161" s="222">
        <f t="shared" si="90"/>
        <v>0</v>
      </c>
      <c r="O161" s="152"/>
      <c r="Q161" s="201">
        <f>+SUM(START:END!Q161)</f>
        <v>0</v>
      </c>
      <c r="R161" s="152"/>
      <c r="S161" s="242"/>
      <c r="T161" s="87"/>
    </row>
    <row r="162" spans="1:40" ht="15.75" hidden="1" customHeight="1">
      <c r="A162" s="23" t="str">
        <f t="shared" si="89"/>
        <v>Véhicules usagés[...]</v>
      </c>
      <c r="B162" s="184" t="s">
        <v>73</v>
      </c>
      <c r="C162" s="2" t="s">
        <v>20</v>
      </c>
      <c r="D162" s="34"/>
      <c r="E162" s="7"/>
      <c r="F162" s="198">
        <f>+SUM(START:END!F162)</f>
        <v>0</v>
      </c>
      <c r="G162" s="240"/>
      <c r="I162" s="198">
        <f>+SUM(START:END!I162)</f>
        <v>0</v>
      </c>
      <c r="J162" s="152"/>
      <c r="L162" s="200">
        <f>+SUM(START:END!L162)</f>
        <v>0</v>
      </c>
      <c r="M162" s="152"/>
      <c r="N162" s="222">
        <f t="shared" si="90"/>
        <v>0</v>
      </c>
      <c r="O162" s="152"/>
      <c r="Q162" s="201">
        <f>+SUM(START:END!Q162)</f>
        <v>0</v>
      </c>
      <c r="R162" s="152"/>
      <c r="S162" s="242"/>
      <c r="T162" s="87"/>
    </row>
    <row r="163" spans="1:40" ht="15.75" customHeight="1">
      <c r="B163" s="184"/>
      <c r="C163" s="40" t="s">
        <v>71</v>
      </c>
      <c r="D163" s="250"/>
      <c r="E163" s="42"/>
      <c r="F163" s="251">
        <f>+SUM(F156:F162)</f>
        <v>58849.752124999992</v>
      </c>
      <c r="G163" s="252"/>
      <c r="H163" s="42"/>
      <c r="I163" s="251">
        <f>+SUM(I156:I162)</f>
        <v>0</v>
      </c>
      <c r="J163" s="252"/>
      <c r="K163" s="42"/>
      <c r="L163" s="251">
        <f>+SUM(L156:L162)</f>
        <v>30772</v>
      </c>
      <c r="M163" s="254"/>
      <c r="N163" s="251">
        <f>+SUM(N156:N162)</f>
        <v>-28077.752124999992</v>
      </c>
      <c r="O163" s="252"/>
      <c r="P163" s="42"/>
      <c r="Q163" s="251">
        <f>+SUM(Q156:Q162)</f>
        <v>25116</v>
      </c>
      <c r="R163" s="254"/>
      <c r="S163" s="255">
        <f>+SUM(S156:S162)</f>
        <v>0</v>
      </c>
      <c r="T163" s="87"/>
    </row>
    <row r="164" spans="1:40" ht="15.75" customHeight="1">
      <c r="B164" s="184"/>
      <c r="C164" s="1"/>
      <c r="D164" s="30"/>
      <c r="F164" s="222"/>
      <c r="G164" s="240"/>
      <c r="I164" s="222"/>
      <c r="J164" s="152"/>
      <c r="L164" s="222"/>
      <c r="M164" s="152"/>
      <c r="N164" s="222"/>
      <c r="O164" s="152"/>
      <c r="Q164" s="222"/>
      <c r="R164" s="152"/>
      <c r="S164" s="242"/>
      <c r="T164" s="72"/>
    </row>
    <row r="165" spans="1:40" ht="15.75" customHeight="1" thickBot="1">
      <c r="B165" s="184"/>
      <c r="C165" s="271" t="s">
        <v>72</v>
      </c>
      <c r="D165" s="292"/>
      <c r="E165" s="272"/>
      <c r="F165" s="274">
        <f>F108-F155+F163</f>
        <v>182017.62829444924</v>
      </c>
      <c r="G165" s="293"/>
      <c r="H165" s="272"/>
      <c r="I165" s="274">
        <f>I108-I155+I163</f>
        <v>0</v>
      </c>
      <c r="J165" s="294"/>
      <c r="K165" s="273"/>
      <c r="L165" s="274">
        <f>L108-L155+L163</f>
        <v>-84540.130000000121</v>
      </c>
      <c r="M165" s="294"/>
      <c r="N165" s="274">
        <f>N108-N155+N163</f>
        <v>-266557.75829444936</v>
      </c>
      <c r="O165" s="294"/>
      <c r="P165" s="273"/>
      <c r="Q165" s="274">
        <f>Q108-Q155+Q163</f>
        <v>77603.629999999714</v>
      </c>
      <c r="R165" s="294"/>
      <c r="S165" s="276">
        <f>L165-Q165</f>
        <v>-162143.75999999983</v>
      </c>
      <c r="T165" s="26"/>
    </row>
    <row r="166" spans="1:40" ht="15.75" customHeight="1" thickTop="1">
      <c r="B166" s="184"/>
      <c r="F166" s="26" t="e">
        <f>+F165-#REF!-#REF!-#REF!</f>
        <v>#REF!</v>
      </c>
      <c r="L166" s="26" t="e">
        <f>+L165-#REF!-#REF!-#REF!</f>
        <v>#REF!</v>
      </c>
      <c r="N166" s="26" t="e">
        <f>+N165-#REF!-#REF!-#REF!</f>
        <v>#REF!</v>
      </c>
      <c r="Q166" s="26" t="e">
        <f>+Q165-#REF!-#REF!-#REF!</f>
        <v>#REF!</v>
      </c>
      <c r="S166" s="26" t="e">
        <f>+S165-#REF!-#REF!-#REF!</f>
        <v>#REF!</v>
      </c>
      <c r="T166" s="26"/>
    </row>
    <row r="167" spans="1:40" ht="15.75" customHeight="1">
      <c r="B167" s="184"/>
      <c r="T167" s="26"/>
    </row>
    <row r="168" spans="1:40" ht="33.75" customHeight="1">
      <c r="B168" s="184"/>
      <c r="C168" s="73" t="str">
        <f>C1</f>
        <v>Conso</v>
      </c>
      <c r="D168" s="6"/>
      <c r="E168" s="6"/>
      <c r="F168" s="6"/>
      <c r="G168" s="6"/>
      <c r="H168" s="177"/>
      <c r="I168" s="177"/>
      <c r="J168" s="177"/>
      <c r="K168" s="178" t="s">
        <v>83</v>
      </c>
      <c r="L168" s="6"/>
      <c r="M168" s="6"/>
      <c r="N168" s="177"/>
      <c r="O168" s="177"/>
      <c r="P168" s="6"/>
      <c r="Q168" s="177"/>
      <c r="R168" s="6"/>
      <c r="S168" s="180" t="str">
        <f>$S$1</f>
        <v xml:space="preserve">Réalisé  </v>
      </c>
      <c r="T168" s="6"/>
      <c r="U168" s="73"/>
    </row>
    <row r="169" spans="1:40" ht="15.75" customHeight="1" thickBot="1">
      <c r="B169" s="184"/>
      <c r="C169" s="182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5.75" customHeight="1" thickTop="1">
      <c r="B170" s="184"/>
      <c r="C170" s="440"/>
      <c r="D170" s="492" t="s">
        <v>5</v>
      </c>
      <c r="E170" s="492"/>
      <c r="F170" s="493"/>
      <c r="G170" s="484" t="s">
        <v>74</v>
      </c>
      <c r="H170" s="485"/>
      <c r="I170" s="486"/>
      <c r="J170" s="487" t="s">
        <v>7</v>
      </c>
      <c r="K170" s="485"/>
      <c r="L170" s="486"/>
      <c r="M170" s="487" t="s">
        <v>9</v>
      </c>
      <c r="N170" s="486"/>
      <c r="O170" s="484" t="s">
        <v>8</v>
      </c>
      <c r="P170" s="485"/>
      <c r="Q170" s="486"/>
      <c r="R170" s="487" t="s">
        <v>217</v>
      </c>
      <c r="S170" s="488"/>
      <c r="T170" s="176"/>
    </row>
    <row r="171" spans="1:40" ht="15.75" customHeight="1">
      <c r="A171" s="23" t="str">
        <f t="shared" ref="A171:A228" si="91">+B171&amp;C171</f>
        <v>Service</v>
      </c>
      <c r="B171" s="184" t="s">
        <v>83</v>
      </c>
      <c r="C171" s="441"/>
      <c r="D171" s="175" t="s">
        <v>40</v>
      </c>
      <c r="E171" s="175" t="s">
        <v>84</v>
      </c>
      <c r="F171" s="442" t="s">
        <v>12</v>
      </c>
      <c r="G171" s="277" t="s">
        <v>40</v>
      </c>
      <c r="H171" s="277" t="s">
        <v>84</v>
      </c>
      <c r="I171" s="296" t="s">
        <v>12</v>
      </c>
      <c r="J171" s="175" t="s">
        <v>40</v>
      </c>
      <c r="K171" s="175" t="s">
        <v>84</v>
      </c>
      <c r="L171" s="278" t="s">
        <v>12</v>
      </c>
      <c r="M171" s="279" t="s">
        <v>40</v>
      </c>
      <c r="N171" s="278" t="s">
        <v>12</v>
      </c>
      <c r="O171" s="175" t="s">
        <v>40</v>
      </c>
      <c r="P171" s="175" t="s">
        <v>84</v>
      </c>
      <c r="Q171" s="278" t="s">
        <v>12</v>
      </c>
      <c r="R171" s="279" t="s">
        <v>85</v>
      </c>
      <c r="S171" s="280" t="s">
        <v>12</v>
      </c>
      <c r="T171" s="175"/>
    </row>
    <row r="172" spans="1:40" ht="15.75" customHeight="1">
      <c r="A172" s="23" t="str">
        <f t="shared" si="91"/>
        <v>ServiceM/O Client</v>
      </c>
      <c r="B172" s="184" t="s">
        <v>83</v>
      </c>
      <c r="C172" s="441" t="s">
        <v>86</v>
      </c>
      <c r="D172" s="174">
        <f>+SUM(START:END!D172)</f>
        <v>2059.3164626274065</v>
      </c>
      <c r="E172" s="26">
        <f>+SUM(START:END!E172)</f>
        <v>679574.43266704411</v>
      </c>
      <c r="F172" s="443">
        <f>+SUM(START:END!F172)</f>
        <v>516476.56882695359</v>
      </c>
      <c r="G172" s="174">
        <f>+SUM(START:END!G172)</f>
        <v>0</v>
      </c>
      <c r="H172" s="26">
        <f>+SUM(START:END!H172)</f>
        <v>0</v>
      </c>
      <c r="I172" s="222">
        <f>+SUM(START:END!I172)</f>
        <v>0</v>
      </c>
      <c r="J172" s="174">
        <f>+SUM(START:END!J172)</f>
        <v>1754</v>
      </c>
      <c r="K172" s="26">
        <f>+SUM(START:END!K172)</f>
        <v>541966.77</v>
      </c>
      <c r="L172" s="26">
        <f>+SUM(START:END!L172)</f>
        <v>425927.23</v>
      </c>
      <c r="M172" s="297">
        <f>(K172-E172)/E172</f>
        <v>-0.20249093558006859</v>
      </c>
      <c r="N172" s="222">
        <f t="shared" ref="N172" si="92">L172-F172</f>
        <v>-90549.338826953608</v>
      </c>
      <c r="O172" s="174">
        <f>+SUM(START:END!O172)</f>
        <v>1703</v>
      </c>
      <c r="P172" s="26">
        <f>+SUM(START:END!P172)</f>
        <v>575598.52999999898</v>
      </c>
      <c r="Q172" s="26">
        <f>+SUM(START:END!Q172)</f>
        <v>449887.42999999801</v>
      </c>
      <c r="R172" s="297">
        <f>IF(O172=0,0,J172/O172)</f>
        <v>1.0299471520845567</v>
      </c>
      <c r="S172" s="242">
        <f>L172-Q172</f>
        <v>-23960.199999998033</v>
      </c>
      <c r="T172" s="26"/>
      <c r="V172" s="198"/>
      <c r="W172" s="198"/>
      <c r="X172" s="198"/>
      <c r="Y172" s="198"/>
    </row>
    <row r="173" spans="1:40" ht="15.75" customHeight="1">
      <c r="A173" s="23" t="str">
        <f t="shared" si="91"/>
        <v>Service% profit / ventes</v>
      </c>
      <c r="B173" s="184" t="s">
        <v>83</v>
      </c>
      <c r="C173" s="441" t="s">
        <v>87</v>
      </c>
      <c r="E173" s="31"/>
      <c r="F173" s="444">
        <f>F172/E172</f>
        <v>0.76000000000000012</v>
      </c>
      <c r="H173" s="31"/>
      <c r="I173" s="157" t="e">
        <f>I172/H172</f>
        <v>#DIV/0!</v>
      </c>
      <c r="K173" s="31"/>
      <c r="L173" s="157">
        <f>L172/K172</f>
        <v>0.7858917807820579</v>
      </c>
      <c r="M173" s="297"/>
      <c r="N173" s="222"/>
      <c r="P173" s="31"/>
      <c r="Q173" s="157">
        <f>Q172/P172</f>
        <v>0.78159933799691739</v>
      </c>
      <c r="R173" s="223"/>
      <c r="S173" s="242"/>
      <c r="T173" s="26"/>
    </row>
    <row r="174" spans="1:40" ht="15.75" customHeight="1">
      <c r="A174" s="23" t="str">
        <f t="shared" si="91"/>
        <v>Service</v>
      </c>
      <c r="B174" s="184" t="s">
        <v>83</v>
      </c>
      <c r="C174" s="445"/>
      <c r="D174" s="7"/>
      <c r="E174" s="35">
        <f t="shared" ref="E174" si="93">IFERROR(E172/D172,0)</f>
        <v>330</v>
      </c>
      <c r="F174" s="446"/>
      <c r="G174" s="7"/>
      <c r="H174" s="35">
        <f t="shared" ref="H174" si="94">IFERROR(H172/G172,0)</f>
        <v>0</v>
      </c>
      <c r="I174" s="155"/>
      <c r="J174" s="7"/>
      <c r="K174" s="35">
        <f t="shared" ref="K174" si="95">IFERROR(K172/J172,0)</f>
        <v>308.98903648802735</v>
      </c>
      <c r="L174" s="155"/>
      <c r="M174" s="298"/>
      <c r="N174" s="247"/>
      <c r="O174" s="7"/>
      <c r="P174" s="35">
        <f t="shared" ref="P174" si="96">IFERROR(P172/O172,0)</f>
        <v>337.99091603053375</v>
      </c>
      <c r="Q174" s="155"/>
      <c r="R174" s="299"/>
      <c r="S174" s="248"/>
      <c r="T174" s="26"/>
    </row>
    <row r="175" spans="1:40" ht="18" customHeight="1">
      <c r="A175" s="23" t="str">
        <f t="shared" si="91"/>
        <v>ServiceM/O Garantie</v>
      </c>
      <c r="B175" s="184" t="s">
        <v>83</v>
      </c>
      <c r="C175" s="447" t="s">
        <v>88</v>
      </c>
      <c r="D175" s="57">
        <f>+SUM(START:END!D175)</f>
        <v>436.14058542776183</v>
      </c>
      <c r="E175" s="26">
        <f>+SUM(START:END!E175)</f>
        <v>117757.95806549568</v>
      </c>
      <c r="F175" s="443">
        <f>+SUM(START:END!F175)</f>
        <v>75365.093161917248</v>
      </c>
      <c r="G175" s="57">
        <f>+SUM(START:END!G175)</f>
        <v>0</v>
      </c>
      <c r="H175" s="26">
        <f>+SUM(START:END!H175)</f>
        <v>0</v>
      </c>
      <c r="I175" s="222">
        <f>+SUM(START:END!I175)</f>
        <v>0</v>
      </c>
      <c r="J175" s="57">
        <f>+SUM(START:END!J175)</f>
        <v>317</v>
      </c>
      <c r="K175" s="26">
        <f>+SUM(START:END!K175)</f>
        <v>96033.549999999988</v>
      </c>
      <c r="L175" s="26">
        <f>+SUM(START:END!L175)</f>
        <v>63293.549999999988</v>
      </c>
      <c r="M175" s="297">
        <f>(K175-E175)/E175</f>
        <v>-0.18448356631161025</v>
      </c>
      <c r="N175" s="258">
        <f t="shared" ref="N175" si="97">L175-F175</f>
        <v>-12071.54316191726</v>
      </c>
      <c r="O175" s="57">
        <f>+SUM(START:END!O175)</f>
        <v>253</v>
      </c>
      <c r="P175" s="26">
        <f>+SUM(START:END!P175)</f>
        <v>61618.42</v>
      </c>
      <c r="Q175" s="26">
        <f>+SUM(START:END!Q175)</f>
        <v>38680.959999999897</v>
      </c>
      <c r="R175" s="297">
        <f>IF(O175=0,0,J175/O175)</f>
        <v>1.2529644268774704</v>
      </c>
      <c r="S175" s="242">
        <f>L175-Q175</f>
        <v>24612.590000000091</v>
      </c>
      <c r="T175" s="26"/>
      <c r="V175" s="198"/>
      <c r="W175" s="198"/>
      <c r="X175" s="198"/>
      <c r="Y175" s="198"/>
    </row>
    <row r="176" spans="1:40" ht="15.75" customHeight="1">
      <c r="A176" s="23" t="str">
        <f t="shared" si="91"/>
        <v>Service% profit / ventes</v>
      </c>
      <c r="B176" s="184" t="s">
        <v>83</v>
      </c>
      <c r="C176" s="441" t="s">
        <v>87</v>
      </c>
      <c r="F176" s="444">
        <f>F175/E175</f>
        <v>0.64000000000000012</v>
      </c>
      <c r="I176" s="157" t="e">
        <f>I175/H175</f>
        <v>#DIV/0!</v>
      </c>
      <c r="L176" s="157">
        <f>L175/K175</f>
        <v>0.65907747865199184</v>
      </c>
      <c r="M176" s="170"/>
      <c r="N176" s="171"/>
      <c r="Q176" s="157">
        <f>Q175/P175</f>
        <v>0.62774994879777668</v>
      </c>
      <c r="R176" s="170"/>
      <c r="S176" s="209"/>
    </row>
    <row r="177" spans="1:25" ht="15.75" customHeight="1">
      <c r="A177" s="23" t="str">
        <f t="shared" si="91"/>
        <v>Service</v>
      </c>
      <c r="B177" s="184" t="s">
        <v>83</v>
      </c>
      <c r="C177" s="445"/>
      <c r="D177" s="301"/>
      <c r="E177" s="7"/>
      <c r="F177" s="446"/>
      <c r="G177" s="7"/>
      <c r="H177" s="7"/>
      <c r="I177" s="155"/>
      <c r="J177" s="7"/>
      <c r="K177" s="7"/>
      <c r="L177" s="155"/>
      <c r="M177" s="302"/>
      <c r="N177" s="303"/>
      <c r="O177" s="7"/>
      <c r="P177" s="7"/>
      <c r="Q177" s="155"/>
      <c r="R177" s="302"/>
      <c r="S177" s="304"/>
    </row>
    <row r="178" spans="1:25" ht="15.75" customHeight="1">
      <c r="A178" s="23" t="str">
        <f t="shared" si="91"/>
        <v>ServiceM/O Interne</v>
      </c>
      <c r="B178" s="184" t="s">
        <v>83</v>
      </c>
      <c r="C178" s="441" t="s">
        <v>89</v>
      </c>
      <c r="D178" s="174">
        <f>+SUM(START:END!D178)</f>
        <v>800.625</v>
      </c>
      <c r="E178" s="26">
        <f>+SUM(START:END!E178)</f>
        <v>235383.75</v>
      </c>
      <c r="F178" s="443">
        <f>+SUM(START:END!F178)</f>
        <v>174183.97500000001</v>
      </c>
      <c r="G178" s="174">
        <f>+SUM(START:END!G178)</f>
        <v>0</v>
      </c>
      <c r="H178" s="26">
        <f>+SUM(START:END!H178)</f>
        <v>0</v>
      </c>
      <c r="I178" s="222">
        <f>+SUM(START:END!I178)</f>
        <v>0</v>
      </c>
      <c r="J178" s="23">
        <f>+SUM(START:END!J178)</f>
        <v>705</v>
      </c>
      <c r="K178" s="26">
        <f>+SUM(START:END!K178)</f>
        <v>204392.36</v>
      </c>
      <c r="L178" s="26">
        <f>+SUM(START:END!L178)</f>
        <v>156841.32999999999</v>
      </c>
      <c r="M178" s="297">
        <f>(K178-E178)/E178</f>
        <v>-0.1316632520299299</v>
      </c>
      <c r="N178" s="222">
        <f t="shared" ref="N178" si="98">L178-F178</f>
        <v>-17342.645000000019</v>
      </c>
      <c r="O178" s="23">
        <f>+SUM(START:END!O178)</f>
        <v>566</v>
      </c>
      <c r="P178" s="26">
        <f>+SUM(START:END!P178)</f>
        <v>172063.06</v>
      </c>
      <c r="Q178" s="26">
        <f>+SUM(START:END!Q178)</f>
        <v>125106.19999999991</v>
      </c>
      <c r="R178" s="297">
        <f>IF(O178=0,0,J178/O178)</f>
        <v>1.2455830388692579</v>
      </c>
      <c r="S178" s="242">
        <f>L178-Q178</f>
        <v>31735.130000000077</v>
      </c>
      <c r="T178" s="26"/>
      <c r="V178" s="198"/>
      <c r="W178" s="198"/>
      <c r="X178" s="198"/>
      <c r="Y178" s="198"/>
    </row>
    <row r="179" spans="1:25" ht="15.75" customHeight="1">
      <c r="A179" s="23" t="str">
        <f t="shared" si="91"/>
        <v>Service% profit / ventes</v>
      </c>
      <c r="B179" s="184" t="s">
        <v>83</v>
      </c>
      <c r="C179" s="441" t="s">
        <v>87</v>
      </c>
      <c r="E179" s="31"/>
      <c r="F179" s="444">
        <f>F178/E178</f>
        <v>0.74</v>
      </c>
      <c r="H179" s="31"/>
      <c r="I179" s="157" t="e">
        <f>I178/H178</f>
        <v>#DIV/0!</v>
      </c>
      <c r="K179" s="31"/>
      <c r="L179" s="157">
        <f>L178/K178</f>
        <v>0.76735417116373628</v>
      </c>
      <c r="M179" s="297"/>
      <c r="N179" s="222">
        <f>L179-F179</f>
        <v>2.7354171163736285E-2</v>
      </c>
      <c r="P179" s="31"/>
      <c r="Q179" s="157">
        <f>Q178/P178</f>
        <v>0.72709505456894652</v>
      </c>
      <c r="R179" s="223">
        <f>O179-K179</f>
        <v>0</v>
      </c>
      <c r="S179" s="242"/>
      <c r="T179" s="26"/>
    </row>
    <row r="180" spans="1:25" ht="15.75" customHeight="1">
      <c r="A180" s="23" t="str">
        <f t="shared" si="91"/>
        <v>Service</v>
      </c>
      <c r="B180" s="184" t="s">
        <v>83</v>
      </c>
      <c r="C180" s="441"/>
      <c r="E180" s="305"/>
      <c r="F180" s="448"/>
      <c r="H180" s="305"/>
      <c r="I180" s="307"/>
      <c r="K180" s="305"/>
      <c r="L180" s="307"/>
      <c r="M180" s="297"/>
      <c r="N180" s="222"/>
      <c r="P180" s="305"/>
      <c r="Q180" s="307"/>
      <c r="R180" s="308"/>
      <c r="S180" s="242"/>
      <c r="T180" s="26"/>
    </row>
    <row r="181" spans="1:25" ht="15.75" customHeight="1">
      <c r="A181" s="23" t="str">
        <f t="shared" si="91"/>
        <v>ServiceM/O Esthétique</v>
      </c>
      <c r="B181" s="184" t="s">
        <v>83</v>
      </c>
      <c r="C181" s="447" t="s">
        <v>90</v>
      </c>
      <c r="D181" s="309">
        <f>+SUM(START:END!D181)</f>
        <v>489.70070534886429</v>
      </c>
      <c r="E181" s="26">
        <f>+SUM(START:END!E181)</f>
        <v>48970.070534886429</v>
      </c>
      <c r="F181" s="443">
        <f>+SUM(START:END!F181)</f>
        <v>37217.253606513688</v>
      </c>
      <c r="G181" s="309">
        <f>+SUM(START:END!G181)</f>
        <v>0</v>
      </c>
      <c r="H181" s="26">
        <f>+SUM(START:END!H181)</f>
        <v>0</v>
      </c>
      <c r="I181" s="222">
        <f>+SUM(START:END!I181)</f>
        <v>0</v>
      </c>
      <c r="J181" s="53">
        <f>+SUM(START:END!J181)</f>
        <v>0</v>
      </c>
      <c r="K181" s="26">
        <f>+SUM(START:END!K181)</f>
        <v>67603.509999999995</v>
      </c>
      <c r="L181" s="26">
        <f>+SUM(START:END!L181)</f>
        <v>48831.61</v>
      </c>
      <c r="M181" s="311">
        <f>IF(H181=0,0,(K181-H181)/H181)</f>
        <v>0</v>
      </c>
      <c r="N181" s="258">
        <f t="shared" ref="N181" si="99">L181-F181</f>
        <v>11614.356393486312</v>
      </c>
      <c r="O181" s="53">
        <f>+SUM(START:END!O181)</f>
        <v>0</v>
      </c>
      <c r="P181" s="26">
        <f>+SUM(START:END!P181)</f>
        <v>35248.17</v>
      </c>
      <c r="Q181" s="26">
        <f>+SUM(START:END!Q181)</f>
        <v>27411.549999999988</v>
      </c>
      <c r="R181" s="297">
        <f>IF(O181=0,0,J181/O181)</f>
        <v>0</v>
      </c>
      <c r="S181" s="259">
        <f>L181-Q181</f>
        <v>21420.060000000012</v>
      </c>
      <c r="T181" s="26"/>
      <c r="V181" s="198"/>
      <c r="W181" s="198"/>
      <c r="X181" s="198"/>
      <c r="Y181" s="198"/>
    </row>
    <row r="182" spans="1:25" ht="15.75" customHeight="1">
      <c r="A182" s="23" t="str">
        <f t="shared" si="91"/>
        <v>Service% profit / ventes</v>
      </c>
      <c r="B182" s="184" t="s">
        <v>83</v>
      </c>
      <c r="C182" s="441" t="s">
        <v>87</v>
      </c>
      <c r="D182" s="73"/>
      <c r="E182" s="312"/>
      <c r="F182" s="444">
        <f>IFERROR(F181/E181,0)</f>
        <v>0.76</v>
      </c>
      <c r="G182" s="73"/>
      <c r="H182" s="312"/>
      <c r="I182" s="157">
        <f>IFERROR(I181/H181,0)</f>
        <v>0</v>
      </c>
      <c r="J182" s="73"/>
      <c r="K182" s="312"/>
      <c r="L182" s="157">
        <f>IFERROR(L181/K181,0)</f>
        <v>0.72232358941125996</v>
      </c>
      <c r="M182" s="223">
        <f>J182-G182</f>
        <v>0</v>
      </c>
      <c r="N182" s="313"/>
      <c r="O182" s="73"/>
      <c r="P182" s="312"/>
      <c r="Q182" s="157">
        <f>IFERROR(Q181/P181,0)</f>
        <v>0.77767299692437908</v>
      </c>
      <c r="R182" s="152"/>
      <c r="S182" s="314"/>
      <c r="T182" s="87"/>
    </row>
    <row r="183" spans="1:25" ht="15.75" customHeight="1">
      <c r="A183" s="23" t="str">
        <f t="shared" si="91"/>
        <v>Service</v>
      </c>
      <c r="B183" s="184" t="s">
        <v>83</v>
      </c>
      <c r="C183" s="445"/>
      <c r="D183" s="315"/>
      <c r="E183" s="316"/>
      <c r="F183" s="446"/>
      <c r="G183" s="315"/>
      <c r="H183" s="316"/>
      <c r="I183" s="155"/>
      <c r="J183" s="315"/>
      <c r="K183" s="316"/>
      <c r="L183" s="155"/>
      <c r="M183" s="299"/>
      <c r="N183" s="317"/>
      <c r="O183" s="315"/>
      <c r="P183" s="316"/>
      <c r="Q183" s="155"/>
      <c r="R183" s="153"/>
      <c r="S183" s="318"/>
      <c r="T183" s="87"/>
    </row>
    <row r="184" spans="1:25" ht="26.25" customHeight="1" thickBot="1">
      <c r="A184" s="23" t="str">
        <f t="shared" si="91"/>
        <v>ServiceAjustement M/O</v>
      </c>
      <c r="B184" s="184" t="s">
        <v>83</v>
      </c>
      <c r="C184" s="441" t="s">
        <v>91</v>
      </c>
      <c r="F184" s="443">
        <f>+SUM(START:END!F184)</f>
        <v>-12510.438485418583</v>
      </c>
      <c r="I184" s="222">
        <f>+SUM(START:END!I184)</f>
        <v>0</v>
      </c>
      <c r="L184" s="222">
        <f>+SUM(START:END!L184)</f>
        <v>-7626</v>
      </c>
      <c r="M184" s="319"/>
      <c r="N184" s="222">
        <f t="shared" ref="N184" si="100">L184-F184</f>
        <v>4884.4384854185828</v>
      </c>
      <c r="Q184" s="222">
        <f>+SUM(START:END!Q184)</f>
        <v>-6071.17</v>
      </c>
      <c r="R184" s="320"/>
      <c r="S184" s="242">
        <f t="shared" ref="S184:S185" si="101">L184-Q184</f>
        <v>-1554.83</v>
      </c>
    </row>
    <row r="185" spans="1:25" ht="15.75" customHeight="1" thickTop="1">
      <c r="A185" s="23" t="str">
        <f t="shared" si="91"/>
        <v>ServiceSous-total M/O</v>
      </c>
      <c r="B185" s="184" t="s">
        <v>83</v>
      </c>
      <c r="C185" s="449" t="s">
        <v>92</v>
      </c>
      <c r="D185" s="321"/>
      <c r="E185" s="321">
        <f t="shared" ref="E185" si="102">E172+E175+E178+E181+E184</f>
        <v>1081686.2112674261</v>
      </c>
      <c r="F185" s="450">
        <f>F172+F175+F178+F181+F184</f>
        <v>790732.45210996596</v>
      </c>
      <c r="G185" s="321"/>
      <c r="H185" s="321">
        <f t="shared" ref="H185:I185" si="103">H172+H175+H178+H181+H184</f>
        <v>0</v>
      </c>
      <c r="I185" s="322">
        <f t="shared" si="103"/>
        <v>0</v>
      </c>
      <c r="J185" s="321"/>
      <c r="K185" s="321">
        <f t="shared" ref="K185:L185" si="104">K172+K175+K178+K181+K184</f>
        <v>909996.19000000006</v>
      </c>
      <c r="L185" s="322">
        <f t="shared" si="104"/>
        <v>687267.72</v>
      </c>
      <c r="M185" s="323">
        <f>(K185-E185)/E185</f>
        <v>-0.15872442440239171</v>
      </c>
      <c r="N185" s="322">
        <f t="shared" ref="N185" si="105">N172+N175+N178+N181+N184</f>
        <v>-103464.732109966</v>
      </c>
      <c r="O185" s="321"/>
      <c r="P185" s="321">
        <f t="shared" ref="P185:Q185" si="106">P172+P175+P178+P181+P184</f>
        <v>844528.17999999912</v>
      </c>
      <c r="Q185" s="322">
        <f t="shared" si="106"/>
        <v>635014.96999999776</v>
      </c>
      <c r="R185" s="170">
        <f>IF(O185=0,0,J185/O185)</f>
        <v>0</v>
      </c>
      <c r="S185" s="324">
        <f t="shared" si="101"/>
        <v>52252.750000002212</v>
      </c>
      <c r="T185" s="87"/>
    </row>
    <row r="186" spans="1:25" ht="15.75" customHeight="1">
      <c r="A186" s="23" t="str">
        <f t="shared" si="91"/>
        <v>Service% protit / ventes</v>
      </c>
      <c r="B186" s="184" t="s">
        <v>83</v>
      </c>
      <c r="C186" s="451" t="s">
        <v>93</v>
      </c>
      <c r="D186" s="325"/>
      <c r="E186" s="325"/>
      <c r="F186" s="452">
        <f>F185/E185</f>
        <v>0.73101833403557415</v>
      </c>
      <c r="G186" s="325"/>
      <c r="H186" s="325"/>
      <c r="I186" s="327" t="e">
        <f>I185/H185</f>
        <v>#DIV/0!</v>
      </c>
      <c r="J186" s="325"/>
      <c r="K186" s="325"/>
      <c r="L186" s="327">
        <f>L185/K185</f>
        <v>0.75524241480615417</v>
      </c>
      <c r="M186" s="326"/>
      <c r="N186" s="327"/>
      <c r="O186" s="325"/>
      <c r="P186" s="325"/>
      <c r="Q186" s="327">
        <f>Q185/P185</f>
        <v>0.75191685137137565</v>
      </c>
      <c r="R186" s="326"/>
      <c r="S186" s="209">
        <f>IF(R185=0,0,S185/R185)</f>
        <v>0</v>
      </c>
      <c r="T186" s="87"/>
    </row>
    <row r="187" spans="1:25" ht="15.75" customHeight="1">
      <c r="A187" s="23" t="str">
        <f t="shared" si="91"/>
        <v>Service</v>
      </c>
      <c r="B187" s="184" t="s">
        <v>83</v>
      </c>
      <c r="C187" s="453"/>
      <c r="D187" s="83"/>
      <c r="E187" s="328"/>
      <c r="F187" s="454"/>
      <c r="G187" s="83"/>
      <c r="H187" s="328"/>
      <c r="I187" s="330"/>
      <c r="J187" s="83"/>
      <c r="K187" s="328"/>
      <c r="L187" s="330"/>
      <c r="M187" s="329"/>
      <c r="N187" s="330"/>
      <c r="O187" s="83"/>
      <c r="P187" s="328"/>
      <c r="Q187" s="330"/>
      <c r="R187" s="329"/>
      <c r="S187" s="331"/>
      <c r="T187" s="87"/>
    </row>
    <row r="188" spans="1:25" ht="15.75" customHeight="1">
      <c r="A188" s="23" t="str">
        <f t="shared" si="91"/>
        <v>ServiceSous-traitement</v>
      </c>
      <c r="B188" s="184" t="s">
        <v>83</v>
      </c>
      <c r="C188" s="441" t="s">
        <v>94</v>
      </c>
      <c r="D188" s="26"/>
      <c r="E188" s="26">
        <f>+SUM(START:END!E188)</f>
        <v>49078.085381968696</v>
      </c>
      <c r="F188" s="443">
        <f>+SUM(START:END!F188)</f>
        <v>10797.178784033113</v>
      </c>
      <c r="G188" s="26"/>
      <c r="H188" s="26">
        <f>+SUM(START:END!H188)</f>
        <v>0</v>
      </c>
      <c r="I188" s="222">
        <f>+SUM(START:END!I188)</f>
        <v>0</v>
      </c>
      <c r="J188" s="26"/>
      <c r="K188" s="26">
        <f>+SUM(START:END!K188)</f>
        <v>66564</v>
      </c>
      <c r="L188" s="26">
        <f>+SUM(START:END!L188)</f>
        <v>13100.36</v>
      </c>
      <c r="M188" s="241">
        <f>IF(H188=0,0,(K188-H188)/H188)</f>
        <v>0</v>
      </c>
      <c r="N188" s="222">
        <f t="shared" ref="N188" si="107">L188-F188</f>
        <v>2303.181215966888</v>
      </c>
      <c r="O188" s="26"/>
      <c r="P188" s="26">
        <f>+SUM(START:END!P188)</f>
        <v>33419.54</v>
      </c>
      <c r="Q188" s="26">
        <f>+SUM(START:END!Q188)</f>
        <v>4246.3399999999911</v>
      </c>
      <c r="R188" s="297">
        <f>IF(O188=0,0,J188/O188)</f>
        <v>0</v>
      </c>
      <c r="S188" s="242">
        <f>L188-Q188</f>
        <v>8854.0200000000095</v>
      </c>
      <c r="T188" s="87"/>
    </row>
    <row r="189" spans="1:25" ht="15.75" customHeight="1">
      <c r="A189" s="23" t="str">
        <f t="shared" si="91"/>
        <v>Service% profit / ventes</v>
      </c>
      <c r="B189" s="184" t="s">
        <v>83</v>
      </c>
      <c r="C189" s="441" t="s">
        <v>87</v>
      </c>
      <c r="E189" s="31"/>
      <c r="F189" s="444">
        <f>IFERROR(F188/E188,0)</f>
        <v>0.22</v>
      </c>
      <c r="H189" s="31"/>
      <c r="I189" s="157">
        <f>IFERROR(I188/H188,0)</f>
        <v>0</v>
      </c>
      <c r="K189" s="31"/>
      <c r="L189" s="157">
        <f>IFERROR(L188/K188,0)</f>
        <v>0.19680848506700319</v>
      </c>
      <c r="M189" s="319"/>
      <c r="N189" s="313"/>
      <c r="P189" s="31"/>
      <c r="Q189" s="157">
        <f>IFERROR(Q188/P188,0)</f>
        <v>0.12706159330738817</v>
      </c>
      <c r="R189" s="319"/>
      <c r="S189" s="314"/>
      <c r="T189" s="87"/>
    </row>
    <row r="190" spans="1:25" ht="15.75" customHeight="1">
      <c r="A190" s="23" t="str">
        <f t="shared" si="91"/>
        <v>Service</v>
      </c>
      <c r="B190" s="184" t="s">
        <v>83</v>
      </c>
      <c r="C190" s="441"/>
      <c r="E190" s="31"/>
      <c r="F190" s="444"/>
      <c r="H190" s="31"/>
      <c r="I190" s="157"/>
      <c r="K190" s="31"/>
      <c r="L190" s="157"/>
      <c r="M190" s="319"/>
      <c r="N190" s="313"/>
      <c r="P190" s="31"/>
      <c r="Q190" s="157"/>
      <c r="R190" s="319"/>
      <c r="S190" s="314"/>
      <c r="T190" s="87"/>
    </row>
    <row r="191" spans="1:25" ht="15.75" customHeight="1">
      <c r="A191" s="23" t="str">
        <f t="shared" si="91"/>
        <v>ServiceM.O. Recond. MCPA</v>
      </c>
      <c r="B191" s="184" t="s">
        <v>83</v>
      </c>
      <c r="C191" s="441" t="s">
        <v>95</v>
      </c>
      <c r="E191" s="26">
        <f>+SUM(START:END!E191)</f>
        <v>48970.070534886429</v>
      </c>
      <c r="F191" s="443">
        <f>+SUM(START:END!F191)</f>
        <v>34279.049374420501</v>
      </c>
      <c r="H191" s="26">
        <f>+SUM(START:END!H191)</f>
        <v>0</v>
      </c>
      <c r="I191" s="222">
        <f>+SUM(START:END!I191)</f>
        <v>0</v>
      </c>
      <c r="K191" s="26">
        <f>+SUM(START:END!K191)</f>
        <v>37745.24</v>
      </c>
      <c r="L191" s="26">
        <f>+SUM(START:END!L191)</f>
        <v>26469.260000000002</v>
      </c>
      <c r="M191" s="319"/>
      <c r="N191" s="313"/>
      <c r="P191" s="26">
        <f>+SUM(START:END!P191)</f>
        <v>0</v>
      </c>
      <c r="Q191" s="26">
        <f>+SUM(START:END!Q191)</f>
        <v>0</v>
      </c>
      <c r="R191" s="319"/>
      <c r="S191" s="314"/>
      <c r="T191" s="87"/>
    </row>
    <row r="192" spans="1:25" ht="15.75" customHeight="1">
      <c r="A192" s="23" t="str">
        <f t="shared" si="91"/>
        <v>Service% profit / ventes</v>
      </c>
      <c r="B192" s="184" t="s">
        <v>83</v>
      </c>
      <c r="C192" s="441" t="s">
        <v>87</v>
      </c>
      <c r="E192" s="31"/>
      <c r="F192" s="444">
        <f>IF(F191=0,0,F191/E191)</f>
        <v>0.70000000000000007</v>
      </c>
      <c r="H192" s="31"/>
      <c r="I192" s="157">
        <f>IF(I191=0,0,I191/H191)</f>
        <v>0</v>
      </c>
      <c r="K192" s="31"/>
      <c r="L192" s="157">
        <f>IF(L191=0,0,L191/K191)</f>
        <v>0.70126087421884198</v>
      </c>
      <c r="M192" s="319"/>
      <c r="N192" s="313"/>
      <c r="P192" s="31"/>
      <c r="Q192" s="157">
        <f>IF(Q191=0,0,Q191/P191)</f>
        <v>0</v>
      </c>
      <c r="R192" s="319"/>
      <c r="S192" s="314"/>
      <c r="T192" s="87"/>
    </row>
    <row r="193" spans="1:20" ht="15.75" customHeight="1" thickBot="1">
      <c r="A193" s="23" t="str">
        <f t="shared" si="91"/>
        <v>Service</v>
      </c>
      <c r="B193" s="184" t="s">
        <v>83</v>
      </c>
      <c r="C193" s="455"/>
      <c r="D193" s="93"/>
      <c r="E193" s="332"/>
      <c r="F193" s="456"/>
      <c r="G193" s="93"/>
      <c r="H193" s="332"/>
      <c r="I193" s="334"/>
      <c r="J193" s="93"/>
      <c r="K193" s="332"/>
      <c r="L193" s="334"/>
      <c r="M193" s="333"/>
      <c r="N193" s="334"/>
      <c r="O193" s="93"/>
      <c r="P193" s="332"/>
      <c r="Q193" s="334"/>
      <c r="R193" s="333"/>
      <c r="S193" s="335"/>
      <c r="T193" s="87"/>
    </row>
    <row r="194" spans="1:20" ht="15.75" customHeight="1" thickTop="1">
      <c r="A194" s="23" t="str">
        <f t="shared" si="91"/>
        <v>ServiceTotal Mécanique</v>
      </c>
      <c r="B194" s="184" t="s">
        <v>83</v>
      </c>
      <c r="C194" s="457" t="s">
        <v>96</v>
      </c>
      <c r="D194" s="226"/>
      <c r="E194" s="226">
        <f t="shared" ref="E194:F194" si="108">E185+E188+E191</f>
        <v>1179734.3671842811</v>
      </c>
      <c r="F194" s="458">
        <f t="shared" si="108"/>
        <v>835808.68026841967</v>
      </c>
      <c r="G194" s="226"/>
      <c r="H194" s="226">
        <f t="shared" ref="H194:I194" si="109">H185+H188+H191</f>
        <v>0</v>
      </c>
      <c r="I194" s="228">
        <f t="shared" si="109"/>
        <v>0</v>
      </c>
      <c r="J194" s="226"/>
      <c r="K194" s="226">
        <f t="shared" ref="K194:N194" si="110">K185+K188+K191</f>
        <v>1014305.43</v>
      </c>
      <c r="L194" s="228">
        <f t="shared" si="110"/>
        <v>726837.34</v>
      </c>
      <c r="M194" s="336">
        <f>L195-F195</f>
        <v>8.1143385106589028E-3</v>
      </c>
      <c r="N194" s="228">
        <f t="shared" si="110"/>
        <v>-101161.55089399911</v>
      </c>
      <c r="O194" s="226"/>
      <c r="P194" s="226">
        <f t="shared" ref="P194:Q194" si="111">P185+P188+P191</f>
        <v>877947.71999999916</v>
      </c>
      <c r="Q194" s="228">
        <f t="shared" si="111"/>
        <v>639261.30999999773</v>
      </c>
      <c r="R194" s="336">
        <f>L195-Q195</f>
        <v>-1.1545143211387665E-2</v>
      </c>
      <c r="S194" s="231">
        <f>L194-Q194</f>
        <v>87576.03000000224</v>
      </c>
      <c r="T194" s="87"/>
    </row>
    <row r="195" spans="1:20" ht="15.75" customHeight="1" thickBot="1">
      <c r="A195" s="23" t="str">
        <f t="shared" si="91"/>
        <v>Service</v>
      </c>
      <c r="B195" s="184" t="s">
        <v>83</v>
      </c>
      <c r="C195" s="459"/>
      <c r="D195" s="233"/>
      <c r="E195" s="233"/>
      <c r="F195" s="460">
        <f>F194/E194</f>
        <v>0.70847192683152693</v>
      </c>
      <c r="G195" s="233"/>
      <c r="H195" s="233"/>
      <c r="I195" s="166" t="e">
        <f>I194/H194</f>
        <v>#DIV/0!</v>
      </c>
      <c r="J195" s="233"/>
      <c r="K195" s="233"/>
      <c r="L195" s="166">
        <f>L194/K194</f>
        <v>0.71658626534218584</v>
      </c>
      <c r="M195" s="236"/>
      <c r="N195" s="166">
        <f>N194/F194</f>
        <v>-0.12103433869759658</v>
      </c>
      <c r="O195" s="233"/>
      <c r="P195" s="233"/>
      <c r="Q195" s="166">
        <f>Q194/P194</f>
        <v>0.7281314085535735</v>
      </c>
      <c r="R195" s="236"/>
      <c r="S195" s="237">
        <f>L194/S194</f>
        <v>8.299500902244386</v>
      </c>
      <c r="T195" s="73"/>
    </row>
    <row r="196" spans="1:20" ht="15.75" customHeight="1" thickTop="1">
      <c r="A196" s="23" t="str">
        <f t="shared" si="91"/>
        <v>Service</v>
      </c>
      <c r="B196" s="184" t="s">
        <v>83</v>
      </c>
      <c r="C196" s="461"/>
      <c r="D196" s="73"/>
      <c r="E196" s="73"/>
      <c r="F196" s="462"/>
      <c r="G196" s="73"/>
      <c r="H196" s="73"/>
      <c r="I196" s="171"/>
      <c r="J196" s="73"/>
      <c r="K196" s="73"/>
      <c r="L196" s="171"/>
      <c r="M196" s="170"/>
      <c r="N196" s="171"/>
      <c r="O196" s="73"/>
      <c r="P196" s="73"/>
      <c r="Q196" s="171"/>
      <c r="R196" s="170"/>
      <c r="S196" s="209"/>
      <c r="T196" s="73"/>
    </row>
    <row r="197" spans="1:20" ht="15.75" customHeight="1">
      <c r="A197" s="23" t="str">
        <f t="shared" si="91"/>
        <v>ServiceDEPENSES</v>
      </c>
      <c r="B197" s="184" t="s">
        <v>83</v>
      </c>
      <c r="C197" s="463" t="s">
        <v>30</v>
      </c>
      <c r="F197" s="443"/>
      <c r="I197" s="222"/>
      <c r="L197" s="222"/>
      <c r="M197" s="152"/>
      <c r="N197" s="208"/>
      <c r="Q197" s="222"/>
      <c r="R197" s="152"/>
      <c r="S197" s="224"/>
    </row>
    <row r="198" spans="1:20" ht="15.75" customHeight="1">
      <c r="A198" s="23" t="str">
        <f t="shared" si="91"/>
        <v>ServiceSalaires cadres</v>
      </c>
      <c r="B198" s="184" t="s">
        <v>83</v>
      </c>
      <c r="C198" s="441" t="s">
        <v>41</v>
      </c>
      <c r="F198" s="464">
        <f>+SUM(START:END!F198)</f>
        <v>50026.806249999994</v>
      </c>
      <c r="G198" s="438"/>
      <c r="H198" s="338"/>
      <c r="I198" s="340">
        <f>+SUM(START:END!I198)</f>
        <v>0</v>
      </c>
      <c r="J198" s="338"/>
      <c r="K198" s="338"/>
      <c r="L198" s="338">
        <f>+SUM(START:END!L198)</f>
        <v>42367.96</v>
      </c>
      <c r="M198" s="339"/>
      <c r="N198" s="340">
        <f t="shared" ref="N198:N208" si="112">L198-F198</f>
        <v>-7658.8462499999951</v>
      </c>
      <c r="O198" s="338"/>
      <c r="P198" s="338"/>
      <c r="Q198" s="338">
        <f>+SUM(START:END!Q198)</f>
        <v>33245.800000000003</v>
      </c>
      <c r="R198" s="339"/>
      <c r="S198" s="341">
        <f>L198-Q198</f>
        <v>9122.1599999999962</v>
      </c>
    </row>
    <row r="199" spans="1:20" ht="15.75" customHeight="1">
      <c r="A199" s="23" t="str">
        <f t="shared" si="91"/>
        <v>ServiceSalaires commis</v>
      </c>
      <c r="B199" s="184" t="s">
        <v>83</v>
      </c>
      <c r="C199" s="445" t="s">
        <v>42</v>
      </c>
      <c r="D199" s="30"/>
      <c r="F199" s="465">
        <f>+SUM(START:END!F199)</f>
        <v>27633.105499999998</v>
      </c>
      <c r="G199" s="439"/>
      <c r="H199" s="338"/>
      <c r="I199" s="342">
        <f>+SUM(START:END!I199)</f>
        <v>0</v>
      </c>
      <c r="J199" s="343"/>
      <c r="K199" s="338"/>
      <c r="L199" s="342">
        <f>+SUM(START:END!L199)</f>
        <v>22768.55</v>
      </c>
      <c r="M199" s="339"/>
      <c r="N199" s="340">
        <f t="shared" si="112"/>
        <v>-4864.5554999999986</v>
      </c>
      <c r="O199" s="343"/>
      <c r="P199" s="338"/>
      <c r="Q199" s="342">
        <f>+SUM(START:END!Q199)</f>
        <v>17759.650000000001</v>
      </c>
      <c r="R199" s="339"/>
      <c r="S199" s="341">
        <f t="shared" ref="S199:S208" si="113">L199-Q199</f>
        <v>5008.8999999999978</v>
      </c>
    </row>
    <row r="200" spans="1:20" ht="15.75" customHeight="1">
      <c r="A200" s="23" t="str">
        <f t="shared" si="91"/>
        <v>ServiceSalaires autres</v>
      </c>
      <c r="B200" s="184" t="s">
        <v>83</v>
      </c>
      <c r="C200" s="441" t="s">
        <v>43</v>
      </c>
      <c r="D200" s="52"/>
      <c r="E200" s="53"/>
      <c r="F200" s="464">
        <f>+SUM(START:END!F200)</f>
        <v>56381.375</v>
      </c>
      <c r="G200" s="345"/>
      <c r="H200" s="344"/>
      <c r="I200" s="340">
        <f>+SUM(START:END!I200)</f>
        <v>0</v>
      </c>
      <c r="J200" s="345"/>
      <c r="K200" s="344"/>
      <c r="L200" s="338">
        <f>+SUM(START:END!L200)</f>
        <v>60487.62000000001</v>
      </c>
      <c r="M200" s="346"/>
      <c r="N200" s="347">
        <f t="shared" si="112"/>
        <v>4106.2450000000099</v>
      </c>
      <c r="O200" s="345"/>
      <c r="P200" s="344"/>
      <c r="Q200" s="338">
        <f>+SUM(START:END!Q200)</f>
        <v>26424.3</v>
      </c>
      <c r="R200" s="346"/>
      <c r="S200" s="348">
        <f t="shared" si="113"/>
        <v>34063.320000000007</v>
      </c>
    </row>
    <row r="201" spans="1:20" ht="15.75" customHeight="1">
      <c r="A201" s="23" t="str">
        <f t="shared" si="91"/>
        <v>ServiceSalaires spécialistes</v>
      </c>
      <c r="B201" s="184" t="s">
        <v>83</v>
      </c>
      <c r="C201" s="441" t="s">
        <v>44</v>
      </c>
      <c r="D201" s="30"/>
      <c r="F201" s="464">
        <f>+SUM(START:END!F201)</f>
        <v>106456.16689763534</v>
      </c>
      <c r="G201" s="439"/>
      <c r="H201" s="338"/>
      <c r="I201" s="340">
        <f>+SUM(START:END!I201)</f>
        <v>0</v>
      </c>
      <c r="J201" s="343"/>
      <c r="K201" s="338"/>
      <c r="L201" s="338">
        <f>+SUM(START:END!L201)</f>
        <v>107502.9</v>
      </c>
      <c r="M201" s="339"/>
      <c r="N201" s="340">
        <f t="shared" si="112"/>
        <v>1046.7331023646548</v>
      </c>
      <c r="O201" s="343"/>
      <c r="P201" s="338"/>
      <c r="Q201" s="338">
        <f>+SUM(START:END!Q201)</f>
        <v>94287.329999999987</v>
      </c>
      <c r="R201" s="339"/>
      <c r="S201" s="341">
        <f t="shared" si="113"/>
        <v>13215.570000000007</v>
      </c>
    </row>
    <row r="202" spans="1:20" ht="15.75" hidden="1" customHeight="1">
      <c r="A202" s="23" t="str">
        <f t="shared" si="91"/>
        <v>Service[...]</v>
      </c>
      <c r="B202" s="184" t="s">
        <v>83</v>
      </c>
      <c r="C202" s="441" t="s">
        <v>20</v>
      </c>
      <c r="D202" s="30"/>
      <c r="F202" s="464">
        <f>+SUM(START:END!F202)</f>
        <v>0</v>
      </c>
      <c r="G202" s="439"/>
      <c r="H202" s="338"/>
      <c r="I202" s="340">
        <f>+SUM(START:END!I202)</f>
        <v>0</v>
      </c>
      <c r="J202" s="343"/>
      <c r="K202" s="338"/>
      <c r="L202" s="338">
        <f>+SUM(START:END!L202)</f>
        <v>0</v>
      </c>
      <c r="M202" s="339"/>
      <c r="N202" s="340">
        <f t="shared" si="112"/>
        <v>0</v>
      </c>
      <c r="O202" s="343"/>
      <c r="P202" s="338"/>
      <c r="Q202" s="338">
        <f>+SUM(START:END!Q202)</f>
        <v>0</v>
      </c>
      <c r="R202" s="339"/>
      <c r="S202" s="341">
        <f t="shared" si="113"/>
        <v>0</v>
      </c>
    </row>
    <row r="203" spans="1:20" ht="15.75" hidden="1" customHeight="1">
      <c r="A203" s="23" t="str">
        <f t="shared" si="91"/>
        <v>Service[...]</v>
      </c>
      <c r="B203" s="184" t="s">
        <v>83</v>
      </c>
      <c r="C203" s="441" t="s">
        <v>20</v>
      </c>
      <c r="D203" s="30"/>
      <c r="F203" s="464">
        <f>+SUM(START:END!F203)</f>
        <v>0</v>
      </c>
      <c r="G203" s="439"/>
      <c r="H203" s="338"/>
      <c r="I203" s="340">
        <f>+SUM(START:END!I203)</f>
        <v>0</v>
      </c>
      <c r="J203" s="343"/>
      <c r="K203" s="338"/>
      <c r="L203" s="338">
        <f>+SUM(START:END!L203)</f>
        <v>0</v>
      </c>
      <c r="M203" s="339"/>
      <c r="N203" s="340">
        <f t="shared" si="112"/>
        <v>0</v>
      </c>
      <c r="O203" s="343"/>
      <c r="P203" s="338"/>
      <c r="Q203" s="338">
        <f>+SUM(START:END!Q203)</f>
        <v>0</v>
      </c>
      <c r="R203" s="339"/>
      <c r="S203" s="341">
        <f t="shared" si="113"/>
        <v>0</v>
      </c>
    </row>
    <row r="204" spans="1:20" ht="15.75" hidden="1" customHeight="1">
      <c r="A204" s="23" t="str">
        <f t="shared" si="91"/>
        <v>Service[...]</v>
      </c>
      <c r="B204" s="184" t="s">
        <v>83</v>
      </c>
      <c r="C204" s="441" t="s">
        <v>20</v>
      </c>
      <c r="D204" s="30"/>
      <c r="F204" s="464">
        <f>+SUM(START:END!F204)</f>
        <v>0</v>
      </c>
      <c r="G204" s="439"/>
      <c r="H204" s="338"/>
      <c r="I204" s="340">
        <f>+SUM(START:END!I204)</f>
        <v>0</v>
      </c>
      <c r="J204" s="343"/>
      <c r="K204" s="338"/>
      <c r="L204" s="338">
        <f>+SUM(START:END!L204)</f>
        <v>0</v>
      </c>
      <c r="M204" s="339"/>
      <c r="N204" s="340">
        <f t="shared" si="112"/>
        <v>0</v>
      </c>
      <c r="O204" s="343"/>
      <c r="P204" s="338"/>
      <c r="Q204" s="338">
        <f>+SUM(START:END!Q204)</f>
        <v>0</v>
      </c>
      <c r="R204" s="339"/>
      <c r="S204" s="341">
        <f t="shared" si="113"/>
        <v>0</v>
      </c>
    </row>
    <row r="205" spans="1:20" ht="15.75" customHeight="1">
      <c r="A205" s="23" t="str">
        <f t="shared" si="91"/>
        <v>ServiceSalaires en absences</v>
      </c>
      <c r="B205" s="184" t="s">
        <v>83</v>
      </c>
      <c r="C205" s="445" t="s">
        <v>45</v>
      </c>
      <c r="D205" s="30"/>
      <c r="F205" s="464">
        <f>+SUM(START:END!F205)</f>
        <v>61425.895003378362</v>
      </c>
      <c r="G205" s="439"/>
      <c r="H205" s="338"/>
      <c r="I205" s="340">
        <f>+SUM(START:END!I205)</f>
        <v>0</v>
      </c>
      <c r="J205" s="343"/>
      <c r="K205" s="338"/>
      <c r="L205" s="338">
        <f>+SUM(START:END!L205)</f>
        <v>60204.4</v>
      </c>
      <c r="M205" s="339"/>
      <c r="N205" s="340">
        <f t="shared" si="112"/>
        <v>-1221.4950033783607</v>
      </c>
      <c r="O205" s="343"/>
      <c r="P205" s="338"/>
      <c r="Q205" s="338">
        <f>+SUM(START:END!Q205)</f>
        <v>53002.94</v>
      </c>
      <c r="R205" s="339"/>
      <c r="S205" s="341">
        <f t="shared" si="113"/>
        <v>7201.4599999999991</v>
      </c>
    </row>
    <row r="206" spans="1:20" ht="15.75" customHeight="1">
      <c r="A206" s="23" t="str">
        <f t="shared" si="91"/>
        <v>ServiceDéduction à la source</v>
      </c>
      <c r="B206" s="184" t="s">
        <v>83</v>
      </c>
      <c r="C206" s="441" t="s">
        <v>46</v>
      </c>
      <c r="D206" s="52"/>
      <c r="E206" s="53"/>
      <c r="F206" s="466">
        <f>+SUM(START:END!F206)</f>
        <v>74685.229167103214</v>
      </c>
      <c r="G206" s="345"/>
      <c r="H206" s="344"/>
      <c r="I206" s="347">
        <f>+SUM(START:END!I206)</f>
        <v>0</v>
      </c>
      <c r="J206" s="345"/>
      <c r="K206" s="344"/>
      <c r="L206" s="347">
        <f>+SUM(START:END!L206)</f>
        <v>68863.760000000009</v>
      </c>
      <c r="M206" s="346"/>
      <c r="N206" s="347">
        <f t="shared" si="112"/>
        <v>-5821.4691671032051</v>
      </c>
      <c r="O206" s="345"/>
      <c r="P206" s="344"/>
      <c r="Q206" s="347">
        <f>+SUM(START:END!Q206)</f>
        <v>56209.829999999994</v>
      </c>
      <c r="R206" s="346"/>
      <c r="S206" s="348">
        <f t="shared" si="113"/>
        <v>12653.930000000015</v>
      </c>
    </row>
    <row r="207" spans="1:20" ht="15.75" customHeight="1">
      <c r="A207" s="23" t="str">
        <f t="shared" si="91"/>
        <v>ServiceBénéfices marginaux</v>
      </c>
      <c r="B207" s="184" t="s">
        <v>83</v>
      </c>
      <c r="C207" s="441" t="s">
        <v>47</v>
      </c>
      <c r="D207" s="30"/>
      <c r="F207" s="464">
        <f>+SUM(START:END!F207)</f>
        <v>38479.128940442301</v>
      </c>
      <c r="G207" s="439"/>
      <c r="H207" s="338"/>
      <c r="I207" s="340">
        <f>+SUM(START:END!I207)</f>
        <v>0</v>
      </c>
      <c r="J207" s="343"/>
      <c r="K207" s="338"/>
      <c r="L207" s="338">
        <f>+SUM(START:END!L207)</f>
        <v>36012.75</v>
      </c>
      <c r="M207" s="339"/>
      <c r="N207" s="340">
        <f t="shared" si="112"/>
        <v>-2466.3789404423005</v>
      </c>
      <c r="O207" s="343"/>
      <c r="P207" s="338"/>
      <c r="Q207" s="338">
        <f>+SUM(START:END!Q207)</f>
        <v>32890.83</v>
      </c>
      <c r="R207" s="339"/>
      <c r="S207" s="341">
        <f t="shared" si="113"/>
        <v>3121.9199999999983</v>
      </c>
    </row>
    <row r="208" spans="1:20" ht="15.75" customHeight="1">
      <c r="A208" s="23" t="str">
        <f t="shared" si="91"/>
        <v>ServiceCsst</v>
      </c>
      <c r="B208" s="184" t="s">
        <v>83</v>
      </c>
      <c r="C208" s="441" t="s">
        <v>48</v>
      </c>
      <c r="D208" s="30"/>
      <c r="F208" s="464">
        <f>+SUM(START:END!F208)</f>
        <v>16777.116696957964</v>
      </c>
      <c r="G208" s="439"/>
      <c r="H208" s="338"/>
      <c r="I208" s="340">
        <f>+SUM(START:END!I208)</f>
        <v>0</v>
      </c>
      <c r="J208" s="343"/>
      <c r="K208" s="338"/>
      <c r="L208" s="338">
        <f>+SUM(START:END!L208)</f>
        <v>12928.2</v>
      </c>
      <c r="M208" s="339"/>
      <c r="N208" s="340">
        <f t="shared" si="112"/>
        <v>-3848.9166969579637</v>
      </c>
      <c r="O208" s="343"/>
      <c r="P208" s="338"/>
      <c r="Q208" s="338">
        <f>+SUM(START:END!Q208)</f>
        <v>12356.83</v>
      </c>
      <c r="R208" s="339"/>
      <c r="S208" s="341">
        <f t="shared" si="113"/>
        <v>571.3700000000008</v>
      </c>
    </row>
    <row r="209" spans="1:19" ht="15.75" hidden="1" customHeight="1">
      <c r="A209" s="23" t="str">
        <f t="shared" si="91"/>
        <v>Service[...]</v>
      </c>
      <c r="B209" s="184" t="s">
        <v>83</v>
      </c>
      <c r="C209" s="441" t="s">
        <v>20</v>
      </c>
      <c r="D209" s="34"/>
      <c r="E209" s="7"/>
      <c r="F209" s="464">
        <f>+SUM(START:END!F209)</f>
        <v>0</v>
      </c>
      <c r="G209" s="350"/>
      <c r="H209" s="349"/>
      <c r="I209" s="340">
        <f>+SUM(START:END!I209)</f>
        <v>0</v>
      </c>
      <c r="J209" s="350"/>
      <c r="K209" s="349"/>
      <c r="L209" s="338">
        <f>+SUM(START:END!L209)</f>
        <v>0</v>
      </c>
      <c r="M209" s="351"/>
      <c r="N209" s="352"/>
      <c r="O209" s="350"/>
      <c r="P209" s="349"/>
      <c r="Q209" s="338">
        <f>+SUM(START:END!Q209)</f>
        <v>0</v>
      </c>
      <c r="R209" s="351"/>
      <c r="S209" s="353">
        <f t="shared" ref="S209" si="114">L209-Q209</f>
        <v>0</v>
      </c>
    </row>
    <row r="210" spans="1:19" ht="15.75" customHeight="1">
      <c r="A210" s="23" t="str">
        <f t="shared" si="91"/>
        <v>ServiceTOTAL PERSONNEL</v>
      </c>
      <c r="B210" s="184" t="s">
        <v>83</v>
      </c>
      <c r="C210" s="467" t="s">
        <v>49</v>
      </c>
      <c r="D210" s="250" t="s">
        <v>97</v>
      </c>
      <c r="E210" s="42">
        <f>F210/F$194</f>
        <v>0.51670296522503678</v>
      </c>
      <c r="F210" s="468">
        <f>+SUM(F198:F209)</f>
        <v>431864.82345551712</v>
      </c>
      <c r="G210" s="356" t="s">
        <v>97</v>
      </c>
      <c r="H210" s="354" t="e">
        <f>I210/I$194</f>
        <v>#DIV/0!</v>
      </c>
      <c r="I210" s="355">
        <f>+SUM(I198:I209)</f>
        <v>0</v>
      </c>
      <c r="J210" s="356" t="s">
        <v>97</v>
      </c>
      <c r="K210" s="354">
        <f>L210/L$194</f>
        <v>0.56565082360793406</v>
      </c>
      <c r="L210" s="355">
        <f>+SUM(L198:L209)</f>
        <v>411136.14</v>
      </c>
      <c r="M210" s="357"/>
      <c r="N210" s="355">
        <f>+SUM(N198:N209)</f>
        <v>-20728.683455517159</v>
      </c>
      <c r="O210" s="356" t="s">
        <v>97</v>
      </c>
      <c r="P210" s="354">
        <f>Q210/Q$194</f>
        <v>0.510241281456563</v>
      </c>
      <c r="Q210" s="355">
        <f>+SUM(Q198:Q209)</f>
        <v>326177.51</v>
      </c>
      <c r="R210" s="357"/>
      <c r="S210" s="358">
        <f t="shared" ref="S210:S229" si="115">L210-Q210</f>
        <v>84958.63</v>
      </c>
    </row>
    <row r="211" spans="1:19" ht="15.75" customHeight="1">
      <c r="A211" s="23" t="str">
        <f t="shared" si="91"/>
        <v>ServicePublicité 2</v>
      </c>
      <c r="B211" s="184" t="s">
        <v>83</v>
      </c>
      <c r="C211" s="441" t="s">
        <v>50</v>
      </c>
      <c r="D211" s="30"/>
      <c r="F211" s="464">
        <f>+SUM(START:END!F211)</f>
        <v>31160.976957395826</v>
      </c>
      <c r="G211" s="439"/>
      <c r="H211" s="338"/>
      <c r="I211" s="340">
        <f>+SUM(START:END!I211)</f>
        <v>0</v>
      </c>
      <c r="J211" s="343"/>
      <c r="K211" s="338"/>
      <c r="L211" s="338">
        <f>+SUM(START:END!L211)</f>
        <v>32822.85</v>
      </c>
      <c r="M211" s="339"/>
      <c r="N211" s="340">
        <f t="shared" ref="N211:N225" si="116">L211-F211</f>
        <v>1661.873042604173</v>
      </c>
      <c r="O211" s="343"/>
      <c r="P211" s="338"/>
      <c r="Q211" s="338">
        <f>+SUM(START:END!Q211)</f>
        <v>31995</v>
      </c>
      <c r="R211" s="339"/>
      <c r="S211" s="341">
        <f t="shared" si="115"/>
        <v>827.84999999999854</v>
      </c>
    </row>
    <row r="212" spans="1:19" ht="15.75" customHeight="1">
      <c r="A212" s="23" t="str">
        <f t="shared" si="91"/>
        <v>ServiceService gratuit 2</v>
      </c>
      <c r="B212" s="184" t="s">
        <v>83</v>
      </c>
      <c r="C212" s="441" t="s">
        <v>51</v>
      </c>
      <c r="D212" s="30"/>
      <c r="F212" s="464">
        <f>+SUM(START:END!F212)</f>
        <v>11581.177970503333</v>
      </c>
      <c r="G212" s="439"/>
      <c r="H212" s="338"/>
      <c r="I212" s="340">
        <f>+SUM(START:END!I212)</f>
        <v>0</v>
      </c>
      <c r="J212" s="343"/>
      <c r="K212" s="338"/>
      <c r="L212" s="338">
        <f>+SUM(START:END!L212)</f>
        <v>10707.71</v>
      </c>
      <c r="M212" s="339"/>
      <c r="N212" s="340">
        <f t="shared" si="116"/>
        <v>-873.46797050333407</v>
      </c>
      <c r="O212" s="343"/>
      <c r="P212" s="338"/>
      <c r="Q212" s="338">
        <f>+SUM(START:END!Q212)</f>
        <v>13067.100000000002</v>
      </c>
      <c r="R212" s="339"/>
      <c r="S212" s="341">
        <f t="shared" ref="S212:S225" si="117">L212-Q212</f>
        <v>-2359.3900000000031</v>
      </c>
    </row>
    <row r="213" spans="1:19" ht="15.75" customHeight="1">
      <c r="A213" s="23" t="str">
        <f t="shared" si="91"/>
        <v>ServiceFrais véhicules de cie</v>
      </c>
      <c r="B213" s="184" t="s">
        <v>83</v>
      </c>
      <c r="C213" s="445" t="s">
        <v>52</v>
      </c>
      <c r="D213" s="34"/>
      <c r="E213" s="7"/>
      <c r="F213" s="465">
        <f>+SUM(START:END!F213)</f>
        <v>40000</v>
      </c>
      <c r="G213" s="350"/>
      <c r="H213" s="349"/>
      <c r="I213" s="342">
        <f>+SUM(START:END!I213)</f>
        <v>0</v>
      </c>
      <c r="J213" s="350"/>
      <c r="K213" s="349"/>
      <c r="L213" s="342">
        <f>+SUM(START:END!L213)</f>
        <v>39012.229999999996</v>
      </c>
      <c r="M213" s="351"/>
      <c r="N213" s="352">
        <f t="shared" si="116"/>
        <v>-987.77000000000407</v>
      </c>
      <c r="O213" s="350"/>
      <c r="P213" s="349"/>
      <c r="Q213" s="342">
        <f>+SUM(START:END!Q213)</f>
        <v>41755.839999999997</v>
      </c>
      <c r="R213" s="351"/>
      <c r="S213" s="353">
        <f t="shared" si="117"/>
        <v>-2743.6100000000006</v>
      </c>
    </row>
    <row r="214" spans="1:19" ht="15.75" customHeight="1">
      <c r="A214" s="23" t="str">
        <f t="shared" si="91"/>
        <v>ServiceInformatique</v>
      </c>
      <c r="B214" s="184" t="s">
        <v>83</v>
      </c>
      <c r="C214" s="441" t="s">
        <v>53</v>
      </c>
      <c r="D214" s="30"/>
      <c r="F214" s="464">
        <f>+SUM(START:END!F214)</f>
        <v>13082.645623999997</v>
      </c>
      <c r="G214" s="439"/>
      <c r="H214" s="338"/>
      <c r="I214" s="340">
        <f>+SUM(START:END!I214)</f>
        <v>0</v>
      </c>
      <c r="J214" s="343"/>
      <c r="K214" s="338"/>
      <c r="L214" s="338">
        <f>+SUM(START:END!L214)</f>
        <v>14213.079999999998</v>
      </c>
      <c r="M214" s="339"/>
      <c r="N214" s="340">
        <f t="shared" si="116"/>
        <v>1130.4343760000011</v>
      </c>
      <c r="O214" s="343"/>
      <c r="P214" s="338"/>
      <c r="Q214" s="338">
        <f>+SUM(START:END!Q214)</f>
        <v>12961.7</v>
      </c>
      <c r="R214" s="339"/>
      <c r="S214" s="341">
        <f t="shared" si="117"/>
        <v>1251.3799999999974</v>
      </c>
    </row>
    <row r="215" spans="1:19" ht="15.75" customHeight="1">
      <c r="A215" s="23" t="str">
        <f t="shared" si="91"/>
        <v>ServiceFrais de déplacement</v>
      </c>
      <c r="B215" s="184" t="s">
        <v>83</v>
      </c>
      <c r="C215" s="441" t="s">
        <v>54</v>
      </c>
      <c r="D215" s="30"/>
      <c r="F215" s="464">
        <f>+SUM(START:END!F215)</f>
        <v>3298.1455640619715</v>
      </c>
      <c r="G215" s="439"/>
      <c r="H215" s="338"/>
      <c r="I215" s="340">
        <f>+SUM(START:END!I215)</f>
        <v>0</v>
      </c>
      <c r="J215" s="343"/>
      <c r="K215" s="338"/>
      <c r="L215" s="338">
        <f>+SUM(START:END!L215)</f>
        <v>3586.13</v>
      </c>
      <c r="M215" s="339"/>
      <c r="N215" s="340">
        <f t="shared" si="116"/>
        <v>287.98443593802858</v>
      </c>
      <c r="O215" s="343"/>
      <c r="P215" s="338"/>
      <c r="Q215" s="338">
        <f>+SUM(START:END!Q215)</f>
        <v>6202.32</v>
      </c>
      <c r="R215" s="339"/>
      <c r="S215" s="341">
        <f t="shared" si="117"/>
        <v>-2616.1899999999996</v>
      </c>
    </row>
    <row r="216" spans="1:19" ht="15.75" customHeight="1">
      <c r="A216" s="23" t="str">
        <f t="shared" si="91"/>
        <v>ServiceServices extérieurs</v>
      </c>
      <c r="B216" s="184" t="s">
        <v>83</v>
      </c>
      <c r="C216" s="445" t="s">
        <v>55</v>
      </c>
      <c r="D216" s="34"/>
      <c r="E216" s="7"/>
      <c r="F216" s="465">
        <f>+SUM(START:END!F216)</f>
        <v>20925.316007466667</v>
      </c>
      <c r="G216" s="350"/>
      <c r="H216" s="349"/>
      <c r="I216" s="342">
        <f>+SUM(START:END!I216)</f>
        <v>0</v>
      </c>
      <c r="J216" s="350"/>
      <c r="K216" s="349"/>
      <c r="L216" s="342">
        <f>+SUM(START:END!L216)</f>
        <v>31778.129999999997</v>
      </c>
      <c r="M216" s="351"/>
      <c r="N216" s="352">
        <f t="shared" si="116"/>
        <v>10852.813992533331</v>
      </c>
      <c r="O216" s="350"/>
      <c r="P216" s="349"/>
      <c r="Q216" s="342">
        <f>+SUM(START:END!Q216)</f>
        <v>11449.04</v>
      </c>
      <c r="R216" s="351"/>
      <c r="S216" s="353">
        <f t="shared" si="117"/>
        <v>20329.089999999997</v>
      </c>
    </row>
    <row r="217" spans="1:19" ht="15.75" customHeight="1">
      <c r="A217" s="23" t="str">
        <f t="shared" si="91"/>
        <v>ServiceFournitures d'atelier</v>
      </c>
      <c r="B217" s="184" t="s">
        <v>83</v>
      </c>
      <c r="C217" s="441" t="s">
        <v>98</v>
      </c>
      <c r="D217" s="30"/>
      <c r="F217" s="464">
        <f>+SUM(START:END!F217)</f>
        <v>0</v>
      </c>
      <c r="G217" s="439"/>
      <c r="H217" s="338"/>
      <c r="I217" s="340">
        <f>+SUM(START:END!I217)</f>
        <v>0</v>
      </c>
      <c r="J217" s="343"/>
      <c r="K217" s="338"/>
      <c r="L217" s="338">
        <f>+SUM(START:END!L217)</f>
        <v>0</v>
      </c>
      <c r="M217" s="339"/>
      <c r="N217" s="340">
        <f t="shared" si="116"/>
        <v>0</v>
      </c>
      <c r="O217" s="343"/>
      <c r="P217" s="338"/>
      <c r="Q217" s="338">
        <f>+SUM(START:END!Q217)</f>
        <v>0</v>
      </c>
      <c r="R217" s="339"/>
      <c r="S217" s="341">
        <f t="shared" si="117"/>
        <v>0</v>
      </c>
    </row>
    <row r="218" spans="1:19" ht="15.75" customHeight="1">
      <c r="A218" s="23" t="str">
        <f t="shared" si="91"/>
        <v>ServiceFournitures autres</v>
      </c>
      <c r="B218" s="184" t="s">
        <v>83</v>
      </c>
      <c r="C218" s="441" t="s">
        <v>56</v>
      </c>
      <c r="D218" s="30"/>
      <c r="F218" s="464">
        <f>+SUM(START:END!F218)</f>
        <v>16750</v>
      </c>
      <c r="G218" s="439"/>
      <c r="H218" s="338"/>
      <c r="I218" s="340">
        <f>+SUM(START:END!I218)</f>
        <v>0</v>
      </c>
      <c r="J218" s="343"/>
      <c r="K218" s="338"/>
      <c r="L218" s="338">
        <f>+SUM(START:END!L218)</f>
        <v>8848.9500000000007</v>
      </c>
      <c r="M218" s="339"/>
      <c r="N218" s="340">
        <f t="shared" si="116"/>
        <v>-7901.0499999999993</v>
      </c>
      <c r="O218" s="343"/>
      <c r="P218" s="338"/>
      <c r="Q218" s="338">
        <f>+SUM(START:END!Q218)</f>
        <v>19091.010000000002</v>
      </c>
      <c r="R218" s="339"/>
      <c r="S218" s="341">
        <f t="shared" si="117"/>
        <v>-10242.060000000001</v>
      </c>
    </row>
    <row r="219" spans="1:19" ht="15.75" customHeight="1">
      <c r="A219" s="23" t="str">
        <f t="shared" si="91"/>
        <v>ServiceUniformes</v>
      </c>
      <c r="B219" s="184" t="s">
        <v>83</v>
      </c>
      <c r="C219" s="441" t="s">
        <v>57</v>
      </c>
      <c r="D219" s="30"/>
      <c r="F219" s="464">
        <f>+SUM(START:END!F219)</f>
        <v>3665.8249128213292</v>
      </c>
      <c r="G219" s="439"/>
      <c r="H219" s="338"/>
      <c r="I219" s="340">
        <f>+SUM(START:END!I219)</f>
        <v>0</v>
      </c>
      <c r="J219" s="343"/>
      <c r="K219" s="338"/>
      <c r="L219" s="338">
        <f>+SUM(START:END!L219)</f>
        <v>4261.0300000000007</v>
      </c>
      <c r="M219" s="339"/>
      <c r="N219" s="340">
        <f t="shared" si="116"/>
        <v>595.20508717867142</v>
      </c>
      <c r="O219" s="343"/>
      <c r="P219" s="338"/>
      <c r="Q219" s="338">
        <f>+SUM(START:END!Q219)</f>
        <v>2230.8000000000002</v>
      </c>
      <c r="R219" s="339"/>
      <c r="S219" s="341">
        <f t="shared" si="117"/>
        <v>2030.2300000000005</v>
      </c>
    </row>
    <row r="220" spans="1:19" ht="15.75" customHeight="1">
      <c r="A220" s="23" t="str">
        <f t="shared" si="91"/>
        <v>ServicePapeterie</v>
      </c>
      <c r="B220" s="184" t="s">
        <v>83</v>
      </c>
      <c r="C220" s="441" t="s">
        <v>58</v>
      </c>
      <c r="D220" s="30"/>
      <c r="F220" s="464">
        <f>+SUM(START:END!F220)</f>
        <v>2244.6127919279998</v>
      </c>
      <c r="G220" s="439"/>
      <c r="H220" s="338"/>
      <c r="I220" s="340">
        <f>+SUM(START:END!I220)</f>
        <v>0</v>
      </c>
      <c r="J220" s="343"/>
      <c r="K220" s="338"/>
      <c r="L220" s="338">
        <f>+SUM(START:END!L220)</f>
        <v>2129.38</v>
      </c>
      <c r="M220" s="339"/>
      <c r="N220" s="340">
        <f t="shared" si="116"/>
        <v>-115.23279192799964</v>
      </c>
      <c r="O220" s="343"/>
      <c r="P220" s="338"/>
      <c r="Q220" s="338">
        <f>+SUM(START:END!Q220)</f>
        <v>2418.73</v>
      </c>
      <c r="R220" s="339"/>
      <c r="S220" s="341">
        <f t="shared" si="117"/>
        <v>-289.34999999999991</v>
      </c>
    </row>
    <row r="221" spans="1:19" ht="15.75" customHeight="1">
      <c r="A221" s="23" t="str">
        <f t="shared" si="91"/>
        <v>ServiceTéléphone</v>
      </c>
      <c r="B221" s="184" t="s">
        <v>83</v>
      </c>
      <c r="C221" s="441" t="s">
        <v>59</v>
      </c>
      <c r="D221" s="30"/>
      <c r="F221" s="464">
        <f>+SUM(START:END!F221)</f>
        <v>648.2611913689999</v>
      </c>
      <c r="G221" s="439"/>
      <c r="H221" s="338"/>
      <c r="I221" s="340">
        <f>+SUM(START:END!I221)</f>
        <v>0</v>
      </c>
      <c r="J221" s="343"/>
      <c r="K221" s="338"/>
      <c r="L221" s="338">
        <f>+SUM(START:END!L221)</f>
        <v>583.62</v>
      </c>
      <c r="M221" s="339"/>
      <c r="N221" s="340">
        <f t="shared" si="116"/>
        <v>-64.641191368999898</v>
      </c>
      <c r="O221" s="343"/>
      <c r="P221" s="338"/>
      <c r="Q221" s="338">
        <f>+SUM(START:END!Q221)</f>
        <v>778.95</v>
      </c>
      <c r="R221" s="339"/>
      <c r="S221" s="341">
        <f t="shared" si="117"/>
        <v>-195.33000000000004</v>
      </c>
    </row>
    <row r="222" spans="1:19" ht="15.75" customHeight="1">
      <c r="A222" s="23" t="str">
        <f t="shared" si="91"/>
        <v>ServiceFrais postaux</v>
      </c>
      <c r="B222" s="184" t="s">
        <v>83</v>
      </c>
      <c r="C222" s="441" t="s">
        <v>60</v>
      </c>
      <c r="D222" s="30"/>
      <c r="F222" s="464">
        <f>+SUM(START:END!F222)</f>
        <v>311.33533479099998</v>
      </c>
      <c r="G222" s="439"/>
      <c r="H222" s="338"/>
      <c r="I222" s="340">
        <f>+SUM(START:END!I222)</f>
        <v>0</v>
      </c>
      <c r="J222" s="343"/>
      <c r="K222" s="338"/>
      <c r="L222" s="338">
        <f>+SUM(START:END!L222)</f>
        <v>68.36</v>
      </c>
      <c r="M222" s="339"/>
      <c r="N222" s="340">
        <f t="shared" si="116"/>
        <v>-242.97533479099997</v>
      </c>
      <c r="O222" s="343"/>
      <c r="P222" s="338"/>
      <c r="Q222" s="338">
        <f>+SUM(START:END!Q222)</f>
        <v>442.90999999999997</v>
      </c>
      <c r="R222" s="339"/>
      <c r="S222" s="341">
        <f t="shared" si="117"/>
        <v>-374.54999999999995</v>
      </c>
    </row>
    <row r="223" spans="1:19" ht="15.75" customHeight="1">
      <c r="A223" s="23" t="str">
        <f t="shared" si="91"/>
        <v>ServiceDivers</v>
      </c>
      <c r="B223" s="184" t="s">
        <v>83</v>
      </c>
      <c r="C223" s="441" t="s">
        <v>61</v>
      </c>
      <c r="D223" s="30"/>
      <c r="F223" s="464">
        <f>+SUM(START:END!F223)</f>
        <v>649.41795772899991</v>
      </c>
      <c r="G223" s="439"/>
      <c r="H223" s="338"/>
      <c r="I223" s="340">
        <f>+SUM(START:END!I223)</f>
        <v>0</v>
      </c>
      <c r="J223" s="343"/>
      <c r="K223" s="338"/>
      <c r="L223" s="338">
        <f>+SUM(START:END!L223)</f>
        <v>323.25</v>
      </c>
      <c r="M223" s="339"/>
      <c r="N223" s="340">
        <f t="shared" si="116"/>
        <v>-326.16795772899991</v>
      </c>
      <c r="O223" s="343"/>
      <c r="P223" s="338"/>
      <c r="Q223" s="338">
        <f>+SUM(START:END!Q223)</f>
        <v>306.04000000000002</v>
      </c>
      <c r="R223" s="339"/>
      <c r="S223" s="341">
        <f t="shared" si="117"/>
        <v>17.20999999999998</v>
      </c>
    </row>
    <row r="224" spans="1:19" ht="15.75" customHeight="1">
      <c r="A224" s="23" t="str">
        <f t="shared" si="91"/>
        <v>ServiceFormation</v>
      </c>
      <c r="B224" s="184" t="s">
        <v>83</v>
      </c>
      <c r="C224" s="441" t="s">
        <v>62</v>
      </c>
      <c r="D224" s="30"/>
      <c r="F224" s="464">
        <f>+SUM(START:END!F224)</f>
        <v>11959.363666345465</v>
      </c>
      <c r="G224" s="439"/>
      <c r="H224" s="338"/>
      <c r="I224" s="340">
        <f>+SUM(START:END!I224)</f>
        <v>0</v>
      </c>
      <c r="J224" s="343"/>
      <c r="K224" s="338"/>
      <c r="L224" s="338">
        <f>+SUM(START:END!L224)</f>
        <v>4868.68</v>
      </c>
      <c r="M224" s="339"/>
      <c r="N224" s="340">
        <f t="shared" si="116"/>
        <v>-7090.6836663454651</v>
      </c>
      <c r="O224" s="343"/>
      <c r="P224" s="338"/>
      <c r="Q224" s="338">
        <f>+SUM(START:END!Q224)</f>
        <v>12819.03</v>
      </c>
      <c r="R224" s="339"/>
      <c r="S224" s="341">
        <f t="shared" si="117"/>
        <v>-7950.35</v>
      </c>
    </row>
    <row r="225" spans="1:40" ht="15.75" customHeight="1">
      <c r="A225" s="23" t="str">
        <f t="shared" si="91"/>
        <v>ServiceFrais bancaires</v>
      </c>
      <c r="B225" s="184" t="s">
        <v>83</v>
      </c>
      <c r="C225" s="441" t="s">
        <v>63</v>
      </c>
      <c r="D225" s="30"/>
      <c r="F225" s="464">
        <f>+SUM(START:END!F225)</f>
        <v>5849.5901935631691</v>
      </c>
      <c r="G225" s="439"/>
      <c r="H225" s="338"/>
      <c r="I225" s="340">
        <f>+SUM(START:END!I225)</f>
        <v>0</v>
      </c>
      <c r="J225" s="343"/>
      <c r="K225" s="338"/>
      <c r="L225" s="338">
        <f>+SUM(START:END!L225)</f>
        <v>6192.7000000000007</v>
      </c>
      <c r="M225" s="339"/>
      <c r="N225" s="340">
        <f t="shared" si="116"/>
        <v>343.1098064368316</v>
      </c>
      <c r="O225" s="343"/>
      <c r="P225" s="338"/>
      <c r="Q225" s="338">
        <f>+SUM(START:END!Q225)</f>
        <v>7147.3499999999995</v>
      </c>
      <c r="R225" s="339"/>
      <c r="S225" s="341">
        <f t="shared" si="117"/>
        <v>-954.64999999999873</v>
      </c>
    </row>
    <row r="226" spans="1:40" ht="15.75" hidden="1" customHeight="1">
      <c r="A226" s="23" t="str">
        <f t="shared" si="91"/>
        <v>Service[...]</v>
      </c>
      <c r="B226" s="184" t="s">
        <v>83</v>
      </c>
      <c r="C226" s="441" t="s">
        <v>20</v>
      </c>
      <c r="D226" s="30"/>
      <c r="F226" s="469">
        <f>+SUM(START:END!F226)</f>
        <v>0</v>
      </c>
      <c r="G226" s="30"/>
      <c r="I226" s="201">
        <f>+SUM(START:END!I226)</f>
        <v>0</v>
      </c>
      <c r="J226" s="30"/>
      <c r="L226" s="198">
        <f>+SUM(START:END!L226)</f>
        <v>0</v>
      </c>
      <c r="M226" s="152"/>
      <c r="N226" s="222">
        <f t="shared" ref="N226:N228" si="118">L226-I226</f>
        <v>0</v>
      </c>
      <c r="O226" s="30"/>
      <c r="Q226" s="198">
        <f>+SUM(START:END!Q226)</f>
        <v>0</v>
      </c>
      <c r="R226" s="152"/>
      <c r="S226" s="242">
        <f t="shared" ref="S226:S228" si="119">L226-Q226</f>
        <v>0</v>
      </c>
    </row>
    <row r="227" spans="1:40" ht="15.75" hidden="1" customHeight="1">
      <c r="B227" s="184" t="s">
        <v>83</v>
      </c>
      <c r="C227" s="441" t="s">
        <v>20</v>
      </c>
      <c r="D227" s="30"/>
      <c r="F227" s="469">
        <f>+SUM(START:END!F227)</f>
        <v>0</v>
      </c>
      <c r="G227" s="30"/>
      <c r="I227" s="201">
        <f>+SUM(START:END!I227)</f>
        <v>0</v>
      </c>
      <c r="J227" s="30"/>
      <c r="L227" s="198">
        <f>+SUM(START:END!L227)</f>
        <v>0</v>
      </c>
      <c r="M227" s="152"/>
      <c r="N227" s="222">
        <f t="shared" si="118"/>
        <v>0</v>
      </c>
      <c r="O227" s="30"/>
      <c r="Q227" s="198">
        <f>+SUM(START:END!Q227)</f>
        <v>0</v>
      </c>
      <c r="R227" s="152"/>
      <c r="S227" s="242">
        <f t="shared" si="119"/>
        <v>0</v>
      </c>
    </row>
    <row r="228" spans="1:40" ht="15.75" hidden="1" customHeight="1">
      <c r="A228" s="23" t="str">
        <f t="shared" si="91"/>
        <v>Service[...]</v>
      </c>
      <c r="B228" s="184" t="s">
        <v>83</v>
      </c>
      <c r="C228" s="441" t="s">
        <v>20</v>
      </c>
      <c r="D228" s="30"/>
      <c r="F228" s="469">
        <f>+SUM(START:END!F228)</f>
        <v>0</v>
      </c>
      <c r="G228" s="30"/>
      <c r="I228" s="201">
        <f>+SUM(START:END!I228)</f>
        <v>0</v>
      </c>
      <c r="J228" s="30"/>
      <c r="L228" s="198">
        <f>+SUM(START:END!L228)</f>
        <v>0</v>
      </c>
      <c r="M228" s="152"/>
      <c r="N228" s="222">
        <f t="shared" si="118"/>
        <v>0</v>
      </c>
      <c r="O228" s="30"/>
      <c r="Q228" s="198">
        <f>+SUM(START:END!Q228)</f>
        <v>0</v>
      </c>
      <c r="R228" s="152"/>
      <c r="S228" s="242">
        <f t="shared" si="119"/>
        <v>0</v>
      </c>
    </row>
    <row r="229" spans="1:40" ht="15.75" customHeight="1">
      <c r="B229" s="184"/>
      <c r="C229" s="467" t="s">
        <v>64</v>
      </c>
      <c r="D229" s="250" t="s">
        <v>97</v>
      </c>
      <c r="E229" s="42">
        <f>F229/F$194</f>
        <v>0.19397581288568072</v>
      </c>
      <c r="F229" s="470">
        <f>+SUM(F211:F228)</f>
        <v>162126.66817197471</v>
      </c>
      <c r="G229" s="250" t="s">
        <v>97</v>
      </c>
      <c r="H229" s="42" t="e">
        <f>I229/I$194</f>
        <v>#DIV/0!</v>
      </c>
      <c r="I229" s="251">
        <f>+SUM(I211:I228)</f>
        <v>0</v>
      </c>
      <c r="J229" s="250" t="s">
        <v>97</v>
      </c>
      <c r="K229" s="42">
        <f>L229/L$194</f>
        <v>0.21930092364269566</v>
      </c>
      <c r="L229" s="251">
        <f>+SUM(L211:L228)</f>
        <v>159396.1</v>
      </c>
      <c r="M229" s="254"/>
      <c r="N229" s="251">
        <f>+SUM(N211:N228)</f>
        <v>-2730.5681719747645</v>
      </c>
      <c r="O229" s="252" t="s">
        <v>97</v>
      </c>
      <c r="P229" s="42">
        <f>Q229/Q$194</f>
        <v>0.25445904117050444</v>
      </c>
      <c r="Q229" s="251">
        <f>+SUM(Q211:Q228)</f>
        <v>162665.82000000004</v>
      </c>
      <c r="R229" s="254"/>
      <c r="S229" s="255">
        <f t="shared" si="115"/>
        <v>-3269.7200000000303</v>
      </c>
    </row>
    <row r="230" spans="1:40" ht="15.75" customHeight="1">
      <c r="B230" s="184"/>
      <c r="C230" s="445"/>
      <c r="D230" s="34"/>
      <c r="E230" s="7"/>
      <c r="F230" s="471"/>
      <c r="G230" s="34"/>
      <c r="H230" s="7"/>
      <c r="I230" s="222"/>
      <c r="J230" s="7"/>
      <c r="K230" s="7"/>
      <c r="L230" s="247"/>
      <c r="M230" s="153"/>
      <c r="N230" s="247"/>
      <c r="O230" s="153"/>
      <c r="P230" s="7"/>
      <c r="Q230" s="247"/>
      <c r="R230" s="153"/>
      <c r="S230" s="248"/>
    </row>
    <row r="231" spans="1:40" ht="15.75" customHeight="1">
      <c r="B231" s="184"/>
      <c r="C231" s="467" t="s">
        <v>65</v>
      </c>
      <c r="D231" s="250" t="s">
        <v>39</v>
      </c>
      <c r="E231" s="42">
        <f>F231/F$194</f>
        <v>0.71067877811071745</v>
      </c>
      <c r="F231" s="470">
        <f>F210+F229</f>
        <v>593991.49162749178</v>
      </c>
      <c r="G231" s="250" t="s">
        <v>39</v>
      </c>
      <c r="H231" s="42" t="e">
        <f>I231/I$194</f>
        <v>#DIV/0!</v>
      </c>
      <c r="I231" s="251">
        <f>I210+I229</f>
        <v>0</v>
      </c>
      <c r="J231" s="250" t="s">
        <v>39</v>
      </c>
      <c r="K231" s="42">
        <f>L231/L$194</f>
        <v>0.78495174725062966</v>
      </c>
      <c r="L231" s="251">
        <f>L210+L229</f>
        <v>570532.24</v>
      </c>
      <c r="M231" s="254"/>
      <c r="N231" s="251">
        <f>N210+N229</f>
        <v>-23459.251627491925</v>
      </c>
      <c r="O231" s="252" t="s">
        <v>39</v>
      </c>
      <c r="P231" s="42">
        <f>Q231/Q$194</f>
        <v>0.76470032262706755</v>
      </c>
      <c r="Q231" s="251">
        <f>Q210+Q229</f>
        <v>488843.33000000007</v>
      </c>
      <c r="R231" s="254"/>
      <c r="S231" s="261">
        <f>L231-Q231</f>
        <v>81688.909999999916</v>
      </c>
    </row>
    <row r="232" spans="1:40" ht="15.75" customHeight="1">
      <c r="B232" s="184"/>
      <c r="C232" s="441"/>
      <c r="D232" s="30"/>
      <c r="F232" s="443"/>
      <c r="G232" s="30"/>
      <c r="I232" s="222"/>
      <c r="L232" s="222"/>
      <c r="M232" s="152"/>
      <c r="N232" s="222"/>
      <c r="O232" s="152"/>
      <c r="Q232" s="222"/>
      <c r="R232" s="152"/>
      <c r="S232" s="242"/>
    </row>
    <row r="233" spans="1:40" ht="15.75" customHeight="1" thickBot="1">
      <c r="B233" s="184"/>
      <c r="C233" s="472" t="s">
        <v>72</v>
      </c>
      <c r="D233" s="473"/>
      <c r="E233" s="474"/>
      <c r="F233" s="475">
        <f>F194-F231</f>
        <v>241817.1886409279</v>
      </c>
      <c r="G233" s="292"/>
      <c r="H233" s="272"/>
      <c r="I233" s="274">
        <f>I194-I231</f>
        <v>0</v>
      </c>
      <c r="J233" s="273"/>
      <c r="K233" s="273"/>
      <c r="L233" s="274">
        <f>L194-L231</f>
        <v>156305.09999999998</v>
      </c>
      <c r="M233" s="294"/>
      <c r="N233" s="274">
        <f>N194-N231</f>
        <v>-77702.29926650718</v>
      </c>
      <c r="O233" s="294"/>
      <c r="P233" s="273"/>
      <c r="Q233" s="274">
        <f>Q194-Q231</f>
        <v>150417.97999999765</v>
      </c>
      <c r="R233" s="294"/>
      <c r="S233" s="276">
        <f>L233-Q233</f>
        <v>5887.1200000023236</v>
      </c>
    </row>
    <row r="234" spans="1:40" ht="15.75" customHeight="1">
      <c r="B234" s="184"/>
      <c r="F234" s="26" t="e">
        <f>+F233-#REF!-#REF!-#REF!</f>
        <v>#REF!</v>
      </c>
      <c r="L234" s="26" t="e">
        <f>+L233-#REF!-#REF!-#REF!</f>
        <v>#REF!</v>
      </c>
      <c r="M234" s="26"/>
      <c r="N234" s="26" t="e">
        <f>+N233-#REF!-#REF!-#REF!</f>
        <v>#REF!</v>
      </c>
      <c r="O234" s="26"/>
      <c r="Q234" s="26" t="e">
        <f>+Q233-#REF!-#REF!-#REF!</f>
        <v>#REF!</v>
      </c>
      <c r="S234" s="26" t="e">
        <f>+S233-#REF!-#REF!-#REF!</f>
        <v>#REF!</v>
      </c>
    </row>
    <row r="235" spans="1:40" ht="15.75" customHeight="1">
      <c r="B235" s="184"/>
      <c r="L235" s="26"/>
      <c r="M235" s="26"/>
      <c r="O235" s="26"/>
      <c r="Q235" s="26"/>
    </row>
    <row r="236" spans="1:40" ht="33" customHeight="1">
      <c r="B236" s="184"/>
      <c r="C236" s="73" t="str">
        <f>C1</f>
        <v>Conso</v>
      </c>
      <c r="D236" s="6"/>
      <c r="E236" s="6"/>
      <c r="F236" s="6"/>
      <c r="G236" s="6"/>
      <c r="H236" s="177"/>
      <c r="I236" s="177"/>
      <c r="J236" s="177"/>
      <c r="K236" s="178" t="s">
        <v>99</v>
      </c>
      <c r="L236" s="6"/>
      <c r="M236" s="6"/>
      <c r="N236" s="177"/>
      <c r="O236" s="177"/>
      <c r="P236" s="6"/>
      <c r="Q236" s="177"/>
      <c r="R236" s="6"/>
      <c r="S236" s="180" t="str">
        <f>$S$1</f>
        <v xml:space="preserve">Réalisé  </v>
      </c>
      <c r="T236" s="6"/>
      <c r="U236" s="73"/>
    </row>
    <row r="237" spans="1:40" ht="24" customHeight="1" thickBot="1">
      <c r="B237" s="184"/>
      <c r="C237" s="182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5.75" customHeight="1" thickTop="1">
      <c r="B238" s="184"/>
      <c r="C238" s="185"/>
      <c r="D238" s="484" t="s">
        <v>5</v>
      </c>
      <c r="E238" s="485"/>
      <c r="F238" s="485"/>
      <c r="G238" s="491" t="s">
        <v>74</v>
      </c>
      <c r="H238" s="485"/>
      <c r="I238" s="486"/>
      <c r="J238" s="487" t="s">
        <v>7</v>
      </c>
      <c r="K238" s="485"/>
      <c r="L238" s="486"/>
      <c r="M238" s="487" t="s">
        <v>9</v>
      </c>
      <c r="N238" s="486"/>
      <c r="O238" s="484" t="s">
        <v>8</v>
      </c>
      <c r="P238" s="485"/>
      <c r="Q238" s="486"/>
      <c r="R238" s="487" t="s">
        <v>217</v>
      </c>
      <c r="S238" s="488"/>
      <c r="T238" s="176"/>
    </row>
    <row r="239" spans="1:40" ht="15.75" customHeight="1">
      <c r="A239" s="23" t="str">
        <f t="shared" ref="A239:A284" si="120">+B239&amp;C239</f>
        <v>Carrosserie</v>
      </c>
      <c r="B239" s="184" t="s">
        <v>99</v>
      </c>
      <c r="C239" s="1"/>
      <c r="D239" s="175" t="s">
        <v>40</v>
      </c>
      <c r="E239" s="175" t="s">
        <v>84</v>
      </c>
      <c r="F239" s="175" t="s">
        <v>12</v>
      </c>
      <c r="G239" s="295" t="s">
        <v>40</v>
      </c>
      <c r="H239" s="175" t="s">
        <v>84</v>
      </c>
      <c r="I239" s="278" t="s">
        <v>12</v>
      </c>
      <c r="J239" s="279" t="s">
        <v>40</v>
      </c>
      <c r="K239" s="175" t="s">
        <v>84</v>
      </c>
      <c r="L239" s="278" t="s">
        <v>12</v>
      </c>
      <c r="M239" s="279" t="s">
        <v>40</v>
      </c>
      <c r="N239" s="278" t="s">
        <v>12</v>
      </c>
      <c r="O239" s="175" t="s">
        <v>40</v>
      </c>
      <c r="P239" s="175" t="s">
        <v>84</v>
      </c>
      <c r="Q239" s="278" t="s">
        <v>12</v>
      </c>
      <c r="R239" s="279" t="s">
        <v>85</v>
      </c>
      <c r="S239" s="280" t="s">
        <v>12</v>
      </c>
      <c r="T239" s="175"/>
    </row>
    <row r="240" spans="1:40" ht="15.75" customHeight="1">
      <c r="A240" s="23" t="str">
        <f t="shared" si="120"/>
        <v>Carrosserie</v>
      </c>
      <c r="B240" s="184" t="s">
        <v>99</v>
      </c>
      <c r="C240" s="1"/>
      <c r="D240" s="175"/>
      <c r="E240" s="175"/>
      <c r="F240" s="175"/>
      <c r="G240" s="279"/>
      <c r="H240" s="175"/>
      <c r="I240" s="175"/>
      <c r="J240" s="279"/>
      <c r="K240" s="198"/>
      <c r="L240" s="201"/>
      <c r="M240" s="279"/>
      <c r="N240" s="278"/>
      <c r="O240" s="175"/>
      <c r="P240" s="175"/>
      <c r="Q240" s="278"/>
      <c r="R240" s="279"/>
      <c r="S240" s="280"/>
      <c r="T240" s="175"/>
      <c r="V240" s="198"/>
      <c r="W240" s="198"/>
      <c r="X240" s="198"/>
      <c r="Y240" s="198"/>
    </row>
    <row r="241" spans="1:25" ht="15.75" customHeight="1">
      <c r="A241" s="23" t="str">
        <f t="shared" si="120"/>
        <v>CarrosserieM/O Sous-traitement</v>
      </c>
      <c r="B241" s="184" t="s">
        <v>99</v>
      </c>
      <c r="C241" s="1" t="s">
        <v>100</v>
      </c>
      <c r="D241" s="360">
        <f>+SUM(START:END!D241)</f>
        <v>0</v>
      </c>
      <c r="E241" s="26">
        <f>+SUM(START:END!E241)</f>
        <v>314904.1472321662</v>
      </c>
      <c r="F241" s="26">
        <f>+SUM(START:END!F241)</f>
        <v>47235.622084824929</v>
      </c>
      <c r="G241" s="361">
        <f>+SUM(START:END!G241)</f>
        <v>0</v>
      </c>
      <c r="H241" s="26">
        <f>+SUM(START:END!H241)</f>
        <v>0</v>
      </c>
      <c r="I241" s="26">
        <f>+SUM(START:END!I241)</f>
        <v>0</v>
      </c>
      <c r="J241" s="223">
        <f>+SUM(START:END!J241)</f>
        <v>23</v>
      </c>
      <c r="K241" s="198">
        <f>+SUM(START:END!K241)</f>
        <v>75009.47</v>
      </c>
      <c r="L241" s="201">
        <f>+SUM(START:END!L241)</f>
        <v>19220.369999999995</v>
      </c>
      <c r="M241" s="297">
        <f>IFERROR((K241-E241)/E241,0)</f>
        <v>-0.76180221613690424</v>
      </c>
      <c r="N241" s="222">
        <f t="shared" ref="N241:N242" si="121">L241-F241</f>
        <v>-28015.252084824933</v>
      </c>
      <c r="O241" s="223">
        <f>+SUM(START:END!O241)</f>
        <v>109</v>
      </c>
      <c r="P241" s="198">
        <f>+SUM(START:END!P241)</f>
        <v>163498.53</v>
      </c>
      <c r="Q241" s="201">
        <f>+SUM(START:END!Q241)</f>
        <v>42154.33</v>
      </c>
      <c r="R241" s="297">
        <f>IF(O241=0,0,J241/O241)</f>
        <v>0.21100917431192662</v>
      </c>
      <c r="S241" s="242">
        <f>L241-Q241</f>
        <v>-22933.960000000006</v>
      </c>
      <c r="T241" s="175"/>
      <c r="V241" s="198"/>
      <c r="W241" s="198"/>
      <c r="X241" s="198"/>
      <c r="Y241" s="198"/>
    </row>
    <row r="242" spans="1:25" ht="15.75" customHeight="1">
      <c r="A242" s="23" t="str">
        <f t="shared" si="120"/>
        <v>Carrosserie% profit / ventes</v>
      </c>
      <c r="B242" s="184" t="s">
        <v>99</v>
      </c>
      <c r="C242" s="1" t="s">
        <v>87</v>
      </c>
      <c r="D242" s="175"/>
      <c r="E242" s="31"/>
      <c r="F242" s="27">
        <f>IFERROR(F241/E241,0)</f>
        <v>0.15</v>
      </c>
      <c r="G242" s="279"/>
      <c r="H242" s="31"/>
      <c r="I242" s="27">
        <f>IFERROR(I241/H241,0)</f>
        <v>0</v>
      </c>
      <c r="J242" s="223"/>
      <c r="L242" s="157">
        <f>IFERROR(L241/K241,0)</f>
        <v>0.25623924552459837</v>
      </c>
      <c r="M242" s="297"/>
      <c r="N242" s="222">
        <f t="shared" si="121"/>
        <v>0.10623924552459837</v>
      </c>
      <c r="O242" s="223"/>
      <c r="Q242" s="157">
        <f>IFERROR(Q241/P241,0)</f>
        <v>0.25782696639535535</v>
      </c>
      <c r="R242" s="223"/>
      <c r="S242" s="242">
        <f>IFERROR(S241/R241,0)</f>
        <v>-108687.02782608698</v>
      </c>
      <c r="T242" s="175"/>
    </row>
    <row r="243" spans="1:25" ht="15.75" customHeight="1">
      <c r="A243" s="23" t="str">
        <f t="shared" si="120"/>
        <v>Carrosserie</v>
      </c>
      <c r="B243" s="184" t="s">
        <v>99</v>
      </c>
      <c r="C243" s="1"/>
      <c r="D243" s="175"/>
      <c r="E243" s="362"/>
      <c r="F243" s="362"/>
      <c r="G243" s="279"/>
      <c r="H243" s="362"/>
      <c r="I243" s="362"/>
      <c r="J243" s="279"/>
      <c r="K243" s="175"/>
      <c r="L243" s="278"/>
      <c r="M243" s="279"/>
      <c r="N243" s="278"/>
      <c r="O243" s="279"/>
      <c r="P243" s="175"/>
      <c r="Q243" s="278"/>
      <c r="R243" s="363"/>
      <c r="S243" s="280"/>
      <c r="T243" s="175"/>
    </row>
    <row r="244" spans="1:25" ht="15.75" customHeight="1">
      <c r="A244" s="23" t="str">
        <f t="shared" si="120"/>
        <v>CarrosserieM/O Carrosserie</v>
      </c>
      <c r="B244" s="184" t="s">
        <v>99</v>
      </c>
      <c r="C244" s="3" t="s">
        <v>101</v>
      </c>
      <c r="D244" s="309">
        <f>+SUM(START:END!D244)</f>
        <v>0</v>
      </c>
      <c r="E244" s="26">
        <f>+SUM(START:END!E244)</f>
        <v>0</v>
      </c>
      <c r="F244" s="26">
        <f>+SUM(START:END!F244)</f>
        <v>0</v>
      </c>
      <c r="G244" s="310">
        <f>+SUM(START:END!G244)</f>
        <v>0</v>
      </c>
      <c r="H244" s="26">
        <f>+SUM(START:END!H244)</f>
        <v>0</v>
      </c>
      <c r="I244" s="26">
        <f>+SUM(START:END!I244)</f>
        <v>0</v>
      </c>
      <c r="J244" s="300">
        <f>+SUM(START:END!J244)</f>
        <v>0</v>
      </c>
      <c r="K244" s="364">
        <f>+SUM(START:END!K244)</f>
        <v>0</v>
      </c>
      <c r="L244" s="257">
        <f>+SUM(START:END!L244)</f>
        <v>0</v>
      </c>
      <c r="M244" s="311">
        <f>IFERROR((K244-E244)/E244,0)</f>
        <v>0</v>
      </c>
      <c r="N244" s="258">
        <f t="shared" ref="N244" si="122">L244-F244</f>
        <v>0</v>
      </c>
      <c r="O244" s="300">
        <f>+SUM(START:END!O244)</f>
        <v>0</v>
      </c>
      <c r="P244" s="364">
        <f>+SUM(START:END!P244)</f>
        <v>0</v>
      </c>
      <c r="Q244" s="257">
        <f>+SUM(START:END!Q244)</f>
        <v>0</v>
      </c>
      <c r="R244" s="297">
        <f>IF(O244=0,0,J244/O244)</f>
        <v>0</v>
      </c>
      <c r="S244" s="259">
        <f>L244-Q244</f>
        <v>0</v>
      </c>
      <c r="T244" s="27"/>
      <c r="V244" s="198"/>
      <c r="W244" s="198"/>
      <c r="X244" s="198"/>
      <c r="Y244" s="198"/>
    </row>
    <row r="245" spans="1:25" ht="15.75" customHeight="1">
      <c r="A245" s="23" t="str">
        <f t="shared" si="120"/>
        <v>Carrosserie% profit / ventes</v>
      </c>
      <c r="B245" s="184" t="s">
        <v>99</v>
      </c>
      <c r="C245" s="1" t="s">
        <v>87</v>
      </c>
      <c r="E245" s="31"/>
      <c r="F245" s="27" t="e">
        <f>F244/E244</f>
        <v>#DIV/0!</v>
      </c>
      <c r="G245" s="152"/>
      <c r="H245" s="31"/>
      <c r="I245" s="27" t="e">
        <f>I244/H244</f>
        <v>#DIV/0!</v>
      </c>
      <c r="J245" s="223"/>
      <c r="L245" s="157">
        <f>IFERROR(L244/K244,0)</f>
        <v>0</v>
      </c>
      <c r="M245" s="297"/>
      <c r="N245" s="222" t="e">
        <f>N244/F244</f>
        <v>#DIV/0!</v>
      </c>
      <c r="O245" s="223"/>
      <c r="Q245" s="157">
        <f>IFERROR(Q244/P244,0)</f>
        <v>0</v>
      </c>
      <c r="R245" s="223"/>
      <c r="S245" s="242">
        <f>IF(Q244=0,0,S244/Q244)</f>
        <v>0</v>
      </c>
      <c r="T245" s="27"/>
    </row>
    <row r="246" spans="1:25" ht="15.75" customHeight="1">
      <c r="A246" s="23" t="str">
        <f t="shared" si="120"/>
        <v>Carrosserie</v>
      </c>
      <c r="B246" s="184" t="s">
        <v>99</v>
      </c>
      <c r="C246" s="2"/>
      <c r="D246" s="7"/>
      <c r="E246" s="35"/>
      <c r="F246" s="11"/>
      <c r="G246" s="153"/>
      <c r="H246" s="35"/>
      <c r="I246" s="11"/>
      <c r="J246" s="299"/>
      <c r="K246" s="365"/>
      <c r="L246" s="155"/>
      <c r="M246" s="298"/>
      <c r="N246" s="247"/>
      <c r="O246" s="299"/>
      <c r="P246" s="365"/>
      <c r="Q246" s="155"/>
      <c r="R246" s="299"/>
      <c r="S246" s="248"/>
      <c r="T246" s="27"/>
    </row>
    <row r="247" spans="1:25" ht="15.75" customHeight="1">
      <c r="A247" s="23" t="str">
        <f t="shared" si="120"/>
        <v>CarrosserieM/O Esthétique Carr.</v>
      </c>
      <c r="B247" s="184" t="s">
        <v>99</v>
      </c>
      <c r="C247" s="3" t="s">
        <v>102</v>
      </c>
      <c r="D247" s="57">
        <f>+SUM(START:END!D247)</f>
        <v>0</v>
      </c>
      <c r="E247" s="26">
        <f>+SUM(START:END!E247)</f>
        <v>0</v>
      </c>
      <c r="F247" s="26">
        <f>+SUM(START:END!F247)</f>
        <v>0</v>
      </c>
      <c r="G247" s="300">
        <f>+SUM(START:END!G247)</f>
        <v>0</v>
      </c>
      <c r="H247" s="26">
        <f>+SUM(START:END!H247)</f>
        <v>0</v>
      </c>
      <c r="I247" s="26">
        <f>+SUM(START:END!I247)</f>
        <v>0</v>
      </c>
      <c r="J247" s="300">
        <f>+SUM(START:END!J247)</f>
        <v>0</v>
      </c>
      <c r="K247" s="198">
        <f>+SUM(START:END!K247)</f>
        <v>0</v>
      </c>
      <c r="L247" s="201">
        <f>+SUM(START:END!L247)</f>
        <v>0</v>
      </c>
      <c r="M247" s="297">
        <f>IFERROR((K247-E247)/E247,0)</f>
        <v>0</v>
      </c>
      <c r="N247" s="258">
        <f t="shared" ref="N247" si="123">L247-F247</f>
        <v>0</v>
      </c>
      <c r="O247" s="300">
        <f>+SUM(START:END!O247)</f>
        <v>0</v>
      </c>
      <c r="P247" s="198">
        <f>+SUM(START:END!P247)</f>
        <v>0</v>
      </c>
      <c r="Q247" s="201">
        <f>+SUM(START:END!Q247)</f>
        <v>0</v>
      </c>
      <c r="R247" s="297">
        <f>IF(O247=0,0,J247/O247)</f>
        <v>0</v>
      </c>
      <c r="S247" s="242">
        <f>L247-Q247</f>
        <v>0</v>
      </c>
      <c r="T247" s="27"/>
      <c r="V247" s="198"/>
      <c r="W247" s="198"/>
      <c r="X247" s="198"/>
      <c r="Y247" s="198"/>
    </row>
    <row r="248" spans="1:25" ht="15.75" customHeight="1">
      <c r="A248" s="23" t="str">
        <f t="shared" si="120"/>
        <v>Carrosserie% profit / ventes</v>
      </c>
      <c r="B248" s="184" t="s">
        <v>99</v>
      </c>
      <c r="C248" s="1" t="s">
        <v>87</v>
      </c>
      <c r="F248" s="27" t="e">
        <f>F247/E247</f>
        <v>#DIV/0!</v>
      </c>
      <c r="G248" s="152"/>
      <c r="I248" s="27" t="e">
        <f>I247/H247</f>
        <v>#DIV/0!</v>
      </c>
      <c r="J248" s="152"/>
      <c r="L248" s="157">
        <f>IFERROR(L247/K247,0)</f>
        <v>0</v>
      </c>
      <c r="M248" s="170"/>
      <c r="N248" s="171" t="e">
        <f>N247/F247</f>
        <v>#DIV/0!</v>
      </c>
      <c r="O248" s="152"/>
      <c r="Q248" s="157">
        <f>IFERROR(Q247/P247,0)</f>
        <v>0</v>
      </c>
      <c r="R248" s="170"/>
      <c r="S248" s="209">
        <f>IF(Q247=0,0,S247/Q247)</f>
        <v>0</v>
      </c>
      <c r="T248" s="27"/>
    </row>
    <row r="249" spans="1:25" ht="15.75" customHeight="1" thickBot="1">
      <c r="A249" s="23" t="str">
        <f t="shared" si="120"/>
        <v>Carrosserie</v>
      </c>
      <c r="B249" s="184" t="s">
        <v>99</v>
      </c>
      <c r="C249" s="1"/>
      <c r="F249" s="27"/>
      <c r="G249" s="152"/>
      <c r="I249" s="27"/>
      <c r="J249" s="152"/>
      <c r="L249" s="157"/>
      <c r="M249" s="170"/>
      <c r="N249" s="171"/>
      <c r="O249" s="152"/>
      <c r="Q249" s="157"/>
      <c r="R249" s="170"/>
      <c r="S249" s="209"/>
      <c r="T249" s="27"/>
    </row>
    <row r="250" spans="1:25" ht="15.75" customHeight="1" thickTop="1">
      <c r="A250" s="23" t="str">
        <f t="shared" si="120"/>
        <v>CarrosserieTotal Mécanique</v>
      </c>
      <c r="B250" s="184" t="s">
        <v>99</v>
      </c>
      <c r="C250" s="225" t="s">
        <v>96</v>
      </c>
      <c r="D250" s="226"/>
      <c r="E250" s="226">
        <f t="shared" ref="E250:F250" si="124">E244+E247+E241</f>
        <v>314904.1472321662</v>
      </c>
      <c r="F250" s="226">
        <f t="shared" si="124"/>
        <v>47235.622084824929</v>
      </c>
      <c r="G250" s="229"/>
      <c r="H250" s="226">
        <f t="shared" ref="H250:I250" si="125">H244+H247+H241</f>
        <v>0</v>
      </c>
      <c r="I250" s="226">
        <f t="shared" si="125"/>
        <v>0</v>
      </c>
      <c r="J250" s="229"/>
      <c r="K250" s="226">
        <f t="shared" ref="K250:N250" si="126">K244+K247+K241</f>
        <v>75009.47</v>
      </c>
      <c r="L250" s="228">
        <f t="shared" si="126"/>
        <v>19220.369999999995</v>
      </c>
      <c r="M250" s="336">
        <f>L251-F251</f>
        <v>0.10623924552459837</v>
      </c>
      <c r="N250" s="228">
        <f t="shared" si="126"/>
        <v>-28015.252084824933</v>
      </c>
      <c r="O250" s="229"/>
      <c r="P250" s="226">
        <f t="shared" ref="P250:Q250" si="127">P244+P247+P241</f>
        <v>163498.53</v>
      </c>
      <c r="Q250" s="228">
        <f t="shared" si="127"/>
        <v>42154.33</v>
      </c>
      <c r="R250" s="336">
        <f>L251-Q251</f>
        <v>-1.5877208707569812E-3</v>
      </c>
      <c r="S250" s="231">
        <f>L250-Q250</f>
        <v>-22933.960000000006</v>
      </c>
      <c r="T250" s="27"/>
    </row>
    <row r="251" spans="1:25" ht="23.25" customHeight="1" thickBot="1">
      <c r="A251" s="23" t="str">
        <f t="shared" si="120"/>
        <v>Carrosserie</v>
      </c>
      <c r="B251" s="184" t="s">
        <v>99</v>
      </c>
      <c r="C251" s="232"/>
      <c r="D251" s="233"/>
      <c r="E251" s="233"/>
      <c r="F251" s="337">
        <f>F250/E250</f>
        <v>0.15</v>
      </c>
      <c r="G251" s="235"/>
      <c r="H251" s="233"/>
      <c r="I251" s="337" t="e">
        <f>I250/H250</f>
        <v>#DIV/0!</v>
      </c>
      <c r="J251" s="235"/>
      <c r="K251" s="233"/>
      <c r="L251" s="166">
        <f>IF(K250=0,0,L250/K250)</f>
        <v>0.25623924552459837</v>
      </c>
      <c r="M251" s="236"/>
      <c r="N251" s="166">
        <f>N250/F250</f>
        <v>-0.59309586384859336</v>
      </c>
      <c r="O251" s="235"/>
      <c r="P251" s="233"/>
      <c r="Q251" s="166">
        <f>IF(P250=0,0,Q250/P250)</f>
        <v>0.25782696639535535</v>
      </c>
      <c r="R251" s="236"/>
      <c r="S251" s="237">
        <f>IF(R250=0,0,S250/R250)</f>
        <v>14444579.284937995</v>
      </c>
      <c r="T251" s="27"/>
    </row>
    <row r="252" spans="1:25" ht="15.75" customHeight="1" thickTop="1">
      <c r="A252" s="23" t="str">
        <f t="shared" si="120"/>
        <v>Carrosserie</v>
      </c>
      <c r="B252" s="184" t="s">
        <v>99</v>
      </c>
      <c r="C252" s="1"/>
      <c r="F252" s="26"/>
      <c r="G252" s="152"/>
      <c r="I252" s="26"/>
      <c r="J252" s="152"/>
      <c r="L252" s="208"/>
      <c r="M252" s="152"/>
      <c r="N252" s="208"/>
      <c r="O252" s="152"/>
      <c r="Q252" s="208"/>
      <c r="R252" s="152"/>
      <c r="S252" s="224"/>
    </row>
    <row r="253" spans="1:25" ht="15.75" customHeight="1">
      <c r="A253" s="23" t="str">
        <f t="shared" si="120"/>
        <v>CarrosserieDEPENSES</v>
      </c>
      <c r="B253" s="184" t="s">
        <v>99</v>
      </c>
      <c r="C253" s="239" t="s">
        <v>30</v>
      </c>
      <c r="F253" s="26"/>
      <c r="G253" s="152"/>
      <c r="I253" s="26"/>
      <c r="J253" s="152"/>
      <c r="L253" s="208"/>
      <c r="M253" s="152"/>
      <c r="N253" s="208"/>
      <c r="O253" s="152"/>
      <c r="Q253" s="208"/>
      <c r="R253" s="152"/>
      <c r="S253" s="224"/>
    </row>
    <row r="254" spans="1:25" ht="15.75" customHeight="1">
      <c r="A254" s="23" t="str">
        <f t="shared" si="120"/>
        <v>CarrosserieSalaires cadres</v>
      </c>
      <c r="B254" s="184" t="s">
        <v>99</v>
      </c>
      <c r="C254" s="1" t="s">
        <v>41</v>
      </c>
      <c r="F254" s="198">
        <f>+SUM(START:END!F254)</f>
        <v>966.30625000000009</v>
      </c>
      <c r="G254" s="152"/>
      <c r="I254" s="198">
        <f>+SUM(START:END!I254)</f>
        <v>0</v>
      </c>
      <c r="J254" s="152"/>
      <c r="L254" s="201">
        <f>+SUM(START:END!L254)</f>
        <v>2705.64</v>
      </c>
      <c r="M254" s="152"/>
      <c r="N254" s="208"/>
      <c r="O254" s="152"/>
      <c r="Q254" s="201">
        <f>+SUM(START:END!Q254)</f>
        <v>3455.64</v>
      </c>
      <c r="R254" s="152"/>
      <c r="S254" s="202">
        <f>L254-Q254</f>
        <v>-750</v>
      </c>
    </row>
    <row r="255" spans="1:25" ht="15.75" customHeight="1">
      <c r="A255" s="23" t="str">
        <f t="shared" si="120"/>
        <v>CarrosserieSalaires commis</v>
      </c>
      <c r="B255" s="184" t="s">
        <v>99</v>
      </c>
      <c r="C255" s="2" t="s">
        <v>42</v>
      </c>
      <c r="D255" s="30"/>
      <c r="F255" s="194">
        <f>+SUM(START:END!F255)</f>
        <v>15157.1895</v>
      </c>
      <c r="G255" s="240"/>
      <c r="I255" s="194">
        <f>+SUM(START:END!I255)</f>
        <v>0</v>
      </c>
      <c r="J255" s="152"/>
      <c r="L255" s="201">
        <f>+SUM(START:END!L255)</f>
        <v>1144.5</v>
      </c>
      <c r="M255" s="152"/>
      <c r="N255" s="222"/>
      <c r="O255" s="152"/>
      <c r="Q255" s="201">
        <f>+SUM(START:END!Q255)</f>
        <v>0</v>
      </c>
      <c r="R255" s="152"/>
      <c r="S255" s="242">
        <f t="shared" ref="S255:S264" si="128">L255-Q255</f>
        <v>1144.5</v>
      </c>
    </row>
    <row r="256" spans="1:25" ht="15.75" customHeight="1">
      <c r="A256" s="23" t="str">
        <f t="shared" si="120"/>
        <v>CarrosserieSalaires autres</v>
      </c>
      <c r="B256" s="184" t="s">
        <v>99</v>
      </c>
      <c r="C256" s="1" t="s">
        <v>43</v>
      </c>
      <c r="D256" s="52"/>
      <c r="E256" s="53"/>
      <c r="F256" s="198">
        <f>+SUM(START:END!F256)</f>
        <v>56.975000000000001</v>
      </c>
      <c r="G256" s="256"/>
      <c r="H256" s="53"/>
      <c r="I256" s="198">
        <f>+SUM(START:END!I256)</f>
        <v>0</v>
      </c>
      <c r="J256" s="154"/>
      <c r="K256" s="53"/>
      <c r="L256" s="257">
        <f>+SUM(START:END!L256)</f>
        <v>0.69</v>
      </c>
      <c r="M256" s="154"/>
      <c r="N256" s="258"/>
      <c r="O256" s="154"/>
      <c r="P256" s="53"/>
      <c r="Q256" s="257">
        <f>+SUM(START:END!Q256)</f>
        <v>0.37</v>
      </c>
      <c r="R256" s="154"/>
      <c r="S256" s="259">
        <f t="shared" si="128"/>
        <v>0.31999999999999995</v>
      </c>
    </row>
    <row r="257" spans="1:19" ht="15.75" customHeight="1">
      <c r="A257" s="23" t="str">
        <f t="shared" si="120"/>
        <v>CarrosserieSalaires spécialistes</v>
      </c>
      <c r="B257" s="184" t="s">
        <v>99</v>
      </c>
      <c r="C257" s="1" t="s">
        <v>44</v>
      </c>
      <c r="D257" s="30"/>
      <c r="F257" s="198">
        <f>+SUM(START:END!F257)</f>
        <v>0</v>
      </c>
      <c r="G257" s="240"/>
      <c r="I257" s="198">
        <f>+SUM(START:END!I257)</f>
        <v>0</v>
      </c>
      <c r="J257" s="152"/>
      <c r="L257" s="201">
        <f>+SUM(START:END!L257)</f>
        <v>0</v>
      </c>
      <c r="M257" s="152"/>
      <c r="N257" s="222"/>
      <c r="O257" s="152"/>
      <c r="Q257" s="201">
        <f>+SUM(START:END!Q257)</f>
        <v>10782.64</v>
      </c>
      <c r="R257" s="152"/>
      <c r="S257" s="242">
        <f t="shared" si="128"/>
        <v>-10782.64</v>
      </c>
    </row>
    <row r="258" spans="1:19" ht="15.75" hidden="1" customHeight="1">
      <c r="A258" s="23" t="str">
        <f t="shared" si="120"/>
        <v>Carrosserie[...]</v>
      </c>
      <c r="B258" s="184" t="s">
        <v>99</v>
      </c>
      <c r="C258" s="1" t="s">
        <v>20</v>
      </c>
      <c r="D258" s="30"/>
      <c r="F258" s="198">
        <f>+SUM(START:END!F258)</f>
        <v>0</v>
      </c>
      <c r="G258" s="240"/>
      <c r="I258" s="198">
        <f>+SUM(START:END!I258)</f>
        <v>0</v>
      </c>
      <c r="J258" s="152"/>
      <c r="L258" s="201">
        <f>+SUM(START:END!L258)</f>
        <v>0</v>
      </c>
      <c r="M258" s="152"/>
      <c r="N258" s="222"/>
      <c r="O258" s="152"/>
      <c r="Q258" s="201">
        <f>+SUM(START:END!Q258)</f>
        <v>0</v>
      </c>
      <c r="R258" s="152"/>
      <c r="S258" s="242">
        <f t="shared" si="128"/>
        <v>0</v>
      </c>
    </row>
    <row r="259" spans="1:19" ht="15.75" hidden="1" customHeight="1">
      <c r="A259" s="23" t="str">
        <f t="shared" si="120"/>
        <v>Carrosserie[...]</v>
      </c>
      <c r="B259" s="184" t="s">
        <v>99</v>
      </c>
      <c r="C259" s="1" t="s">
        <v>20</v>
      </c>
      <c r="D259" s="30"/>
      <c r="F259" s="198">
        <f>+SUM(START:END!F259)</f>
        <v>0</v>
      </c>
      <c r="G259" s="240"/>
      <c r="I259" s="198">
        <f>+SUM(START:END!I259)</f>
        <v>0</v>
      </c>
      <c r="J259" s="152"/>
      <c r="L259" s="201">
        <f>+SUM(START:END!L259)</f>
        <v>0</v>
      </c>
      <c r="M259" s="152"/>
      <c r="N259" s="222"/>
      <c r="O259" s="152"/>
      <c r="Q259" s="201">
        <f>+SUM(START:END!Q259)</f>
        <v>0</v>
      </c>
      <c r="R259" s="152"/>
      <c r="S259" s="242">
        <f t="shared" si="128"/>
        <v>0</v>
      </c>
    </row>
    <row r="260" spans="1:19" ht="15.75" hidden="1" customHeight="1">
      <c r="A260" s="23" t="str">
        <f t="shared" si="120"/>
        <v>Carrosserie[...]</v>
      </c>
      <c r="B260" s="184" t="s">
        <v>99</v>
      </c>
      <c r="C260" s="1" t="s">
        <v>20</v>
      </c>
      <c r="D260" s="30"/>
      <c r="F260" s="198">
        <f>+SUM(START:END!F260)</f>
        <v>0</v>
      </c>
      <c r="G260" s="240"/>
      <c r="I260" s="198">
        <f>+SUM(START:END!I260)</f>
        <v>0</v>
      </c>
      <c r="J260" s="152"/>
      <c r="L260" s="201">
        <f>+SUM(START:END!L260)</f>
        <v>0</v>
      </c>
      <c r="M260" s="152"/>
      <c r="N260" s="222"/>
      <c r="O260" s="152"/>
      <c r="Q260" s="201">
        <f>+SUM(START:END!Q260)</f>
        <v>0</v>
      </c>
      <c r="R260" s="152"/>
      <c r="S260" s="242">
        <f t="shared" si="128"/>
        <v>0</v>
      </c>
    </row>
    <row r="261" spans="1:19" ht="15.75" customHeight="1">
      <c r="A261" s="23" t="str">
        <f t="shared" si="120"/>
        <v>CarrosserieSalaires en absences</v>
      </c>
      <c r="B261" s="184" t="s">
        <v>99</v>
      </c>
      <c r="C261" s="2" t="s">
        <v>45</v>
      </c>
      <c r="D261" s="30"/>
      <c r="F261" s="194">
        <f>+SUM(START:END!F261)</f>
        <v>1924.2756801249998</v>
      </c>
      <c r="G261" s="240"/>
      <c r="I261" s="194">
        <f>+SUM(START:END!I261)</f>
        <v>0</v>
      </c>
      <c r="J261" s="152"/>
      <c r="L261" s="201">
        <f>+SUM(START:END!L261)</f>
        <v>1885.9299999999998</v>
      </c>
      <c r="M261" s="152"/>
      <c r="N261" s="222"/>
      <c r="O261" s="152"/>
      <c r="Q261" s="201">
        <f>+SUM(START:END!Q261)</f>
        <v>987.57999999999993</v>
      </c>
      <c r="R261" s="152"/>
      <c r="S261" s="242">
        <f t="shared" si="128"/>
        <v>898.34999999999991</v>
      </c>
    </row>
    <row r="262" spans="1:19" ht="15.75" customHeight="1">
      <c r="A262" s="23" t="str">
        <f t="shared" si="120"/>
        <v>CarrosserieDéduction à la source</v>
      </c>
      <c r="B262" s="184" t="s">
        <v>99</v>
      </c>
      <c r="C262" s="1" t="s">
        <v>46</v>
      </c>
      <c r="D262" s="52"/>
      <c r="E262" s="53"/>
      <c r="F262" s="198">
        <f>+SUM(START:END!F262)</f>
        <v>2339.6479635000001</v>
      </c>
      <c r="G262" s="256"/>
      <c r="H262" s="53"/>
      <c r="I262" s="198">
        <f>+SUM(START:END!I262)</f>
        <v>0</v>
      </c>
      <c r="J262" s="154"/>
      <c r="K262" s="53"/>
      <c r="L262" s="257">
        <f>+SUM(START:END!L262)</f>
        <v>2827.39</v>
      </c>
      <c r="M262" s="154"/>
      <c r="N262" s="258"/>
      <c r="O262" s="154"/>
      <c r="P262" s="53"/>
      <c r="Q262" s="257">
        <f>+SUM(START:END!Q262)</f>
        <v>3487.67</v>
      </c>
      <c r="R262" s="154"/>
      <c r="S262" s="259">
        <f t="shared" si="128"/>
        <v>-660.2800000000002</v>
      </c>
    </row>
    <row r="263" spans="1:19" ht="15.75" customHeight="1">
      <c r="A263" s="23" t="str">
        <f t="shared" si="120"/>
        <v>CarrosserieBénéfices marginaux</v>
      </c>
      <c r="B263" s="184" t="s">
        <v>99</v>
      </c>
      <c r="C263" s="1" t="s">
        <v>47</v>
      </c>
      <c r="D263" s="30"/>
      <c r="F263" s="198">
        <f>+SUM(START:END!F263)</f>
        <v>1205.4273203249998</v>
      </c>
      <c r="G263" s="240"/>
      <c r="I263" s="198">
        <f>+SUM(START:END!I263)</f>
        <v>0</v>
      </c>
      <c r="J263" s="152"/>
      <c r="L263" s="201">
        <f>+SUM(START:END!L263)</f>
        <v>619.36</v>
      </c>
      <c r="M263" s="152"/>
      <c r="N263" s="222"/>
      <c r="O263" s="152"/>
      <c r="Q263" s="201">
        <f>+SUM(START:END!Q263)</f>
        <v>456.93</v>
      </c>
      <c r="R263" s="152"/>
      <c r="S263" s="242">
        <f t="shared" si="128"/>
        <v>162.43</v>
      </c>
    </row>
    <row r="264" spans="1:19" ht="15.75" customHeight="1">
      <c r="A264" s="23" t="str">
        <f t="shared" si="120"/>
        <v>CarrosserieCsst</v>
      </c>
      <c r="B264" s="184" t="s">
        <v>99</v>
      </c>
      <c r="C264" s="1" t="s">
        <v>48</v>
      </c>
      <c r="D264" s="30"/>
      <c r="F264" s="198">
        <f>+SUM(START:END!F264)</f>
        <v>525.57309325000006</v>
      </c>
      <c r="G264" s="240"/>
      <c r="I264" s="198">
        <f>+SUM(START:END!I264)</f>
        <v>0</v>
      </c>
      <c r="J264" s="152"/>
      <c r="L264" s="201">
        <f>+SUM(START:END!L264)</f>
        <v>271.77999999999997</v>
      </c>
      <c r="M264" s="152"/>
      <c r="N264" s="222"/>
      <c r="O264" s="152"/>
      <c r="Q264" s="201">
        <f>+SUM(START:END!Q264)</f>
        <v>567.08000000000004</v>
      </c>
      <c r="R264" s="152"/>
      <c r="S264" s="242">
        <f t="shared" si="128"/>
        <v>-295.30000000000007</v>
      </c>
    </row>
    <row r="265" spans="1:19" ht="15.75" hidden="1" customHeight="1">
      <c r="A265" s="23" t="str">
        <f t="shared" si="120"/>
        <v>Carrosserie[...]</v>
      </c>
      <c r="B265" s="184" t="s">
        <v>99</v>
      </c>
      <c r="C265" s="1" t="s">
        <v>20</v>
      </c>
      <c r="D265" s="34"/>
      <c r="E265" s="7"/>
      <c r="F265" s="198">
        <f>+SUM(START:END!F264)</f>
        <v>525.57309325000006</v>
      </c>
      <c r="G265" s="244"/>
      <c r="H265" s="7"/>
      <c r="I265" s="198">
        <f>+SUM(START:END!I264)</f>
        <v>0</v>
      </c>
      <c r="J265" s="153"/>
      <c r="K265" s="7"/>
      <c r="L265" s="201">
        <f>+SUM(START:END!L264)</f>
        <v>271.77999999999997</v>
      </c>
      <c r="M265" s="153"/>
      <c r="N265" s="247">
        <f t="shared" ref="N265:N266" si="129">L265-I265</f>
        <v>271.77999999999997</v>
      </c>
      <c r="O265" s="153"/>
      <c r="P265" s="7"/>
      <c r="Q265" s="201">
        <f>+SUM(START:END!Q264)</f>
        <v>567.08000000000004</v>
      </c>
      <c r="R265" s="153"/>
      <c r="S265" s="248">
        <f t="shared" ref="S265:S285" si="130">L265-Q265</f>
        <v>-295.30000000000007</v>
      </c>
    </row>
    <row r="266" spans="1:19" ht="15.75" customHeight="1">
      <c r="A266" s="23" t="str">
        <f t="shared" si="120"/>
        <v>CarrosserieTOTAL PERSONNEL</v>
      </c>
      <c r="B266" s="184" t="s">
        <v>99</v>
      </c>
      <c r="C266" s="40" t="s">
        <v>49</v>
      </c>
      <c r="D266" s="250" t="s">
        <v>39</v>
      </c>
      <c r="E266" s="42" t="e">
        <f>F266/F$244</f>
        <v>#DIV/0!</v>
      </c>
      <c r="F266" s="46">
        <f>+SUM(F254:F265)</f>
        <v>22700.967900450003</v>
      </c>
      <c r="G266" s="252" t="s">
        <v>39</v>
      </c>
      <c r="H266" s="42" t="e">
        <f>I266/I$244</f>
        <v>#DIV/0!</v>
      </c>
      <c r="I266" s="46">
        <f>+SUM(I254:I265)</f>
        <v>0</v>
      </c>
      <c r="J266" s="252" t="s">
        <v>39</v>
      </c>
      <c r="K266" s="42">
        <f>IF(L244=0,0,L266/L$244)</f>
        <v>0</v>
      </c>
      <c r="L266" s="251">
        <f>+SUM(L254:L265)</f>
        <v>9727.0700000000015</v>
      </c>
      <c r="M266" s="290"/>
      <c r="N266" s="260">
        <f t="shared" si="129"/>
        <v>9727.0700000000015</v>
      </c>
      <c r="O266" s="252" t="s">
        <v>39</v>
      </c>
      <c r="P266" s="42">
        <f>IF(Q244=0,0,Q266/Q$244)</f>
        <v>0</v>
      </c>
      <c r="Q266" s="251">
        <f>+SUM(Q254:Q265)</f>
        <v>20304.990000000005</v>
      </c>
      <c r="R266" s="290"/>
      <c r="S266" s="261">
        <f t="shared" si="130"/>
        <v>-10577.920000000004</v>
      </c>
    </row>
    <row r="267" spans="1:19" ht="15.75" customHeight="1">
      <c r="A267" s="23" t="str">
        <f t="shared" si="120"/>
        <v>CarrosseriePublicité 2</v>
      </c>
      <c r="B267" s="184" t="s">
        <v>99</v>
      </c>
      <c r="C267" s="3" t="s">
        <v>50</v>
      </c>
      <c r="D267" s="30"/>
      <c r="F267" s="198">
        <f>+SUM(START:END!F267)</f>
        <v>0</v>
      </c>
      <c r="G267" s="240"/>
      <c r="I267" s="198">
        <f>+SUM(START:END!I267)</f>
        <v>0</v>
      </c>
      <c r="J267" s="152"/>
      <c r="L267" s="201">
        <f>+SUM(START:END!L267)</f>
        <v>387.54999999999995</v>
      </c>
      <c r="M267" s="152"/>
      <c r="N267" s="222"/>
      <c r="O267" s="152"/>
      <c r="Q267" s="201">
        <f>+SUM(START:END!Q267)</f>
        <v>203.83999999999997</v>
      </c>
      <c r="R267" s="152"/>
      <c r="S267" s="242">
        <f>L267-Q267</f>
        <v>183.70999999999998</v>
      </c>
    </row>
    <row r="268" spans="1:19" ht="15.75" customHeight="1">
      <c r="A268" s="23" t="str">
        <f t="shared" si="120"/>
        <v>CarrosserieService gratuit 2</v>
      </c>
      <c r="B268" s="184" t="s">
        <v>99</v>
      </c>
      <c r="C268" s="1" t="s">
        <v>51</v>
      </c>
      <c r="D268" s="30"/>
      <c r="F268" s="198">
        <f>+SUM(START:END!F268)</f>
        <v>1781.7196877697436</v>
      </c>
      <c r="G268" s="240"/>
      <c r="I268" s="198">
        <f>+SUM(START:END!I268)</f>
        <v>0</v>
      </c>
      <c r="J268" s="152"/>
      <c r="L268" s="201">
        <f>+SUM(START:END!L268)</f>
        <v>2105.6999999999998</v>
      </c>
      <c r="M268" s="152"/>
      <c r="N268" s="222"/>
      <c r="O268" s="152"/>
      <c r="Q268" s="201">
        <f>+SUM(START:END!Q268)</f>
        <v>6728.47</v>
      </c>
      <c r="R268" s="152"/>
      <c r="S268" s="242">
        <f t="shared" ref="S268:S281" si="131">L268-Q268</f>
        <v>-4622.7700000000004</v>
      </c>
    </row>
    <row r="269" spans="1:19" ht="15.75" customHeight="1">
      <c r="A269" s="23" t="str">
        <f t="shared" si="120"/>
        <v>CarrosserieFrais véhicules de cie</v>
      </c>
      <c r="B269" s="184" t="s">
        <v>99</v>
      </c>
      <c r="C269" s="2" t="s">
        <v>52</v>
      </c>
      <c r="D269" s="34"/>
      <c r="E269" s="7"/>
      <c r="F269" s="194">
        <f>+SUM(START:END!F269)</f>
        <v>0</v>
      </c>
      <c r="G269" s="244"/>
      <c r="H269" s="7"/>
      <c r="I269" s="194">
        <f>+SUM(START:END!I269)</f>
        <v>0</v>
      </c>
      <c r="J269" s="153"/>
      <c r="K269" s="7"/>
      <c r="L269" s="201">
        <f>+SUM(START:END!L269)</f>
        <v>493.45000000000005</v>
      </c>
      <c r="M269" s="153"/>
      <c r="N269" s="247"/>
      <c r="O269" s="153"/>
      <c r="P269" s="7"/>
      <c r="Q269" s="201">
        <f>+SUM(START:END!Q269)</f>
        <v>1771.43</v>
      </c>
      <c r="R269" s="153"/>
      <c r="S269" s="248">
        <f t="shared" si="131"/>
        <v>-1277.98</v>
      </c>
    </row>
    <row r="270" spans="1:19" ht="15.75" customHeight="1">
      <c r="A270" s="23" t="str">
        <f t="shared" si="120"/>
        <v>CarrosserieInformatique</v>
      </c>
      <c r="B270" s="184" t="s">
        <v>99</v>
      </c>
      <c r="C270" s="1" t="s">
        <v>53</v>
      </c>
      <c r="D270" s="30"/>
      <c r="F270" s="198">
        <f>+SUM(START:END!F270)</f>
        <v>4302.4017903333342</v>
      </c>
      <c r="G270" s="240"/>
      <c r="I270" s="198">
        <f>+SUM(START:END!I270)</f>
        <v>0</v>
      </c>
      <c r="J270" s="152"/>
      <c r="L270" s="257">
        <f>+SUM(START:END!L270)</f>
        <v>4600.1099999999997</v>
      </c>
      <c r="M270" s="152"/>
      <c r="N270" s="222"/>
      <c r="O270" s="152"/>
      <c r="Q270" s="257">
        <f>+SUM(START:END!Q270)</f>
        <v>5080.0300000000007</v>
      </c>
      <c r="R270" s="152"/>
      <c r="S270" s="242">
        <f t="shared" si="131"/>
        <v>-479.92000000000098</v>
      </c>
    </row>
    <row r="271" spans="1:19" ht="15.75" customHeight="1">
      <c r="A271" s="23" t="str">
        <f t="shared" si="120"/>
        <v>CarrosserieFrais de déplacement</v>
      </c>
      <c r="B271" s="184" t="s">
        <v>99</v>
      </c>
      <c r="C271" s="1" t="s">
        <v>54</v>
      </c>
      <c r="D271" s="30"/>
      <c r="F271" s="198">
        <f>+SUM(START:END!F271)</f>
        <v>535.29519157572292</v>
      </c>
      <c r="G271" s="240"/>
      <c r="I271" s="198">
        <f>+SUM(START:END!I271)</f>
        <v>0</v>
      </c>
      <c r="J271" s="152"/>
      <c r="L271" s="201">
        <f>+SUM(START:END!L271)</f>
        <v>930.9</v>
      </c>
      <c r="M271" s="152"/>
      <c r="N271" s="222"/>
      <c r="O271" s="152"/>
      <c r="Q271" s="201">
        <f>+SUM(START:END!Q271)</f>
        <v>685.86</v>
      </c>
      <c r="R271" s="152"/>
      <c r="S271" s="242">
        <f t="shared" si="131"/>
        <v>245.03999999999996</v>
      </c>
    </row>
    <row r="272" spans="1:19" ht="15.75" customHeight="1">
      <c r="A272" s="23" t="str">
        <f t="shared" si="120"/>
        <v>CarrosserieServices extérieurs</v>
      </c>
      <c r="B272" s="184" t="s">
        <v>99</v>
      </c>
      <c r="C272" s="1" t="s">
        <v>55</v>
      </c>
      <c r="D272" s="34"/>
      <c r="E272" s="7"/>
      <c r="F272" s="194">
        <f>+SUM(START:END!F272)</f>
        <v>2029.6536089486108</v>
      </c>
      <c r="G272" s="244"/>
      <c r="H272" s="7"/>
      <c r="I272" s="194">
        <f>+SUM(START:END!I272)</f>
        <v>0</v>
      </c>
      <c r="J272" s="153"/>
      <c r="K272" s="7"/>
      <c r="L272" s="201">
        <f>+SUM(START:END!L272)</f>
        <v>2091.5100000000002</v>
      </c>
      <c r="M272" s="153"/>
      <c r="N272" s="247"/>
      <c r="O272" s="153"/>
      <c r="P272" s="7"/>
      <c r="Q272" s="201">
        <f>+SUM(START:END!Q272)</f>
        <v>1356.79</v>
      </c>
      <c r="R272" s="153"/>
      <c r="S272" s="248">
        <f t="shared" si="131"/>
        <v>734.72000000000025</v>
      </c>
    </row>
    <row r="273" spans="1:20" ht="15.75" customHeight="1">
      <c r="A273" s="23" t="str">
        <f t="shared" si="120"/>
        <v>CarrosserieFournitures d'atelier</v>
      </c>
      <c r="B273" s="184" t="s">
        <v>99</v>
      </c>
      <c r="C273" s="4" t="s">
        <v>98</v>
      </c>
      <c r="D273" s="30"/>
      <c r="F273" s="198">
        <f>+SUM(START:END!F273)</f>
        <v>0</v>
      </c>
      <c r="G273" s="240"/>
      <c r="I273" s="198">
        <f>+SUM(START:END!I273)</f>
        <v>0</v>
      </c>
      <c r="J273" s="152"/>
      <c r="L273" s="219">
        <f>+SUM(START:END!L273)</f>
        <v>0</v>
      </c>
      <c r="M273" s="152"/>
      <c r="N273" s="222"/>
      <c r="O273" s="152"/>
      <c r="Q273" s="219">
        <f>+SUM(START:END!Q273)</f>
        <v>0</v>
      </c>
      <c r="R273" s="152"/>
      <c r="S273" s="242">
        <f t="shared" si="131"/>
        <v>0</v>
      </c>
    </row>
    <row r="274" spans="1:20" ht="15.75" customHeight="1">
      <c r="A274" s="23" t="str">
        <f t="shared" si="120"/>
        <v>CarrosserieFournitures autres</v>
      </c>
      <c r="B274" s="184" t="s">
        <v>99</v>
      </c>
      <c r="C274" s="1" t="s">
        <v>56</v>
      </c>
      <c r="D274" s="30"/>
      <c r="F274" s="198">
        <f>+SUM(START:END!F274)</f>
        <v>375</v>
      </c>
      <c r="G274" s="240"/>
      <c r="I274" s="198">
        <f>+SUM(START:END!I274)</f>
        <v>0</v>
      </c>
      <c r="J274" s="152"/>
      <c r="L274" s="201">
        <f>+SUM(START:END!L274)</f>
        <v>8.93</v>
      </c>
      <c r="M274" s="152"/>
      <c r="N274" s="222"/>
      <c r="O274" s="152"/>
      <c r="Q274" s="201">
        <f>+SUM(START:END!Q274)</f>
        <v>0</v>
      </c>
      <c r="R274" s="152"/>
      <c r="S274" s="242">
        <f t="shared" si="131"/>
        <v>8.93</v>
      </c>
    </row>
    <row r="275" spans="1:20" ht="15.75" customHeight="1">
      <c r="A275" s="23" t="str">
        <f t="shared" si="120"/>
        <v>CarrosserieUniformes</v>
      </c>
      <c r="B275" s="184" t="s">
        <v>99</v>
      </c>
      <c r="C275" s="1" t="s">
        <v>57</v>
      </c>
      <c r="D275" s="30"/>
      <c r="F275" s="198">
        <f>+SUM(START:END!F275)</f>
        <v>250</v>
      </c>
      <c r="G275" s="240"/>
      <c r="I275" s="198">
        <f>+SUM(START:END!I275)</f>
        <v>0</v>
      </c>
      <c r="J275" s="152"/>
      <c r="L275" s="201">
        <f>+SUM(START:END!L275)</f>
        <v>0</v>
      </c>
      <c r="M275" s="152"/>
      <c r="N275" s="222"/>
      <c r="O275" s="152"/>
      <c r="Q275" s="201">
        <f>+SUM(START:END!Q275)</f>
        <v>0</v>
      </c>
      <c r="R275" s="152"/>
      <c r="S275" s="242">
        <f t="shared" si="131"/>
        <v>0</v>
      </c>
    </row>
    <row r="276" spans="1:20" ht="15.75" customHeight="1">
      <c r="A276" s="23" t="str">
        <f t="shared" si="120"/>
        <v>CarrosseriePapeterie</v>
      </c>
      <c r="B276" s="184" t="s">
        <v>99</v>
      </c>
      <c r="C276" s="1" t="s">
        <v>58</v>
      </c>
      <c r="D276" s="30"/>
      <c r="F276" s="198">
        <f>+SUM(START:END!F276)</f>
        <v>472.67556222899998</v>
      </c>
      <c r="G276" s="240"/>
      <c r="I276" s="198">
        <f>+SUM(START:END!I276)</f>
        <v>0</v>
      </c>
      <c r="J276" s="152"/>
      <c r="L276" s="200">
        <f>+SUM(START:END!L276)</f>
        <v>361.93</v>
      </c>
      <c r="M276" s="152"/>
      <c r="N276" s="222"/>
      <c r="O276" s="152"/>
      <c r="Q276" s="200">
        <f>+SUM(START:END!Q276)</f>
        <v>421.31000000000006</v>
      </c>
      <c r="R276" s="152"/>
      <c r="S276" s="242">
        <f t="shared" si="131"/>
        <v>-59.380000000000052</v>
      </c>
    </row>
    <row r="277" spans="1:20" ht="15.75" customHeight="1">
      <c r="A277" s="23" t="str">
        <f t="shared" si="120"/>
        <v>CarrosserieTéléphone</v>
      </c>
      <c r="B277" s="184" t="s">
        <v>99</v>
      </c>
      <c r="C277" s="1" t="s">
        <v>59</v>
      </c>
      <c r="D277" s="30"/>
      <c r="F277" s="198">
        <f>+SUM(START:END!F277)</f>
        <v>110.34110581595834</v>
      </c>
      <c r="G277" s="240"/>
      <c r="I277" s="198">
        <f>+SUM(START:END!I277)</f>
        <v>0</v>
      </c>
      <c r="J277" s="152"/>
      <c r="L277" s="201">
        <f>+SUM(START:END!L277)</f>
        <v>73.34</v>
      </c>
      <c r="M277" s="152"/>
      <c r="N277" s="222"/>
      <c r="O277" s="152"/>
      <c r="Q277" s="201">
        <f>+SUM(START:END!Q277)</f>
        <v>62.980000000000004</v>
      </c>
      <c r="R277" s="152"/>
      <c r="S277" s="242">
        <f t="shared" si="131"/>
        <v>10.36</v>
      </c>
    </row>
    <row r="278" spans="1:20" ht="15.75" customHeight="1">
      <c r="A278" s="23" t="str">
        <f t="shared" si="120"/>
        <v>CarrosserieFrais postaux</v>
      </c>
      <c r="B278" s="184" t="s">
        <v>99</v>
      </c>
      <c r="C278" s="1" t="s">
        <v>60</v>
      </c>
      <c r="D278" s="30"/>
      <c r="F278" s="198">
        <f>+SUM(START:END!F278)</f>
        <v>74.23719556404167</v>
      </c>
      <c r="G278" s="240"/>
      <c r="I278" s="198">
        <f>+SUM(START:END!I278)</f>
        <v>0</v>
      </c>
      <c r="J278" s="152"/>
      <c r="L278" s="201">
        <f>+SUM(START:END!L278)</f>
        <v>11.83</v>
      </c>
      <c r="M278" s="152"/>
      <c r="N278" s="222"/>
      <c r="O278" s="152"/>
      <c r="Q278" s="201">
        <f>+SUM(START:END!Q278)</f>
        <v>71.44</v>
      </c>
      <c r="R278" s="152"/>
      <c r="S278" s="242">
        <f t="shared" si="131"/>
        <v>-59.61</v>
      </c>
    </row>
    <row r="279" spans="1:20" ht="15.75" customHeight="1">
      <c r="A279" s="23" t="str">
        <f t="shared" si="120"/>
        <v>CarrosserieDivers</v>
      </c>
      <c r="B279" s="184" t="s">
        <v>99</v>
      </c>
      <c r="C279" s="1" t="s">
        <v>61</v>
      </c>
      <c r="D279" s="30"/>
      <c r="F279" s="198">
        <f>+SUM(START:END!F279)</f>
        <v>704.99838975429157</v>
      </c>
      <c r="G279" s="240"/>
      <c r="I279" s="198">
        <f>+SUM(START:END!I279)</f>
        <v>0</v>
      </c>
      <c r="J279" s="152"/>
      <c r="L279" s="201">
        <f>+SUM(START:END!L279)</f>
        <v>94.34</v>
      </c>
      <c r="M279" s="152"/>
      <c r="N279" s="222"/>
      <c r="O279" s="152"/>
      <c r="Q279" s="201">
        <f>+SUM(START:END!Q279)</f>
        <v>67.11</v>
      </c>
      <c r="R279" s="152"/>
      <c r="S279" s="242">
        <f t="shared" si="131"/>
        <v>27.230000000000004</v>
      </c>
    </row>
    <row r="280" spans="1:20" ht="15.75" customHeight="1">
      <c r="A280" s="23" t="str">
        <f t="shared" si="120"/>
        <v>CarrosserieFormation</v>
      </c>
      <c r="B280" s="184" t="s">
        <v>99</v>
      </c>
      <c r="C280" s="1" t="s">
        <v>62</v>
      </c>
      <c r="D280" s="30"/>
      <c r="F280" s="198">
        <f>+SUM(START:END!F280)</f>
        <v>1302.9754569439635</v>
      </c>
      <c r="G280" s="240"/>
      <c r="I280" s="198">
        <f>+SUM(START:END!I280)</f>
        <v>0</v>
      </c>
      <c r="J280" s="152"/>
      <c r="L280" s="201">
        <f>+SUM(START:END!L280)</f>
        <v>114.24</v>
      </c>
      <c r="M280" s="152"/>
      <c r="N280" s="222"/>
      <c r="O280" s="152"/>
      <c r="Q280" s="201">
        <f>+SUM(START:END!Q280)</f>
        <v>1434.5300000000002</v>
      </c>
      <c r="R280" s="152"/>
      <c r="S280" s="242">
        <f t="shared" si="131"/>
        <v>-1320.2900000000002</v>
      </c>
    </row>
    <row r="281" spans="1:20" ht="15.75" customHeight="1">
      <c r="A281" s="23" t="str">
        <f t="shared" si="120"/>
        <v>CarrosserieFrais bancaires</v>
      </c>
      <c r="B281" s="184" t="s">
        <v>99</v>
      </c>
      <c r="C281" s="1" t="s">
        <v>63</v>
      </c>
      <c r="D281" s="30"/>
      <c r="F281" s="198">
        <f>+SUM(START:END!F281)</f>
        <v>615.84461654135941</v>
      </c>
      <c r="G281" s="240"/>
      <c r="I281" s="198">
        <f>+SUM(START:END!I281)</f>
        <v>0</v>
      </c>
      <c r="J281" s="152"/>
      <c r="L281" s="201">
        <f>+SUM(START:END!L281)</f>
        <v>688.09</v>
      </c>
      <c r="M281" s="152"/>
      <c r="N281" s="222"/>
      <c r="O281" s="152"/>
      <c r="Q281" s="201">
        <f>+SUM(START:END!Q281)</f>
        <v>794.16</v>
      </c>
      <c r="R281" s="152"/>
      <c r="S281" s="242">
        <f t="shared" si="131"/>
        <v>-106.06999999999994</v>
      </c>
    </row>
    <row r="282" spans="1:20" ht="15.75" hidden="1" customHeight="1">
      <c r="A282" s="23" t="str">
        <f t="shared" si="120"/>
        <v>Carrosserie[...]</v>
      </c>
      <c r="B282" s="184" t="s">
        <v>99</v>
      </c>
      <c r="C282" s="1" t="s">
        <v>20</v>
      </c>
      <c r="D282" s="30"/>
      <c r="F282" s="198">
        <f>+SUM(START:END!F282)</f>
        <v>0</v>
      </c>
      <c r="G282" s="240"/>
      <c r="I282" s="198">
        <f>+SUM(START:END!I282)</f>
        <v>0</v>
      </c>
      <c r="J282" s="152"/>
      <c r="L282" s="201">
        <f>+SUM(START:END!L282)</f>
        <v>0</v>
      </c>
      <c r="M282" s="152"/>
      <c r="N282" s="222"/>
      <c r="O282" s="152"/>
      <c r="Q282" s="201">
        <f>+SUM(START:END!Q282)</f>
        <v>0</v>
      </c>
      <c r="R282" s="152"/>
      <c r="S282" s="242">
        <f t="shared" ref="S282:S284" si="132">L282-Q282</f>
        <v>0</v>
      </c>
    </row>
    <row r="283" spans="1:20" ht="15.75" hidden="1" customHeight="1">
      <c r="A283" s="23" t="str">
        <f t="shared" si="120"/>
        <v>Carrosserie[...]</v>
      </c>
      <c r="B283" s="184" t="s">
        <v>99</v>
      </c>
      <c r="C283" s="1" t="s">
        <v>20</v>
      </c>
      <c r="D283" s="30"/>
      <c r="F283" s="198">
        <f>+SUM(START:END!F283)</f>
        <v>0</v>
      </c>
      <c r="G283" s="240"/>
      <c r="I283" s="198">
        <f>+SUM(START:END!I283)</f>
        <v>0</v>
      </c>
      <c r="J283" s="152"/>
      <c r="L283" s="201">
        <f>+SUM(START:END!L283)</f>
        <v>0</v>
      </c>
      <c r="M283" s="152"/>
      <c r="N283" s="222"/>
      <c r="O283" s="152"/>
      <c r="Q283" s="201">
        <f>+SUM(START:END!Q283)</f>
        <v>0</v>
      </c>
      <c r="R283" s="152"/>
      <c r="S283" s="242">
        <f t="shared" si="132"/>
        <v>0</v>
      </c>
    </row>
    <row r="284" spans="1:20" ht="15.75" hidden="1" customHeight="1">
      <c r="A284" s="23" t="str">
        <f t="shared" si="120"/>
        <v>Carrosserie[...]</v>
      </c>
      <c r="B284" s="184" t="s">
        <v>99</v>
      </c>
      <c r="C284" s="1" t="s">
        <v>20</v>
      </c>
      <c r="D284" s="30"/>
      <c r="F284" s="198">
        <f>+SUM(START:END!F284)</f>
        <v>0</v>
      </c>
      <c r="G284" s="240"/>
      <c r="I284" s="198">
        <f>+SUM(START:END!I284)</f>
        <v>0</v>
      </c>
      <c r="J284" s="152"/>
      <c r="L284" s="201">
        <f>+SUM(START:END!L284)</f>
        <v>0</v>
      </c>
      <c r="M284" s="152"/>
      <c r="N284" s="222"/>
      <c r="O284" s="152"/>
      <c r="Q284" s="201">
        <f>+SUM(START:END!Q284)</f>
        <v>0</v>
      </c>
      <c r="R284" s="152"/>
      <c r="S284" s="242">
        <f t="shared" si="132"/>
        <v>0</v>
      </c>
    </row>
    <row r="285" spans="1:20" ht="15.75" customHeight="1">
      <c r="B285" s="184"/>
      <c r="C285" s="40" t="s">
        <v>64</v>
      </c>
      <c r="D285" s="250" t="s">
        <v>39</v>
      </c>
      <c r="E285" s="42">
        <f>F285/F$250</f>
        <v>0.26579818474560818</v>
      </c>
      <c r="F285" s="46">
        <f>+SUM(F267:F284)</f>
        <v>12555.142605476025</v>
      </c>
      <c r="G285" s="252" t="s">
        <v>39</v>
      </c>
      <c r="H285" s="42" t="e">
        <f>I285/I$250</f>
        <v>#DIV/0!</v>
      </c>
      <c r="I285" s="46">
        <f>+SUM(I267:I284)</f>
        <v>0</v>
      </c>
      <c r="J285" s="252" t="s">
        <v>39</v>
      </c>
      <c r="K285" s="42">
        <f>L285/L$250</f>
        <v>0.62235638543899019</v>
      </c>
      <c r="L285" s="251">
        <f>+SUM(L267:L284)</f>
        <v>11961.92</v>
      </c>
      <c r="M285" s="254"/>
      <c r="N285" s="251">
        <f>+SUM(N267:N284)</f>
        <v>0</v>
      </c>
      <c r="O285" s="252" t="s">
        <v>39</v>
      </c>
      <c r="P285" s="42">
        <f>Q285/Q$250</f>
        <v>0.44308496896997296</v>
      </c>
      <c r="Q285" s="251">
        <f>+SUM(Q267:Q284)</f>
        <v>18677.95</v>
      </c>
      <c r="R285" s="254"/>
      <c r="S285" s="255">
        <f t="shared" si="130"/>
        <v>-6716.0300000000007</v>
      </c>
      <c r="T285" s="73"/>
    </row>
    <row r="286" spans="1:20" ht="15.75" customHeight="1">
      <c r="B286" s="184"/>
      <c r="C286" s="2"/>
      <c r="D286" s="34"/>
      <c r="E286" s="7"/>
      <c r="F286" s="26"/>
      <c r="G286" s="244"/>
      <c r="H286" s="7"/>
      <c r="I286" s="26"/>
      <c r="J286" s="153"/>
      <c r="K286" s="7"/>
      <c r="L286" s="247"/>
      <c r="M286" s="153"/>
      <c r="N286" s="247"/>
      <c r="O286" s="153"/>
      <c r="P286" s="7"/>
      <c r="Q286" s="247"/>
      <c r="R286" s="153"/>
      <c r="S286" s="248"/>
      <c r="T286" s="73"/>
    </row>
    <row r="287" spans="1:20" ht="15.75" customHeight="1">
      <c r="B287" s="184"/>
      <c r="C287" s="40" t="s">
        <v>65</v>
      </c>
      <c r="D287" s="250" t="s">
        <v>39</v>
      </c>
      <c r="E287" s="42">
        <f>F287/F$250</f>
        <v>0.7463881907305826</v>
      </c>
      <c r="F287" s="46">
        <f>F266+F285</f>
        <v>35256.11050592603</v>
      </c>
      <c r="G287" s="252" t="s">
        <v>39</v>
      </c>
      <c r="H287" s="42" t="e">
        <f>I287/I$250</f>
        <v>#DIV/0!</v>
      </c>
      <c r="I287" s="46">
        <f>I266+I285</f>
        <v>0</v>
      </c>
      <c r="J287" s="252" t="s">
        <v>39</v>
      </c>
      <c r="K287" s="42">
        <f>L287/L$250</f>
        <v>1.1284376939673901</v>
      </c>
      <c r="L287" s="251">
        <f>L266+L285</f>
        <v>21688.99</v>
      </c>
      <c r="M287" s="254"/>
      <c r="N287" s="251">
        <f>N266+N285</f>
        <v>9727.0700000000015</v>
      </c>
      <c r="O287" s="252" t="s">
        <v>39</v>
      </c>
      <c r="P287" s="42">
        <f>Q287/Q$250</f>
        <v>0.92476715915067331</v>
      </c>
      <c r="Q287" s="251">
        <f>Q266+Q285</f>
        <v>38982.94</v>
      </c>
      <c r="R287" s="254"/>
      <c r="S287" s="261">
        <f>L287-Q287</f>
        <v>-17293.95</v>
      </c>
      <c r="T287" s="73"/>
    </row>
    <row r="288" spans="1:20" ht="15.75" customHeight="1">
      <c r="B288" s="184"/>
      <c r="C288" s="1"/>
      <c r="D288" s="30"/>
      <c r="F288" s="26"/>
      <c r="G288" s="240"/>
      <c r="I288" s="222"/>
      <c r="J288" s="152"/>
      <c r="L288" s="222"/>
      <c r="M288" s="152"/>
      <c r="N288" s="222"/>
      <c r="O288" s="152"/>
      <c r="Q288" s="222"/>
      <c r="R288" s="152"/>
      <c r="S288" s="242"/>
    </row>
    <row r="289" spans="1:20" ht="15.75" customHeight="1" thickBot="1">
      <c r="B289" s="184"/>
      <c r="C289" s="271" t="s">
        <v>72</v>
      </c>
      <c r="D289" s="292"/>
      <c r="E289" s="272"/>
      <c r="F289" s="359">
        <f>F250-F287</f>
        <v>11979.511578898899</v>
      </c>
      <c r="G289" s="293"/>
      <c r="H289" s="272"/>
      <c r="I289" s="274">
        <f>I250-I287</f>
        <v>0</v>
      </c>
      <c r="J289" s="294"/>
      <c r="K289" s="273"/>
      <c r="L289" s="274">
        <f>L250-L287</f>
        <v>-2468.6200000000063</v>
      </c>
      <c r="M289" s="294"/>
      <c r="N289" s="274">
        <f>N250-N287</f>
        <v>-37742.322084824933</v>
      </c>
      <c r="O289" s="294"/>
      <c r="P289" s="273"/>
      <c r="Q289" s="274">
        <f>Q250-Q287</f>
        <v>3171.3899999999994</v>
      </c>
      <c r="R289" s="294"/>
      <c r="S289" s="276">
        <f>L289-Q289</f>
        <v>-5640.0100000000057</v>
      </c>
      <c r="T289" s="73"/>
    </row>
    <row r="290" spans="1:20" ht="15.75" customHeight="1" thickTop="1">
      <c r="B290" s="184"/>
      <c r="F290" s="26" t="e">
        <f>+F289-#REF!-#REF!-#REF!</f>
        <v>#REF!</v>
      </c>
      <c r="L290" s="26" t="e">
        <f>+L289-#REF!-#REF!-#REF!</f>
        <v>#REF!</v>
      </c>
      <c r="N290" s="26" t="e">
        <f>+N289-#REF!-#REF!-#REF!</f>
        <v>#REF!</v>
      </c>
      <c r="Q290" s="26" t="e">
        <f>+Q289-#REF!-#REF!-#REF!</f>
        <v>#REF!</v>
      </c>
      <c r="S290" s="26" t="e">
        <f>+S289-#REF!-#REF!-#REF!</f>
        <v>#REF!</v>
      </c>
    </row>
    <row r="291" spans="1:20" ht="36" customHeight="1">
      <c r="B291" s="184"/>
      <c r="C291" s="73" t="str">
        <f>C1</f>
        <v>Conso</v>
      </c>
      <c r="D291" s="6"/>
      <c r="E291" s="6"/>
      <c r="F291" s="6"/>
      <c r="G291" s="6"/>
      <c r="H291" s="177"/>
      <c r="I291" s="177"/>
      <c r="J291" s="177"/>
      <c r="K291" s="178" t="s">
        <v>103</v>
      </c>
      <c r="L291" s="6"/>
      <c r="M291" s="6"/>
      <c r="N291" s="177"/>
      <c r="O291" s="177"/>
      <c r="P291" s="6"/>
      <c r="Q291" s="177"/>
      <c r="R291" s="6"/>
      <c r="S291" s="180" t="str">
        <f>$S$1</f>
        <v xml:space="preserve">Réalisé  </v>
      </c>
    </row>
    <row r="292" spans="1:20" ht="15.75" customHeight="1" thickBot="1">
      <c r="B292" s="184"/>
      <c r="C292" s="182"/>
    </row>
    <row r="293" spans="1:20" ht="15.75" customHeight="1" thickTop="1">
      <c r="B293" s="184"/>
      <c r="C293" s="185"/>
      <c r="D293" s="484" t="s">
        <v>5</v>
      </c>
      <c r="E293" s="485"/>
      <c r="F293" s="486"/>
      <c r="G293" s="487" t="s">
        <v>74</v>
      </c>
      <c r="H293" s="485"/>
      <c r="I293" s="486"/>
      <c r="J293" s="487" t="s">
        <v>7</v>
      </c>
      <c r="K293" s="485"/>
      <c r="L293" s="486"/>
      <c r="M293" s="487" t="s">
        <v>9</v>
      </c>
      <c r="N293" s="486"/>
      <c r="O293" s="484" t="s">
        <v>8</v>
      </c>
      <c r="P293" s="485"/>
      <c r="Q293" s="486"/>
      <c r="R293" s="487" t="s">
        <v>217</v>
      </c>
      <c r="S293" s="488"/>
    </row>
    <row r="294" spans="1:20" ht="15.75" customHeight="1">
      <c r="A294" s="23" t="str">
        <f t="shared" ref="A294:A347" si="133">+B294&amp;C294</f>
        <v>Pièces</v>
      </c>
      <c r="B294" s="184" t="s">
        <v>103</v>
      </c>
      <c r="C294" s="1"/>
      <c r="D294" s="175" t="s">
        <v>84</v>
      </c>
      <c r="E294" s="175" t="s">
        <v>104</v>
      </c>
      <c r="F294" s="278" t="s">
        <v>12</v>
      </c>
      <c r="G294" s="279" t="s">
        <v>84</v>
      </c>
      <c r="H294" s="175" t="s">
        <v>104</v>
      </c>
      <c r="I294" s="278" t="s">
        <v>12</v>
      </c>
      <c r="J294" s="279" t="s">
        <v>84</v>
      </c>
      <c r="K294" s="175" t="s">
        <v>104</v>
      </c>
      <c r="L294" s="278" t="s">
        <v>12</v>
      </c>
      <c r="M294" s="279" t="s">
        <v>40</v>
      </c>
      <c r="N294" s="278" t="s">
        <v>12</v>
      </c>
      <c r="O294" s="175" t="s">
        <v>84</v>
      </c>
      <c r="P294" s="175" t="s">
        <v>104</v>
      </c>
      <c r="Q294" s="278" t="s">
        <v>12</v>
      </c>
      <c r="R294" s="279" t="s">
        <v>85</v>
      </c>
      <c r="S294" s="280" t="s">
        <v>12</v>
      </c>
    </row>
    <row r="295" spans="1:20" ht="15.75" customHeight="1">
      <c r="A295" s="23" t="str">
        <f t="shared" si="133"/>
        <v>PiècesPièces Ro Clients</v>
      </c>
      <c r="B295" s="184" t="s">
        <v>103</v>
      </c>
      <c r="C295" s="1" t="s">
        <v>105</v>
      </c>
      <c r="D295" s="26">
        <f>+SUM(START:END!D295)</f>
        <v>475702.10286693089</v>
      </c>
      <c r="E295" s="27">
        <f>IF(D295=0,0,F295/D295)</f>
        <v>0.34200000000000003</v>
      </c>
      <c r="F295" s="242">
        <f>+SUM(START:END!F295)</f>
        <v>162690.11918049038</v>
      </c>
      <c r="G295" s="26">
        <f>+SUM(START:END!G295)</f>
        <v>0</v>
      </c>
      <c r="H295" s="27">
        <f>IF(G295=0,0,I295/G295)</f>
        <v>0</v>
      </c>
      <c r="I295" s="242">
        <f>+SUM(START:END!I295)</f>
        <v>0</v>
      </c>
      <c r="J295" s="198">
        <f>+SUM(START:END!J295)</f>
        <v>286579.28999999998</v>
      </c>
      <c r="K295" s="27">
        <f>IF(J295=0,0,L295/J295)</f>
        <v>0.37497168759124222</v>
      </c>
      <c r="L295" s="201">
        <f>+SUM(START:END!L295)</f>
        <v>107459.12</v>
      </c>
      <c r="M295" s="297">
        <f>(+J295-D295)/D295</f>
        <v>-0.39756564397579425</v>
      </c>
      <c r="N295" s="222">
        <f t="shared" ref="N295:N303" si="134">L295-F295</f>
        <v>-55230.999180490384</v>
      </c>
      <c r="O295" s="198">
        <f>+SUM(START:END!O295)</f>
        <v>326754.74</v>
      </c>
      <c r="P295" s="27">
        <f>IF(O295=0,0,Q295/O295)</f>
        <v>0.34038487092796266</v>
      </c>
      <c r="Q295" s="201">
        <f>+SUM(START:END!Q295)</f>
        <v>111222.37</v>
      </c>
      <c r="R295" s="297">
        <f>IF(O295=0,0,(J295-O295)/O295)</f>
        <v>-0.12295292181530408</v>
      </c>
      <c r="S295" s="242">
        <f t="shared" ref="S295:S304" si="135">L295-Q295</f>
        <v>-3763.25</v>
      </c>
    </row>
    <row r="296" spans="1:20" ht="15.75" customHeight="1">
      <c r="A296" s="23" t="str">
        <f t="shared" si="133"/>
        <v>PiècesPièces Ro Carrosserie</v>
      </c>
      <c r="B296" s="184" t="s">
        <v>103</v>
      </c>
      <c r="C296" s="1" t="s">
        <v>106</v>
      </c>
      <c r="D296" s="26">
        <f>+SUM(START:END!D296)</f>
        <v>184924.92301889084</v>
      </c>
      <c r="E296" s="27">
        <f t="shared" ref="E296:E303" si="136">IF(D296=0,0,F296/D296)</f>
        <v>0.248</v>
      </c>
      <c r="F296" s="242">
        <f>+SUM(START:END!F296)</f>
        <v>45861.380908684929</v>
      </c>
      <c r="G296" s="26">
        <f>+SUM(START:END!G296)</f>
        <v>0</v>
      </c>
      <c r="H296" s="27">
        <f t="shared" ref="H296:H303" si="137">IF(G296=0,0,I296/G296)</f>
        <v>0</v>
      </c>
      <c r="I296" s="242">
        <f>+SUM(START:END!I296)</f>
        <v>0</v>
      </c>
      <c r="J296" s="198">
        <f>+SUM(START:END!J296)</f>
        <v>39612.050000000003</v>
      </c>
      <c r="K296" s="27">
        <f t="shared" ref="K296:K303" si="138">IF(J296=0,0,L296/J296)</f>
        <v>0.23323357412706477</v>
      </c>
      <c r="L296" s="201">
        <f>+SUM(START:END!L296)</f>
        <v>9238.8599999999969</v>
      </c>
      <c r="M296" s="297">
        <f t="shared" ref="M296:M303" si="139">(+J296-D296)/D296</f>
        <v>-0.78579388135825556</v>
      </c>
      <c r="N296" s="222">
        <f t="shared" si="134"/>
        <v>-36622.520908684935</v>
      </c>
      <c r="O296" s="198">
        <f>+SUM(START:END!O296)</f>
        <v>88881.459999999803</v>
      </c>
      <c r="P296" s="27">
        <f t="shared" ref="P296:P303" si="140">IF(O296=0,0,Q296/O296)</f>
        <v>0.29163607348483978</v>
      </c>
      <c r="Q296" s="201">
        <f>+SUM(START:END!Q296)</f>
        <v>25921.03999999979</v>
      </c>
      <c r="R296" s="297">
        <f t="shared" ref="R296:R303" si="141">IF(O296=0,0,(J296-O296)/O296)</f>
        <v>-0.55432719039493628</v>
      </c>
      <c r="S296" s="242">
        <f t="shared" ref="S296:S303" si="142">L296-Q296</f>
        <v>-16682.179999999793</v>
      </c>
    </row>
    <row r="297" spans="1:20" ht="15.75" customHeight="1">
      <c r="A297" s="23" t="str">
        <f t="shared" si="133"/>
        <v>PiècesP/A Garantie</v>
      </c>
      <c r="B297" s="184" t="s">
        <v>103</v>
      </c>
      <c r="C297" s="1" t="s">
        <v>107</v>
      </c>
      <c r="D297" s="26">
        <f>+SUM(START:END!D297)</f>
        <v>176681.1073750873</v>
      </c>
      <c r="E297" s="27">
        <f t="shared" si="136"/>
        <v>0.24299999999999997</v>
      </c>
      <c r="F297" s="242">
        <f>+SUM(START:END!F297)</f>
        <v>42933.509092146211</v>
      </c>
      <c r="G297" s="26">
        <f>+SUM(START:END!G297)</f>
        <v>0</v>
      </c>
      <c r="H297" s="27">
        <f t="shared" si="137"/>
        <v>0</v>
      </c>
      <c r="I297" s="242">
        <f>+SUM(START:END!I297)</f>
        <v>0</v>
      </c>
      <c r="J297" s="198">
        <f>+SUM(START:END!J297)</f>
        <v>117574.34</v>
      </c>
      <c r="K297" s="27">
        <f t="shared" si="138"/>
        <v>0.23678559454384351</v>
      </c>
      <c r="L297" s="201">
        <f>+SUM(START:END!L297)</f>
        <v>27839.91</v>
      </c>
      <c r="M297" s="297">
        <f t="shared" si="139"/>
        <v>-0.33453926259136396</v>
      </c>
      <c r="N297" s="222">
        <f t="shared" si="134"/>
        <v>-15093.599092146211</v>
      </c>
      <c r="O297" s="198">
        <f>+SUM(START:END!O297)</f>
        <v>89492.799999999988</v>
      </c>
      <c r="P297" s="27">
        <f t="shared" si="140"/>
        <v>0.24230195054797585</v>
      </c>
      <c r="Q297" s="201">
        <f>+SUM(START:END!Q297)</f>
        <v>21684.27999999989</v>
      </c>
      <c r="R297" s="297">
        <f>IF(O297=0,0,(J297-O297)/O297)</f>
        <v>0.31378546654032519</v>
      </c>
      <c r="S297" s="242">
        <f t="shared" si="142"/>
        <v>6155.6300000001102</v>
      </c>
    </row>
    <row r="298" spans="1:20" ht="15.75" customHeight="1">
      <c r="A298" s="23" t="str">
        <f t="shared" si="133"/>
        <v>PiècesVentes Internes</v>
      </c>
      <c r="B298" s="184" t="s">
        <v>103</v>
      </c>
      <c r="C298" s="1" t="s">
        <v>108</v>
      </c>
      <c r="D298" s="26">
        <f>+SUM(START:END!D298)</f>
        <v>158053.54972563023</v>
      </c>
      <c r="E298" s="27">
        <f t="shared" si="136"/>
        <v>0.31599999999999995</v>
      </c>
      <c r="F298" s="242">
        <f>+SUM(START:END!F298)</f>
        <v>49944.921713299147</v>
      </c>
      <c r="G298" s="26">
        <f>+SUM(START:END!G298)</f>
        <v>0</v>
      </c>
      <c r="H298" s="27">
        <f t="shared" si="137"/>
        <v>0</v>
      </c>
      <c r="I298" s="242">
        <f>+SUM(START:END!I298)</f>
        <v>0</v>
      </c>
      <c r="J298" s="198">
        <f>+SUM(START:END!J298)</f>
        <v>126929.17</v>
      </c>
      <c r="K298" s="27">
        <f t="shared" si="138"/>
        <v>0.29877742050940698</v>
      </c>
      <c r="L298" s="201">
        <f>+SUM(START:END!L298)</f>
        <v>37923.570000000007</v>
      </c>
      <c r="M298" s="297">
        <f t="shared" si="139"/>
        <v>-0.19692300349887715</v>
      </c>
      <c r="N298" s="222">
        <f t="shared" si="134"/>
        <v>-12021.35171329914</v>
      </c>
      <c r="O298" s="198">
        <f>+SUM(START:END!O298)</f>
        <v>94116.6</v>
      </c>
      <c r="P298" s="27">
        <f t="shared" si="140"/>
        <v>0.32283082899297255</v>
      </c>
      <c r="Q298" s="201">
        <f>+SUM(START:END!Q298)</f>
        <v>30383.74</v>
      </c>
      <c r="R298" s="297">
        <f t="shared" si="141"/>
        <v>0.34863743484146253</v>
      </c>
      <c r="S298" s="242">
        <f t="shared" si="142"/>
        <v>7539.8300000000054</v>
      </c>
    </row>
    <row r="299" spans="1:20" ht="15.75" customHeight="1">
      <c r="A299" s="23" t="str">
        <f t="shared" si="133"/>
        <v>PiècesVentes Détails</v>
      </c>
      <c r="B299" s="184" t="s">
        <v>103</v>
      </c>
      <c r="C299" s="1" t="s">
        <v>109</v>
      </c>
      <c r="D299" s="26">
        <f>+SUM(START:END!D299)</f>
        <v>77968.98000000001</v>
      </c>
      <c r="E299" s="27">
        <f t="shared" si="136"/>
        <v>0.26500000000000001</v>
      </c>
      <c r="F299" s="242">
        <f>+SUM(START:END!F299)</f>
        <v>20661.779700000003</v>
      </c>
      <c r="G299" s="26">
        <f>+SUM(START:END!G299)</f>
        <v>0</v>
      </c>
      <c r="H299" s="27">
        <f t="shared" si="137"/>
        <v>0</v>
      </c>
      <c r="I299" s="242">
        <f>+SUM(START:END!I299)</f>
        <v>0</v>
      </c>
      <c r="J299" s="198">
        <f>+SUM(START:END!J299)</f>
        <v>61192.880000000005</v>
      </c>
      <c r="K299" s="27">
        <f t="shared" si="138"/>
        <v>0.28632612160107507</v>
      </c>
      <c r="L299" s="201">
        <f>+SUM(START:END!L299)</f>
        <v>17521.119999999995</v>
      </c>
      <c r="M299" s="297">
        <f t="shared" si="139"/>
        <v>-0.21516377410606119</v>
      </c>
      <c r="N299" s="222">
        <f t="shared" si="134"/>
        <v>-3140.6597000000074</v>
      </c>
      <c r="O299" s="198">
        <f>+SUM(START:END!O299)</f>
        <v>52784.71</v>
      </c>
      <c r="P299" s="27">
        <f t="shared" si="140"/>
        <v>0.27128196782742581</v>
      </c>
      <c r="Q299" s="201">
        <f>+SUM(START:END!Q299)</f>
        <v>14319.54</v>
      </c>
      <c r="R299" s="297">
        <f t="shared" si="141"/>
        <v>0.15929177218175503</v>
      </c>
      <c r="S299" s="242">
        <f t="shared" si="142"/>
        <v>3201.5799999999945</v>
      </c>
    </row>
    <row r="300" spans="1:20" ht="15.75" customHeight="1">
      <c r="A300" s="23" t="str">
        <f t="shared" si="133"/>
        <v>PiècesVentes de Gros</v>
      </c>
      <c r="B300" s="184" t="s">
        <v>103</v>
      </c>
      <c r="C300" s="1" t="s">
        <v>110</v>
      </c>
      <c r="D300" s="26">
        <f>+SUM(START:END!D300)</f>
        <v>366630.40306375507</v>
      </c>
      <c r="E300" s="27">
        <f t="shared" si="136"/>
        <v>0.14499999999999999</v>
      </c>
      <c r="F300" s="242">
        <f>+SUM(START:END!F300)</f>
        <v>53161.40844424448</v>
      </c>
      <c r="G300" s="26">
        <f>+SUM(START:END!G300)</f>
        <v>0</v>
      </c>
      <c r="H300" s="27">
        <f t="shared" si="137"/>
        <v>0</v>
      </c>
      <c r="I300" s="242">
        <f>+SUM(START:END!I300)</f>
        <v>0</v>
      </c>
      <c r="J300" s="198">
        <f>+SUM(START:END!J300)</f>
        <v>447414.36</v>
      </c>
      <c r="K300" s="27">
        <f t="shared" si="138"/>
        <v>0.14567699615184451</v>
      </c>
      <c r="L300" s="201">
        <f>+SUM(START:END!L300)</f>
        <v>65177.979999999974</v>
      </c>
      <c r="M300" s="297">
        <f t="shared" si="139"/>
        <v>0.22034167450700212</v>
      </c>
      <c r="N300" s="222">
        <f t="shared" si="134"/>
        <v>12016.571555755494</v>
      </c>
      <c r="O300" s="198">
        <f>+SUM(START:END!O300)</f>
        <v>347440.76</v>
      </c>
      <c r="P300" s="27">
        <f t="shared" si="140"/>
        <v>0.1818852802417307</v>
      </c>
      <c r="Q300" s="201">
        <f>+SUM(START:END!Q300)</f>
        <v>63194.359999999899</v>
      </c>
      <c r="R300" s="297">
        <f t="shared" si="141"/>
        <v>0.2877428658629459</v>
      </c>
      <c r="S300" s="242">
        <f t="shared" si="142"/>
        <v>1983.6200000000754</v>
      </c>
    </row>
    <row r="301" spans="1:20" ht="15.75" hidden="1" customHeight="1">
      <c r="A301" s="23" t="str">
        <f t="shared" si="133"/>
        <v>Pièces[...]</v>
      </c>
      <c r="B301" s="184" t="s">
        <v>103</v>
      </c>
      <c r="C301" s="1" t="s">
        <v>20</v>
      </c>
      <c r="D301" s="26">
        <f>+SUM(START:END!D301)</f>
        <v>0</v>
      </c>
      <c r="E301" s="27">
        <f t="shared" si="136"/>
        <v>0</v>
      </c>
      <c r="F301" s="242">
        <f>+SUM(START:END!F301)</f>
        <v>0</v>
      </c>
      <c r="G301" s="26">
        <f>+SUM(START:END!G301)</f>
        <v>0</v>
      </c>
      <c r="H301" s="27">
        <f t="shared" si="137"/>
        <v>0</v>
      </c>
      <c r="I301" s="242">
        <f>+SUM(START:END!I301)</f>
        <v>0</v>
      </c>
      <c r="J301" s="198">
        <f>+SUM(START:END!J301)</f>
        <v>0</v>
      </c>
      <c r="K301" s="27">
        <f t="shared" si="138"/>
        <v>0</v>
      </c>
      <c r="L301" s="201">
        <f>+SUM(START:END!L301)</f>
        <v>0</v>
      </c>
      <c r="M301" s="297" t="e">
        <f t="shared" si="139"/>
        <v>#DIV/0!</v>
      </c>
      <c r="N301" s="222">
        <f t="shared" si="134"/>
        <v>0</v>
      </c>
      <c r="O301" s="198">
        <f>+SUM(START:END!O301)</f>
        <v>0</v>
      </c>
      <c r="P301" s="27">
        <f t="shared" si="140"/>
        <v>0</v>
      </c>
      <c r="Q301" s="201">
        <f>+SUM(START:END!Q301)</f>
        <v>0</v>
      </c>
      <c r="R301" s="297">
        <f t="shared" si="141"/>
        <v>0</v>
      </c>
      <c r="S301" s="242">
        <f t="shared" si="142"/>
        <v>0</v>
      </c>
    </row>
    <row r="302" spans="1:20" ht="15.75" customHeight="1">
      <c r="A302" s="23" t="str">
        <f t="shared" si="133"/>
        <v>PiècesEscomptes</v>
      </c>
      <c r="B302" s="184" t="s">
        <v>103</v>
      </c>
      <c r="C302" s="1" t="s">
        <v>111</v>
      </c>
      <c r="D302" s="26">
        <f>+SUM(START:END!D302)</f>
        <v>0</v>
      </c>
      <c r="E302" s="27">
        <f t="shared" si="136"/>
        <v>0</v>
      </c>
      <c r="F302" s="242">
        <f>+SUM(START:END!F302)</f>
        <v>26347.746515094423</v>
      </c>
      <c r="G302" s="26">
        <f>+SUM(START:END!G302)</f>
        <v>0</v>
      </c>
      <c r="H302" s="27">
        <f t="shared" si="137"/>
        <v>0</v>
      </c>
      <c r="I302" s="242">
        <f>+SUM(START:END!I302)</f>
        <v>0</v>
      </c>
      <c r="J302" s="198">
        <f>+SUM(START:END!J302)</f>
        <v>0</v>
      </c>
      <c r="K302" s="27">
        <f t="shared" si="138"/>
        <v>0</v>
      </c>
      <c r="L302" s="201">
        <f>+SUM(START:END!L302)</f>
        <v>35484.880000000005</v>
      </c>
      <c r="M302" s="297" t="e">
        <f t="shared" si="139"/>
        <v>#DIV/0!</v>
      </c>
      <c r="N302" s="222">
        <f t="shared" si="134"/>
        <v>9137.133484905582</v>
      </c>
      <c r="O302" s="198">
        <f>+SUM(START:END!O302)</f>
        <v>0</v>
      </c>
      <c r="P302" s="27">
        <f t="shared" si="140"/>
        <v>0</v>
      </c>
      <c r="Q302" s="201">
        <f>+SUM(START:END!Q302)</f>
        <v>30376.41</v>
      </c>
      <c r="R302" s="297">
        <f t="shared" si="141"/>
        <v>0</v>
      </c>
      <c r="S302" s="242">
        <f t="shared" si="142"/>
        <v>5108.4700000000048</v>
      </c>
    </row>
    <row r="303" spans="1:20" ht="15.75" customHeight="1">
      <c r="A303" s="23" t="str">
        <f t="shared" si="133"/>
        <v>PiècesRectif. Inventaire</v>
      </c>
      <c r="B303" s="184" t="s">
        <v>103</v>
      </c>
      <c r="C303" s="2" t="s">
        <v>112</v>
      </c>
      <c r="D303" s="26">
        <f>+SUM(START:END!D303)</f>
        <v>0</v>
      </c>
      <c r="E303" s="27">
        <f t="shared" si="136"/>
        <v>0</v>
      </c>
      <c r="F303" s="242">
        <f>+SUM(START:END!F303)</f>
        <v>0</v>
      </c>
      <c r="G303" s="26">
        <f>+SUM(START:END!G303)</f>
        <v>0</v>
      </c>
      <c r="H303" s="27">
        <f t="shared" si="137"/>
        <v>0</v>
      </c>
      <c r="I303" s="242">
        <f>+SUM(START:END!I303)</f>
        <v>0</v>
      </c>
      <c r="J303" s="198">
        <f>+SUM(START:END!J303)</f>
        <v>0</v>
      </c>
      <c r="K303" s="27">
        <f t="shared" si="138"/>
        <v>0</v>
      </c>
      <c r="L303" s="201">
        <f>+SUM(START:END!L303)</f>
        <v>0</v>
      </c>
      <c r="M303" s="297" t="e">
        <f t="shared" si="139"/>
        <v>#DIV/0!</v>
      </c>
      <c r="N303" s="222">
        <f t="shared" si="134"/>
        <v>0</v>
      </c>
      <c r="O303" s="198">
        <f>+SUM(START:END!O303)</f>
        <v>0</v>
      </c>
      <c r="P303" s="27">
        <f t="shared" si="140"/>
        <v>0</v>
      </c>
      <c r="Q303" s="201">
        <f>+SUM(START:END!Q303)</f>
        <v>0</v>
      </c>
      <c r="R303" s="297">
        <f t="shared" si="141"/>
        <v>0</v>
      </c>
      <c r="S303" s="242">
        <f t="shared" si="142"/>
        <v>0</v>
      </c>
    </row>
    <row r="304" spans="1:20" ht="15.75" customHeight="1">
      <c r="A304" s="23" t="str">
        <f t="shared" si="133"/>
        <v>PiècesSous-total Pièces</v>
      </c>
      <c r="B304" s="184" t="s">
        <v>103</v>
      </c>
      <c r="C304" s="22" t="s">
        <v>113</v>
      </c>
      <c r="D304" s="83">
        <f>SUM(D295:D303)</f>
        <v>1439961.0660502943</v>
      </c>
      <c r="E304" s="78">
        <f>IF(D304&lt;=0,0,F304/D304)</f>
        <v>0.27889703063675236</v>
      </c>
      <c r="F304" s="331">
        <f>SUM(F295:F303)</f>
        <v>401600.86555395956</v>
      </c>
      <c r="G304" s="83">
        <f>SUM(G295:G303)</f>
        <v>0</v>
      </c>
      <c r="H304" s="78">
        <f>IF(G304&lt;=0,0,I304/G304)</f>
        <v>0</v>
      </c>
      <c r="I304" s="331">
        <f>SUM(I295:I303)</f>
        <v>0</v>
      </c>
      <c r="J304" s="83">
        <f>SUM(J295:J303)</f>
        <v>1079302.0899999999</v>
      </c>
      <c r="K304" s="78">
        <f>IF(J304&lt;=0,0,L304/J304)</f>
        <v>0.27855541352653174</v>
      </c>
      <c r="L304" s="330">
        <f>SUM(L295:L303)</f>
        <v>300645.43999999994</v>
      </c>
      <c r="M304" s="366">
        <f>(+J304-D304)/D304</f>
        <v>-0.2504643941794587</v>
      </c>
      <c r="N304" s="330">
        <f>SUM(N295:N303)</f>
        <v>-100955.42555395959</v>
      </c>
      <c r="O304" s="83">
        <f>SUM(O295:O303)</f>
        <v>999471.06999999972</v>
      </c>
      <c r="P304" s="78">
        <f>IF(O304&lt;=0,0,Q304/O304)</f>
        <v>0.29725896918657152</v>
      </c>
      <c r="Q304" s="330">
        <f>SUM(Q295:Q303)</f>
        <v>297101.73999999958</v>
      </c>
      <c r="R304" s="366">
        <f>IF(O304=0,0,(J304-O304)/O304)</f>
        <v>7.9873267367308751E-2</v>
      </c>
      <c r="S304" s="331">
        <f t="shared" si="135"/>
        <v>3543.7000000003609</v>
      </c>
    </row>
    <row r="305" spans="1:19" ht="15.75" customHeight="1">
      <c r="A305" s="23" t="str">
        <f t="shared" si="133"/>
        <v>Pièces</v>
      </c>
      <c r="B305" s="184" t="s">
        <v>103</v>
      </c>
      <c r="C305" s="1"/>
      <c r="F305" s="208"/>
      <c r="G305" s="152"/>
      <c r="I305" s="208"/>
      <c r="J305" s="152"/>
      <c r="L305" s="208"/>
      <c r="M305" s="152"/>
      <c r="N305" s="171">
        <f>N304/F304</f>
        <v>-0.25138248996227597</v>
      </c>
      <c r="O305" s="152"/>
      <c r="Q305" s="208"/>
      <c r="R305" s="152"/>
      <c r="S305" s="209">
        <f>IF(Q304=0,0,S304/Q304)</f>
        <v>1.1927563938199642E-2</v>
      </c>
    </row>
    <row r="306" spans="1:19" ht="15.75" customHeight="1">
      <c r="A306" s="23" t="str">
        <f t="shared" si="133"/>
        <v>Pièces</v>
      </c>
      <c r="B306" s="184" t="s">
        <v>103</v>
      </c>
      <c r="C306" s="2"/>
      <c r="D306" s="7"/>
      <c r="E306" s="7"/>
      <c r="F306" s="367"/>
      <c r="G306" s="153"/>
      <c r="H306" s="368"/>
      <c r="I306" s="367"/>
      <c r="J306" s="153"/>
      <c r="K306" s="7"/>
      <c r="L306" s="367"/>
      <c r="M306" s="153"/>
      <c r="N306" s="303"/>
      <c r="O306" s="153"/>
      <c r="P306" s="7"/>
      <c r="Q306" s="367"/>
      <c r="R306" s="153"/>
      <c r="S306" s="304"/>
    </row>
    <row r="307" spans="1:19" ht="15.75" customHeight="1">
      <c r="A307" s="23" t="str">
        <f t="shared" si="133"/>
        <v>PiècesVentes Pneus</v>
      </c>
      <c r="B307" s="184" t="s">
        <v>103</v>
      </c>
      <c r="C307" s="1" t="s">
        <v>114</v>
      </c>
      <c r="D307" s="26">
        <f>+SUM(START:END!D307)</f>
        <v>172364.34500000003</v>
      </c>
      <c r="E307" s="27">
        <f t="shared" ref="E307:E308" si="143">IF(D307=0,0,F307/D307)</f>
        <v>0.17999999999999997</v>
      </c>
      <c r="F307" s="259">
        <f>+SUM(START:END!F307)</f>
        <v>31025.5821</v>
      </c>
      <c r="G307" s="26">
        <f>+SUM(START:END!G307)</f>
        <v>0</v>
      </c>
      <c r="H307" s="27">
        <f t="shared" ref="H307:H308" si="144">IF(G307=0,0,I307/G307)</f>
        <v>0</v>
      </c>
      <c r="I307" s="259">
        <f>+SUM(START:END!I307)</f>
        <v>0</v>
      </c>
      <c r="J307" s="198">
        <f>+SUM(START:END!J307)</f>
        <v>82639.78</v>
      </c>
      <c r="K307" s="27">
        <f t="shared" ref="K307:K308" si="145">IF(J307=0,0,L307/J307)</f>
        <v>0.16646256802716569</v>
      </c>
      <c r="L307" s="201">
        <f>+SUM(START:END!L307)</f>
        <v>13756.430000000008</v>
      </c>
      <c r="M307" s="297">
        <f t="shared" ref="M307:M308" si="146">(+J307-D307)/D307</f>
        <v>-0.52055177072729286</v>
      </c>
      <c r="N307" s="222">
        <f t="shared" ref="N307:N308" si="147">L307-F307</f>
        <v>-17269.152099999992</v>
      </c>
      <c r="O307" s="198">
        <f>+SUM(START:END!O307)</f>
        <v>85572.639999999985</v>
      </c>
      <c r="P307" s="27">
        <f t="shared" ref="P307:P308" si="148">IF(O307=0,0,Q307/O307)</f>
        <v>0.18314311677190259</v>
      </c>
      <c r="Q307" s="201">
        <f>+SUM(START:END!Q307)</f>
        <v>15672.039999999981</v>
      </c>
      <c r="R307" s="297">
        <f t="shared" ref="R307:R308" si="149">IF(O307=0,0,(J307-O307)/O307)</f>
        <v>-3.4273337833213825E-2</v>
      </c>
      <c r="S307" s="242">
        <f t="shared" ref="S307:S308" si="150">L307-Q307</f>
        <v>-1915.6099999999733</v>
      </c>
    </row>
    <row r="308" spans="1:19" ht="15.75" customHeight="1">
      <c r="A308" s="23" t="str">
        <f t="shared" si="133"/>
        <v>PiècesHuiles et Graisse</v>
      </c>
      <c r="B308" s="184" t="s">
        <v>103</v>
      </c>
      <c r="C308" s="2" t="s">
        <v>115</v>
      </c>
      <c r="D308" s="26">
        <f>+SUM(START:END!D308)</f>
        <v>92062.308495676276</v>
      </c>
      <c r="E308" s="27">
        <f t="shared" si="143"/>
        <v>0.26</v>
      </c>
      <c r="F308" s="248">
        <f>+SUM(START:END!F308)</f>
        <v>23936.200208875831</v>
      </c>
      <c r="G308" s="26">
        <f>+SUM(START:END!G308)</f>
        <v>0</v>
      </c>
      <c r="H308" s="27">
        <f t="shared" si="144"/>
        <v>0</v>
      </c>
      <c r="I308" s="248">
        <f>+SUM(START:END!I308)</f>
        <v>0</v>
      </c>
      <c r="J308" s="198">
        <f>+SUM(START:END!J308)</f>
        <v>74685.94</v>
      </c>
      <c r="K308" s="27">
        <f t="shared" si="145"/>
        <v>0.26268786333813299</v>
      </c>
      <c r="L308" s="201">
        <f>+SUM(START:END!L308)</f>
        <v>19619.09</v>
      </c>
      <c r="M308" s="297">
        <f t="shared" si="146"/>
        <v>-0.18874573948460524</v>
      </c>
      <c r="N308" s="222">
        <f t="shared" si="147"/>
        <v>-4317.1102088758307</v>
      </c>
      <c r="O308" s="198">
        <f>+SUM(START:END!O308)</f>
        <v>70873.209999999992</v>
      </c>
      <c r="P308" s="27">
        <f t="shared" si="148"/>
        <v>0.25936669158910669</v>
      </c>
      <c r="Q308" s="201">
        <f>+SUM(START:END!Q308)</f>
        <v>18382.149999999991</v>
      </c>
      <c r="R308" s="297">
        <f t="shared" si="149"/>
        <v>5.3796490944886102E-2</v>
      </c>
      <c r="S308" s="242">
        <f t="shared" si="150"/>
        <v>1236.9400000000096</v>
      </c>
    </row>
    <row r="309" spans="1:19" ht="15.75" customHeight="1">
      <c r="A309" s="23" t="str">
        <f t="shared" si="133"/>
        <v>PiècesSous-total Pièces et Acc.</v>
      </c>
      <c r="B309" s="184" t="s">
        <v>103</v>
      </c>
      <c r="C309" s="22" t="s">
        <v>116</v>
      </c>
      <c r="D309" s="83">
        <f>D304+D307+D308</f>
        <v>1704387.7195459707</v>
      </c>
      <c r="E309" s="78">
        <f>IF(D309&lt;=0,0,F309/D309)</f>
        <v>0.26787487531561094</v>
      </c>
      <c r="F309" s="330">
        <f t="shared" ref="F309" si="151">F304+F307+F308</f>
        <v>456562.64786283538</v>
      </c>
      <c r="G309" s="329">
        <f>G304+G307+G308</f>
        <v>0</v>
      </c>
      <c r="H309" s="78">
        <f>IF(G309&lt;=0,0,I309/G309)</f>
        <v>0</v>
      </c>
      <c r="I309" s="330">
        <f t="shared" ref="I309" si="152">I304+I307+I308</f>
        <v>0</v>
      </c>
      <c r="J309" s="329">
        <f>J304+J307+J308</f>
        <v>1236627.8099999998</v>
      </c>
      <c r="K309" s="78">
        <f>IF(J309&lt;=0,0,L309/J309)</f>
        <v>0.2701062981916928</v>
      </c>
      <c r="L309" s="330">
        <f t="shared" ref="L309:N309" si="153">L304+L307+L308</f>
        <v>334020.95999999996</v>
      </c>
      <c r="M309" s="366">
        <f>(+J309-D309)/D309</f>
        <v>-0.27444454344612196</v>
      </c>
      <c r="N309" s="330">
        <f t="shared" si="153"/>
        <v>-122541.68786283542</v>
      </c>
      <c r="O309" s="329">
        <f>O304+O307+O308</f>
        <v>1155916.9199999997</v>
      </c>
      <c r="P309" s="78">
        <f>IF(O309&lt;=0,0,Q309/O309)</f>
        <v>0.28648765691568873</v>
      </c>
      <c r="Q309" s="330">
        <f t="shared" ref="Q309" si="154">Q304+Q307+Q308</f>
        <v>331155.92999999953</v>
      </c>
      <c r="R309" s="366">
        <f>IF(O309=0,0,(J309-O309)/O309)</f>
        <v>6.9824127152667823E-2</v>
      </c>
      <c r="S309" s="331">
        <f t="shared" ref="S309" si="155">L309-Q309</f>
        <v>2865.0300000004354</v>
      </c>
    </row>
    <row r="310" spans="1:19" ht="15.75" customHeight="1">
      <c r="A310" s="23" t="str">
        <f t="shared" si="133"/>
        <v>Pièces</v>
      </c>
      <c r="B310" s="184" t="s">
        <v>103</v>
      </c>
      <c r="C310" s="1"/>
      <c r="F310" s="208"/>
      <c r="G310" s="152"/>
      <c r="I310" s="208"/>
      <c r="J310" s="152"/>
      <c r="L310" s="208"/>
      <c r="M310" s="152"/>
      <c r="N310" s="171">
        <f>N309/F309</f>
        <v>-0.26840059833289404</v>
      </c>
      <c r="O310" s="152"/>
      <c r="Q310" s="208"/>
      <c r="R310" s="152"/>
      <c r="S310" s="209">
        <f>IF(Q309=0,0,S309/Q309)</f>
        <v>8.6516040947853153E-3</v>
      </c>
    </row>
    <row r="311" spans="1:19" ht="15.75" customHeight="1">
      <c r="A311" s="23" t="str">
        <f t="shared" si="133"/>
        <v>PiècesPièces recond. MCPA</v>
      </c>
      <c r="B311" s="184" t="s">
        <v>103</v>
      </c>
      <c r="C311" s="1" t="s">
        <v>196</v>
      </c>
      <c r="D311" s="26">
        <f>+SUM(START:END!D311)</f>
        <v>0</v>
      </c>
      <c r="E311" s="27">
        <f t="shared" ref="E311:E312" si="156">IF(D311=0,0,F311/D311)</f>
        <v>0</v>
      </c>
      <c r="F311" s="222">
        <f>+SUM(START:END!F311)</f>
        <v>0</v>
      </c>
      <c r="G311" s="223">
        <f>+SUM(START:END!G311)</f>
        <v>0</v>
      </c>
      <c r="H311" s="27">
        <f t="shared" ref="H311:H312" si="157">IF(G311=0,0,I311/G311)</f>
        <v>0</v>
      </c>
      <c r="I311" s="222">
        <f>+SUM(START:END!I311)</f>
        <v>0</v>
      </c>
      <c r="J311" s="199">
        <f>+SUM(START:END!J311)</f>
        <v>0</v>
      </c>
      <c r="K311" s="27">
        <f t="shared" ref="K311:K312" si="158">IF(J311=0,0,L311/J311)</f>
        <v>0</v>
      </c>
      <c r="L311" s="201">
        <f>+SUM(START:END!L311)</f>
        <v>0</v>
      </c>
      <c r="M311" s="27" t="e">
        <f t="shared" ref="M311:M312" si="159">(+J311-D311)/D311</f>
        <v>#DIV/0!</v>
      </c>
      <c r="N311" s="222">
        <f t="shared" ref="N311:N312" si="160">L311-F311</f>
        <v>0</v>
      </c>
      <c r="O311" s="199">
        <f>+SUM(START:END!O311)</f>
        <v>0</v>
      </c>
      <c r="P311" s="27">
        <f t="shared" ref="P311:P312" si="161">IF(O311=0,0,Q311/O311)</f>
        <v>0</v>
      </c>
      <c r="Q311" s="201">
        <f>+SUM(START:END!Q311)</f>
        <v>0</v>
      </c>
      <c r="R311" s="27">
        <f t="shared" ref="R311:R312" si="162">IF(O311=0,0,(J311-O311)/O311)</f>
        <v>0</v>
      </c>
      <c r="S311" s="242">
        <f t="shared" ref="S311:S312" si="163">L311-Q311</f>
        <v>0</v>
      </c>
    </row>
    <row r="312" spans="1:19" ht="15.75" customHeight="1">
      <c r="A312" s="23" t="str">
        <f t="shared" si="133"/>
        <v>PiècesAutostock</v>
      </c>
      <c r="B312" s="184" t="s">
        <v>103</v>
      </c>
      <c r="C312" s="2" t="s">
        <v>117</v>
      </c>
      <c r="D312" s="245">
        <f>+SUM(START:END!D312)</f>
        <v>0</v>
      </c>
      <c r="E312" s="306">
        <f t="shared" si="156"/>
        <v>0</v>
      </c>
      <c r="F312" s="369">
        <f>+SUM(START:END!F312)</f>
        <v>0</v>
      </c>
      <c r="G312" s="308">
        <f>+SUM(START:END!G312)</f>
        <v>0</v>
      </c>
      <c r="H312" s="306">
        <f t="shared" si="157"/>
        <v>0</v>
      </c>
      <c r="I312" s="369">
        <f>+SUM(START:END!I312)</f>
        <v>0</v>
      </c>
      <c r="J312" s="211">
        <f>+SUM(START:END!J312)</f>
        <v>0</v>
      </c>
      <c r="K312" s="11">
        <f t="shared" si="158"/>
        <v>0</v>
      </c>
      <c r="L312" s="193">
        <f>+SUM(START:END!L312)</f>
        <v>0</v>
      </c>
      <c r="M312" s="11" t="e">
        <f t="shared" si="159"/>
        <v>#DIV/0!</v>
      </c>
      <c r="N312" s="247">
        <f t="shared" si="160"/>
        <v>0</v>
      </c>
      <c r="O312" s="211">
        <f>+SUM(START:END!O312)</f>
        <v>0</v>
      </c>
      <c r="P312" s="11">
        <f t="shared" si="161"/>
        <v>0</v>
      </c>
      <c r="Q312" s="193">
        <f>+SUM(START:END!Q312)</f>
        <v>0</v>
      </c>
      <c r="R312" s="11">
        <f t="shared" si="162"/>
        <v>0</v>
      </c>
      <c r="S312" s="248">
        <f t="shared" si="163"/>
        <v>0</v>
      </c>
    </row>
    <row r="313" spans="1:19" ht="15.75" customHeight="1" thickBot="1">
      <c r="A313" s="23" t="str">
        <f t="shared" si="133"/>
        <v>Pièces</v>
      </c>
      <c r="B313" s="184" t="s">
        <v>103</v>
      </c>
      <c r="C313" s="1"/>
      <c r="D313" s="26"/>
      <c r="E313" s="27"/>
      <c r="F313" s="222"/>
      <c r="G313" s="223"/>
      <c r="H313" s="27"/>
      <c r="I313" s="222"/>
      <c r="J313" s="223"/>
      <c r="K313" s="27"/>
      <c r="L313" s="222"/>
      <c r="M313" s="297"/>
      <c r="N313" s="222"/>
      <c r="O313" s="223"/>
      <c r="P313" s="27"/>
      <c r="Q313" s="222"/>
      <c r="R313" s="297"/>
      <c r="S313" s="242"/>
    </row>
    <row r="314" spans="1:19" ht="15.75" customHeight="1" thickTop="1">
      <c r="A314" s="23" t="str">
        <f t="shared" si="133"/>
        <v>PiècesTotal Dépt. Pièces</v>
      </c>
      <c r="B314" s="184" t="s">
        <v>103</v>
      </c>
      <c r="C314" s="225" t="s">
        <v>118</v>
      </c>
      <c r="D314" s="226">
        <f>D309+D312+D311</f>
        <v>1704387.7195459707</v>
      </c>
      <c r="E314" s="370">
        <f>IF(D314&lt;=0,0,F314/D314)</f>
        <v>0.26787487531561094</v>
      </c>
      <c r="F314" s="228">
        <f>F309+F312+F311</f>
        <v>456562.64786283538</v>
      </c>
      <c r="G314" s="229">
        <f>G309+G312+G311</f>
        <v>0</v>
      </c>
      <c r="H314" s="370">
        <f>IF(G314&lt;=0,0,I314/G314)</f>
        <v>0</v>
      </c>
      <c r="I314" s="228">
        <f>I309+I312+I311</f>
        <v>0</v>
      </c>
      <c r="J314" s="229">
        <f>J309+J312+J311</f>
        <v>1236627.8099999998</v>
      </c>
      <c r="K314" s="370">
        <f>IF(J314&lt;=0,0,L314/J314)</f>
        <v>0.2701062981916928</v>
      </c>
      <c r="L314" s="228">
        <f>L309+L312+L311</f>
        <v>334020.95999999996</v>
      </c>
      <c r="M314" s="371">
        <f>(+J314-D314)/D314</f>
        <v>-0.27444454344612196</v>
      </c>
      <c r="N314" s="228">
        <f>N309+N312+N311</f>
        <v>-122541.68786283542</v>
      </c>
      <c r="O314" s="229">
        <f>O309+O312+O311</f>
        <v>1155916.9199999997</v>
      </c>
      <c r="P314" s="370">
        <f>IF(O314&lt;=0,0,Q314/O314)</f>
        <v>0.28648765691568873</v>
      </c>
      <c r="Q314" s="228">
        <f>Q309+Q312+Q311</f>
        <v>331155.92999999953</v>
      </c>
      <c r="R314" s="371">
        <f>IF(O314=0,0,(J314-O314)/O314)</f>
        <v>6.9824127152667823E-2</v>
      </c>
      <c r="S314" s="373">
        <f>L314-Q314</f>
        <v>2865.0300000004354</v>
      </c>
    </row>
    <row r="315" spans="1:19" ht="15.75" customHeight="1" thickBot="1">
      <c r="A315" s="23" t="str">
        <f t="shared" si="133"/>
        <v>Pièces</v>
      </c>
      <c r="B315" s="184" t="s">
        <v>103</v>
      </c>
      <c r="C315" s="374"/>
      <c r="D315" s="375"/>
      <c r="E315" s="376"/>
      <c r="F315" s="377"/>
      <c r="G315" s="378"/>
      <c r="H315" s="376"/>
      <c r="I315" s="377"/>
      <c r="J315" s="378"/>
      <c r="K315" s="376"/>
      <c r="L315" s="377"/>
      <c r="M315" s="379"/>
      <c r="N315" s="166">
        <f>N314/F314</f>
        <v>-0.26840059833289404</v>
      </c>
      <c r="O315" s="378"/>
      <c r="P315" s="376"/>
      <c r="Q315" s="377"/>
      <c r="R315" s="379"/>
      <c r="S315" s="237">
        <f>IF(Q314=0,0,S314/Q314)</f>
        <v>8.6516040947853153E-3</v>
      </c>
    </row>
    <row r="316" spans="1:19" ht="15.75" customHeight="1" thickTop="1">
      <c r="A316" s="23" t="str">
        <f t="shared" si="133"/>
        <v>Pièces</v>
      </c>
      <c r="B316" s="184" t="s">
        <v>103</v>
      </c>
      <c r="C316" s="22"/>
      <c r="D316" s="87"/>
      <c r="E316" s="312"/>
      <c r="F316" s="313"/>
      <c r="G316" s="319"/>
      <c r="H316" s="312"/>
      <c r="I316" s="313"/>
      <c r="J316" s="319"/>
      <c r="K316" s="312"/>
      <c r="L316" s="313"/>
      <c r="M316" s="152"/>
      <c r="N316" s="171"/>
      <c r="O316" s="319"/>
      <c r="P316" s="312"/>
      <c r="Q316" s="313"/>
      <c r="R316" s="152"/>
      <c r="S316" s="209"/>
    </row>
    <row r="317" spans="1:19" ht="15.75" customHeight="1">
      <c r="A317" s="23" t="str">
        <f t="shared" si="133"/>
        <v>PiècesDEPENSES</v>
      </c>
      <c r="B317" s="184" t="s">
        <v>103</v>
      </c>
      <c r="C317" s="239" t="s">
        <v>30</v>
      </c>
      <c r="F317" s="222"/>
      <c r="G317" s="152"/>
      <c r="I317" s="222"/>
      <c r="J317" s="152"/>
      <c r="L317" s="208"/>
      <c r="M317" s="152"/>
      <c r="N317" s="208"/>
      <c r="O317" s="152"/>
      <c r="Q317" s="208"/>
      <c r="R317" s="152"/>
      <c r="S317" s="224"/>
    </row>
    <row r="318" spans="1:19" ht="15.75" customHeight="1">
      <c r="A318" s="23" t="str">
        <f t="shared" si="133"/>
        <v>PiècesSalaires cadres</v>
      </c>
      <c r="B318" s="184" t="s">
        <v>103</v>
      </c>
      <c r="C318" s="1" t="s">
        <v>41</v>
      </c>
      <c r="F318" s="198">
        <f>+SUM(START:END!F318)</f>
        <v>20897.150000000001</v>
      </c>
      <c r="G318" s="152"/>
      <c r="I318" s="198">
        <f>+SUM(START:END!I318)</f>
        <v>0</v>
      </c>
      <c r="J318" s="152"/>
      <c r="L318" s="201">
        <f>+SUM(START:END!L318)</f>
        <v>20510.93</v>
      </c>
      <c r="M318" s="152"/>
      <c r="N318" s="380">
        <f t="shared" ref="N318:N328" si="164">L318-F318</f>
        <v>-386.22000000000116</v>
      </c>
      <c r="O318" s="152"/>
      <c r="Q318" s="201">
        <f>+SUM(START:END!Q318)</f>
        <v>20299.759999999998</v>
      </c>
      <c r="R318" s="152"/>
      <c r="S318" s="202">
        <f>L318-Q318</f>
        <v>211.17000000000189</v>
      </c>
    </row>
    <row r="319" spans="1:19" ht="15.75" customHeight="1">
      <c r="A319" s="23" t="str">
        <f t="shared" si="133"/>
        <v>PiècesSalaires commis</v>
      </c>
      <c r="B319" s="184" t="s">
        <v>103</v>
      </c>
      <c r="C319" s="2" t="s">
        <v>42</v>
      </c>
      <c r="D319" s="30"/>
      <c r="F319" s="193">
        <f>+SUM(START:END!F319)</f>
        <v>86014.776000000013</v>
      </c>
      <c r="G319" s="240"/>
      <c r="I319" s="193">
        <f>+SUM(START:END!I319)</f>
        <v>0</v>
      </c>
      <c r="J319" s="152"/>
      <c r="L319" s="201">
        <f>+SUM(START:END!L319)</f>
        <v>78342.179999999993</v>
      </c>
      <c r="M319" s="152"/>
      <c r="N319" s="222">
        <f t="shared" si="164"/>
        <v>-7672.5960000000196</v>
      </c>
      <c r="O319" s="152"/>
      <c r="Q319" s="201">
        <f>+SUM(START:END!Q319)</f>
        <v>74125.64</v>
      </c>
      <c r="R319" s="152"/>
      <c r="S319" s="242">
        <f t="shared" ref="S319:S328" si="165">L319-Q319</f>
        <v>4216.5399999999936</v>
      </c>
    </row>
    <row r="320" spans="1:19" ht="15.75" customHeight="1">
      <c r="A320" s="23" t="str">
        <f t="shared" si="133"/>
        <v>PiècesSalaires autres</v>
      </c>
      <c r="B320" s="184" t="s">
        <v>103</v>
      </c>
      <c r="C320" s="1" t="s">
        <v>43</v>
      </c>
      <c r="D320" s="52"/>
      <c r="E320" s="53"/>
      <c r="F320" s="198">
        <f>+SUM(START:END!F320)</f>
        <v>455.8</v>
      </c>
      <c r="G320" s="256"/>
      <c r="H320" s="53"/>
      <c r="I320" s="198">
        <f>+SUM(START:END!I320)</f>
        <v>0</v>
      </c>
      <c r="J320" s="154"/>
      <c r="K320" s="53"/>
      <c r="L320" s="257">
        <f>+SUM(START:END!L320)</f>
        <v>1009.11</v>
      </c>
      <c r="M320" s="154"/>
      <c r="N320" s="258">
        <f t="shared" si="164"/>
        <v>553.30999999999995</v>
      </c>
      <c r="O320" s="154"/>
      <c r="P320" s="53"/>
      <c r="Q320" s="257">
        <f>+SUM(START:END!Q320)</f>
        <v>4209.2</v>
      </c>
      <c r="R320" s="154"/>
      <c r="S320" s="259">
        <f t="shared" si="165"/>
        <v>-3200.0899999999997</v>
      </c>
    </row>
    <row r="321" spans="1:19" ht="15.75" customHeight="1">
      <c r="A321" s="23" t="str">
        <f t="shared" si="133"/>
        <v>PiècesSalaires spécialistes</v>
      </c>
      <c r="B321" s="184" t="s">
        <v>103</v>
      </c>
      <c r="C321" s="1" t="s">
        <v>44</v>
      </c>
      <c r="D321" s="30"/>
      <c r="F321" s="198">
        <f>+SUM(START:END!F321)</f>
        <v>0</v>
      </c>
      <c r="G321" s="240"/>
      <c r="I321" s="198">
        <f>+SUM(START:END!I321)</f>
        <v>0</v>
      </c>
      <c r="J321" s="152"/>
      <c r="L321" s="201">
        <f>+SUM(START:END!L321)</f>
        <v>0</v>
      </c>
      <c r="M321" s="152"/>
      <c r="N321" s="222">
        <f t="shared" si="164"/>
        <v>0</v>
      </c>
      <c r="O321" s="152"/>
      <c r="Q321" s="201">
        <f>+SUM(START:END!Q321)</f>
        <v>0</v>
      </c>
      <c r="R321" s="152"/>
      <c r="S321" s="242">
        <f t="shared" si="165"/>
        <v>0</v>
      </c>
    </row>
    <row r="322" spans="1:19" ht="15.75" hidden="1" customHeight="1">
      <c r="A322" s="23" t="str">
        <f t="shared" si="133"/>
        <v>Pièces[...]</v>
      </c>
      <c r="B322" s="184" t="s">
        <v>103</v>
      </c>
      <c r="C322" s="381" t="s">
        <v>20</v>
      </c>
      <c r="D322" s="30"/>
      <c r="F322" s="198">
        <f>+SUM(START:END!F322)</f>
        <v>0</v>
      </c>
      <c r="G322" s="240"/>
      <c r="I322" s="198">
        <f>+SUM(START:END!I322)</f>
        <v>0</v>
      </c>
      <c r="J322" s="152"/>
      <c r="L322" s="201">
        <f>+SUM(START:END!L322)</f>
        <v>0</v>
      </c>
      <c r="M322" s="152"/>
      <c r="N322" s="222">
        <f t="shared" si="164"/>
        <v>0</v>
      </c>
      <c r="O322" s="152"/>
      <c r="Q322" s="201">
        <f>+SUM(START:END!Q322)</f>
        <v>0</v>
      </c>
      <c r="R322" s="152"/>
      <c r="S322" s="242">
        <f t="shared" si="165"/>
        <v>0</v>
      </c>
    </row>
    <row r="323" spans="1:19" ht="15.75" hidden="1" customHeight="1">
      <c r="A323" s="23" t="str">
        <f t="shared" si="133"/>
        <v>Pièces[...]</v>
      </c>
      <c r="B323" s="184" t="s">
        <v>103</v>
      </c>
      <c r="C323" s="381" t="s">
        <v>20</v>
      </c>
      <c r="D323" s="30"/>
      <c r="F323" s="198">
        <f>+SUM(START:END!F323)</f>
        <v>0</v>
      </c>
      <c r="G323" s="240"/>
      <c r="I323" s="198">
        <f>+SUM(START:END!I323)</f>
        <v>0</v>
      </c>
      <c r="J323" s="152"/>
      <c r="L323" s="201">
        <f>+SUM(START:END!L323)</f>
        <v>0</v>
      </c>
      <c r="M323" s="152"/>
      <c r="N323" s="222">
        <f t="shared" si="164"/>
        <v>0</v>
      </c>
      <c r="O323" s="152"/>
      <c r="Q323" s="201">
        <f>+SUM(START:END!Q323)</f>
        <v>0</v>
      </c>
      <c r="R323" s="152"/>
      <c r="S323" s="242">
        <f t="shared" si="165"/>
        <v>0</v>
      </c>
    </row>
    <row r="324" spans="1:19" ht="15.75" hidden="1" customHeight="1">
      <c r="A324" s="23" t="str">
        <f t="shared" si="133"/>
        <v>Pièces[...]</v>
      </c>
      <c r="B324" s="184" t="s">
        <v>103</v>
      </c>
      <c r="C324" s="381" t="s">
        <v>20</v>
      </c>
      <c r="D324" s="30"/>
      <c r="F324" s="198">
        <f>+SUM(START:END!F324)</f>
        <v>0</v>
      </c>
      <c r="G324" s="240"/>
      <c r="I324" s="198">
        <f>+SUM(START:END!I324)</f>
        <v>0</v>
      </c>
      <c r="J324" s="152"/>
      <c r="L324" s="201">
        <f>+SUM(START:END!L324)</f>
        <v>0</v>
      </c>
      <c r="M324" s="152"/>
      <c r="N324" s="222">
        <f t="shared" si="164"/>
        <v>0</v>
      </c>
      <c r="O324" s="152"/>
      <c r="Q324" s="201">
        <f>+SUM(START:END!Q324)</f>
        <v>0</v>
      </c>
      <c r="R324" s="152"/>
      <c r="S324" s="242">
        <f t="shared" si="165"/>
        <v>0</v>
      </c>
    </row>
    <row r="325" spans="1:19" ht="15.75" customHeight="1">
      <c r="A325" s="23" t="str">
        <f t="shared" si="133"/>
        <v>PiècesSalaires en absences</v>
      </c>
      <c r="B325" s="184" t="s">
        <v>103</v>
      </c>
      <c r="C325" s="2" t="s">
        <v>45</v>
      </c>
      <c r="D325" s="30"/>
      <c r="F325" s="193">
        <f>+SUM(START:END!F325)</f>
        <v>13169.510101</v>
      </c>
      <c r="G325" s="240"/>
      <c r="I325" s="193">
        <f>+SUM(START:END!I325)</f>
        <v>0</v>
      </c>
      <c r="J325" s="152"/>
      <c r="L325" s="201">
        <f>+SUM(START:END!L325)</f>
        <v>12129.76</v>
      </c>
      <c r="M325" s="152"/>
      <c r="N325" s="222">
        <f t="shared" si="164"/>
        <v>-1039.7501009999996</v>
      </c>
      <c r="O325" s="152"/>
      <c r="Q325" s="201">
        <f>+SUM(START:END!Q325)</f>
        <v>10591.24</v>
      </c>
      <c r="R325" s="152"/>
      <c r="S325" s="242">
        <f t="shared" si="165"/>
        <v>1538.5200000000004</v>
      </c>
    </row>
    <row r="326" spans="1:19" ht="15.75" customHeight="1">
      <c r="A326" s="23" t="str">
        <f t="shared" si="133"/>
        <v>PiècesDéduction à la source</v>
      </c>
      <c r="B326" s="184" t="s">
        <v>103</v>
      </c>
      <c r="C326" s="1" t="s">
        <v>46</v>
      </c>
      <c r="D326" s="52"/>
      <c r="E326" s="53"/>
      <c r="F326" s="198">
        <f>+SUM(START:END!F326)</f>
        <v>16012.267788000001</v>
      </c>
      <c r="G326" s="256"/>
      <c r="H326" s="53"/>
      <c r="I326" s="198">
        <f>+SUM(START:END!I326)</f>
        <v>0</v>
      </c>
      <c r="J326" s="154"/>
      <c r="K326" s="53"/>
      <c r="L326" s="257">
        <f>+SUM(START:END!L326)</f>
        <v>22533.86</v>
      </c>
      <c r="M326" s="154"/>
      <c r="N326" s="258">
        <f t="shared" si="164"/>
        <v>6521.5922119999996</v>
      </c>
      <c r="O326" s="154"/>
      <c r="P326" s="53"/>
      <c r="Q326" s="257">
        <f>+SUM(START:END!Q326)</f>
        <v>43091.539999999986</v>
      </c>
      <c r="R326" s="154"/>
      <c r="S326" s="259">
        <f t="shared" si="165"/>
        <v>-20557.679999999986</v>
      </c>
    </row>
    <row r="327" spans="1:19" ht="15.75" customHeight="1">
      <c r="A327" s="23" t="str">
        <f t="shared" si="133"/>
        <v>PiècesBénéfices marginaux</v>
      </c>
      <c r="B327" s="184" t="s">
        <v>103</v>
      </c>
      <c r="C327" s="1" t="s">
        <v>47</v>
      </c>
      <c r="D327" s="30"/>
      <c r="F327" s="198">
        <f>+SUM(START:END!F327)</f>
        <v>8249.7988385999997</v>
      </c>
      <c r="G327" s="240"/>
      <c r="I327" s="198">
        <f>+SUM(START:END!I327)</f>
        <v>0</v>
      </c>
      <c r="J327" s="152"/>
      <c r="L327" s="201">
        <f>+SUM(START:END!L327)</f>
        <v>3472.27</v>
      </c>
      <c r="M327" s="152"/>
      <c r="N327" s="222">
        <f t="shared" si="164"/>
        <v>-4777.5288385999993</v>
      </c>
      <c r="O327" s="152"/>
      <c r="Q327" s="201">
        <f>+SUM(START:END!Q327)</f>
        <v>3662.13</v>
      </c>
      <c r="R327" s="152"/>
      <c r="S327" s="242">
        <f t="shared" si="165"/>
        <v>-189.86000000000013</v>
      </c>
    </row>
    <row r="328" spans="1:19" ht="15.75" customHeight="1">
      <c r="A328" s="23" t="str">
        <f t="shared" si="133"/>
        <v>PiècesCsst</v>
      </c>
      <c r="B328" s="184" t="s">
        <v>103</v>
      </c>
      <c r="C328" s="1" t="s">
        <v>48</v>
      </c>
      <c r="D328" s="30"/>
      <c r="F328" s="198">
        <f>+SUM(START:END!F328)</f>
        <v>3596.9587060000003</v>
      </c>
      <c r="G328" s="240"/>
      <c r="I328" s="198">
        <f>+SUM(START:END!I328)</f>
        <v>0</v>
      </c>
      <c r="J328" s="152"/>
      <c r="L328" s="201">
        <f>+SUM(START:END!L328)</f>
        <v>3059.01</v>
      </c>
      <c r="M328" s="152"/>
      <c r="N328" s="222">
        <f t="shared" si="164"/>
        <v>-537.94870600000013</v>
      </c>
      <c r="O328" s="152"/>
      <c r="Q328" s="201">
        <f>+SUM(START:END!Q328)</f>
        <v>-16663.939999999999</v>
      </c>
      <c r="R328" s="152"/>
      <c r="S328" s="242">
        <f t="shared" si="165"/>
        <v>19722.949999999997</v>
      </c>
    </row>
    <row r="329" spans="1:19" ht="15.75" customHeight="1">
      <c r="A329" s="23" t="str">
        <f t="shared" si="133"/>
        <v>PiècesTOTAL PERSONNEL</v>
      </c>
      <c r="B329" s="184" t="s">
        <v>103</v>
      </c>
      <c r="C329" s="40" t="s">
        <v>49</v>
      </c>
      <c r="D329" s="250" t="s">
        <v>39</v>
      </c>
      <c r="E329" s="42">
        <f>F329/F$314</f>
        <v>0.32502935167438957</v>
      </c>
      <c r="F329" s="251">
        <f>+SUM(F318:F328)</f>
        <v>148396.26143360001</v>
      </c>
      <c r="G329" s="252" t="s">
        <v>39</v>
      </c>
      <c r="H329" s="42" t="e">
        <f>I329/I$314</f>
        <v>#DIV/0!</v>
      </c>
      <c r="I329" s="251">
        <f>+SUM(I318:I328)</f>
        <v>0</v>
      </c>
      <c r="J329" s="252" t="s">
        <v>39</v>
      </c>
      <c r="K329" s="42">
        <f>L329/L$314</f>
        <v>0.42230020535238261</v>
      </c>
      <c r="L329" s="251">
        <f>+SUM(L318:L328)</f>
        <v>141057.11999999997</v>
      </c>
      <c r="M329" s="290"/>
      <c r="N329" s="251">
        <f>+SUM(N318:N328)</f>
        <v>-7339.1414336000207</v>
      </c>
      <c r="O329" s="252" t="s">
        <v>39</v>
      </c>
      <c r="P329" s="42">
        <f>Q329/Q$314</f>
        <v>0.42069477662683008</v>
      </c>
      <c r="Q329" s="251">
        <f>+SUM(Q318:Q328)</f>
        <v>139315.56999999998</v>
      </c>
      <c r="R329" s="290"/>
      <c r="S329" s="261">
        <f t="shared" ref="S329:S344" si="166">L329-Q329</f>
        <v>1741.5499999999884</v>
      </c>
    </row>
    <row r="330" spans="1:19" ht="15.75" customHeight="1">
      <c r="A330" s="23" t="str">
        <f t="shared" si="133"/>
        <v>PiècesPublicité 2</v>
      </c>
      <c r="B330" s="184" t="s">
        <v>103</v>
      </c>
      <c r="C330" s="3" t="s">
        <v>50</v>
      </c>
      <c r="D330" s="30"/>
      <c r="F330" s="198">
        <f>+SUM(START:END!F331)</f>
        <v>13354.704410312497</v>
      </c>
      <c r="G330" s="240"/>
      <c r="I330" s="198">
        <f>+SUM(START:END!I331)</f>
        <v>0</v>
      </c>
      <c r="J330" s="152"/>
      <c r="L330" s="201">
        <f>+SUM(START:END!L331)</f>
        <v>12872.5</v>
      </c>
      <c r="M330" s="152"/>
      <c r="N330" s="222">
        <f t="shared" ref="N330:N344" si="167">L330-F330</f>
        <v>-482.2044103124972</v>
      </c>
      <c r="O330" s="152"/>
      <c r="Q330" s="201">
        <f>+SUM(START:END!Q331)</f>
        <v>10149.150000000001</v>
      </c>
      <c r="R330" s="152"/>
      <c r="S330" s="242">
        <f t="shared" si="166"/>
        <v>2723.3499999999985</v>
      </c>
    </row>
    <row r="331" spans="1:19" ht="15.75" customHeight="1">
      <c r="A331" s="23" t="str">
        <f t="shared" si="133"/>
        <v>PiècesService gratuit 2</v>
      </c>
      <c r="B331" s="184" t="s">
        <v>103</v>
      </c>
      <c r="C331" s="1" t="s">
        <v>51</v>
      </c>
      <c r="D331" s="30"/>
      <c r="F331" s="198">
        <f>+SUM(START:END!F332)</f>
        <v>4454.2992194243589</v>
      </c>
      <c r="G331" s="240"/>
      <c r="I331" s="198">
        <f>+SUM(START:END!I332)</f>
        <v>0</v>
      </c>
      <c r="J331" s="152"/>
      <c r="L331" s="201">
        <f>+SUM(START:END!L332)</f>
        <v>4368</v>
      </c>
      <c r="M331" s="152"/>
      <c r="N331" s="222">
        <f t="shared" si="167"/>
        <v>-86.299219424358853</v>
      </c>
      <c r="O331" s="152"/>
      <c r="Q331" s="201">
        <f>+SUM(START:END!Q332)</f>
        <v>6935.8600000000006</v>
      </c>
      <c r="R331" s="152"/>
      <c r="S331" s="242">
        <f t="shared" si="166"/>
        <v>-2567.8600000000006</v>
      </c>
    </row>
    <row r="332" spans="1:19" ht="15.75" customHeight="1">
      <c r="A332" s="23" t="str">
        <f t="shared" si="133"/>
        <v>PiècesFrais véhicules de cie</v>
      </c>
      <c r="B332" s="184" t="s">
        <v>103</v>
      </c>
      <c r="C332" s="2" t="s">
        <v>52</v>
      </c>
      <c r="D332" s="34"/>
      <c r="E332" s="7"/>
      <c r="F332" s="193">
        <f>+SUM(START:END!F333)</f>
        <v>3250</v>
      </c>
      <c r="G332" s="244"/>
      <c r="H332" s="7"/>
      <c r="I332" s="193">
        <f>+SUM(START:END!I333)</f>
        <v>0</v>
      </c>
      <c r="J332" s="153"/>
      <c r="K332" s="7"/>
      <c r="L332" s="201">
        <f>+SUM(START:END!L333)</f>
        <v>3982.7799999999997</v>
      </c>
      <c r="M332" s="153"/>
      <c r="N332" s="247">
        <f t="shared" si="167"/>
        <v>732.77999999999975</v>
      </c>
      <c r="O332" s="153"/>
      <c r="P332" s="7"/>
      <c r="Q332" s="201">
        <f>+SUM(START:END!Q333)</f>
        <v>2879.1</v>
      </c>
      <c r="R332" s="153"/>
      <c r="S332" s="248">
        <f t="shared" si="166"/>
        <v>1103.6799999999998</v>
      </c>
    </row>
    <row r="333" spans="1:19" ht="15.75" customHeight="1">
      <c r="A333" s="23" t="str">
        <f t="shared" si="133"/>
        <v>PiècesInformatique</v>
      </c>
      <c r="B333" s="184" t="s">
        <v>103</v>
      </c>
      <c r="C333" s="1" t="s">
        <v>53</v>
      </c>
      <c r="D333" s="30"/>
      <c r="F333" s="198">
        <f>+SUM(START:END!F334)</f>
        <v>11426.807108333333</v>
      </c>
      <c r="G333" s="240"/>
      <c r="I333" s="198">
        <f>+SUM(START:END!I334)</f>
        <v>0</v>
      </c>
      <c r="J333" s="152"/>
      <c r="L333" s="257">
        <f>+SUM(START:END!L334)</f>
        <v>14033.76</v>
      </c>
      <c r="M333" s="152"/>
      <c r="N333" s="222">
        <f t="shared" si="167"/>
        <v>2606.9528916666677</v>
      </c>
      <c r="O333" s="152"/>
      <c r="Q333" s="257">
        <f>+SUM(START:END!Q334)</f>
        <v>12247.63</v>
      </c>
      <c r="R333" s="152"/>
      <c r="S333" s="242">
        <f t="shared" si="166"/>
        <v>1786.130000000001</v>
      </c>
    </row>
    <row r="334" spans="1:19" ht="15.75" customHeight="1">
      <c r="A334" s="23" t="str">
        <f t="shared" si="133"/>
        <v>PiècesFrais de déplacement</v>
      </c>
      <c r="B334" s="184" t="s">
        <v>103</v>
      </c>
      <c r="C334" s="1" t="s">
        <v>54</v>
      </c>
      <c r="D334" s="30"/>
      <c r="F334" s="198">
        <f>+SUM(START:END!F335)</f>
        <v>2056.8614900894904</v>
      </c>
      <c r="G334" s="240"/>
      <c r="I334" s="198">
        <f>+SUM(START:END!I335)</f>
        <v>0</v>
      </c>
      <c r="J334" s="152"/>
      <c r="L334" s="201">
        <f>+SUM(START:END!L335)</f>
        <v>3324.69</v>
      </c>
      <c r="M334" s="152"/>
      <c r="N334" s="222">
        <f t="shared" si="167"/>
        <v>1267.8285099105096</v>
      </c>
      <c r="O334" s="152"/>
      <c r="Q334" s="201">
        <f>+SUM(START:END!Q335)</f>
        <v>2758.4700000000003</v>
      </c>
      <c r="R334" s="152"/>
      <c r="S334" s="242">
        <f t="shared" si="166"/>
        <v>566.2199999999998</v>
      </c>
    </row>
    <row r="335" spans="1:19" ht="15.75" customHeight="1">
      <c r="A335" s="23" t="str">
        <f t="shared" si="133"/>
        <v>PiècesServices extérieurs</v>
      </c>
      <c r="B335" s="184" t="s">
        <v>103</v>
      </c>
      <c r="C335" s="5" t="s">
        <v>55</v>
      </c>
      <c r="D335" s="34"/>
      <c r="E335" s="7"/>
      <c r="F335" s="193">
        <f>+SUM(START:END!F336)</f>
        <v>37250.483251597223</v>
      </c>
      <c r="G335" s="244"/>
      <c r="H335" s="7"/>
      <c r="I335" s="193">
        <f>+SUM(START:END!I336)</f>
        <v>0</v>
      </c>
      <c r="J335" s="153"/>
      <c r="K335" s="7"/>
      <c r="L335" s="213">
        <f>+SUM(START:END!L336)</f>
        <v>33692.839999999997</v>
      </c>
      <c r="M335" s="153"/>
      <c r="N335" s="247">
        <f t="shared" si="167"/>
        <v>-3557.6432515972265</v>
      </c>
      <c r="O335" s="153"/>
      <c r="P335" s="7"/>
      <c r="Q335" s="213">
        <f>+SUM(START:END!Q336)</f>
        <v>46651.020000000004</v>
      </c>
      <c r="R335" s="153"/>
      <c r="S335" s="248">
        <f t="shared" si="166"/>
        <v>-12958.180000000008</v>
      </c>
    </row>
    <row r="336" spans="1:19" ht="15.75" customHeight="1">
      <c r="A336" s="23" t="str">
        <f t="shared" si="133"/>
        <v>PiècesFournitures d'atelier</v>
      </c>
      <c r="B336" s="184" t="s">
        <v>103</v>
      </c>
      <c r="C336" s="1" t="s">
        <v>98</v>
      </c>
      <c r="D336" s="30"/>
      <c r="F336" s="198">
        <f>+SUM(START:END!F337)</f>
        <v>0</v>
      </c>
      <c r="G336" s="240"/>
      <c r="I336" s="198">
        <f>+SUM(START:END!I337)</f>
        <v>0</v>
      </c>
      <c r="J336" s="152"/>
      <c r="L336" s="201">
        <f>+SUM(START:END!L337)</f>
        <v>0</v>
      </c>
      <c r="M336" s="152"/>
      <c r="N336" s="222">
        <f t="shared" si="167"/>
        <v>0</v>
      </c>
      <c r="O336" s="152"/>
      <c r="Q336" s="201">
        <f>+SUM(START:END!Q337)</f>
        <v>0</v>
      </c>
      <c r="R336" s="152"/>
      <c r="S336" s="242">
        <f t="shared" si="166"/>
        <v>0</v>
      </c>
    </row>
    <row r="337" spans="1:19" ht="15.75" customHeight="1">
      <c r="A337" s="23" t="str">
        <f t="shared" si="133"/>
        <v>PiècesFournitures autres</v>
      </c>
      <c r="B337" s="184" t="s">
        <v>103</v>
      </c>
      <c r="C337" s="1" t="s">
        <v>56</v>
      </c>
      <c r="D337" s="30"/>
      <c r="F337" s="198">
        <f>+SUM(START:END!F338)</f>
        <v>375</v>
      </c>
      <c r="G337" s="240"/>
      <c r="I337" s="198">
        <f>+SUM(START:END!I338)</f>
        <v>0</v>
      </c>
      <c r="J337" s="152"/>
      <c r="L337" s="201">
        <f>+SUM(START:END!L338)</f>
        <v>169.13</v>
      </c>
      <c r="M337" s="152"/>
      <c r="N337" s="222">
        <f t="shared" si="167"/>
        <v>-205.87</v>
      </c>
      <c r="O337" s="152"/>
      <c r="Q337" s="201">
        <f>+SUM(START:END!Q338)</f>
        <v>345.67</v>
      </c>
      <c r="R337" s="152"/>
      <c r="S337" s="242">
        <f t="shared" si="166"/>
        <v>-176.54000000000002</v>
      </c>
    </row>
    <row r="338" spans="1:19" ht="15.75" customHeight="1">
      <c r="A338" s="23" t="str">
        <f t="shared" si="133"/>
        <v>PiècesUniformes</v>
      </c>
      <c r="B338" s="184" t="s">
        <v>103</v>
      </c>
      <c r="C338" s="1" t="s">
        <v>57</v>
      </c>
      <c r="D338" s="30"/>
      <c r="F338" s="198">
        <f>+SUM(START:END!F339)</f>
        <v>250</v>
      </c>
      <c r="G338" s="240"/>
      <c r="I338" s="198">
        <f>+SUM(START:END!I339)</f>
        <v>0</v>
      </c>
      <c r="J338" s="152"/>
      <c r="L338" s="201">
        <f>+SUM(START:END!L339)</f>
        <v>0</v>
      </c>
      <c r="M338" s="152"/>
      <c r="N338" s="222">
        <f t="shared" si="167"/>
        <v>-250</v>
      </c>
      <c r="O338" s="152"/>
      <c r="Q338" s="201">
        <f>+SUM(START:END!Q339)</f>
        <v>0</v>
      </c>
      <c r="R338" s="152"/>
      <c r="S338" s="242">
        <f t="shared" si="166"/>
        <v>0</v>
      </c>
    </row>
    <row r="339" spans="1:19" ht="15.75" customHeight="1">
      <c r="A339" s="23" t="str">
        <f t="shared" si="133"/>
        <v>PiècesPapeterie</v>
      </c>
      <c r="B339" s="184" t="s">
        <v>103</v>
      </c>
      <c r="C339" s="1" t="s">
        <v>58</v>
      </c>
      <c r="D339" s="30"/>
      <c r="F339" s="198">
        <f>+SUM(START:END!F340)</f>
        <v>1853.858793675</v>
      </c>
      <c r="G339" s="240"/>
      <c r="I339" s="198">
        <f>+SUM(START:END!I340)</f>
        <v>0</v>
      </c>
      <c r="J339" s="152"/>
      <c r="L339" s="200">
        <f>+SUM(START:END!L340)</f>
        <v>1292.5700000000002</v>
      </c>
      <c r="M339" s="152"/>
      <c r="N339" s="222">
        <f t="shared" si="167"/>
        <v>-561.28879367499985</v>
      </c>
      <c r="O339" s="152"/>
      <c r="Q339" s="200">
        <f>+SUM(START:END!Q340)</f>
        <v>2154.75</v>
      </c>
      <c r="R339" s="152"/>
      <c r="S339" s="242">
        <f t="shared" si="166"/>
        <v>-862.17999999999984</v>
      </c>
    </row>
    <row r="340" spans="1:19" ht="15.75" customHeight="1">
      <c r="A340" s="23" t="str">
        <f t="shared" si="133"/>
        <v>PiècesTéléphone</v>
      </c>
      <c r="B340" s="184" t="s">
        <v>103</v>
      </c>
      <c r="C340" s="1" t="s">
        <v>59</v>
      </c>
      <c r="D340" s="30"/>
      <c r="F340" s="198">
        <f>+SUM(START:END!F341)</f>
        <v>394.07464934270831</v>
      </c>
      <c r="G340" s="240"/>
      <c r="I340" s="198">
        <f>+SUM(START:END!I341)</f>
        <v>0</v>
      </c>
      <c r="J340" s="152"/>
      <c r="L340" s="201">
        <f>+SUM(START:END!L341)</f>
        <v>261.66000000000003</v>
      </c>
      <c r="M340" s="152"/>
      <c r="N340" s="222">
        <f t="shared" si="167"/>
        <v>-132.41464934270829</v>
      </c>
      <c r="O340" s="152"/>
      <c r="Q340" s="201">
        <f>+SUM(START:END!Q341)</f>
        <v>224.91000000000003</v>
      </c>
      <c r="R340" s="152"/>
      <c r="S340" s="242">
        <f t="shared" si="166"/>
        <v>36.75</v>
      </c>
    </row>
    <row r="341" spans="1:19" ht="15.75" customHeight="1">
      <c r="A341" s="23" t="str">
        <f t="shared" si="133"/>
        <v>PiècesFrais postaux</v>
      </c>
      <c r="B341" s="184" t="s">
        <v>103</v>
      </c>
      <c r="C341" s="1" t="s">
        <v>60</v>
      </c>
      <c r="D341" s="30"/>
      <c r="F341" s="198">
        <f>+SUM(START:END!F342)</f>
        <v>480.88943415729159</v>
      </c>
      <c r="G341" s="240"/>
      <c r="I341" s="198">
        <f>+SUM(START:END!I342)</f>
        <v>0</v>
      </c>
      <c r="J341" s="152"/>
      <c r="L341" s="201">
        <f>+SUM(START:END!L342)</f>
        <v>-291.20999999999998</v>
      </c>
      <c r="M341" s="152"/>
      <c r="N341" s="222">
        <f t="shared" si="167"/>
        <v>-772.09943415729163</v>
      </c>
      <c r="O341" s="152"/>
      <c r="Q341" s="201">
        <f>+SUM(START:END!Q342)</f>
        <v>675.9</v>
      </c>
      <c r="R341" s="152"/>
      <c r="S341" s="242">
        <f t="shared" si="166"/>
        <v>-967.1099999999999</v>
      </c>
    </row>
    <row r="342" spans="1:19" ht="15.75" customHeight="1">
      <c r="A342" s="23" t="str">
        <f t="shared" si="133"/>
        <v>PiècesDivers</v>
      </c>
      <c r="B342" s="184" t="s">
        <v>103</v>
      </c>
      <c r="C342" s="1" t="s">
        <v>61</v>
      </c>
      <c r="D342" s="30"/>
      <c r="F342" s="198">
        <f>+SUM(START:END!F343)</f>
        <v>656.29347055104165</v>
      </c>
      <c r="G342" s="240"/>
      <c r="I342" s="198">
        <f>+SUM(START:END!I343)</f>
        <v>0</v>
      </c>
      <c r="J342" s="152"/>
      <c r="L342" s="201">
        <f>+SUM(START:END!L343)</f>
        <v>336.63</v>
      </c>
      <c r="M342" s="152"/>
      <c r="N342" s="222">
        <f t="shared" si="167"/>
        <v>-319.66347055104166</v>
      </c>
      <c r="O342" s="152"/>
      <c r="Q342" s="201">
        <f>+SUM(START:END!Q343)</f>
        <v>239.63</v>
      </c>
      <c r="R342" s="152"/>
      <c r="S342" s="242">
        <f t="shared" si="166"/>
        <v>97</v>
      </c>
    </row>
    <row r="343" spans="1:19" ht="15.75" customHeight="1">
      <c r="A343" s="23" t="str">
        <f t="shared" si="133"/>
        <v>PiècesFormation</v>
      </c>
      <c r="B343" s="184" t="s">
        <v>103</v>
      </c>
      <c r="C343" s="1" t="s">
        <v>62</v>
      </c>
      <c r="D343" s="30"/>
      <c r="F343" s="198">
        <f>+SUM(START:END!F344)</f>
        <v>2466.7770989498226</v>
      </c>
      <c r="G343" s="240"/>
      <c r="I343" s="198">
        <f>+SUM(START:END!I344)</f>
        <v>0</v>
      </c>
      <c r="J343" s="152"/>
      <c r="L343" s="201">
        <f>+SUM(START:END!L344)</f>
        <v>408</v>
      </c>
      <c r="M343" s="152"/>
      <c r="N343" s="222">
        <f t="shared" si="167"/>
        <v>-2058.7770989498226</v>
      </c>
      <c r="O343" s="152"/>
      <c r="Q343" s="201">
        <f>+SUM(START:END!Q344)</f>
        <v>4590.05</v>
      </c>
      <c r="R343" s="152"/>
      <c r="S343" s="242">
        <f t="shared" si="166"/>
        <v>-4182.05</v>
      </c>
    </row>
    <row r="344" spans="1:19" ht="15.75" customHeight="1">
      <c r="A344" s="23" t="str">
        <f t="shared" si="133"/>
        <v>PiècesFrais bancaires</v>
      </c>
      <c r="B344" s="184" t="s">
        <v>103</v>
      </c>
      <c r="C344" s="1" t="s">
        <v>63</v>
      </c>
      <c r="D344" s="30"/>
      <c r="F344" s="198">
        <f>+SUM(START:END!F345)</f>
        <v>4438.9825469389361</v>
      </c>
      <c r="G344" s="240"/>
      <c r="I344" s="198">
        <f>+SUM(START:END!I345)</f>
        <v>0</v>
      </c>
      <c r="J344" s="152"/>
      <c r="L344" s="200">
        <f>+SUM(START:END!L345)</f>
        <v>5504.59</v>
      </c>
      <c r="M344" s="152"/>
      <c r="N344" s="222">
        <f t="shared" si="167"/>
        <v>1065.607453061064</v>
      </c>
      <c r="O344" s="152"/>
      <c r="Q344" s="201">
        <f>+SUM(START:END!Q345)</f>
        <v>6353.17</v>
      </c>
      <c r="R344" s="152"/>
      <c r="S344" s="242">
        <f t="shared" si="166"/>
        <v>-848.57999999999993</v>
      </c>
    </row>
    <row r="345" spans="1:19" ht="15.75" hidden="1" customHeight="1">
      <c r="A345" s="23" t="str">
        <f t="shared" si="133"/>
        <v>Pièces[...]</v>
      </c>
      <c r="B345" s="184" t="s">
        <v>103</v>
      </c>
      <c r="C345" s="1" t="s">
        <v>20</v>
      </c>
      <c r="D345" s="30"/>
      <c r="F345" s="198">
        <f>+SUM(START:END!F346)</f>
        <v>0</v>
      </c>
      <c r="G345" s="240"/>
      <c r="I345" s="198">
        <f>+SUM(START:END!I346)</f>
        <v>0</v>
      </c>
      <c r="J345" s="152"/>
      <c r="L345" s="201">
        <f>+SUM(START:END!L346)</f>
        <v>0</v>
      </c>
      <c r="M345" s="152"/>
      <c r="N345" s="222">
        <f t="shared" ref="N345:N347" si="168">L345-I345</f>
        <v>0</v>
      </c>
      <c r="O345" s="152"/>
      <c r="Q345" s="201">
        <f>+SUM(START:END!Q346)</f>
        <v>0</v>
      </c>
      <c r="R345" s="152"/>
      <c r="S345" s="242">
        <f t="shared" ref="S345:S347" si="169">L345-Q345</f>
        <v>0</v>
      </c>
    </row>
    <row r="346" spans="1:19" ht="15.75" hidden="1" customHeight="1">
      <c r="A346" s="23" t="str">
        <f t="shared" si="133"/>
        <v>Pièces[...]</v>
      </c>
      <c r="B346" s="184" t="s">
        <v>103</v>
      </c>
      <c r="C346" s="1" t="s">
        <v>20</v>
      </c>
      <c r="D346" s="30"/>
      <c r="F346" s="198">
        <f>+SUM(START:END!F347)</f>
        <v>0</v>
      </c>
      <c r="G346" s="240"/>
      <c r="I346" s="198">
        <f>+SUM(START:END!I347)</f>
        <v>0</v>
      </c>
      <c r="J346" s="152"/>
      <c r="L346" s="201">
        <f>+SUM(START:END!L347)</f>
        <v>0</v>
      </c>
      <c r="M346" s="152"/>
      <c r="N346" s="222">
        <f t="shared" si="168"/>
        <v>0</v>
      </c>
      <c r="O346" s="152"/>
      <c r="Q346" s="201">
        <f>+SUM(START:END!Q347)</f>
        <v>0</v>
      </c>
      <c r="R346" s="152"/>
      <c r="S346" s="242">
        <f t="shared" si="169"/>
        <v>0</v>
      </c>
    </row>
    <row r="347" spans="1:19" ht="15.75" hidden="1" customHeight="1">
      <c r="A347" s="23" t="str">
        <f t="shared" si="133"/>
        <v>Pièces[...]</v>
      </c>
      <c r="B347" s="184" t="s">
        <v>103</v>
      </c>
      <c r="C347" s="1" t="s">
        <v>20</v>
      </c>
      <c r="D347" s="30"/>
      <c r="F347" s="198">
        <f>+SUM(START:END!F348)</f>
        <v>0</v>
      </c>
      <c r="G347" s="240"/>
      <c r="I347" s="198">
        <f>+SUM(START:END!I348)</f>
        <v>0</v>
      </c>
      <c r="J347" s="152"/>
      <c r="L347" s="201">
        <f>+SUM(START:END!L348)</f>
        <v>0</v>
      </c>
      <c r="M347" s="152"/>
      <c r="N347" s="222">
        <f t="shared" si="168"/>
        <v>0</v>
      </c>
      <c r="O347" s="152"/>
      <c r="Q347" s="201">
        <f>+SUM(START:END!Q348)</f>
        <v>0</v>
      </c>
      <c r="R347" s="152"/>
      <c r="S347" s="242">
        <f t="shared" si="169"/>
        <v>0</v>
      </c>
    </row>
    <row r="348" spans="1:19" ht="15.75" customHeight="1">
      <c r="B348" s="181"/>
      <c r="C348" s="40" t="s">
        <v>64</v>
      </c>
      <c r="D348" s="250" t="s">
        <v>39</v>
      </c>
      <c r="E348" s="42">
        <f>F348/F$314</f>
        <v>0.18115593086848378</v>
      </c>
      <c r="F348" s="251">
        <f>+SUM(F330:F347)</f>
        <v>82709.03147337171</v>
      </c>
      <c r="G348" s="252" t="s">
        <v>39</v>
      </c>
      <c r="H348" s="42" t="e">
        <f>I348/I$314</f>
        <v>#DIV/0!</v>
      </c>
      <c r="I348" s="251">
        <f>+SUM(I330:I347)</f>
        <v>0</v>
      </c>
      <c r="J348" s="252" t="s">
        <v>39</v>
      </c>
      <c r="K348" s="42">
        <f>L348/L$314</f>
        <v>0.2393740201213721</v>
      </c>
      <c r="L348" s="251">
        <f>+SUM(L330:L347)</f>
        <v>79955.940000000017</v>
      </c>
      <c r="M348" s="254"/>
      <c r="N348" s="251">
        <f>+SUM(N330:N347)</f>
        <v>-2753.0914733717054</v>
      </c>
      <c r="O348" s="252" t="s">
        <v>39</v>
      </c>
      <c r="P348" s="42">
        <f>Q348/Q$314</f>
        <v>0.2905136260129787</v>
      </c>
      <c r="Q348" s="251">
        <f>+SUM(Q330:Q347)</f>
        <v>96205.310000000012</v>
      </c>
      <c r="R348" s="254"/>
      <c r="S348" s="255">
        <f>+SUM(S330:S347)</f>
        <v>-16249.370000000012</v>
      </c>
    </row>
    <row r="349" spans="1:19" ht="15.75" customHeight="1">
      <c r="B349" s="181"/>
      <c r="C349" s="2"/>
      <c r="D349" s="34"/>
      <c r="E349" s="7"/>
      <c r="F349" s="222"/>
      <c r="G349" s="244"/>
      <c r="H349" s="7"/>
      <c r="I349" s="222"/>
      <c r="J349" s="153"/>
      <c r="K349" s="7"/>
      <c r="L349" s="247"/>
      <c r="M349" s="153"/>
      <c r="N349" s="247"/>
      <c r="O349" s="153"/>
      <c r="P349" s="7"/>
      <c r="Q349" s="247"/>
      <c r="R349" s="153"/>
      <c r="S349" s="248"/>
    </row>
    <row r="350" spans="1:19" ht="15.75" customHeight="1">
      <c r="B350" s="181"/>
      <c r="C350" s="40" t="s">
        <v>65</v>
      </c>
      <c r="D350" s="250" t="s">
        <v>39</v>
      </c>
      <c r="E350" s="42">
        <f>F350/F$314</f>
        <v>0.50618528254287332</v>
      </c>
      <c r="F350" s="251">
        <f>F329+F348</f>
        <v>231105.29290697171</v>
      </c>
      <c r="G350" s="252" t="s">
        <v>39</v>
      </c>
      <c r="H350" s="42" t="e">
        <f>I350/I$314</f>
        <v>#DIV/0!</v>
      </c>
      <c r="I350" s="251">
        <f>I329+I348</f>
        <v>0</v>
      </c>
      <c r="J350" s="252" t="s">
        <v>39</v>
      </c>
      <c r="K350" s="42">
        <f>L350/L$314</f>
        <v>0.66167422547375476</v>
      </c>
      <c r="L350" s="251">
        <f>L329+L348</f>
        <v>221013.06</v>
      </c>
      <c r="M350" s="254"/>
      <c r="N350" s="251">
        <f>N329+N348</f>
        <v>-10092.232906971727</v>
      </c>
      <c r="O350" s="252" t="s">
        <v>39</v>
      </c>
      <c r="P350" s="42">
        <f>Q350/Q$314</f>
        <v>0.71120840263980878</v>
      </c>
      <c r="Q350" s="251">
        <f>Q329+Q348</f>
        <v>235520.88</v>
      </c>
      <c r="R350" s="254"/>
      <c r="S350" s="261">
        <f>L350-Q350</f>
        <v>-14507.820000000007</v>
      </c>
    </row>
    <row r="351" spans="1:19" ht="15.75" customHeight="1">
      <c r="B351" s="181"/>
      <c r="C351" s="1"/>
      <c r="D351" s="30"/>
      <c r="F351" s="222"/>
      <c r="G351" s="240"/>
      <c r="I351" s="222"/>
      <c r="J351" s="152"/>
      <c r="L351" s="222"/>
      <c r="M351" s="152"/>
      <c r="N351" s="222"/>
      <c r="O351" s="152"/>
      <c r="Q351" s="222"/>
      <c r="R351" s="152"/>
      <c r="S351" s="242"/>
    </row>
    <row r="352" spans="1:19" ht="15.75" customHeight="1" thickBot="1">
      <c r="B352" s="181"/>
      <c r="C352" s="271" t="s">
        <v>72</v>
      </c>
      <c r="D352" s="292"/>
      <c r="E352" s="272"/>
      <c r="F352" s="274">
        <f>F314-F350</f>
        <v>225457.35495586367</v>
      </c>
      <c r="G352" s="293"/>
      <c r="H352" s="272"/>
      <c r="I352" s="274">
        <f>I314-I350</f>
        <v>0</v>
      </c>
      <c r="J352" s="294"/>
      <c r="K352" s="273"/>
      <c r="L352" s="274">
        <f>L314-L350</f>
        <v>113007.89999999997</v>
      </c>
      <c r="M352" s="294"/>
      <c r="N352" s="274">
        <f>N314-N350</f>
        <v>-112449.45495586369</v>
      </c>
      <c r="O352" s="294"/>
      <c r="P352" s="273"/>
      <c r="Q352" s="274">
        <f>Q314-Q350</f>
        <v>95635.049999999523</v>
      </c>
      <c r="R352" s="294"/>
      <c r="S352" s="276">
        <f>L352-Q352</f>
        <v>17372.850000000442</v>
      </c>
    </row>
    <row r="353" spans="1:24" ht="15.75" customHeight="1" thickTop="1">
      <c r="B353" s="181"/>
      <c r="C353" s="73"/>
      <c r="D353" s="30"/>
      <c r="F353" s="26" t="e">
        <f>+F352-#REF!-#REF!-#REF!</f>
        <v>#REF!</v>
      </c>
      <c r="G353" s="30"/>
      <c r="I353" s="87"/>
      <c r="J353" s="73"/>
      <c r="K353" s="73"/>
      <c r="L353" s="26" t="e">
        <f>+L352-#REF!-#REF!-#REF!</f>
        <v>#REF!</v>
      </c>
      <c r="M353" s="73"/>
      <c r="N353" s="26" t="e">
        <f>+N352-#REF!-#REF!-#REF!</f>
        <v>#REF!</v>
      </c>
      <c r="O353" s="73"/>
      <c r="P353" s="73"/>
      <c r="Q353" s="26" t="e">
        <f>+Q352-#REF!-#REF!-#REF!</f>
        <v>#REF!</v>
      </c>
      <c r="R353" s="73"/>
      <c r="S353" s="26" t="e">
        <f>+S352-#REF!-#REF!-#REF!</f>
        <v>#REF!</v>
      </c>
    </row>
    <row r="354" spans="1:24" ht="15.75" customHeight="1">
      <c r="B354" s="181"/>
      <c r="C354" s="73"/>
      <c r="D354" s="30"/>
      <c r="F354" s="87"/>
      <c r="G354" s="30"/>
      <c r="I354" s="87"/>
      <c r="J354" s="73"/>
      <c r="K354" s="73"/>
      <c r="L354" s="87"/>
      <c r="M354" s="73"/>
      <c r="N354" s="87"/>
      <c r="O354" s="73"/>
      <c r="P354" s="73"/>
      <c r="Q354" s="87"/>
      <c r="R354" s="73"/>
      <c r="S354" s="87"/>
    </row>
    <row r="355" spans="1:24" ht="34.5" customHeight="1">
      <c r="B355" s="181"/>
      <c r="C355" s="73" t="str">
        <f>+C291</f>
        <v>Conso</v>
      </c>
      <c r="D355" s="6"/>
      <c r="E355" s="6"/>
      <c r="F355" s="6"/>
      <c r="G355" s="6"/>
      <c r="H355" s="177"/>
      <c r="I355" s="177"/>
      <c r="J355" s="177"/>
      <c r="K355" s="178" t="s">
        <v>119</v>
      </c>
      <c r="L355" s="6"/>
      <c r="M355" s="6"/>
      <c r="N355" s="177"/>
      <c r="O355" s="177"/>
      <c r="P355" s="6"/>
      <c r="Q355" s="177"/>
      <c r="R355" s="6"/>
      <c r="S355" s="180" t="str">
        <f>$S$1</f>
        <v xml:space="preserve">Réalisé  </v>
      </c>
    </row>
    <row r="356" spans="1:24" ht="15.75" customHeight="1" thickBot="1">
      <c r="B356" s="181"/>
      <c r="C356" s="182"/>
    </row>
    <row r="357" spans="1:24" ht="15.75" customHeight="1" thickTop="1">
      <c r="B357" s="181"/>
      <c r="C357" s="185"/>
      <c r="D357" s="484" t="s">
        <v>5</v>
      </c>
      <c r="E357" s="485"/>
      <c r="F357" s="486"/>
      <c r="G357" s="487" t="s">
        <v>74</v>
      </c>
      <c r="H357" s="485"/>
      <c r="I357" s="486"/>
      <c r="J357" s="487" t="s">
        <v>7</v>
      </c>
      <c r="K357" s="485"/>
      <c r="L357" s="486"/>
      <c r="M357" s="487" t="s">
        <v>9</v>
      </c>
      <c r="N357" s="486"/>
      <c r="O357" s="484" t="s">
        <v>8</v>
      </c>
      <c r="P357" s="485"/>
      <c r="Q357" s="486"/>
      <c r="R357" s="487" t="s">
        <v>217</v>
      </c>
      <c r="S357" s="488"/>
    </row>
    <row r="358" spans="1:24" ht="15.75" customHeight="1" thickBot="1">
      <c r="A358" s="23" t="str">
        <f t="shared" ref="A358:A393" si="170">+B358&amp;C358</f>
        <v>Boutique</v>
      </c>
      <c r="B358" s="184" t="s">
        <v>119</v>
      </c>
      <c r="C358" s="1"/>
      <c r="D358" s="382" t="s">
        <v>84</v>
      </c>
      <c r="E358" s="382" t="s">
        <v>104</v>
      </c>
      <c r="F358" s="383" t="s">
        <v>12</v>
      </c>
      <c r="G358" s="384" t="s">
        <v>84</v>
      </c>
      <c r="H358" s="382" t="s">
        <v>104</v>
      </c>
      <c r="I358" s="383" t="s">
        <v>12</v>
      </c>
      <c r="J358" s="279" t="s">
        <v>84</v>
      </c>
      <c r="K358" s="175" t="s">
        <v>104</v>
      </c>
      <c r="L358" s="278" t="s">
        <v>12</v>
      </c>
      <c r="M358" s="279" t="s">
        <v>40</v>
      </c>
      <c r="N358" s="278" t="s">
        <v>12</v>
      </c>
      <c r="O358" s="279" t="s">
        <v>84</v>
      </c>
      <c r="P358" s="175" t="s">
        <v>104</v>
      </c>
      <c r="Q358" s="278" t="s">
        <v>12</v>
      </c>
      <c r="R358" s="279" t="s">
        <v>85</v>
      </c>
      <c r="S358" s="280" t="s">
        <v>12</v>
      </c>
    </row>
    <row r="359" spans="1:24" ht="15.75" customHeight="1" thickTop="1">
      <c r="A359" s="23" t="str">
        <f t="shared" si="170"/>
        <v>BoutiqueBoutique</v>
      </c>
      <c r="B359" s="184" t="s">
        <v>119</v>
      </c>
      <c r="C359" s="225" t="s">
        <v>119</v>
      </c>
      <c r="D359" s="385">
        <f>+SUM(START:END!D360)</f>
        <v>0</v>
      </c>
      <c r="E359" s="386">
        <f>IFERROR(F359/D359,0)</f>
        <v>0</v>
      </c>
      <c r="F359" s="387">
        <f>+SUM(START:END!F360)</f>
        <v>0</v>
      </c>
      <c r="G359" s="385">
        <f>+SUM(START:END!G360)</f>
        <v>0</v>
      </c>
      <c r="H359" s="386">
        <f>IFERROR(I359/G359,0)</f>
        <v>0</v>
      </c>
      <c r="I359" s="385">
        <f>+SUM(START:END!I360)</f>
        <v>0</v>
      </c>
      <c r="J359" s="388">
        <f>+SUM(START:END!J360)</f>
        <v>0</v>
      </c>
      <c r="K359" s="370">
        <f>IFERROR(L359/J359,0)</f>
        <v>0</v>
      </c>
      <c r="L359" s="389">
        <f>+SUM(START:END!L360)</f>
        <v>0</v>
      </c>
      <c r="M359" s="371">
        <f>IF(D359=0,0,(+J359-D359)/D359)</f>
        <v>0</v>
      </c>
      <c r="N359" s="372">
        <f t="shared" ref="N359" si="171">L359-F359</f>
        <v>0</v>
      </c>
      <c r="O359" s="388">
        <f>+SUM(START:END!O360)</f>
        <v>0</v>
      </c>
      <c r="P359" s="370">
        <f>IFERROR(Q359/O359,0)</f>
        <v>0</v>
      </c>
      <c r="Q359" s="389">
        <f>+SUM(START:END!Q360)</f>
        <v>0</v>
      </c>
      <c r="R359" s="371">
        <f>IF(O359=0,0,(J359-O359)/O359)</f>
        <v>0</v>
      </c>
      <c r="S359" s="373">
        <f>L359-Q359</f>
        <v>0</v>
      </c>
      <c r="X359" s="284"/>
    </row>
    <row r="360" spans="1:24" ht="15.75" customHeight="1" thickBot="1">
      <c r="A360" s="23" t="str">
        <f t="shared" si="170"/>
        <v>Boutique</v>
      </c>
      <c r="B360" s="184" t="s">
        <v>119</v>
      </c>
      <c r="C360" s="374"/>
      <c r="D360" s="375"/>
      <c r="E360" s="376"/>
      <c r="F360" s="377"/>
      <c r="G360" s="378"/>
      <c r="H360" s="376"/>
      <c r="I360" s="377"/>
      <c r="J360" s="378"/>
      <c r="K360" s="376"/>
      <c r="L360" s="377"/>
      <c r="M360" s="379"/>
      <c r="N360" s="166"/>
      <c r="O360" s="378"/>
      <c r="P360" s="376"/>
      <c r="Q360" s="377"/>
      <c r="R360" s="379"/>
      <c r="S360" s="237"/>
    </row>
    <row r="361" spans="1:24" ht="15.75" customHeight="1" thickTop="1">
      <c r="A361" s="23" t="str">
        <f t="shared" si="170"/>
        <v>BoutiqueTotal Dépt. Boutique</v>
      </c>
      <c r="B361" s="184" t="s">
        <v>119</v>
      </c>
      <c r="C361" s="22" t="s">
        <v>120</v>
      </c>
      <c r="D361" s="390">
        <f>+D359</f>
        <v>0</v>
      </c>
      <c r="E361" s="312">
        <f>IF(D361&lt;=0,0,F361/D361)</f>
        <v>0</v>
      </c>
      <c r="F361" s="313">
        <f t="shared" ref="F361" si="172">+F359</f>
        <v>0</v>
      </c>
      <c r="G361" s="319">
        <f>+G359</f>
        <v>0</v>
      </c>
      <c r="H361" s="312">
        <f>IF(G361&lt;=0,0,I361/G361)</f>
        <v>0</v>
      </c>
      <c r="I361" s="313">
        <f t="shared" ref="I361" si="173">+I359</f>
        <v>0</v>
      </c>
      <c r="J361" s="319">
        <f>+J359</f>
        <v>0</v>
      </c>
      <c r="K361" s="312">
        <f>IF(J361&lt;=0,0,L361/J361)</f>
        <v>0</v>
      </c>
      <c r="L361" s="313">
        <f t="shared" ref="L361:N361" si="174">+L359</f>
        <v>0</v>
      </c>
      <c r="M361" s="391">
        <f>IF(G361=0,0,(+J361-G361)/G361)</f>
        <v>0</v>
      </c>
      <c r="N361" s="313">
        <f t="shared" si="174"/>
        <v>0</v>
      </c>
      <c r="O361" s="319">
        <f>+O359</f>
        <v>0</v>
      </c>
      <c r="P361" s="312">
        <f>IF(O361&lt;=0,0,Q361/O361)</f>
        <v>0</v>
      </c>
      <c r="Q361" s="313">
        <f t="shared" ref="Q361" si="175">+Q359</f>
        <v>0</v>
      </c>
      <c r="R361" s="152">
        <f>IF(O361=0,0,(J361-O361)/O361)</f>
        <v>0</v>
      </c>
      <c r="S361" s="209">
        <f>L361-Q361</f>
        <v>0</v>
      </c>
    </row>
    <row r="362" spans="1:24" ht="15.75" customHeight="1">
      <c r="A362" s="23" t="str">
        <f t="shared" si="170"/>
        <v>Boutique</v>
      </c>
      <c r="B362" s="184" t="s">
        <v>119</v>
      </c>
      <c r="C362" s="239"/>
      <c r="F362" s="222"/>
      <c r="G362" s="152"/>
      <c r="H362" s="392"/>
      <c r="I362" s="222"/>
      <c r="J362" s="152"/>
      <c r="L362" s="208"/>
      <c r="M362" s="152"/>
      <c r="N362" s="393"/>
      <c r="O362" s="152"/>
      <c r="Q362" s="208"/>
      <c r="R362" s="152"/>
      <c r="S362" s="224">
        <f>IF(Q361=0,0,S361/Q361)</f>
        <v>0</v>
      </c>
    </row>
    <row r="363" spans="1:24" ht="15.75" customHeight="1">
      <c r="A363" s="23" t="str">
        <f t="shared" si="170"/>
        <v>BoutiqueDEPENSES</v>
      </c>
      <c r="B363" s="184" t="s">
        <v>119</v>
      </c>
      <c r="C363" s="239" t="s">
        <v>30</v>
      </c>
      <c r="F363" s="222"/>
      <c r="G363" s="152"/>
      <c r="I363" s="222"/>
      <c r="J363" s="152"/>
      <c r="L363" s="208"/>
      <c r="M363" s="152"/>
      <c r="N363" s="208"/>
      <c r="O363" s="152"/>
      <c r="Q363" s="208"/>
      <c r="R363" s="152"/>
      <c r="S363" s="224"/>
    </row>
    <row r="364" spans="1:24" ht="15.75" customHeight="1">
      <c r="A364" s="23" t="str">
        <f t="shared" si="170"/>
        <v>BoutiqueSalaires cadres</v>
      </c>
      <c r="B364" s="184" t="s">
        <v>119</v>
      </c>
      <c r="C364" s="1" t="s">
        <v>41</v>
      </c>
      <c r="F364" s="198">
        <f>+SUM(START:END!F364)</f>
        <v>0</v>
      </c>
      <c r="G364" s="152"/>
      <c r="I364" s="198">
        <f>+SUM(START:END!I364)</f>
        <v>0</v>
      </c>
      <c r="J364" s="152"/>
      <c r="L364" s="201">
        <f>+SUM(START:END!L364)</f>
        <v>0</v>
      </c>
      <c r="M364" s="152"/>
      <c r="N364" s="208">
        <f t="shared" ref="N364:N374" si="176">L364-F364</f>
        <v>0</v>
      </c>
      <c r="O364" s="152"/>
      <c r="Q364" s="201">
        <f>+SUM(START:END!Q364)</f>
        <v>0</v>
      </c>
      <c r="R364" s="152"/>
      <c r="S364" s="202">
        <f>L364-Q364</f>
        <v>0</v>
      </c>
    </row>
    <row r="365" spans="1:24" ht="15.75" customHeight="1">
      <c r="A365" s="23" t="str">
        <f t="shared" si="170"/>
        <v>BoutiqueSalaires commis</v>
      </c>
      <c r="B365" s="184" t="s">
        <v>119</v>
      </c>
      <c r="C365" s="2" t="s">
        <v>42</v>
      </c>
      <c r="D365" s="30"/>
      <c r="F365" s="193">
        <f>+SUM(START:END!F365)</f>
        <v>0</v>
      </c>
      <c r="G365" s="240"/>
      <c r="I365" s="193">
        <f>+SUM(START:END!I365)</f>
        <v>0</v>
      </c>
      <c r="J365" s="152"/>
      <c r="L365" s="193">
        <f>+SUM(START:END!L365)</f>
        <v>0</v>
      </c>
      <c r="M365" s="152"/>
      <c r="N365" s="222">
        <f t="shared" si="176"/>
        <v>0</v>
      </c>
      <c r="O365" s="152"/>
      <c r="Q365" s="193">
        <f>+SUM(START:END!Q365)</f>
        <v>0</v>
      </c>
      <c r="R365" s="152"/>
      <c r="S365" s="242">
        <f t="shared" ref="S365:S393" si="177">L365-Q365</f>
        <v>0</v>
      </c>
    </row>
    <row r="366" spans="1:24" ht="15.75" customHeight="1">
      <c r="A366" s="23" t="str">
        <f t="shared" si="170"/>
        <v>BoutiqueSalaires autres</v>
      </c>
      <c r="B366" s="184" t="s">
        <v>119</v>
      </c>
      <c r="C366" s="1" t="s">
        <v>43</v>
      </c>
      <c r="D366" s="52"/>
      <c r="E366" s="53"/>
      <c r="F366" s="198">
        <f>+SUM(START:END!F366)</f>
        <v>0</v>
      </c>
      <c r="G366" s="256"/>
      <c r="H366" s="53"/>
      <c r="I366" s="198">
        <f>+SUM(START:END!I366)</f>
        <v>0</v>
      </c>
      <c r="J366" s="154"/>
      <c r="K366" s="53"/>
      <c r="L366" s="201">
        <f>+SUM(START:END!L366)</f>
        <v>0</v>
      </c>
      <c r="M366" s="154"/>
      <c r="N366" s="258">
        <f t="shared" si="176"/>
        <v>0</v>
      </c>
      <c r="O366" s="154"/>
      <c r="P366" s="53"/>
      <c r="Q366" s="201">
        <f>+SUM(START:END!Q366)</f>
        <v>0</v>
      </c>
      <c r="R366" s="154"/>
      <c r="S366" s="259">
        <f t="shared" si="177"/>
        <v>0</v>
      </c>
    </row>
    <row r="367" spans="1:24" ht="15.75" customHeight="1">
      <c r="A367" s="23" t="str">
        <f t="shared" si="170"/>
        <v>BoutiqueSalaires spécialistes</v>
      </c>
      <c r="B367" s="184" t="s">
        <v>119</v>
      </c>
      <c r="C367" s="1" t="s">
        <v>44</v>
      </c>
      <c r="D367" s="30"/>
      <c r="F367" s="198">
        <f>+SUM(START:END!F367)</f>
        <v>0</v>
      </c>
      <c r="G367" s="240"/>
      <c r="I367" s="198">
        <f>+SUM(START:END!I367)</f>
        <v>0</v>
      </c>
      <c r="J367" s="152"/>
      <c r="L367" s="201">
        <f>+SUM(START:END!L367)</f>
        <v>0</v>
      </c>
      <c r="M367" s="152"/>
      <c r="N367" s="222">
        <f t="shared" si="176"/>
        <v>0</v>
      </c>
      <c r="O367" s="152"/>
      <c r="Q367" s="201">
        <f>+SUM(START:END!Q367)</f>
        <v>0</v>
      </c>
      <c r="R367" s="152"/>
      <c r="S367" s="242">
        <f t="shared" si="177"/>
        <v>0</v>
      </c>
    </row>
    <row r="368" spans="1:24" ht="15.75" hidden="1" customHeight="1">
      <c r="A368" s="23" t="str">
        <f t="shared" si="170"/>
        <v>Boutique[...]</v>
      </c>
      <c r="B368" s="184" t="s">
        <v>119</v>
      </c>
      <c r="C368" s="1" t="s">
        <v>20</v>
      </c>
      <c r="D368" s="30"/>
      <c r="F368" s="198">
        <f>+SUM(START:END!F368)</f>
        <v>0</v>
      </c>
      <c r="G368" s="240"/>
      <c r="I368" s="198">
        <f>+SUM(START:END!I368)</f>
        <v>0</v>
      </c>
      <c r="J368" s="152"/>
      <c r="L368" s="201">
        <f>+SUM(START:END!L368)</f>
        <v>0</v>
      </c>
      <c r="M368" s="152"/>
      <c r="N368" s="222">
        <f t="shared" si="176"/>
        <v>0</v>
      </c>
      <c r="O368" s="152"/>
      <c r="Q368" s="201">
        <f>+SUM(START:END!Q368)</f>
        <v>0</v>
      </c>
      <c r="R368" s="152"/>
      <c r="S368" s="242">
        <f t="shared" si="177"/>
        <v>0</v>
      </c>
    </row>
    <row r="369" spans="1:19" ht="15.75" hidden="1" customHeight="1">
      <c r="A369" s="23" t="str">
        <f t="shared" si="170"/>
        <v>Boutique[...]</v>
      </c>
      <c r="B369" s="184" t="s">
        <v>119</v>
      </c>
      <c r="C369" s="1" t="s">
        <v>20</v>
      </c>
      <c r="D369" s="30"/>
      <c r="F369" s="198">
        <f>+SUM(START:END!F369)</f>
        <v>0</v>
      </c>
      <c r="G369" s="240"/>
      <c r="I369" s="198">
        <f>+SUM(START:END!I369)</f>
        <v>0</v>
      </c>
      <c r="J369" s="152"/>
      <c r="L369" s="201">
        <f>+SUM(START:END!L369)</f>
        <v>0</v>
      </c>
      <c r="M369" s="152"/>
      <c r="N369" s="222">
        <f t="shared" si="176"/>
        <v>0</v>
      </c>
      <c r="O369" s="152"/>
      <c r="Q369" s="201">
        <f>+SUM(START:END!Q369)</f>
        <v>0</v>
      </c>
      <c r="R369" s="152"/>
      <c r="S369" s="242">
        <f t="shared" si="177"/>
        <v>0</v>
      </c>
    </row>
    <row r="370" spans="1:19" ht="15.75" hidden="1" customHeight="1">
      <c r="A370" s="23" t="str">
        <f t="shared" si="170"/>
        <v>Boutique[...]</v>
      </c>
      <c r="B370" s="184" t="s">
        <v>119</v>
      </c>
      <c r="C370" s="1" t="s">
        <v>20</v>
      </c>
      <c r="D370" s="30"/>
      <c r="F370" s="198">
        <f>+SUM(START:END!F370)</f>
        <v>0</v>
      </c>
      <c r="G370" s="240"/>
      <c r="I370" s="198">
        <f>+SUM(START:END!I370)</f>
        <v>0</v>
      </c>
      <c r="J370" s="152"/>
      <c r="L370" s="201">
        <f>+SUM(START:END!L370)</f>
        <v>0</v>
      </c>
      <c r="M370" s="152"/>
      <c r="N370" s="222">
        <f t="shared" si="176"/>
        <v>0</v>
      </c>
      <c r="O370" s="152"/>
      <c r="Q370" s="201">
        <f>+SUM(START:END!Q370)</f>
        <v>0</v>
      </c>
      <c r="R370" s="152"/>
      <c r="S370" s="242">
        <f t="shared" si="177"/>
        <v>0</v>
      </c>
    </row>
    <row r="371" spans="1:19" ht="15.75" customHeight="1">
      <c r="A371" s="23" t="str">
        <f t="shared" si="170"/>
        <v>BoutiqueSalaires en absences</v>
      </c>
      <c r="B371" s="184" t="s">
        <v>119</v>
      </c>
      <c r="C371" s="2" t="s">
        <v>45</v>
      </c>
      <c r="D371" s="30"/>
      <c r="F371" s="193">
        <f>+SUM(START:END!F371)</f>
        <v>0</v>
      </c>
      <c r="G371" s="240"/>
      <c r="I371" s="193">
        <f>+SUM(START:END!I371)</f>
        <v>0</v>
      </c>
      <c r="J371" s="152"/>
      <c r="L371" s="193">
        <f>+SUM(START:END!L371)</f>
        <v>0</v>
      </c>
      <c r="M371" s="152"/>
      <c r="N371" s="222">
        <f t="shared" si="176"/>
        <v>0</v>
      </c>
      <c r="O371" s="152"/>
      <c r="Q371" s="193">
        <f>+SUM(START:END!Q371)</f>
        <v>0</v>
      </c>
      <c r="R371" s="152"/>
      <c r="S371" s="242">
        <f t="shared" si="177"/>
        <v>0</v>
      </c>
    </row>
    <row r="372" spans="1:19" ht="15.75" customHeight="1">
      <c r="A372" s="23" t="str">
        <f t="shared" si="170"/>
        <v>BoutiqueDéduction à la source</v>
      </c>
      <c r="B372" s="184" t="s">
        <v>119</v>
      </c>
      <c r="C372" s="1" t="s">
        <v>46</v>
      </c>
      <c r="D372" s="52"/>
      <c r="E372" s="53"/>
      <c r="F372" s="198">
        <f>+SUM(START:END!F372)</f>
        <v>0</v>
      </c>
      <c r="G372" s="256"/>
      <c r="H372" s="53"/>
      <c r="I372" s="198">
        <f>+SUM(START:END!I372)</f>
        <v>0</v>
      </c>
      <c r="J372" s="154"/>
      <c r="K372" s="53"/>
      <c r="L372" s="201">
        <f>+SUM(START:END!L372)</f>
        <v>0</v>
      </c>
      <c r="M372" s="154"/>
      <c r="N372" s="258">
        <f t="shared" si="176"/>
        <v>0</v>
      </c>
      <c r="O372" s="154"/>
      <c r="P372" s="53"/>
      <c r="Q372" s="201">
        <f>+SUM(START:END!Q372)</f>
        <v>0</v>
      </c>
      <c r="R372" s="154"/>
      <c r="S372" s="259">
        <f t="shared" si="177"/>
        <v>0</v>
      </c>
    </row>
    <row r="373" spans="1:19" ht="15.75" customHeight="1">
      <c r="A373" s="23" t="str">
        <f t="shared" si="170"/>
        <v>BoutiqueBénéfices marginaux</v>
      </c>
      <c r="B373" s="184" t="s">
        <v>119</v>
      </c>
      <c r="C373" s="1" t="s">
        <v>47</v>
      </c>
      <c r="D373" s="30"/>
      <c r="F373" s="198">
        <f>+SUM(START:END!F373)</f>
        <v>0</v>
      </c>
      <c r="G373" s="240"/>
      <c r="I373" s="198">
        <f>+SUM(START:END!I373)</f>
        <v>0</v>
      </c>
      <c r="J373" s="152"/>
      <c r="L373" s="201">
        <f>+SUM(START:END!L373)</f>
        <v>0</v>
      </c>
      <c r="M373" s="152"/>
      <c r="N373" s="222">
        <f t="shared" si="176"/>
        <v>0</v>
      </c>
      <c r="O373" s="152"/>
      <c r="Q373" s="201">
        <f>+SUM(START:END!Q373)</f>
        <v>0</v>
      </c>
      <c r="R373" s="152"/>
      <c r="S373" s="242">
        <f t="shared" si="177"/>
        <v>0</v>
      </c>
    </row>
    <row r="374" spans="1:19" ht="15.75" customHeight="1">
      <c r="A374" s="23" t="str">
        <f t="shared" si="170"/>
        <v>BoutiqueCsst</v>
      </c>
      <c r="B374" s="184" t="s">
        <v>119</v>
      </c>
      <c r="C374" s="1" t="s">
        <v>48</v>
      </c>
      <c r="D374" s="30"/>
      <c r="F374" s="198">
        <f>+SUM(START:END!F374)</f>
        <v>0</v>
      </c>
      <c r="G374" s="240"/>
      <c r="I374" s="198">
        <f>+SUM(START:END!I374)</f>
        <v>0</v>
      </c>
      <c r="J374" s="152"/>
      <c r="L374" s="201">
        <f>+SUM(START:END!L374)</f>
        <v>0</v>
      </c>
      <c r="M374" s="152"/>
      <c r="N374" s="222">
        <f t="shared" si="176"/>
        <v>0</v>
      </c>
      <c r="O374" s="152"/>
      <c r="Q374" s="201">
        <f>+SUM(START:END!Q374)</f>
        <v>0</v>
      </c>
      <c r="R374" s="152"/>
      <c r="S374" s="242">
        <f t="shared" si="177"/>
        <v>0</v>
      </c>
    </row>
    <row r="375" spans="1:19" ht="15.75" hidden="1" customHeight="1">
      <c r="A375" s="23" t="str">
        <f t="shared" si="170"/>
        <v>Boutique[...]</v>
      </c>
      <c r="B375" s="184" t="s">
        <v>119</v>
      </c>
      <c r="C375" s="1" t="s">
        <v>20</v>
      </c>
      <c r="D375" s="34"/>
      <c r="E375" s="7"/>
      <c r="F375" s="198">
        <f>+SUM(START:END!F375)</f>
        <v>0</v>
      </c>
      <c r="G375" s="244"/>
      <c r="H375" s="7"/>
      <c r="I375" s="198">
        <f>+SUM(START:END!I375)</f>
        <v>0</v>
      </c>
      <c r="J375" s="153"/>
      <c r="K375" s="7"/>
      <c r="L375" s="201">
        <f>+SUM(START:END!L375)</f>
        <v>0</v>
      </c>
      <c r="M375" s="153"/>
      <c r="N375" s="247">
        <f t="shared" ref="N375:N393" si="178">L375-I375</f>
        <v>0</v>
      </c>
      <c r="O375" s="153"/>
      <c r="P375" s="7"/>
      <c r="Q375" s="201">
        <f>+SUM(START:END!Q375)</f>
        <v>0</v>
      </c>
      <c r="R375" s="153"/>
      <c r="S375" s="248">
        <f t="shared" si="177"/>
        <v>0</v>
      </c>
    </row>
    <row r="376" spans="1:19" ht="15.75" customHeight="1">
      <c r="A376" s="23" t="str">
        <f t="shared" si="170"/>
        <v>BoutiqueTOTAL PERSONNEL</v>
      </c>
      <c r="B376" s="184" t="s">
        <v>119</v>
      </c>
      <c r="C376" s="40" t="s">
        <v>49</v>
      </c>
      <c r="D376" s="250" t="s">
        <v>39</v>
      </c>
      <c r="E376" s="42">
        <f>IFERROR(F376/F$359,0)</f>
        <v>0</v>
      </c>
      <c r="F376" s="251">
        <f>+SUM(F364:F375)</f>
        <v>0</v>
      </c>
      <c r="G376" s="252" t="s">
        <v>39</v>
      </c>
      <c r="H376" s="42">
        <f>IFERROR(I376/I$359,0)</f>
        <v>0</v>
      </c>
      <c r="I376" s="251">
        <f>+SUM(I364:I375)</f>
        <v>0</v>
      </c>
      <c r="J376" s="252" t="s">
        <v>39</v>
      </c>
      <c r="K376" s="42">
        <f>IFERROR(L376/L$359,0)</f>
        <v>0</v>
      </c>
      <c r="L376" s="251">
        <f>+SUM(L364:L375)</f>
        <v>0</v>
      </c>
      <c r="M376" s="290"/>
      <c r="N376" s="251">
        <f>+SUM(N364:N375)</f>
        <v>0</v>
      </c>
      <c r="O376" s="252" t="s">
        <v>39</v>
      </c>
      <c r="P376" s="42">
        <f>IFERROR(Q376/Q$359,0)</f>
        <v>0</v>
      </c>
      <c r="Q376" s="251">
        <f>+SUM(Q364:Q375)</f>
        <v>0</v>
      </c>
      <c r="R376" s="290"/>
      <c r="S376" s="261">
        <f t="shared" si="177"/>
        <v>0</v>
      </c>
    </row>
    <row r="377" spans="1:19" ht="15.75" customHeight="1">
      <c r="A377" s="23" t="str">
        <f t="shared" si="170"/>
        <v>BoutiquePublicité 2</v>
      </c>
      <c r="B377" s="184" t="s">
        <v>119</v>
      </c>
      <c r="C377" s="3" t="s">
        <v>50</v>
      </c>
      <c r="D377" s="30"/>
      <c r="F377" s="198">
        <f>+SUM(START:END!F377)</f>
        <v>0</v>
      </c>
      <c r="G377" s="240"/>
      <c r="I377" s="198">
        <f>+SUM(START:END!I377)</f>
        <v>0</v>
      </c>
      <c r="J377" s="152"/>
      <c r="L377" s="201">
        <f>+SUM(START:END!L377)</f>
        <v>0</v>
      </c>
      <c r="M377" s="152"/>
      <c r="N377" s="222">
        <f t="shared" ref="N377:N390" si="179">L377-F377</f>
        <v>0</v>
      </c>
      <c r="O377" s="152"/>
      <c r="Q377" s="201">
        <f>+SUM(START:END!Q377)</f>
        <v>0</v>
      </c>
      <c r="R377" s="152"/>
      <c r="S377" s="242">
        <f t="shared" si="177"/>
        <v>0</v>
      </c>
    </row>
    <row r="378" spans="1:19" ht="15.75" customHeight="1">
      <c r="A378" s="23" t="str">
        <f t="shared" si="170"/>
        <v>BoutiqueService gratuit 2</v>
      </c>
      <c r="B378" s="184" t="s">
        <v>119</v>
      </c>
      <c r="C378" s="1" t="s">
        <v>51</v>
      </c>
      <c r="D378" s="30"/>
      <c r="F378" s="198">
        <f>+SUM(START:END!F378)</f>
        <v>0</v>
      </c>
      <c r="G378" s="240"/>
      <c r="I378" s="198">
        <f>+SUM(START:END!I378)</f>
        <v>0</v>
      </c>
      <c r="J378" s="152"/>
      <c r="L378" s="201">
        <f>+SUM(START:END!L378)</f>
        <v>0</v>
      </c>
      <c r="M378" s="152"/>
      <c r="N378" s="222">
        <f t="shared" si="179"/>
        <v>0</v>
      </c>
      <c r="O378" s="152"/>
      <c r="Q378" s="201">
        <f>+SUM(START:END!Q378)</f>
        <v>0</v>
      </c>
      <c r="R378" s="152"/>
      <c r="S378" s="242">
        <f t="shared" si="177"/>
        <v>0</v>
      </c>
    </row>
    <row r="379" spans="1:19" ht="15.75" customHeight="1">
      <c r="A379" s="23" t="str">
        <f t="shared" si="170"/>
        <v>BoutiqueFrais véhicules de cie</v>
      </c>
      <c r="B379" s="184" t="s">
        <v>119</v>
      </c>
      <c r="C379" s="2" t="s">
        <v>52</v>
      </c>
      <c r="D379" s="34"/>
      <c r="E379" s="7"/>
      <c r="F379" s="193">
        <f>+SUM(START:END!F379)</f>
        <v>0</v>
      </c>
      <c r="G379" s="244"/>
      <c r="H379" s="7"/>
      <c r="I379" s="193">
        <f>+SUM(START:END!I379)</f>
        <v>0</v>
      </c>
      <c r="J379" s="153"/>
      <c r="K379" s="7"/>
      <c r="L379" s="193">
        <f>+SUM(START:END!L379)</f>
        <v>0</v>
      </c>
      <c r="M379" s="153"/>
      <c r="N379" s="247">
        <f t="shared" si="179"/>
        <v>0</v>
      </c>
      <c r="O379" s="153"/>
      <c r="P379" s="7"/>
      <c r="Q379" s="193">
        <f>+SUM(START:END!Q379)</f>
        <v>0</v>
      </c>
      <c r="R379" s="153"/>
      <c r="S379" s="248">
        <f t="shared" si="177"/>
        <v>0</v>
      </c>
    </row>
    <row r="380" spans="1:19" ht="15.75" customHeight="1">
      <c r="A380" s="23" t="str">
        <f t="shared" si="170"/>
        <v>BoutiqueInformatique</v>
      </c>
      <c r="B380" s="184" t="s">
        <v>119</v>
      </c>
      <c r="C380" s="1" t="s">
        <v>53</v>
      </c>
      <c r="D380" s="30"/>
      <c r="F380" s="198">
        <f>+SUM(START:END!F380)</f>
        <v>0</v>
      </c>
      <c r="G380" s="240"/>
      <c r="I380" s="198">
        <f>+SUM(START:END!I380)</f>
        <v>0</v>
      </c>
      <c r="J380" s="152"/>
      <c r="L380" s="201">
        <f>+SUM(START:END!L380)</f>
        <v>0</v>
      </c>
      <c r="M380" s="152"/>
      <c r="N380" s="222">
        <f t="shared" si="179"/>
        <v>0</v>
      </c>
      <c r="O380" s="152"/>
      <c r="Q380" s="201">
        <f>+SUM(START:END!Q380)</f>
        <v>0</v>
      </c>
      <c r="R380" s="152"/>
      <c r="S380" s="242">
        <f t="shared" si="177"/>
        <v>0</v>
      </c>
    </row>
    <row r="381" spans="1:19" ht="15.75" customHeight="1">
      <c r="A381" s="23" t="str">
        <f t="shared" si="170"/>
        <v>BoutiqueFrais de déplacement</v>
      </c>
      <c r="B381" s="184" t="s">
        <v>119</v>
      </c>
      <c r="C381" s="1" t="s">
        <v>54</v>
      </c>
      <c r="D381" s="30"/>
      <c r="F381" s="198">
        <f>+SUM(START:END!F381)</f>
        <v>0</v>
      </c>
      <c r="G381" s="240"/>
      <c r="I381" s="198">
        <f>+SUM(START:END!I381)</f>
        <v>0</v>
      </c>
      <c r="J381" s="152"/>
      <c r="L381" s="201">
        <f>+SUM(START:END!L381)</f>
        <v>0</v>
      </c>
      <c r="M381" s="152"/>
      <c r="N381" s="222">
        <f t="shared" si="179"/>
        <v>0</v>
      </c>
      <c r="O381" s="152"/>
      <c r="Q381" s="201">
        <f>+SUM(START:END!Q381)</f>
        <v>0</v>
      </c>
      <c r="R381" s="152"/>
      <c r="S381" s="242">
        <f t="shared" si="177"/>
        <v>0</v>
      </c>
    </row>
    <row r="382" spans="1:19" ht="15.75" customHeight="1">
      <c r="A382" s="23" t="str">
        <f t="shared" si="170"/>
        <v>BoutiqueServices extérieurs</v>
      </c>
      <c r="B382" s="184" t="s">
        <v>119</v>
      </c>
      <c r="C382" s="1" t="s">
        <v>55</v>
      </c>
      <c r="D382" s="34"/>
      <c r="E382" s="7"/>
      <c r="F382" s="193">
        <f>+SUM(START:END!F382)</f>
        <v>0</v>
      </c>
      <c r="G382" s="244"/>
      <c r="H382" s="7"/>
      <c r="I382" s="193">
        <f>+SUM(START:END!I382)</f>
        <v>0</v>
      </c>
      <c r="J382" s="153"/>
      <c r="K382" s="7"/>
      <c r="L382" s="193">
        <f>+SUM(START:END!L382)</f>
        <v>0</v>
      </c>
      <c r="M382" s="153"/>
      <c r="N382" s="247">
        <f t="shared" si="179"/>
        <v>0</v>
      </c>
      <c r="O382" s="153"/>
      <c r="P382" s="7"/>
      <c r="Q382" s="193">
        <f>+SUM(START:END!Q382)</f>
        <v>0</v>
      </c>
      <c r="R382" s="153"/>
      <c r="S382" s="248">
        <f t="shared" si="177"/>
        <v>0</v>
      </c>
    </row>
    <row r="383" spans="1:19" ht="20.25" customHeight="1">
      <c r="A383" s="23" t="str">
        <f t="shared" si="170"/>
        <v>BoutiqueFournitures autres</v>
      </c>
      <c r="B383" s="184" t="s">
        <v>119</v>
      </c>
      <c r="C383" s="3" t="s">
        <v>56</v>
      </c>
      <c r="D383" s="30"/>
      <c r="F383" s="198">
        <f>+SUM(START:END!F383)</f>
        <v>0</v>
      </c>
      <c r="G383" s="240"/>
      <c r="I383" s="198">
        <f>+SUM(START:END!I383)</f>
        <v>0</v>
      </c>
      <c r="J383" s="152"/>
      <c r="L383" s="201">
        <f>+SUM(START:END!L383)</f>
        <v>0</v>
      </c>
      <c r="M383" s="152"/>
      <c r="N383" s="222">
        <f t="shared" si="179"/>
        <v>0</v>
      </c>
      <c r="O383" s="152"/>
      <c r="Q383" s="201">
        <f>+SUM(START:END!Q383)</f>
        <v>0</v>
      </c>
      <c r="R383" s="152"/>
      <c r="S383" s="242">
        <f t="shared" si="177"/>
        <v>0</v>
      </c>
    </row>
    <row r="384" spans="1:19" ht="20.25" customHeight="1">
      <c r="A384" s="23" t="str">
        <f t="shared" si="170"/>
        <v>BoutiqueUniformes</v>
      </c>
      <c r="B384" s="184" t="s">
        <v>119</v>
      </c>
      <c r="C384" s="1" t="s">
        <v>57</v>
      </c>
      <c r="D384" s="30"/>
      <c r="F384" s="198">
        <f>+SUM(START:END!F384)</f>
        <v>0</v>
      </c>
      <c r="G384" s="240"/>
      <c r="I384" s="198">
        <f>+SUM(START:END!I384)</f>
        <v>0</v>
      </c>
      <c r="J384" s="152"/>
      <c r="L384" s="201">
        <f>+SUM(START:END!L384)</f>
        <v>0</v>
      </c>
      <c r="M384" s="152"/>
      <c r="N384" s="222">
        <f t="shared" si="179"/>
        <v>0</v>
      </c>
      <c r="O384" s="152"/>
      <c r="Q384" s="201">
        <f>+SUM(START:END!Q384)</f>
        <v>0</v>
      </c>
      <c r="R384" s="152"/>
      <c r="S384" s="242">
        <f t="shared" si="177"/>
        <v>0</v>
      </c>
    </row>
    <row r="385" spans="1:38" ht="20.25" customHeight="1">
      <c r="A385" s="23" t="str">
        <f t="shared" si="170"/>
        <v>BoutiquePapeterie</v>
      </c>
      <c r="B385" s="184" t="s">
        <v>119</v>
      </c>
      <c r="C385" s="1" t="s">
        <v>58</v>
      </c>
      <c r="D385" s="30"/>
      <c r="F385" s="198">
        <f>+SUM(START:END!F385)</f>
        <v>0</v>
      </c>
      <c r="G385" s="240"/>
      <c r="I385" s="198">
        <f>+SUM(START:END!I385)</f>
        <v>0</v>
      </c>
      <c r="J385" s="152"/>
      <c r="L385" s="201">
        <f>+SUM(START:END!L385)</f>
        <v>0</v>
      </c>
      <c r="M385" s="152"/>
      <c r="N385" s="222">
        <f t="shared" si="179"/>
        <v>0</v>
      </c>
      <c r="O385" s="152"/>
      <c r="Q385" s="201">
        <f>+SUM(START:END!Q385)</f>
        <v>0</v>
      </c>
      <c r="R385" s="152"/>
      <c r="S385" s="242">
        <f t="shared" si="177"/>
        <v>0</v>
      </c>
    </row>
    <row r="386" spans="1:38" ht="20.25" customHeight="1">
      <c r="A386" s="23" t="str">
        <f t="shared" si="170"/>
        <v>BoutiqueTéléphone</v>
      </c>
      <c r="B386" s="184" t="s">
        <v>119</v>
      </c>
      <c r="C386" s="1" t="s">
        <v>59</v>
      </c>
      <c r="D386" s="30"/>
      <c r="F386" s="198">
        <f>+SUM(START:END!F386)</f>
        <v>0</v>
      </c>
      <c r="G386" s="240"/>
      <c r="I386" s="198">
        <f>+SUM(START:END!I386)</f>
        <v>0</v>
      </c>
      <c r="J386" s="152"/>
      <c r="L386" s="201">
        <f>+SUM(START:END!L386)</f>
        <v>0</v>
      </c>
      <c r="M386" s="152"/>
      <c r="N386" s="222">
        <f t="shared" si="179"/>
        <v>0</v>
      </c>
      <c r="O386" s="152"/>
      <c r="Q386" s="201">
        <f>+SUM(START:END!Q386)</f>
        <v>0</v>
      </c>
      <c r="R386" s="152"/>
      <c r="S386" s="242">
        <f t="shared" si="177"/>
        <v>0</v>
      </c>
    </row>
    <row r="387" spans="1:38" ht="20.25" customHeight="1">
      <c r="A387" s="23" t="str">
        <f t="shared" si="170"/>
        <v>BoutiqueFrais postaux</v>
      </c>
      <c r="B387" s="184" t="s">
        <v>119</v>
      </c>
      <c r="C387" s="1" t="s">
        <v>60</v>
      </c>
      <c r="D387" s="30"/>
      <c r="F387" s="198">
        <f>+SUM(START:END!F387)</f>
        <v>0</v>
      </c>
      <c r="G387" s="240"/>
      <c r="I387" s="198">
        <f>+SUM(START:END!I387)</f>
        <v>0</v>
      </c>
      <c r="J387" s="152"/>
      <c r="L387" s="201">
        <f>+SUM(START:END!L387)</f>
        <v>0</v>
      </c>
      <c r="M387" s="152"/>
      <c r="N387" s="222">
        <f t="shared" si="179"/>
        <v>0</v>
      </c>
      <c r="O387" s="152"/>
      <c r="Q387" s="201">
        <f>+SUM(START:END!Q387)</f>
        <v>0</v>
      </c>
      <c r="R387" s="152"/>
      <c r="S387" s="242">
        <f t="shared" si="177"/>
        <v>0</v>
      </c>
    </row>
    <row r="388" spans="1:38" ht="20.25" customHeight="1">
      <c r="A388" s="23" t="str">
        <f t="shared" si="170"/>
        <v>BoutiqueDivers</v>
      </c>
      <c r="B388" s="184" t="s">
        <v>119</v>
      </c>
      <c r="C388" s="1" t="s">
        <v>61</v>
      </c>
      <c r="D388" s="30"/>
      <c r="F388" s="198">
        <f>+SUM(START:END!F388)</f>
        <v>0</v>
      </c>
      <c r="G388" s="240"/>
      <c r="I388" s="198">
        <f>+SUM(START:END!I388)</f>
        <v>0</v>
      </c>
      <c r="J388" s="152"/>
      <c r="L388" s="201">
        <f>+SUM(START:END!L388)</f>
        <v>0</v>
      </c>
      <c r="M388" s="152"/>
      <c r="N388" s="222">
        <f t="shared" si="179"/>
        <v>0</v>
      </c>
      <c r="O388" s="152"/>
      <c r="Q388" s="201">
        <f>+SUM(START:END!Q388)</f>
        <v>0</v>
      </c>
      <c r="R388" s="152"/>
      <c r="S388" s="242">
        <f t="shared" si="177"/>
        <v>0</v>
      </c>
    </row>
    <row r="389" spans="1:38" ht="20.25" customHeight="1">
      <c r="A389" s="23" t="str">
        <f t="shared" si="170"/>
        <v>BoutiqueFormation</v>
      </c>
      <c r="B389" s="184" t="s">
        <v>119</v>
      </c>
      <c r="C389" s="1" t="s">
        <v>62</v>
      </c>
      <c r="D389" s="30"/>
      <c r="F389" s="198">
        <f>+SUM(START:END!F389)</f>
        <v>0</v>
      </c>
      <c r="G389" s="240"/>
      <c r="I389" s="198">
        <f>+SUM(START:END!I389)</f>
        <v>0</v>
      </c>
      <c r="J389" s="152"/>
      <c r="L389" s="201">
        <f>+SUM(START:END!L389)</f>
        <v>0</v>
      </c>
      <c r="M389" s="152"/>
      <c r="N389" s="222">
        <f t="shared" si="179"/>
        <v>0</v>
      </c>
      <c r="O389" s="152"/>
      <c r="Q389" s="201">
        <f>+SUM(START:END!Q389)</f>
        <v>0</v>
      </c>
      <c r="R389" s="152"/>
      <c r="S389" s="242">
        <f t="shared" si="177"/>
        <v>0</v>
      </c>
    </row>
    <row r="390" spans="1:38" ht="20.25" customHeight="1">
      <c r="A390" s="23" t="str">
        <f t="shared" si="170"/>
        <v>BoutiqueFrais bancaires</v>
      </c>
      <c r="B390" s="184" t="s">
        <v>119</v>
      </c>
      <c r="C390" s="1" t="s">
        <v>63</v>
      </c>
      <c r="D390" s="30"/>
      <c r="F390" s="198">
        <f>+SUM(START:END!F390)</f>
        <v>0</v>
      </c>
      <c r="G390" s="240"/>
      <c r="I390" s="198">
        <f>+SUM(START:END!I390)</f>
        <v>0</v>
      </c>
      <c r="J390" s="152"/>
      <c r="L390" s="201">
        <f>+SUM(START:END!L390)</f>
        <v>0</v>
      </c>
      <c r="M390" s="152"/>
      <c r="N390" s="222">
        <f t="shared" si="179"/>
        <v>0</v>
      </c>
      <c r="O390" s="152"/>
      <c r="Q390" s="201">
        <f>+SUM(START:END!Q390)</f>
        <v>0</v>
      </c>
      <c r="R390" s="152"/>
      <c r="S390" s="242">
        <f t="shared" si="177"/>
        <v>0</v>
      </c>
    </row>
    <row r="391" spans="1:38" ht="15.75" hidden="1" customHeight="1">
      <c r="A391" s="23" t="str">
        <f t="shared" si="170"/>
        <v>Boutique[...]</v>
      </c>
      <c r="B391" s="184" t="s">
        <v>119</v>
      </c>
      <c r="C391" s="1" t="s">
        <v>20</v>
      </c>
      <c r="D391" s="30"/>
      <c r="F391" s="198">
        <f>+SUM(START:END!F391)</f>
        <v>0</v>
      </c>
      <c r="G391" s="240"/>
      <c r="I391" s="198">
        <f>+SUM(START:END!I391)</f>
        <v>0</v>
      </c>
      <c r="J391" s="152"/>
      <c r="L391" s="201">
        <f>+SUM(START:END!L391)</f>
        <v>0</v>
      </c>
      <c r="M391" s="152"/>
      <c r="N391" s="222">
        <f t="shared" si="178"/>
        <v>0</v>
      </c>
      <c r="O391" s="152"/>
      <c r="Q391" s="201">
        <f>+SUM(START:END!Q391)</f>
        <v>0</v>
      </c>
      <c r="R391" s="152"/>
      <c r="S391" s="242">
        <f t="shared" si="177"/>
        <v>0</v>
      </c>
    </row>
    <row r="392" spans="1:38" ht="15.75" hidden="1" customHeight="1">
      <c r="A392" s="23" t="str">
        <f t="shared" si="170"/>
        <v>Boutique[...]</v>
      </c>
      <c r="B392" s="184" t="s">
        <v>119</v>
      </c>
      <c r="C392" s="1" t="s">
        <v>20</v>
      </c>
      <c r="D392" s="30"/>
      <c r="F392" s="198">
        <f>+SUM(START:END!F392)</f>
        <v>0</v>
      </c>
      <c r="G392" s="240"/>
      <c r="I392" s="198">
        <f>+SUM(START:END!I392)</f>
        <v>0</v>
      </c>
      <c r="J392" s="152"/>
      <c r="L392" s="201">
        <f>+SUM(START:END!L392)</f>
        <v>0</v>
      </c>
      <c r="M392" s="152"/>
      <c r="N392" s="222">
        <f t="shared" si="178"/>
        <v>0</v>
      </c>
      <c r="O392" s="152"/>
      <c r="Q392" s="201">
        <f>+SUM(START:END!Q392)</f>
        <v>0</v>
      </c>
      <c r="R392" s="152"/>
      <c r="S392" s="242">
        <f t="shared" si="177"/>
        <v>0</v>
      </c>
    </row>
    <row r="393" spans="1:38" ht="15.75" hidden="1" customHeight="1">
      <c r="A393" s="23" t="str">
        <f t="shared" si="170"/>
        <v>Boutique[...]</v>
      </c>
      <c r="B393" s="184" t="s">
        <v>119</v>
      </c>
      <c r="C393" s="1" t="s">
        <v>20</v>
      </c>
      <c r="D393" s="34"/>
      <c r="E393" s="7"/>
      <c r="F393" s="198">
        <f>+SUM(START:END!F393)</f>
        <v>0</v>
      </c>
      <c r="G393" s="244"/>
      <c r="H393" s="7"/>
      <c r="I393" s="198">
        <f>+SUM(START:END!I393)</f>
        <v>0</v>
      </c>
      <c r="J393" s="153"/>
      <c r="K393" s="7"/>
      <c r="L393" s="201">
        <f>+SUM(START:END!L393)</f>
        <v>0</v>
      </c>
      <c r="M393" s="153"/>
      <c r="N393" s="247">
        <f t="shared" si="178"/>
        <v>0</v>
      </c>
      <c r="O393" s="153"/>
      <c r="P393" s="7"/>
      <c r="Q393" s="201">
        <f>+SUM(START:END!Q393)</f>
        <v>0</v>
      </c>
      <c r="R393" s="153"/>
      <c r="S393" s="248">
        <f t="shared" si="177"/>
        <v>0</v>
      </c>
    </row>
    <row r="394" spans="1:38" ht="15.75" customHeight="1">
      <c r="B394" s="181"/>
      <c r="C394" s="40" t="s">
        <v>64</v>
      </c>
      <c r="D394" s="250" t="s">
        <v>39</v>
      </c>
      <c r="E394" s="42">
        <f>IFERROR(F394/F$359,0)</f>
        <v>0</v>
      </c>
      <c r="F394" s="251">
        <f>+SUM(F377:F393)</f>
        <v>0</v>
      </c>
      <c r="G394" s="252" t="s">
        <v>39</v>
      </c>
      <c r="H394" s="42">
        <f>IFERROR(I394/I$359,0)</f>
        <v>0</v>
      </c>
      <c r="I394" s="251">
        <f>+SUM(I377:I393)</f>
        <v>0</v>
      </c>
      <c r="J394" s="252" t="s">
        <v>39</v>
      </c>
      <c r="K394" s="42">
        <f>IFERROR(L394/L$359,0)</f>
        <v>0</v>
      </c>
      <c r="L394" s="251">
        <f>+SUM(L377:L393)</f>
        <v>0</v>
      </c>
      <c r="M394" s="290"/>
      <c r="N394" s="251">
        <f>+SUM(N377:N393)</f>
        <v>0</v>
      </c>
      <c r="O394" s="252" t="s">
        <v>39</v>
      </c>
      <c r="P394" s="42">
        <f>IFERROR(Q394/Q$359,0)</f>
        <v>0</v>
      </c>
      <c r="Q394" s="251">
        <f>+SUM(Q377:Q393)</f>
        <v>0</v>
      </c>
      <c r="R394" s="290"/>
      <c r="S394" s="261">
        <f>+SUM(S377:S393)</f>
        <v>0</v>
      </c>
    </row>
    <row r="395" spans="1:38" ht="15.75" customHeight="1">
      <c r="B395" s="181"/>
      <c r="C395" s="1"/>
      <c r="F395" s="208"/>
      <c r="G395" s="152"/>
      <c r="I395" s="208"/>
      <c r="J395" s="152"/>
      <c r="L395" s="208"/>
      <c r="M395" s="156"/>
      <c r="N395" s="208"/>
      <c r="O395" s="152"/>
      <c r="Q395" s="208"/>
      <c r="R395" s="152"/>
      <c r="S395" s="394"/>
      <c r="T395" s="184"/>
      <c r="U395" s="184"/>
    </row>
    <row r="396" spans="1:38" ht="15.75" customHeight="1">
      <c r="B396" s="181"/>
      <c r="C396" s="40" t="s">
        <v>65</v>
      </c>
      <c r="D396" s="250" t="s">
        <v>39</v>
      </c>
      <c r="E396" s="42">
        <f>IFERROR(F396/F$359,0)</f>
        <v>0</v>
      </c>
      <c r="F396" s="251">
        <f>F376+F394</f>
        <v>0</v>
      </c>
      <c r="G396" s="252" t="s">
        <v>39</v>
      </c>
      <c r="H396" s="42">
        <f>IFERROR(I396/I$359,0)</f>
        <v>0</v>
      </c>
      <c r="I396" s="251">
        <f>I376+I394</f>
        <v>0</v>
      </c>
      <c r="J396" s="252" t="s">
        <v>39</v>
      </c>
      <c r="K396" s="42">
        <f>IFERROR(L396/L$359,0)</f>
        <v>0</v>
      </c>
      <c r="L396" s="251">
        <f>L376+L394</f>
        <v>0</v>
      </c>
      <c r="M396" s="158"/>
      <c r="N396" s="251">
        <f>N376+N394</f>
        <v>0</v>
      </c>
      <c r="O396" s="252" t="s">
        <v>39</v>
      </c>
      <c r="P396" s="42">
        <f>IFERROR(Q396/Q$359,0)</f>
        <v>0</v>
      </c>
      <c r="Q396" s="251">
        <f>Q376+Q394</f>
        <v>0</v>
      </c>
      <c r="R396" s="254"/>
      <c r="S396" s="255">
        <f>L396-Q396</f>
        <v>0</v>
      </c>
      <c r="T396" s="184"/>
      <c r="U396" s="184"/>
    </row>
    <row r="397" spans="1:38" ht="15.75" customHeight="1" thickBot="1">
      <c r="B397" s="181"/>
      <c r="C397" s="1"/>
      <c r="F397" s="222"/>
      <c r="G397" s="152"/>
      <c r="I397" s="222"/>
      <c r="J397" s="152"/>
      <c r="L397" s="222"/>
      <c r="M397" s="156"/>
      <c r="N397" s="222"/>
      <c r="O397" s="152"/>
      <c r="Q397" s="222"/>
      <c r="R397" s="152"/>
      <c r="S397" s="394"/>
    </row>
    <row r="398" spans="1:38" ht="15.75" customHeight="1" thickTop="1" thickBot="1">
      <c r="B398" s="181"/>
      <c r="C398" s="104" t="s">
        <v>72</v>
      </c>
      <c r="D398" s="105"/>
      <c r="E398" s="105"/>
      <c r="F398" s="395">
        <f>F361-F396</f>
        <v>0</v>
      </c>
      <c r="G398" s="396"/>
      <c r="H398" s="105"/>
      <c r="I398" s="395">
        <f>I361-I396</f>
        <v>0</v>
      </c>
      <c r="J398" s="397"/>
      <c r="K398" s="398"/>
      <c r="L398" s="395">
        <f>L361-L396</f>
        <v>0</v>
      </c>
      <c r="M398" s="396"/>
      <c r="N398" s="395">
        <f>N361-N396</f>
        <v>0</v>
      </c>
      <c r="O398" s="397"/>
      <c r="P398" s="398"/>
      <c r="Q398" s="395">
        <f>Q361-Q396</f>
        <v>0</v>
      </c>
      <c r="R398" s="397"/>
      <c r="S398" s="399">
        <f>L398-Q398</f>
        <v>0</v>
      </c>
    </row>
    <row r="399" spans="1:38" ht="15.75" customHeight="1" thickTop="1">
      <c r="B399" s="181"/>
      <c r="C399" s="73"/>
      <c r="D399" s="30"/>
      <c r="F399" s="26" t="e">
        <f>+F398-#REF!-#REF!-#REF!</f>
        <v>#REF!</v>
      </c>
      <c r="G399" s="30"/>
      <c r="I399" s="87"/>
      <c r="J399" s="73"/>
      <c r="K399" s="73"/>
      <c r="L399" s="26" t="e">
        <f>+L398-#REF!-#REF!-#REF!</f>
        <v>#REF!</v>
      </c>
      <c r="M399" s="73"/>
      <c r="N399" s="26" t="e">
        <f>+N398-#REF!-#REF!-#REF!</f>
        <v>#REF!</v>
      </c>
      <c r="O399" s="73"/>
      <c r="P399" s="73"/>
      <c r="Q399" s="26" t="e">
        <f>+Q398-#REF!-#REF!-#REF!</f>
        <v>#REF!</v>
      </c>
      <c r="R399" s="73"/>
      <c r="S399" s="26" t="e">
        <f>+S398-#REF!-#REF!-#REF!</f>
        <v>#REF!</v>
      </c>
    </row>
    <row r="400" spans="1:38" ht="15.75" customHeight="1">
      <c r="B400" s="181"/>
      <c r="L400" s="26"/>
      <c r="Z400" s="476" t="e">
        <f>+Z406-#REF!-#REF!-#REF!</f>
        <v>#REF!</v>
      </c>
      <c r="AF400" s="476" t="e">
        <f>+AF406-#REF!-#REF!-#REF!</f>
        <v>#REF!</v>
      </c>
      <c r="AH400" s="476" t="e">
        <f>+AH406-#REF!-#REF!-#REF!</f>
        <v>#REF!</v>
      </c>
      <c r="AL400" s="476" t="e">
        <f>+AL406-#REF!-#REF!-#REF!</f>
        <v>#REF!</v>
      </c>
    </row>
    <row r="401" spans="1:61" ht="44.25" customHeight="1">
      <c r="B401" s="181"/>
      <c r="V401" s="73" t="str">
        <f>C1</f>
        <v>Conso</v>
      </c>
      <c r="W401" s="73"/>
      <c r="X401" s="73"/>
      <c r="Y401" s="73"/>
      <c r="Z401" s="177"/>
      <c r="AA401" s="177"/>
      <c r="AB401" s="73"/>
      <c r="AC401" s="73"/>
      <c r="AD401" s="177"/>
      <c r="AE401" s="178" t="s">
        <v>121</v>
      </c>
      <c r="AF401" s="73"/>
      <c r="AG401" s="73"/>
      <c r="AH401" s="177"/>
      <c r="AI401" s="177"/>
      <c r="AJ401" s="400"/>
      <c r="AK401" s="6"/>
      <c r="AL401" s="177"/>
      <c r="AM401" s="73"/>
      <c r="AN401" s="73"/>
      <c r="AO401" s="180" t="str">
        <f>$S$1</f>
        <v xml:space="preserve">Réalisé  </v>
      </c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</row>
    <row r="402" spans="1:61" ht="15.75" customHeight="1" thickBot="1">
      <c r="B402" s="181"/>
      <c r="V402" s="6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</row>
    <row r="403" spans="1:61" ht="15.75" customHeight="1" thickTop="1" thickBot="1">
      <c r="A403" s="23" t="str">
        <f>+U403&amp;V403</f>
        <v/>
      </c>
      <c r="B403" s="181"/>
      <c r="V403" s="401"/>
      <c r="W403" s="402"/>
      <c r="X403" s="489" t="s">
        <v>122</v>
      </c>
      <c r="Y403" s="482"/>
      <c r="Z403" s="490"/>
      <c r="AA403" s="481" t="s">
        <v>74</v>
      </c>
      <c r="AB403" s="482"/>
      <c r="AC403" s="490"/>
      <c r="AD403" s="481" t="s">
        <v>7</v>
      </c>
      <c r="AE403" s="482"/>
      <c r="AF403" s="490"/>
      <c r="AG403" s="481" t="s">
        <v>124</v>
      </c>
      <c r="AH403" s="482"/>
      <c r="AI403" s="490"/>
      <c r="AJ403" s="481" t="s">
        <v>123</v>
      </c>
      <c r="AK403" s="482"/>
      <c r="AL403" s="482"/>
      <c r="AM403" s="481" t="s">
        <v>217</v>
      </c>
      <c r="AN403" s="482"/>
      <c r="AO403" s="483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</row>
    <row r="404" spans="1:61" ht="15.75" customHeight="1">
      <c r="A404" s="23" t="str">
        <f t="shared" ref="A404:A483" si="180">+U404&amp;V404</f>
        <v/>
      </c>
      <c r="B404" s="181"/>
      <c r="V404" s="2"/>
      <c r="W404" s="403" t="s">
        <v>125</v>
      </c>
      <c r="X404" s="403" t="s">
        <v>126</v>
      </c>
      <c r="Y404" s="403" t="s">
        <v>127</v>
      </c>
      <c r="Z404" s="404" t="s">
        <v>128</v>
      </c>
      <c r="AA404" s="403" t="s">
        <v>126</v>
      </c>
      <c r="AB404" s="403" t="s">
        <v>127</v>
      </c>
      <c r="AC404" s="404" t="s">
        <v>128</v>
      </c>
      <c r="AD404" s="405" t="s">
        <v>126</v>
      </c>
      <c r="AE404" s="403" t="s">
        <v>127</v>
      </c>
      <c r="AF404" s="403" t="s">
        <v>128</v>
      </c>
      <c r="AG404" s="405" t="s">
        <v>129</v>
      </c>
      <c r="AH404" s="403" t="s">
        <v>130</v>
      </c>
      <c r="AI404" s="403" t="s">
        <v>131</v>
      </c>
      <c r="AJ404" s="405" t="s">
        <v>126</v>
      </c>
      <c r="AK404" s="403" t="s">
        <v>127</v>
      </c>
      <c r="AL404" s="403" t="s">
        <v>128</v>
      </c>
      <c r="AM404" s="406" t="s">
        <v>129</v>
      </c>
      <c r="AN404" s="403" t="s">
        <v>130</v>
      </c>
      <c r="AO404" s="283" t="s">
        <v>131</v>
      </c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</row>
    <row r="405" spans="1:61" ht="15.75" customHeight="1">
      <c r="A405" s="23" t="str">
        <f t="shared" si="180"/>
        <v>Ventes nettes</v>
      </c>
      <c r="B405" s="181"/>
      <c r="T405" s="184"/>
      <c r="U405" s="184"/>
      <c r="V405" s="2" t="s">
        <v>15</v>
      </c>
      <c r="W405" s="7"/>
      <c r="X405" s="7"/>
      <c r="Y405" s="7"/>
      <c r="Z405" s="8">
        <f>F5+F93+E194+E250+D314+D361</f>
        <v>19264266.73642844</v>
      </c>
      <c r="AA405" s="7"/>
      <c r="AB405" s="7"/>
      <c r="AC405" s="8">
        <f>I5+I93+H194+H250+G314+G361</f>
        <v>0</v>
      </c>
      <c r="AD405" s="9"/>
      <c r="AE405" s="10"/>
      <c r="AF405" s="10">
        <f>L5+L93+K194+K250+J314+J361</f>
        <v>16428061.57</v>
      </c>
      <c r="AG405" s="9"/>
      <c r="AH405" s="10"/>
      <c r="AI405" s="11"/>
      <c r="AJ405" s="9"/>
      <c r="AK405" s="10"/>
      <c r="AL405" s="10">
        <f>Q5+Q93+P194+P250+O314+O361</f>
        <v>13893960.939999986</v>
      </c>
      <c r="AM405" s="12"/>
      <c r="AN405" s="10"/>
      <c r="AO405" s="13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</row>
    <row r="406" spans="1:61" ht="15.75" customHeight="1">
      <c r="A406" s="23" t="str">
        <f t="shared" si="180"/>
        <v>Profit brut</v>
      </c>
      <c r="B406" s="181"/>
      <c r="T406" s="184"/>
      <c r="U406" s="184"/>
      <c r="V406" s="14" t="s">
        <v>132</v>
      </c>
      <c r="W406" s="15"/>
      <c r="X406" s="15"/>
      <c r="Y406" s="15"/>
      <c r="Z406" s="16">
        <f>F27+F108+F194+F250+F314+F361</f>
        <v>2767342.7254505185</v>
      </c>
      <c r="AA406" s="15"/>
      <c r="AB406" s="15"/>
      <c r="AC406" s="16">
        <f>I27+I108+I194+I250+I314+I361</f>
        <v>0</v>
      </c>
      <c r="AD406" s="17"/>
      <c r="AE406" s="18"/>
      <c r="AF406" s="18">
        <f>L27+L108+L194+L250+L314+L361</f>
        <v>1897181.04</v>
      </c>
      <c r="AG406" s="17"/>
      <c r="AH406" s="18">
        <f>AF406-Z406</f>
        <v>-870161.6854505185</v>
      </c>
      <c r="AI406" s="19">
        <f>AH406/Z406</f>
        <v>-0.31443943587032852</v>
      </c>
      <c r="AJ406" s="17"/>
      <c r="AK406" s="18"/>
      <c r="AL406" s="18">
        <f>Q27+Q108+Q194+Q250+Q314+Q361</f>
        <v>1960729.2399999967</v>
      </c>
      <c r="AM406" s="20"/>
      <c r="AN406" s="18">
        <f>AF406-AL406</f>
        <v>-63548.199999996694</v>
      </c>
      <c r="AO406" s="21">
        <f>IF(AL406=0,0,AN406/AL406)</f>
        <v>-3.2410492332942818E-2</v>
      </c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</row>
    <row r="407" spans="1:61" ht="15.75" customHeight="1">
      <c r="A407" s="23" t="str">
        <f t="shared" si="180"/>
        <v>DÉPENSES</v>
      </c>
      <c r="B407" s="181"/>
      <c r="T407" s="184"/>
      <c r="U407" s="184"/>
      <c r="V407" s="22" t="s">
        <v>133</v>
      </c>
      <c r="Z407" s="24"/>
      <c r="AC407" s="24"/>
      <c r="AD407" s="25"/>
      <c r="AF407" s="26"/>
      <c r="AG407" s="25"/>
      <c r="AH407" s="26"/>
      <c r="AI407" s="27"/>
      <c r="AJ407" s="25"/>
      <c r="AL407" s="26"/>
      <c r="AM407" s="28"/>
      <c r="AN407" s="26"/>
      <c r="AO407" s="29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</row>
    <row r="408" spans="1:61" ht="15.75" customHeight="1">
      <c r="A408" s="23" t="str">
        <f t="shared" si="180"/>
        <v>Comm. vendeurs</v>
      </c>
      <c r="B408" s="181"/>
      <c r="T408" s="184"/>
      <c r="U408" s="184"/>
      <c r="V408" s="1" t="s">
        <v>31</v>
      </c>
      <c r="W408" s="30" t="s">
        <v>134</v>
      </c>
      <c r="Y408" s="31">
        <f>Z408/(D$13+D$97)</f>
        <v>836.7738925654254</v>
      </c>
      <c r="Z408" s="24">
        <f>+SUM(START:END!Z409)</f>
        <v>261761.70100704778</v>
      </c>
      <c r="AB408" s="31">
        <f>IF(AC408=0,0,AC408/(G$13+G$97))</f>
        <v>0</v>
      </c>
      <c r="AC408" s="24">
        <f>+SUM(START:END!AC409)</f>
        <v>0</v>
      </c>
      <c r="AD408" s="32"/>
      <c r="AE408" s="31">
        <f>IF(AF408=0,0,AF408/(J$13+J$97))</f>
        <v>588.43448905109483</v>
      </c>
      <c r="AF408" s="24">
        <f>+SUM(START:END!AF409)</f>
        <v>161231.04999999999</v>
      </c>
      <c r="AG408" s="25">
        <f>AE408-Y408</f>
        <v>-248.33940351433057</v>
      </c>
      <c r="AH408" s="24">
        <f>AF408-Z408</f>
        <v>-100530.6510070478</v>
      </c>
      <c r="AI408" s="27">
        <f t="shared" ref="AI408:AI417" si="181">IF(Z408=0,0,AH408/Z408)</f>
        <v>-0.38405408667611413</v>
      </c>
      <c r="AJ408" s="32"/>
      <c r="AK408" s="26">
        <f>AL408/(O$13+O$97)</f>
        <v>970.71100502512559</v>
      </c>
      <c r="AL408" s="24">
        <f t="shared" ref="AL408:AL414" si="182">+SUMIF($C:$C,$V408,Q:Q)</f>
        <v>193171.49</v>
      </c>
      <c r="AM408" s="28">
        <f t="shared" ref="AM408:AM417" si="183">AE408-AK408</f>
        <v>-382.27651597403076</v>
      </c>
      <c r="AN408" s="26">
        <f t="shared" ref="AN408:AN418" si="184">AF408-AL408</f>
        <v>-31940.440000000002</v>
      </c>
      <c r="AO408" s="33">
        <f>IF(AL408=0,0,AN408/AL408)</f>
        <v>-0.16534758830094443</v>
      </c>
      <c r="AP408" s="184"/>
      <c r="AQ408" s="184"/>
      <c r="AR408" s="181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</row>
    <row r="409" spans="1:61" ht="15.75" customHeight="1">
      <c r="A409" s="23" t="str">
        <f t="shared" si="180"/>
        <v>Comm. F&amp;I</v>
      </c>
      <c r="B409" s="181"/>
      <c r="T409" s="184"/>
      <c r="U409" s="184"/>
      <c r="V409" s="2" t="s">
        <v>32</v>
      </c>
      <c r="W409" s="34" t="s">
        <v>135</v>
      </c>
      <c r="X409" s="7"/>
      <c r="Y409" s="35">
        <f t="shared" ref="Y409:Y414" si="185">Z409/(D$13+D$97)</f>
        <v>515.90534568325484</v>
      </c>
      <c r="Z409" s="8">
        <f>+SUM(START:END!Z410)</f>
        <v>161386.79999999999</v>
      </c>
      <c r="AA409" s="7"/>
      <c r="AB409" s="35">
        <f t="shared" ref="AB409:AB414" si="186">IF(AC409=0,0,AC409/(G$13+G$97))</f>
        <v>0</v>
      </c>
      <c r="AC409" s="8">
        <f>+SUM(START:END!AC410)</f>
        <v>0</v>
      </c>
      <c r="AD409" s="36"/>
      <c r="AE409" s="35">
        <f t="shared" ref="AE409:AE414" si="187">IF(AF409=0,0,AF409/(J$13+J$97))</f>
        <v>320.72857664233572</v>
      </c>
      <c r="AF409" s="8">
        <f>+SUM(START:END!AF410)</f>
        <v>87879.62999999999</v>
      </c>
      <c r="AG409" s="9">
        <f t="shared" ref="AG409:AG414" si="188">AE409-Y409</f>
        <v>-195.17676904091911</v>
      </c>
      <c r="AH409" s="8">
        <f t="shared" ref="AH409:AH414" si="189">AF409-Z409</f>
        <v>-73507.17</v>
      </c>
      <c r="AI409" s="37">
        <f t="shared" si="181"/>
        <v>-0.4554720088631784</v>
      </c>
      <c r="AJ409" s="36"/>
      <c r="AK409" s="10">
        <f t="shared" ref="AK409:AK414" si="190">AL409/(O$13+O$97)</f>
        <v>515.6218090452262</v>
      </c>
      <c r="AL409" s="8">
        <f t="shared" si="182"/>
        <v>102608.74</v>
      </c>
      <c r="AM409" s="12">
        <f t="shared" si="183"/>
        <v>-194.89323240289048</v>
      </c>
      <c r="AN409" s="10">
        <f t="shared" ref="AN409:AN414" si="191">AF409-AL409</f>
        <v>-14729.110000000015</v>
      </c>
      <c r="AO409" s="38">
        <f t="shared" ref="AO409:AO414" si="192">IF(AL409=0,0,AN409/AL409)</f>
        <v>-0.14354634897573068</v>
      </c>
      <c r="AP409" s="184"/>
      <c r="AQ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</row>
    <row r="410" spans="1:61" ht="15.75" customHeight="1">
      <c r="A410" s="23" t="str">
        <f t="shared" si="180"/>
        <v>Frais de livraison</v>
      </c>
      <c r="B410" s="181"/>
      <c r="T410" s="184"/>
      <c r="U410" s="184"/>
      <c r="V410" s="1" t="s">
        <v>33</v>
      </c>
      <c r="W410" s="30" t="s">
        <v>136</v>
      </c>
      <c r="Y410" s="31">
        <f t="shared" si="185"/>
        <v>78.86197444237547</v>
      </c>
      <c r="Z410" s="24">
        <f>+SUM(START:END!Z411)</f>
        <v>24669.8</v>
      </c>
      <c r="AB410" s="31">
        <f t="shared" si="186"/>
        <v>0</v>
      </c>
      <c r="AC410" s="24">
        <f>+SUM(START:END!AC411)</f>
        <v>0</v>
      </c>
      <c r="AD410" s="32"/>
      <c r="AE410" s="31">
        <f t="shared" si="187"/>
        <v>88.849927007299272</v>
      </c>
      <c r="AF410" s="24">
        <f>+SUM(START:END!AF411)</f>
        <v>24344.880000000001</v>
      </c>
      <c r="AG410" s="25">
        <f t="shared" si="188"/>
        <v>9.9879525649238019</v>
      </c>
      <c r="AH410" s="24">
        <f t="shared" si="189"/>
        <v>-324.91999999999825</v>
      </c>
      <c r="AI410" s="27">
        <f t="shared" si="181"/>
        <v>-1.317075939002336E-2</v>
      </c>
      <c r="AJ410" s="32"/>
      <c r="AK410" s="26">
        <f t="shared" si="190"/>
        <v>62.820050251256276</v>
      </c>
      <c r="AL410" s="24">
        <f t="shared" si="182"/>
        <v>12501.189999999999</v>
      </c>
      <c r="AM410" s="28">
        <f t="shared" si="183"/>
        <v>26.029876756042995</v>
      </c>
      <c r="AN410" s="26">
        <f t="shared" si="191"/>
        <v>11843.690000000002</v>
      </c>
      <c r="AO410" s="33">
        <f t="shared" si="192"/>
        <v>0.94740500704332975</v>
      </c>
      <c r="AP410" s="184"/>
      <c r="AQ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</row>
    <row r="411" spans="1:61" ht="15.75" customHeight="1">
      <c r="A411" s="23" t="str">
        <f t="shared" si="180"/>
        <v>Service gratuit 1</v>
      </c>
      <c r="B411" s="181"/>
      <c r="T411" s="184"/>
      <c r="U411" s="184"/>
      <c r="V411" s="1" t="s">
        <v>34</v>
      </c>
      <c r="W411" s="30" t="s">
        <v>137</v>
      </c>
      <c r="Y411" s="31">
        <f t="shared" si="185"/>
        <v>4.7316689176769575</v>
      </c>
      <c r="Z411" s="24">
        <f>+SUM(START:END!Z412)</f>
        <v>1480.1724999999999</v>
      </c>
      <c r="AB411" s="31">
        <f t="shared" si="186"/>
        <v>0</v>
      </c>
      <c r="AC411" s="24">
        <f>+SUM(START:END!AC412)</f>
        <v>0</v>
      </c>
      <c r="AD411" s="32"/>
      <c r="AE411" s="31">
        <f t="shared" si="187"/>
        <v>22.041678832116787</v>
      </c>
      <c r="AF411" s="24">
        <f>+SUM(START:END!AF412)</f>
        <v>6039.42</v>
      </c>
      <c r="AG411" s="25">
        <f t="shared" si="188"/>
        <v>17.310009914439831</v>
      </c>
      <c r="AH411" s="24">
        <f t="shared" si="189"/>
        <v>4559.2475000000004</v>
      </c>
      <c r="AI411" s="27">
        <f t="shared" si="181"/>
        <v>3.0802136237499349</v>
      </c>
      <c r="AJ411" s="32"/>
      <c r="AK411" s="26">
        <f t="shared" si="190"/>
        <v>3.3181407035175878</v>
      </c>
      <c r="AL411" s="24">
        <f t="shared" si="182"/>
        <v>660.31</v>
      </c>
      <c r="AM411" s="28">
        <f t="shared" si="183"/>
        <v>18.723538128599198</v>
      </c>
      <c r="AN411" s="26">
        <f t="shared" si="191"/>
        <v>5379.1100000000006</v>
      </c>
      <c r="AO411" s="39">
        <f t="shared" si="192"/>
        <v>8.1463403552876699</v>
      </c>
      <c r="AP411" s="184"/>
      <c r="AQ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</row>
    <row r="412" spans="1:61" ht="15.75" customHeight="1">
      <c r="A412" s="23" t="str">
        <f t="shared" si="180"/>
        <v>Entretien stock</v>
      </c>
      <c r="B412" s="181"/>
      <c r="T412" s="184"/>
      <c r="U412" s="184"/>
      <c r="V412" s="2" t="s">
        <v>35</v>
      </c>
      <c r="W412" s="34"/>
      <c r="X412" s="7"/>
      <c r="Y412" s="35">
        <f t="shared" si="185"/>
        <v>119.67776055111125</v>
      </c>
      <c r="Z412" s="8">
        <f>+SUM(START:END!Z413)</f>
        <v>37437.896249999998</v>
      </c>
      <c r="AA412" s="7"/>
      <c r="AB412" s="35">
        <f t="shared" si="186"/>
        <v>0</v>
      </c>
      <c r="AC412" s="8">
        <f>+SUM(START:END!AC413)</f>
        <v>0</v>
      </c>
      <c r="AD412" s="36"/>
      <c r="AE412" s="35">
        <f t="shared" si="187"/>
        <v>157.94806569343066</v>
      </c>
      <c r="AF412" s="8">
        <f>+SUM(START:END!AF413)</f>
        <v>43277.770000000004</v>
      </c>
      <c r="AG412" s="9">
        <f t="shared" si="188"/>
        <v>38.270305142319415</v>
      </c>
      <c r="AH412" s="8">
        <f t="shared" si="189"/>
        <v>5839.8737500000061</v>
      </c>
      <c r="AI412" s="37">
        <f t="shared" si="181"/>
        <v>0.155988298888456</v>
      </c>
      <c r="AJ412" s="36"/>
      <c r="AK412" s="10">
        <f t="shared" si="190"/>
        <v>120.91341708542714</v>
      </c>
      <c r="AL412" s="8">
        <f t="shared" si="182"/>
        <v>24061.77</v>
      </c>
      <c r="AM412" s="12">
        <f t="shared" si="183"/>
        <v>37.034648608003522</v>
      </c>
      <c r="AN412" s="10">
        <f t="shared" si="191"/>
        <v>19216.000000000004</v>
      </c>
      <c r="AO412" s="38">
        <f t="shared" si="192"/>
        <v>0.79861124098518121</v>
      </c>
      <c r="AP412" s="184"/>
      <c r="AQ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</row>
    <row r="413" spans="1:61" ht="15.75" customHeight="1">
      <c r="A413" s="23" t="str">
        <f t="shared" si="180"/>
        <v>Publicité 1</v>
      </c>
      <c r="B413" s="181"/>
      <c r="T413" s="184"/>
      <c r="U413" s="184"/>
      <c r="V413" s="1" t="s">
        <v>36</v>
      </c>
      <c r="W413" s="30" t="s">
        <v>138</v>
      </c>
      <c r="X413" s="27"/>
      <c r="Y413" s="31">
        <f t="shared" si="185"/>
        <v>162.63935618441769</v>
      </c>
      <c r="Z413" s="24">
        <f>+SUM(START:END!Z414)</f>
        <v>50877.25</v>
      </c>
      <c r="AA413" s="27"/>
      <c r="AB413" s="31">
        <f t="shared" si="186"/>
        <v>0</v>
      </c>
      <c r="AC413" s="24">
        <f>+SUM(START:END!AC414)</f>
        <v>0</v>
      </c>
      <c r="AD413" s="32"/>
      <c r="AE413" s="31">
        <f t="shared" si="187"/>
        <v>236.9085401459854</v>
      </c>
      <c r="AF413" s="24">
        <f>+SUM(START:END!AF414)</f>
        <v>64912.94</v>
      </c>
      <c r="AG413" s="25">
        <f t="shared" si="188"/>
        <v>74.269183961567705</v>
      </c>
      <c r="AH413" s="24">
        <f t="shared" si="189"/>
        <v>14035.690000000002</v>
      </c>
      <c r="AI413" s="27">
        <f t="shared" si="181"/>
        <v>0.27587359772786468</v>
      </c>
      <c r="AJ413" s="32"/>
      <c r="AK413" s="26">
        <f t="shared" si="190"/>
        <v>297.37778894472359</v>
      </c>
      <c r="AL413" s="24">
        <f t="shared" si="182"/>
        <v>59178.179999999993</v>
      </c>
      <c r="AM413" s="28">
        <f t="shared" si="183"/>
        <v>-60.469248798738192</v>
      </c>
      <c r="AN413" s="26">
        <f t="shared" si="191"/>
        <v>5734.7600000000093</v>
      </c>
      <c r="AO413" s="33">
        <f t="shared" si="192"/>
        <v>9.6906663908893617E-2</v>
      </c>
      <c r="AP413" s="184"/>
      <c r="AQ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</row>
    <row r="414" spans="1:61" ht="15.75" customHeight="1">
      <c r="A414" s="23" t="str">
        <f t="shared" si="180"/>
        <v>Intérêt de gros</v>
      </c>
      <c r="B414" s="181"/>
      <c r="T414" s="184"/>
      <c r="U414" s="184"/>
      <c r="V414" s="1" t="s">
        <v>37</v>
      </c>
      <c r="W414" s="30" t="s">
        <v>139</v>
      </c>
      <c r="Y414" s="31">
        <f t="shared" si="185"/>
        <v>257.29452968064231</v>
      </c>
      <c r="Z414" s="24">
        <f>+SUM(START:END!Z415)</f>
        <v>80487.518011022723</v>
      </c>
      <c r="AB414" s="31">
        <f t="shared" si="186"/>
        <v>0</v>
      </c>
      <c r="AC414" s="24">
        <f>+SUM(START:END!AC415)</f>
        <v>0</v>
      </c>
      <c r="AD414" s="32"/>
      <c r="AE414" s="31">
        <f t="shared" si="187"/>
        <v>519.79083941605836</v>
      </c>
      <c r="AF414" s="24">
        <f>+SUM(START:END!AF415)</f>
        <v>142422.69</v>
      </c>
      <c r="AG414" s="25">
        <f t="shared" si="188"/>
        <v>262.49630973541605</v>
      </c>
      <c r="AH414" s="24">
        <f t="shared" si="189"/>
        <v>61935.171988977279</v>
      </c>
      <c r="AI414" s="27">
        <f t="shared" si="181"/>
        <v>0.76950033395855599</v>
      </c>
      <c r="AJ414" s="32"/>
      <c r="AK414" s="26">
        <f t="shared" si="190"/>
        <v>91.575125628140711</v>
      </c>
      <c r="AL414" s="24">
        <f t="shared" si="182"/>
        <v>18223.45</v>
      </c>
      <c r="AM414" s="28">
        <f t="shared" si="183"/>
        <v>428.21571378791765</v>
      </c>
      <c r="AN414" s="26">
        <f t="shared" si="191"/>
        <v>124199.24</v>
      </c>
      <c r="AO414" s="33">
        <f t="shared" si="192"/>
        <v>6.815352746049733</v>
      </c>
      <c r="AP414" s="184"/>
      <c r="AQ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</row>
    <row r="415" spans="1:61" ht="15.75" hidden="1" customHeight="1">
      <c r="A415" s="23" t="str">
        <f t="shared" si="180"/>
        <v>[...]</v>
      </c>
      <c r="B415" s="181"/>
      <c r="T415" s="184"/>
      <c r="U415" s="184"/>
      <c r="V415" s="1" t="s">
        <v>20</v>
      </c>
      <c r="W415" s="30"/>
      <c r="X415" s="27"/>
      <c r="Y415" s="31">
        <f t="shared" ref="Y415:Y417" si="193">Z415/(D$13+D$97)</f>
        <v>0</v>
      </c>
      <c r="Z415" s="24">
        <f>+SUM(START:END!Z416)</f>
        <v>0</v>
      </c>
      <c r="AB415" s="31">
        <f t="shared" ref="AB415:AB417" si="194">IF(AC415=0,0,AC415/(G$13+G$97))</f>
        <v>0</v>
      </c>
      <c r="AC415" s="24">
        <f>+SUM(START:END!AC416)</f>
        <v>0</v>
      </c>
      <c r="AD415" s="32"/>
      <c r="AE415" s="31">
        <f t="shared" ref="AE415:AE417" si="195">IF(AF415=0,0,AF415/(J$13+J$97))</f>
        <v>0</v>
      </c>
      <c r="AF415" s="24">
        <f>+SUM(START:END!AF416)</f>
        <v>0</v>
      </c>
      <c r="AG415" s="25">
        <f t="shared" ref="AG415:AG417" si="196">AE415-AB415</f>
        <v>0</v>
      </c>
      <c r="AH415" s="24">
        <f t="shared" ref="AH415:AH417" si="197">AF415-AC415</f>
        <v>0</v>
      </c>
      <c r="AI415" s="27">
        <f t="shared" si="181"/>
        <v>0</v>
      </c>
      <c r="AJ415" s="32"/>
      <c r="AK415" s="26">
        <f t="shared" ref="AK415:AK417" si="198">AL415/(O$13+O$97)</f>
        <v>0</v>
      </c>
      <c r="AL415" s="24"/>
      <c r="AM415" s="28">
        <f t="shared" si="183"/>
        <v>0</v>
      </c>
      <c r="AN415" s="26">
        <f t="shared" ref="AN415:AN417" si="199">AF415-AL415</f>
        <v>0</v>
      </c>
      <c r="AO415" s="33">
        <f t="shared" ref="AO415:AO417" si="200">IF(AL415=0,0,AN415/AL415)</f>
        <v>0</v>
      </c>
      <c r="AP415" s="184"/>
      <c r="AQ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</row>
    <row r="416" spans="1:61" ht="15.75" hidden="1" customHeight="1">
      <c r="A416" s="23" t="str">
        <f t="shared" si="180"/>
        <v>[...]</v>
      </c>
      <c r="B416" s="181"/>
      <c r="T416" s="184"/>
      <c r="U416" s="184"/>
      <c r="V416" s="1" t="s">
        <v>20</v>
      </c>
      <c r="W416" s="30"/>
      <c r="X416" s="27"/>
      <c r="Y416" s="31">
        <f t="shared" si="193"/>
        <v>0</v>
      </c>
      <c r="Z416" s="24">
        <f>+SUM(START:END!Z417)</f>
        <v>0</v>
      </c>
      <c r="AB416" s="31">
        <f t="shared" si="194"/>
        <v>0</v>
      </c>
      <c r="AC416" s="24">
        <f>+SUM(START:END!AC417)</f>
        <v>0</v>
      </c>
      <c r="AD416" s="32"/>
      <c r="AE416" s="31">
        <f t="shared" si="195"/>
        <v>0</v>
      </c>
      <c r="AF416" s="24">
        <f>+SUM(START:END!AF417)</f>
        <v>0</v>
      </c>
      <c r="AG416" s="25">
        <f t="shared" si="196"/>
        <v>0</v>
      </c>
      <c r="AH416" s="24">
        <f t="shared" si="197"/>
        <v>0</v>
      </c>
      <c r="AI416" s="27">
        <f t="shared" si="181"/>
        <v>0</v>
      </c>
      <c r="AJ416" s="32"/>
      <c r="AK416" s="26">
        <f t="shared" si="198"/>
        <v>0</v>
      </c>
      <c r="AL416" s="24"/>
      <c r="AM416" s="28">
        <f t="shared" si="183"/>
        <v>0</v>
      </c>
      <c r="AN416" s="26">
        <f t="shared" si="199"/>
        <v>0</v>
      </c>
      <c r="AO416" s="33">
        <f t="shared" si="200"/>
        <v>0</v>
      </c>
      <c r="AP416" s="184"/>
      <c r="AQ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</row>
    <row r="417" spans="1:61" ht="15.75" hidden="1" customHeight="1">
      <c r="A417" s="23" t="str">
        <f t="shared" si="180"/>
        <v>[...]</v>
      </c>
      <c r="B417" s="181"/>
      <c r="T417" s="184"/>
      <c r="U417" s="184"/>
      <c r="V417" s="1" t="s">
        <v>20</v>
      </c>
      <c r="W417" s="30"/>
      <c r="Y417" s="31">
        <f t="shared" si="193"/>
        <v>0</v>
      </c>
      <c r="Z417" s="24">
        <f>+SUM(START:END!Z418)</f>
        <v>0</v>
      </c>
      <c r="AB417" s="31">
        <f t="shared" si="194"/>
        <v>0</v>
      </c>
      <c r="AC417" s="24">
        <f>+SUM(START:END!AC418)</f>
        <v>0</v>
      </c>
      <c r="AD417" s="32"/>
      <c r="AE417" s="31">
        <f t="shared" si="195"/>
        <v>0</v>
      </c>
      <c r="AF417" s="24">
        <f>+SUM(START:END!AF418)</f>
        <v>0</v>
      </c>
      <c r="AG417" s="25">
        <f t="shared" si="196"/>
        <v>0</v>
      </c>
      <c r="AH417" s="24">
        <f t="shared" si="197"/>
        <v>0</v>
      </c>
      <c r="AI417" s="27">
        <f t="shared" si="181"/>
        <v>0</v>
      </c>
      <c r="AJ417" s="32"/>
      <c r="AK417" s="26">
        <f t="shared" si="198"/>
        <v>0</v>
      </c>
      <c r="AL417" s="24"/>
      <c r="AM417" s="28">
        <f t="shared" si="183"/>
        <v>0</v>
      </c>
      <c r="AN417" s="26">
        <f t="shared" si="199"/>
        <v>0</v>
      </c>
      <c r="AO417" s="33">
        <f t="shared" si="200"/>
        <v>0</v>
      </c>
      <c r="AP417" s="184"/>
      <c r="AQ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</row>
    <row r="418" spans="1:61" ht="15.75" customHeight="1">
      <c r="A418" s="23" t="str">
        <f t="shared" si="180"/>
        <v>TOTAL VARIABLES</v>
      </c>
      <c r="B418" s="181"/>
      <c r="T418" s="184"/>
      <c r="U418" s="184"/>
      <c r="V418" s="40" t="s">
        <v>38</v>
      </c>
      <c r="W418" s="41"/>
      <c r="X418" s="42">
        <f>Z418/Z406</f>
        <v>0.2233554709662659</v>
      </c>
      <c r="Y418" s="41"/>
      <c r="Z418" s="43">
        <f>SUM(Z408:Z417)</f>
        <v>618101.13776807045</v>
      </c>
      <c r="AA418" s="42" t="e">
        <f>AC418/AC406</f>
        <v>#DIV/0!</v>
      </c>
      <c r="AB418" s="41"/>
      <c r="AC418" s="43">
        <f>SUM(AC408:AC417)</f>
        <v>0</v>
      </c>
      <c r="AD418" s="44">
        <f>AF418/AF406</f>
        <v>0.27941897416389949</v>
      </c>
      <c r="AE418" s="41"/>
      <c r="AF418" s="43">
        <f>SUM(AF408:AF417)</f>
        <v>530108.38</v>
      </c>
      <c r="AG418" s="45"/>
      <c r="AH418" s="43">
        <f>SUM(AH408:AH417)</f>
        <v>-87992.757768070485</v>
      </c>
      <c r="AI418" s="42">
        <f>AH418/Z418</f>
        <v>-0.14235980552601399</v>
      </c>
      <c r="AJ418" s="44">
        <f>IF($AL$406=0,0,AL418/$AL$406)</f>
        <v>0.20931249538564575</v>
      </c>
      <c r="AK418" s="41"/>
      <c r="AL418" s="43">
        <f>SUM(AL408:AL417)</f>
        <v>410405.13</v>
      </c>
      <c r="AM418" s="47"/>
      <c r="AN418" s="46">
        <f t="shared" si="184"/>
        <v>119703.25</v>
      </c>
      <c r="AO418" s="21">
        <f>IF(AL418=0,0,AN418/AL418)</f>
        <v>0.29167093988323195</v>
      </c>
      <c r="AP418" s="184"/>
      <c r="AQ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</row>
    <row r="419" spans="1:61" ht="15.75" customHeight="1">
      <c r="A419" s="23" t="str">
        <f t="shared" si="180"/>
        <v>Salaires propriétaire</v>
      </c>
      <c r="B419" s="181"/>
      <c r="O419" s="407"/>
      <c r="P419" s="26"/>
      <c r="T419" s="184"/>
      <c r="U419" s="184"/>
      <c r="V419" s="1" t="s">
        <v>140</v>
      </c>
      <c r="W419" s="30" t="s">
        <v>141</v>
      </c>
      <c r="Z419" s="24">
        <f>+SUM(START:END!Z420)</f>
        <v>43006.599999999991</v>
      </c>
      <c r="AB419" s="23">
        <f t="shared" ref="AB419:AB429" si="201">IF(AC419=0,0,AC419/(G$13+G$97))</f>
        <v>0</v>
      </c>
      <c r="AC419" s="24">
        <f>+SUM(START:END!AC420)</f>
        <v>0</v>
      </c>
      <c r="AD419" s="32"/>
      <c r="AE419" s="31"/>
      <c r="AF419" s="24">
        <f>+SUM(START:END!AF420)</f>
        <v>49097.04</v>
      </c>
      <c r="AG419" s="25"/>
      <c r="AH419" s="24">
        <f t="shared" ref="AH419:AH430" si="202">AF419-Z419</f>
        <v>6090.4400000000096</v>
      </c>
      <c r="AI419" s="27">
        <f t="shared" ref="AI419:AI431" si="203">IF(Z419=0,0,AH419/Z419)</f>
        <v>0.14161640306371606</v>
      </c>
      <c r="AJ419" s="32"/>
      <c r="AL419" s="24">
        <f>+SUM(START:END!AL420)</f>
        <v>58102.719999999899</v>
      </c>
      <c r="AM419" s="28"/>
      <c r="AN419" s="26">
        <f t="shared" ref="AN419:AN429" si="204">AF419-AL419</f>
        <v>-9005.6799999998984</v>
      </c>
      <c r="AO419" s="33">
        <f t="shared" ref="AO419:AO429" si="205">IF(AL419=0,0,AN419/AL419)</f>
        <v>-0.1549958418469895</v>
      </c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</row>
    <row r="420" spans="1:61" ht="15.75" customHeight="1">
      <c r="A420" s="23" t="str">
        <f t="shared" si="180"/>
        <v>Salaires cadres</v>
      </c>
      <c r="B420" s="181"/>
      <c r="O420" s="407"/>
      <c r="P420" s="26"/>
      <c r="T420" s="184"/>
      <c r="U420" s="184"/>
      <c r="V420" s="1" t="s">
        <v>41</v>
      </c>
      <c r="W420" s="30" t="s">
        <v>142</v>
      </c>
      <c r="Z420" s="24">
        <f>+SUM(START:END!Z421)</f>
        <v>168909</v>
      </c>
      <c r="AB420" s="23">
        <f t="shared" si="201"/>
        <v>0</v>
      </c>
      <c r="AC420" s="24">
        <f>+SUM(START:END!AC421)</f>
        <v>0</v>
      </c>
      <c r="AD420" s="32"/>
      <c r="AE420" s="31"/>
      <c r="AF420" s="24">
        <f>+SUM(START:END!AF421)</f>
        <v>136647.63</v>
      </c>
      <c r="AG420" s="25"/>
      <c r="AH420" s="24">
        <f t="shared" si="202"/>
        <v>-32261.369999999995</v>
      </c>
      <c r="AI420" s="27">
        <f t="shared" si="203"/>
        <v>-0.19099852583343691</v>
      </c>
      <c r="AJ420" s="32"/>
      <c r="AL420" s="24">
        <f>+SUMIF($C:$C,$V420,Q:Q)</f>
        <v>119011.98999999999</v>
      </c>
      <c r="AM420" s="28"/>
      <c r="AN420" s="26">
        <f t="shared" si="204"/>
        <v>17635.640000000014</v>
      </c>
      <c r="AO420" s="33">
        <f t="shared" si="205"/>
        <v>0.1481837250179584</v>
      </c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</row>
    <row r="421" spans="1:61" ht="15.75" customHeight="1">
      <c r="A421" s="23" t="str">
        <f t="shared" si="180"/>
        <v>Salaires commis</v>
      </c>
      <c r="B421" s="181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408"/>
      <c r="P421" s="26"/>
      <c r="Q421" s="184"/>
      <c r="R421" s="184"/>
      <c r="S421" s="184"/>
      <c r="T421" s="184"/>
      <c r="U421" s="184"/>
      <c r="V421" s="2" t="s">
        <v>42</v>
      </c>
      <c r="W421" s="34" t="s">
        <v>143</v>
      </c>
      <c r="X421" s="7"/>
      <c r="Y421" s="7"/>
      <c r="Z421" s="8">
        <f>+SUM(START:END!Z422)</f>
        <v>178873.24</v>
      </c>
      <c r="AA421" s="7"/>
      <c r="AB421" s="7">
        <f t="shared" si="201"/>
        <v>0</v>
      </c>
      <c r="AC421" s="8">
        <f>+SUM(START:END!AC422)</f>
        <v>0</v>
      </c>
      <c r="AD421" s="36"/>
      <c r="AE421" s="35"/>
      <c r="AF421" s="8">
        <f>+SUM(START:END!AF422)</f>
        <v>137704.94999999998</v>
      </c>
      <c r="AG421" s="9"/>
      <c r="AH421" s="8">
        <f t="shared" si="202"/>
        <v>-41168.290000000008</v>
      </c>
      <c r="AI421" s="37">
        <f t="shared" si="203"/>
        <v>-0.23015343155857193</v>
      </c>
      <c r="AJ421" s="36"/>
      <c r="AK421" s="7"/>
      <c r="AL421" s="8">
        <f>+SUMIF($C:$C,$V421,Q:Q)</f>
        <v>145689.03999999998</v>
      </c>
      <c r="AM421" s="12"/>
      <c r="AN421" s="10">
        <f t="shared" si="204"/>
        <v>-7984.0899999999965</v>
      </c>
      <c r="AO421" s="13">
        <f t="shared" si="205"/>
        <v>-5.4802269271593783E-2</v>
      </c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</row>
    <row r="422" spans="1:61" ht="15.75" customHeight="1">
      <c r="A422" s="23" t="str">
        <f t="shared" si="180"/>
        <v>Salaires autres</v>
      </c>
      <c r="B422" s="181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408"/>
      <c r="P422" s="26"/>
      <c r="Q422" s="184"/>
      <c r="R422" s="184"/>
      <c r="S422" s="184"/>
      <c r="T422" s="184"/>
      <c r="U422" s="184"/>
      <c r="V422" s="1" t="s">
        <v>43</v>
      </c>
      <c r="W422" s="30" t="s">
        <v>144</v>
      </c>
      <c r="Z422" s="24">
        <f>+SUM(START:END!Z423)</f>
        <v>84057.799999999988</v>
      </c>
      <c r="AB422" s="23">
        <f t="shared" si="201"/>
        <v>0</v>
      </c>
      <c r="AC422" s="24">
        <f>+SUM(START:END!AC423)</f>
        <v>0</v>
      </c>
      <c r="AD422" s="32"/>
      <c r="AE422" s="31"/>
      <c r="AF422" s="24">
        <f>+SUM(START:END!AF423)</f>
        <v>91611.459999999992</v>
      </c>
      <c r="AG422" s="25"/>
      <c r="AH422" s="24">
        <f t="shared" si="202"/>
        <v>7553.6600000000035</v>
      </c>
      <c r="AI422" s="27">
        <f t="shared" si="203"/>
        <v>8.9862689720644665E-2</v>
      </c>
      <c r="AJ422" s="32"/>
      <c r="AL422" s="24">
        <f>+SUMIF($C:$C,$V422,Q:Q)</f>
        <v>108462.68</v>
      </c>
      <c r="AM422" s="28"/>
      <c r="AN422" s="26">
        <f t="shared" si="204"/>
        <v>-16851.22</v>
      </c>
      <c r="AO422" s="33">
        <f t="shared" si="205"/>
        <v>-0.15536422297512842</v>
      </c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</row>
    <row r="423" spans="1:61" ht="15.75" customHeight="1">
      <c r="A423" s="23" t="str">
        <f t="shared" si="180"/>
        <v>Salaires spécialistes</v>
      </c>
      <c r="B423" s="181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408"/>
      <c r="P423" s="26"/>
      <c r="Q423" s="184"/>
      <c r="R423" s="184"/>
      <c r="S423" s="184"/>
      <c r="T423" s="184"/>
      <c r="U423" s="184"/>
      <c r="V423" s="1" t="s">
        <v>44</v>
      </c>
      <c r="W423" s="30" t="s">
        <v>145</v>
      </c>
      <c r="Z423" s="24">
        <f>+SUM(START:END!Z424)</f>
        <v>106456.16689763534</v>
      </c>
      <c r="AB423" s="23">
        <f t="shared" si="201"/>
        <v>0</v>
      </c>
      <c r="AC423" s="24">
        <f>+SUM(START:END!AC424)</f>
        <v>0</v>
      </c>
      <c r="AD423" s="32"/>
      <c r="AE423" s="31"/>
      <c r="AF423" s="24">
        <f>+SUM(START:END!AF424)</f>
        <v>107502.9</v>
      </c>
      <c r="AG423" s="25"/>
      <c r="AH423" s="24">
        <f t="shared" si="202"/>
        <v>1046.7331023646548</v>
      </c>
      <c r="AI423" s="27">
        <f t="shared" si="203"/>
        <v>9.8325266902682864E-3</v>
      </c>
      <c r="AJ423" s="32"/>
      <c r="AL423" s="24">
        <f>+SUMIF($C:$C,$V423,Q:Q)</f>
        <v>105069.96999999999</v>
      </c>
      <c r="AM423" s="28"/>
      <c r="AN423" s="26">
        <f t="shared" si="204"/>
        <v>2432.9300000000076</v>
      </c>
      <c r="AO423" s="33">
        <f t="shared" si="205"/>
        <v>2.3155331632815808E-2</v>
      </c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</row>
    <row r="424" spans="1:61" ht="15.75" hidden="1" customHeight="1">
      <c r="A424" s="23" t="str">
        <f t="shared" si="180"/>
        <v>[...]</v>
      </c>
      <c r="B424" s="181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408"/>
      <c r="P424" s="26"/>
      <c r="Q424" s="184"/>
      <c r="R424" s="184"/>
      <c r="S424" s="184"/>
      <c r="T424" s="184"/>
      <c r="U424" s="184"/>
      <c r="V424" s="1" t="s">
        <v>20</v>
      </c>
      <c r="W424" s="30"/>
      <c r="Z424" s="24">
        <f>+SUM(START:END!Z425)</f>
        <v>0</v>
      </c>
      <c r="AB424" s="23">
        <f t="shared" si="201"/>
        <v>0</v>
      </c>
      <c r="AC424" s="24">
        <f>+SUM(START:END!AC425)</f>
        <v>0</v>
      </c>
      <c r="AD424" s="32"/>
      <c r="AE424" s="31"/>
      <c r="AF424" s="24">
        <f>+SUM(START:END!AF425)</f>
        <v>0</v>
      </c>
      <c r="AG424" s="25"/>
      <c r="AH424" s="24">
        <f t="shared" si="202"/>
        <v>0</v>
      </c>
      <c r="AI424" s="27">
        <f t="shared" si="203"/>
        <v>0</v>
      </c>
      <c r="AJ424" s="32"/>
      <c r="AL424" s="24"/>
      <c r="AM424" s="28"/>
      <c r="AN424" s="26">
        <f t="shared" si="204"/>
        <v>0</v>
      </c>
      <c r="AO424" s="33">
        <f t="shared" si="205"/>
        <v>0</v>
      </c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</row>
    <row r="425" spans="1:61" ht="15.75" hidden="1" customHeight="1">
      <c r="A425" s="23" t="str">
        <f t="shared" si="180"/>
        <v>[...]</v>
      </c>
      <c r="B425" s="181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408"/>
      <c r="P425" s="26"/>
      <c r="Q425" s="184"/>
      <c r="R425" s="184"/>
      <c r="S425" s="184"/>
      <c r="T425" s="184"/>
      <c r="U425" s="184"/>
      <c r="V425" s="1" t="s">
        <v>20</v>
      </c>
      <c r="W425" s="30"/>
      <c r="Z425" s="24">
        <f>+SUM(START:END!Z426)</f>
        <v>0</v>
      </c>
      <c r="AB425" s="23">
        <f t="shared" si="201"/>
        <v>0</v>
      </c>
      <c r="AC425" s="24">
        <f>+SUM(START:END!AC426)</f>
        <v>0</v>
      </c>
      <c r="AD425" s="32"/>
      <c r="AE425" s="31"/>
      <c r="AF425" s="24">
        <f>+SUM(START:END!AF426)</f>
        <v>0</v>
      </c>
      <c r="AG425" s="25"/>
      <c r="AH425" s="24">
        <f t="shared" si="202"/>
        <v>0</v>
      </c>
      <c r="AI425" s="27">
        <f t="shared" si="203"/>
        <v>0</v>
      </c>
      <c r="AJ425" s="32"/>
      <c r="AL425" s="24"/>
      <c r="AM425" s="28"/>
      <c r="AN425" s="26">
        <f t="shared" si="204"/>
        <v>0</v>
      </c>
      <c r="AO425" s="33">
        <f t="shared" si="205"/>
        <v>0</v>
      </c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</row>
    <row r="426" spans="1:61" ht="15.75" hidden="1" customHeight="1">
      <c r="A426" s="23" t="str">
        <f t="shared" si="180"/>
        <v>[...]</v>
      </c>
      <c r="B426" s="181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408"/>
      <c r="P426" s="26"/>
      <c r="Q426" s="184"/>
      <c r="R426" s="184"/>
      <c r="S426" s="184"/>
      <c r="T426" s="184"/>
      <c r="U426" s="184"/>
      <c r="V426" s="1" t="s">
        <v>20</v>
      </c>
      <c r="W426" s="30"/>
      <c r="Z426" s="24">
        <f>+SUM(START:END!Z427)</f>
        <v>0</v>
      </c>
      <c r="AB426" s="23">
        <f t="shared" si="201"/>
        <v>0</v>
      </c>
      <c r="AC426" s="24">
        <f>+SUM(START:END!AC427)</f>
        <v>0</v>
      </c>
      <c r="AD426" s="32"/>
      <c r="AE426" s="31"/>
      <c r="AF426" s="24">
        <f>+SUM(START:END!AF427)</f>
        <v>0</v>
      </c>
      <c r="AG426" s="25"/>
      <c r="AH426" s="24">
        <f t="shared" si="202"/>
        <v>0</v>
      </c>
      <c r="AI426" s="27">
        <f t="shared" si="203"/>
        <v>0</v>
      </c>
      <c r="AJ426" s="32"/>
      <c r="AL426" s="24"/>
      <c r="AM426" s="28"/>
      <c r="AN426" s="26">
        <f t="shared" si="204"/>
        <v>0</v>
      </c>
      <c r="AO426" s="33">
        <f t="shared" si="205"/>
        <v>0</v>
      </c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</row>
    <row r="427" spans="1:61" ht="15.75" customHeight="1">
      <c r="A427" s="23" t="str">
        <f t="shared" si="180"/>
        <v>Salaires en absences</v>
      </c>
      <c r="B427" s="181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408"/>
      <c r="P427" s="26"/>
      <c r="Q427" s="184"/>
      <c r="R427" s="184"/>
      <c r="S427" s="184"/>
      <c r="T427" s="184"/>
      <c r="U427" s="184"/>
      <c r="V427" s="2" t="s">
        <v>45</v>
      </c>
      <c r="W427" s="34" t="s">
        <v>146</v>
      </c>
      <c r="X427" s="7"/>
      <c r="Y427" s="7"/>
      <c r="Z427" s="8">
        <f>+SUM(START:END!Z428)</f>
        <v>141530.26852915186</v>
      </c>
      <c r="AA427" s="7"/>
      <c r="AB427" s="7">
        <f t="shared" si="201"/>
        <v>0</v>
      </c>
      <c r="AC427" s="8">
        <f>+SUM(START:END!AC428)</f>
        <v>0</v>
      </c>
      <c r="AD427" s="36"/>
      <c r="AE427" s="35"/>
      <c r="AF427" s="8">
        <f>+SUM(START:END!AF428)</f>
        <v>133886.73000000001</v>
      </c>
      <c r="AG427" s="9"/>
      <c r="AH427" s="8">
        <f t="shared" si="202"/>
        <v>-7643.5385291518469</v>
      </c>
      <c r="AI427" s="37">
        <f t="shared" si="203"/>
        <v>-5.4006387528173598E-2</v>
      </c>
      <c r="AJ427" s="36"/>
      <c r="AK427" s="7"/>
      <c r="AL427" s="8">
        <f>+SUMIF($C:$C,$V427,Q:Q)</f>
        <v>119092.07</v>
      </c>
      <c r="AM427" s="12"/>
      <c r="AN427" s="10">
        <f t="shared" si="204"/>
        <v>14794.660000000003</v>
      </c>
      <c r="AO427" s="38">
        <f t="shared" si="205"/>
        <v>0.12422875847233156</v>
      </c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</row>
    <row r="428" spans="1:61" ht="15.75" customHeight="1">
      <c r="A428" s="23" t="str">
        <f t="shared" si="180"/>
        <v>Déduction à la source</v>
      </c>
      <c r="B428" s="181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408"/>
      <c r="P428" s="26"/>
      <c r="Q428" s="184"/>
      <c r="R428" s="184"/>
      <c r="S428" s="184"/>
      <c r="T428" s="184"/>
      <c r="U428" s="184"/>
      <c r="V428" s="1" t="s">
        <v>46</v>
      </c>
      <c r="W428" s="30" t="s">
        <v>147</v>
      </c>
      <c r="Z428" s="24">
        <f>+SUM(START:END!Z429)</f>
        <v>172080.85512795555</v>
      </c>
      <c r="AB428" s="23">
        <f t="shared" si="201"/>
        <v>0</v>
      </c>
      <c r="AC428" s="24">
        <f>+SUM(START:END!AC429)</f>
        <v>0</v>
      </c>
      <c r="AD428" s="32"/>
      <c r="AE428" s="31"/>
      <c r="AF428" s="24">
        <f>+SUM(START:END!AF429)</f>
        <v>161119.66</v>
      </c>
      <c r="AG428" s="25"/>
      <c r="AH428" s="24">
        <f t="shared" si="202"/>
        <v>-10961.195127955551</v>
      </c>
      <c r="AI428" s="27">
        <f t="shared" si="203"/>
        <v>-6.3697935019006308E-2</v>
      </c>
      <c r="AJ428" s="32"/>
      <c r="AL428" s="24">
        <f>+SUMIF($C:$C,$V428,Q:Q)</f>
        <v>168820.71999999997</v>
      </c>
      <c r="AM428" s="28"/>
      <c r="AN428" s="26">
        <f t="shared" si="204"/>
        <v>-7701.0599999999686</v>
      </c>
      <c r="AO428" s="33">
        <f t="shared" si="205"/>
        <v>-4.5616793957518782E-2</v>
      </c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</row>
    <row r="429" spans="1:61" ht="15.75" customHeight="1">
      <c r="A429" s="23" t="str">
        <f t="shared" si="180"/>
        <v>Bénéfices marginaux</v>
      </c>
      <c r="B429" s="181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408"/>
      <c r="P429" s="26"/>
      <c r="Q429" s="184"/>
      <c r="R429" s="184"/>
      <c r="S429" s="184"/>
      <c r="T429" s="184"/>
      <c r="U429" s="184"/>
      <c r="V429" s="1" t="s">
        <v>47</v>
      </c>
      <c r="W429" s="30" t="s">
        <v>148</v>
      </c>
      <c r="Z429" s="24">
        <f>+SUM(START:END!Z430)</f>
        <v>88659.04927244666</v>
      </c>
      <c r="AB429" s="23">
        <f t="shared" si="201"/>
        <v>0</v>
      </c>
      <c r="AC429" s="24">
        <f>+SUM(START:END!AC430)</f>
        <v>0</v>
      </c>
      <c r="AD429" s="32"/>
      <c r="AE429" s="31"/>
      <c r="AF429" s="24">
        <f>+SUM(START:END!AF430)</f>
        <v>65968.800000000003</v>
      </c>
      <c r="AG429" s="25"/>
      <c r="AH429" s="24">
        <f t="shared" si="202"/>
        <v>-22690.249272446657</v>
      </c>
      <c r="AI429" s="27">
        <f t="shared" si="203"/>
        <v>-0.25592705379368763</v>
      </c>
      <c r="AJ429" s="32"/>
      <c r="AL429" s="24">
        <f>+SUMIF($C:$C,$V429,Q:Q)</f>
        <v>63894.380000000005</v>
      </c>
      <c r="AM429" s="28"/>
      <c r="AN429" s="26">
        <f t="shared" si="204"/>
        <v>2074.4199999999983</v>
      </c>
      <c r="AO429" s="33">
        <f t="shared" si="205"/>
        <v>3.2466392192865762E-2</v>
      </c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</row>
    <row r="430" spans="1:61" ht="15.75" customHeight="1">
      <c r="A430" s="23" t="str">
        <f t="shared" si="180"/>
        <v>Csst</v>
      </c>
      <c r="B430" s="181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408"/>
      <c r="P430" s="26"/>
      <c r="Q430" s="184"/>
      <c r="R430" s="184"/>
      <c r="S430" s="184"/>
      <c r="T430" s="184"/>
      <c r="U430" s="184"/>
      <c r="V430" s="1" t="s">
        <v>48</v>
      </c>
      <c r="W430" s="30"/>
      <c r="Z430" s="24">
        <f>+SUM(START:END!Z431)</f>
        <v>38655.844267874076</v>
      </c>
      <c r="AB430" s="23">
        <f t="shared" ref="AB430:AB431" si="206">IF(AC430=0,0,AC430/(G$13+G$97))</f>
        <v>0</v>
      </c>
      <c r="AC430" s="24">
        <f>+SUM(START:END!AC431)</f>
        <v>0</v>
      </c>
      <c r="AD430" s="32"/>
      <c r="AE430" s="31"/>
      <c r="AF430" s="24">
        <f>+SUM(START:END!AF431)</f>
        <v>28469.360000000001</v>
      </c>
      <c r="AG430" s="25"/>
      <c r="AH430" s="24">
        <f t="shared" si="202"/>
        <v>-10186.484267874075</v>
      </c>
      <c r="AI430" s="48">
        <f t="shared" si="203"/>
        <v>-0.26351731441395038</v>
      </c>
      <c r="AJ430" s="32"/>
      <c r="AL430" s="24">
        <f>+SUMIF($C:$C,$V430,Q:Q)</f>
        <v>9316.52</v>
      </c>
      <c r="AM430" s="28"/>
      <c r="AN430" s="26">
        <f t="shared" ref="AN430:AN431" si="207">AF430-AL430</f>
        <v>19152.84</v>
      </c>
      <c r="AO430" s="33">
        <f t="shared" ref="AO430:AO431" si="208">IF(AL430=0,0,AN430/AL430)</f>
        <v>2.0557933649044919</v>
      </c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</row>
    <row r="431" spans="1:61" ht="15.75" hidden="1" customHeight="1">
      <c r="A431" s="23" t="str">
        <f t="shared" si="180"/>
        <v>[...]</v>
      </c>
      <c r="B431" s="181"/>
      <c r="T431" s="184"/>
      <c r="U431" s="184"/>
      <c r="V431" s="1" t="s">
        <v>20</v>
      </c>
      <c r="W431" s="30"/>
      <c r="Y431" s="31"/>
      <c r="Z431" s="24">
        <f>+SUM(START:END!Z432)</f>
        <v>0</v>
      </c>
      <c r="AB431" s="31">
        <f t="shared" si="206"/>
        <v>0</v>
      </c>
      <c r="AC431" s="24">
        <f>+SUM(START:END!AC432)</f>
        <v>0</v>
      </c>
      <c r="AD431" s="32"/>
      <c r="AE431" s="31"/>
      <c r="AF431" s="24">
        <f>+SUM(START:END!AF432)</f>
        <v>0</v>
      </c>
      <c r="AG431" s="25"/>
      <c r="AH431" s="24">
        <f t="shared" ref="AH431" si="209">AF431-AC431</f>
        <v>0</v>
      </c>
      <c r="AI431" s="27">
        <f t="shared" si="203"/>
        <v>0</v>
      </c>
      <c r="AJ431" s="32"/>
      <c r="AK431" s="26"/>
      <c r="AL431" s="24"/>
      <c r="AM431" s="28"/>
      <c r="AN431" s="26">
        <f t="shared" si="207"/>
        <v>0</v>
      </c>
      <c r="AO431" s="38">
        <f t="shared" si="208"/>
        <v>0</v>
      </c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</row>
    <row r="432" spans="1:61" ht="15.75" customHeight="1">
      <c r="A432" s="23" t="str">
        <f t="shared" si="180"/>
        <v>TOTAL PERSONNEL</v>
      </c>
      <c r="B432" s="181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R432" s="184"/>
      <c r="S432" s="184"/>
      <c r="T432" s="184"/>
      <c r="U432" s="184"/>
      <c r="V432" s="40" t="s">
        <v>49</v>
      </c>
      <c r="W432" s="41"/>
      <c r="X432" s="42">
        <f>Z432/Z406</f>
        <v>0.36939003423533179</v>
      </c>
      <c r="Y432" s="41"/>
      <c r="Z432" s="43">
        <f>SUM(Z419:Z431)</f>
        <v>1022228.8240950634</v>
      </c>
      <c r="AA432" s="42" t="e">
        <f>AC432/AC406</f>
        <v>#DIV/0!</v>
      </c>
      <c r="AB432" s="41"/>
      <c r="AC432" s="43">
        <f>SUM(AC419:AC431)</f>
        <v>0</v>
      </c>
      <c r="AD432" s="44">
        <f>AF432/AF406</f>
        <v>0.48071771263326563</v>
      </c>
      <c r="AE432" s="49"/>
      <c r="AF432" s="43">
        <f>SUM(AF419:AF431)</f>
        <v>912008.53</v>
      </c>
      <c r="AG432" s="50"/>
      <c r="AH432" s="43">
        <f>SUM(AH419:AH431)</f>
        <v>-110220.29409506347</v>
      </c>
      <c r="AI432" s="42">
        <f>AH432/Z432</f>
        <v>-0.10782350438282437</v>
      </c>
      <c r="AJ432" s="44">
        <f>IF($AL$406=0,0,AL432/$AL$406)</f>
        <v>0.45771750208611234</v>
      </c>
      <c r="AK432" s="41"/>
      <c r="AL432" s="43">
        <f>SUM(AL419:AL431)</f>
        <v>897460.09</v>
      </c>
      <c r="AM432" s="51"/>
      <c r="AN432" s="46">
        <f t="shared" ref="AN432:AN450" si="210">AF432-AL432</f>
        <v>14548.440000000061</v>
      </c>
      <c r="AO432" s="21">
        <f>IF(AL432=0,0,AN432/AL432)</f>
        <v>1.6210681858844622E-2</v>
      </c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</row>
    <row r="433" spans="1:62" ht="15.75" customHeight="1">
      <c r="A433" s="23" t="str">
        <f t="shared" si="180"/>
        <v>Publicité 2</v>
      </c>
      <c r="B433" s="181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409"/>
      <c r="S433" s="410"/>
      <c r="T433" s="184"/>
      <c r="U433" s="184"/>
      <c r="V433" s="3" t="s">
        <v>50</v>
      </c>
      <c r="W433" s="52" t="s">
        <v>138</v>
      </c>
      <c r="X433" s="53"/>
      <c r="Y433" s="53"/>
      <c r="Z433" s="54">
        <f>+SUM(START:END!Z434)</f>
        <v>44515.681367708326</v>
      </c>
      <c r="AA433" s="53"/>
      <c r="AB433" s="53">
        <f t="shared" ref="AB433:AB450" si="211">IF(AC433=0,0,AC433/(G$13+G$97))</f>
        <v>0</v>
      </c>
      <c r="AC433" s="54">
        <f>+SUM(START:END!AC434)</f>
        <v>0</v>
      </c>
      <c r="AD433" s="55"/>
      <c r="AE433" s="56"/>
      <c r="AF433" s="54">
        <f>+SUM(START:END!AF434)</f>
        <v>46082.9</v>
      </c>
      <c r="AG433" s="55"/>
      <c r="AH433" s="54">
        <f t="shared" ref="AH433:AH448" si="212">AF433-Z433</f>
        <v>1567.218632291675</v>
      </c>
      <c r="AI433" s="58">
        <f t="shared" ref="AI433:AI450" si="213">IF(Z433=0,0,AH433/Z433)</f>
        <v>3.5205989982409557E-2</v>
      </c>
      <c r="AJ433" s="55"/>
      <c r="AK433" s="53"/>
      <c r="AL433" s="54">
        <f t="shared" ref="AL433:AL446" si="214">+SUMIF($C:$C,$V433,Q:Q)</f>
        <v>42347.990000000005</v>
      </c>
      <c r="AM433" s="59"/>
      <c r="AN433" s="57">
        <f t="shared" si="210"/>
        <v>3734.9099999999962</v>
      </c>
      <c r="AO433" s="29">
        <f t="shared" ref="AO433:AO450" si="215">IF(AL433=0,0,AN433/AL433)</f>
        <v>8.8195685320601888E-2</v>
      </c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</row>
    <row r="434" spans="1:62" ht="15.75" customHeight="1">
      <c r="A434" s="23" t="str">
        <f t="shared" si="180"/>
        <v>Service gratuit 2</v>
      </c>
      <c r="B434" s="181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Q434" s="409"/>
      <c r="S434" s="184"/>
      <c r="T434" s="184"/>
      <c r="U434" s="184"/>
      <c r="V434" s="1" t="s">
        <v>51</v>
      </c>
      <c r="W434" s="30" t="s">
        <v>149</v>
      </c>
      <c r="Z434" s="24">
        <f>+SUM(START:END!Z435)</f>
        <v>17817.196877697435</v>
      </c>
      <c r="AB434" s="23">
        <f t="shared" si="211"/>
        <v>0</v>
      </c>
      <c r="AC434" s="24">
        <f>+SUM(START:END!AC435)</f>
        <v>0</v>
      </c>
      <c r="AD434" s="32"/>
      <c r="AE434" s="31"/>
      <c r="AF434" s="24">
        <f>+SUM(START:END!AF435)</f>
        <v>17181.41</v>
      </c>
      <c r="AG434" s="25"/>
      <c r="AH434" s="24">
        <f t="shared" si="212"/>
        <v>-635.78687769743556</v>
      </c>
      <c r="AI434" s="27">
        <f t="shared" si="213"/>
        <v>-3.5683889113515818E-2</v>
      </c>
      <c r="AJ434" s="32"/>
      <c r="AL434" s="24">
        <f t="shared" si="214"/>
        <v>26731.430000000004</v>
      </c>
      <c r="AM434" s="28"/>
      <c r="AN434" s="26">
        <f t="shared" si="210"/>
        <v>-9550.0200000000041</v>
      </c>
      <c r="AO434" s="33">
        <f t="shared" si="215"/>
        <v>-0.35725810403708302</v>
      </c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</row>
    <row r="435" spans="1:62" ht="15.75" customHeight="1">
      <c r="A435" s="23" t="str">
        <f t="shared" si="180"/>
        <v>Frais véhicules de cie</v>
      </c>
      <c r="B435" s="181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409"/>
      <c r="S435" s="184"/>
      <c r="T435" s="184"/>
      <c r="U435" s="184"/>
      <c r="V435" s="2" t="s">
        <v>52</v>
      </c>
      <c r="W435" s="34" t="s">
        <v>150</v>
      </c>
      <c r="X435" s="7"/>
      <c r="Y435" s="7"/>
      <c r="Z435" s="8">
        <f>+SUM(START:END!Z436)</f>
        <v>78225</v>
      </c>
      <c r="AA435" s="7"/>
      <c r="AB435" s="7">
        <f t="shared" si="211"/>
        <v>0</v>
      </c>
      <c r="AC435" s="8">
        <f>+SUM(START:END!AC436)</f>
        <v>0</v>
      </c>
      <c r="AD435" s="36"/>
      <c r="AE435" s="35"/>
      <c r="AF435" s="8">
        <f>+SUM(START:END!AF436)</f>
        <v>71962.399999999994</v>
      </c>
      <c r="AG435" s="9"/>
      <c r="AH435" s="8">
        <f t="shared" si="212"/>
        <v>-6262.6000000000058</v>
      </c>
      <c r="AI435" s="37">
        <f t="shared" si="213"/>
        <v>-8.005880472994574E-2</v>
      </c>
      <c r="AJ435" s="36"/>
      <c r="AK435" s="7"/>
      <c r="AL435" s="8">
        <f t="shared" si="214"/>
        <v>70835.26999999999</v>
      </c>
      <c r="AM435" s="12"/>
      <c r="AN435" s="10">
        <f t="shared" si="210"/>
        <v>1127.1300000000047</v>
      </c>
      <c r="AO435" s="13">
        <f t="shared" si="215"/>
        <v>1.5911988476926889E-2</v>
      </c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</row>
    <row r="436" spans="1:62" ht="15.75" customHeight="1">
      <c r="A436" s="23" t="str">
        <f t="shared" si="180"/>
        <v>Informatique</v>
      </c>
      <c r="B436" s="181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409"/>
      <c r="S436" s="184"/>
      <c r="T436" s="184"/>
      <c r="U436" s="184"/>
      <c r="V436" s="1" t="s">
        <v>53</v>
      </c>
      <c r="W436" s="30" t="s">
        <v>151</v>
      </c>
      <c r="Z436" s="24">
        <f>+SUM(START:END!Z437)</f>
        <v>66812.065533333327</v>
      </c>
      <c r="AB436" s="23">
        <f t="shared" si="211"/>
        <v>0</v>
      </c>
      <c r="AC436" s="24">
        <f>+SUM(START:END!AC437)</f>
        <v>0</v>
      </c>
      <c r="AD436" s="32"/>
      <c r="AE436" s="31"/>
      <c r="AF436" s="24">
        <f>+SUM(START:END!AF437)</f>
        <v>66588.12</v>
      </c>
      <c r="AG436" s="25"/>
      <c r="AH436" s="24">
        <f t="shared" si="212"/>
        <v>-223.9455333333317</v>
      </c>
      <c r="AI436" s="27">
        <f t="shared" si="213"/>
        <v>-3.3518726227915021E-3</v>
      </c>
      <c r="AJ436" s="32"/>
      <c r="AL436" s="24">
        <f t="shared" si="214"/>
        <v>64108.999999999993</v>
      </c>
      <c r="AM436" s="28"/>
      <c r="AN436" s="26">
        <f t="shared" si="210"/>
        <v>2479.1200000000026</v>
      </c>
      <c r="AO436" s="33">
        <f t="shared" si="215"/>
        <v>3.867038949289496E-2</v>
      </c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</row>
    <row r="437" spans="1:62" ht="15.75" customHeight="1">
      <c r="A437" s="23" t="str">
        <f t="shared" si="180"/>
        <v>Frais de déplacement</v>
      </c>
      <c r="B437" s="181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409"/>
      <c r="S437" s="184"/>
      <c r="T437" s="184"/>
      <c r="U437" s="184"/>
      <c r="V437" s="1" t="s">
        <v>54</v>
      </c>
      <c r="W437" s="30" t="s">
        <v>152</v>
      </c>
      <c r="Z437" s="24">
        <f>+SUM(START:END!Z438)</f>
        <v>10769.307639583334</v>
      </c>
      <c r="AB437" s="23">
        <f t="shared" si="211"/>
        <v>0</v>
      </c>
      <c r="AC437" s="24">
        <f>+SUM(START:END!AC438)</f>
        <v>0</v>
      </c>
      <c r="AD437" s="32"/>
      <c r="AE437" s="31"/>
      <c r="AF437" s="24">
        <f>+SUM(START:END!AF438)</f>
        <v>14983.380000000001</v>
      </c>
      <c r="AG437" s="25"/>
      <c r="AH437" s="24">
        <f t="shared" si="212"/>
        <v>4214.0723604166669</v>
      </c>
      <c r="AI437" s="27">
        <f t="shared" si="213"/>
        <v>0.39130392606926306</v>
      </c>
      <c r="AJ437" s="32"/>
      <c r="AL437" s="24">
        <f t="shared" si="214"/>
        <v>17085.940000000002</v>
      </c>
      <c r="AM437" s="28"/>
      <c r="AN437" s="26">
        <f t="shared" si="210"/>
        <v>-2102.5600000000013</v>
      </c>
      <c r="AO437" s="33">
        <f t="shared" si="215"/>
        <v>-0.12305790609120722</v>
      </c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</row>
    <row r="438" spans="1:62" ht="15.75" customHeight="1">
      <c r="A438" s="23" t="str">
        <f t="shared" si="180"/>
        <v>Services extérieurs</v>
      </c>
      <c r="B438" s="181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409"/>
      <c r="S438" s="184"/>
      <c r="T438" s="184"/>
      <c r="U438" s="184"/>
      <c r="V438" s="1" t="s">
        <v>55</v>
      </c>
      <c r="W438" s="30" t="s">
        <v>153</v>
      </c>
      <c r="Z438" s="24">
        <f>+SUM(START:END!Z439)</f>
        <v>84808.481954618052</v>
      </c>
      <c r="AB438" s="23">
        <f t="shared" si="211"/>
        <v>0</v>
      </c>
      <c r="AC438" s="24">
        <f>+SUM(START:END!AC439)</f>
        <v>0</v>
      </c>
      <c r="AD438" s="32"/>
      <c r="AE438" s="31"/>
      <c r="AF438" s="24">
        <f>+SUM(START:END!AF439)</f>
        <v>92481.180000000008</v>
      </c>
      <c r="AG438" s="25"/>
      <c r="AH438" s="24">
        <f t="shared" si="212"/>
        <v>7672.698045381956</v>
      </c>
      <c r="AI438" s="27">
        <f t="shared" si="213"/>
        <v>9.0470880607056506E-2</v>
      </c>
      <c r="AJ438" s="32"/>
      <c r="AL438" s="24">
        <f t="shared" si="214"/>
        <v>83166.300000000017</v>
      </c>
      <c r="AM438" s="28"/>
      <c r="AN438" s="26">
        <f t="shared" si="210"/>
        <v>9314.8799999999901</v>
      </c>
      <c r="AO438" s="33">
        <f t="shared" si="215"/>
        <v>0.1120030589313218</v>
      </c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</row>
    <row r="439" spans="1:62" ht="15.75" customHeight="1">
      <c r="B439" s="181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409"/>
      <c r="S439" s="184"/>
      <c r="T439" s="184"/>
      <c r="U439" s="184"/>
      <c r="V439" s="4" t="s">
        <v>98</v>
      </c>
      <c r="W439" s="60"/>
      <c r="X439" s="61"/>
      <c r="Y439" s="61"/>
      <c r="Z439" s="62">
        <f>+SUM(START:END!Z440)</f>
        <v>0</v>
      </c>
      <c r="AA439" s="61"/>
      <c r="AB439" s="61">
        <f t="shared" si="211"/>
        <v>0</v>
      </c>
      <c r="AC439" s="62">
        <f>+SUM(START:END!AC440)</f>
        <v>0</v>
      </c>
      <c r="AD439" s="63"/>
      <c r="AE439" s="64"/>
      <c r="AF439" s="62">
        <f>+SUM(START:END!AF440)</f>
        <v>0</v>
      </c>
      <c r="AG439" s="65"/>
      <c r="AH439" s="62">
        <f t="shared" si="212"/>
        <v>0</v>
      </c>
      <c r="AI439" s="67">
        <f t="shared" si="213"/>
        <v>0</v>
      </c>
      <c r="AJ439" s="63"/>
      <c r="AK439" s="61"/>
      <c r="AL439" s="62">
        <f t="shared" si="214"/>
        <v>0</v>
      </c>
      <c r="AM439" s="68"/>
      <c r="AN439" s="66">
        <f t="shared" si="210"/>
        <v>0</v>
      </c>
      <c r="AO439" s="69">
        <f t="shared" si="215"/>
        <v>0</v>
      </c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</row>
    <row r="440" spans="1:62" ht="15.75" customHeight="1">
      <c r="A440" s="23" t="str">
        <f t="shared" si="180"/>
        <v>Fournitures autres</v>
      </c>
      <c r="B440" s="181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411"/>
      <c r="Q440" s="409"/>
      <c r="R440" s="184"/>
      <c r="S440" s="184"/>
      <c r="T440" s="184"/>
      <c r="U440" s="184"/>
      <c r="V440" s="1" t="s">
        <v>56</v>
      </c>
      <c r="W440" s="30" t="s">
        <v>154</v>
      </c>
      <c r="Y440" s="31"/>
      <c r="Z440" s="24">
        <f>+SUM(START:END!Z441)</f>
        <v>18250</v>
      </c>
      <c r="AB440" s="31">
        <f t="shared" si="211"/>
        <v>0</v>
      </c>
      <c r="AC440" s="24">
        <f>+SUM(START:END!AC441)</f>
        <v>0</v>
      </c>
      <c r="AD440" s="32"/>
      <c r="AE440" s="31"/>
      <c r="AF440" s="24">
        <f>+SUM(START:END!AF441)</f>
        <v>9100.380000000001</v>
      </c>
      <c r="AG440" s="25"/>
      <c r="AH440" s="24">
        <f t="shared" si="212"/>
        <v>-9149.619999999999</v>
      </c>
      <c r="AI440" s="27">
        <f t="shared" si="213"/>
        <v>-0.5013490410958904</v>
      </c>
      <c r="AJ440" s="32"/>
      <c r="AL440" s="24">
        <f t="shared" si="214"/>
        <v>19436.68</v>
      </c>
      <c r="AM440" s="28"/>
      <c r="AN440" s="26">
        <f t="shared" si="210"/>
        <v>-10336.299999999999</v>
      </c>
      <c r="AO440" s="33">
        <f t="shared" si="215"/>
        <v>-0.53179349559698463</v>
      </c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</row>
    <row r="441" spans="1:62" ht="15.75" customHeight="1">
      <c r="A441" s="23" t="str">
        <f t="shared" si="180"/>
        <v>Uniformes</v>
      </c>
      <c r="B441" s="181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Q441" s="409"/>
      <c r="S441" s="184"/>
      <c r="T441" s="184"/>
      <c r="U441" s="184"/>
      <c r="V441" s="1" t="s">
        <v>57</v>
      </c>
      <c r="W441" s="30" t="s">
        <v>155</v>
      </c>
      <c r="Z441" s="24">
        <f>+SUM(START:END!Z442)</f>
        <v>4665.8249128213283</v>
      </c>
      <c r="AB441" s="23">
        <f t="shared" si="211"/>
        <v>0</v>
      </c>
      <c r="AC441" s="24">
        <f>+SUM(START:END!AC442)</f>
        <v>0</v>
      </c>
      <c r="AD441" s="32"/>
      <c r="AE441" s="31"/>
      <c r="AF441" s="24">
        <f>+SUM(START:END!AF442)</f>
        <v>4261.0300000000007</v>
      </c>
      <c r="AG441" s="25"/>
      <c r="AH441" s="24">
        <f t="shared" si="212"/>
        <v>-404.79491282132767</v>
      </c>
      <c r="AI441" s="48">
        <f t="shared" si="213"/>
        <v>-8.6757415973536076E-2</v>
      </c>
      <c r="AJ441" s="32"/>
      <c r="AL441" s="24">
        <f t="shared" si="214"/>
        <v>2230.8000000000002</v>
      </c>
      <c r="AM441" s="28"/>
      <c r="AN441" s="26">
        <f t="shared" si="210"/>
        <v>2030.2300000000005</v>
      </c>
      <c r="AO441" s="33">
        <f t="shared" si="215"/>
        <v>0.91009055047516596</v>
      </c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</row>
    <row r="442" spans="1:62" ht="15.75" customHeight="1">
      <c r="A442" s="23" t="str">
        <f t="shared" si="180"/>
        <v>Papeterie</v>
      </c>
      <c r="B442" s="181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411"/>
      <c r="Q442" s="409"/>
      <c r="R442" s="184"/>
      <c r="S442" s="184"/>
      <c r="T442" s="184"/>
      <c r="U442" s="184"/>
      <c r="V442" s="1" t="s">
        <v>58</v>
      </c>
      <c r="W442" s="30" t="s">
        <v>156</v>
      </c>
      <c r="Z442" s="24">
        <f>+SUM(START:END!Z443)</f>
        <v>7762.3397247000003</v>
      </c>
      <c r="AB442" s="23">
        <f t="shared" si="211"/>
        <v>0</v>
      </c>
      <c r="AC442" s="24">
        <f>+SUM(START:END!AC443)</f>
        <v>0</v>
      </c>
      <c r="AD442" s="32"/>
      <c r="AE442" s="31"/>
      <c r="AF442" s="24">
        <f>+SUM(START:END!AF443)</f>
        <v>6058.8499999999995</v>
      </c>
      <c r="AG442" s="25"/>
      <c r="AH442" s="24">
        <f t="shared" si="212"/>
        <v>-1703.4897247000008</v>
      </c>
      <c r="AI442" s="27">
        <f t="shared" si="213"/>
        <v>-0.21945570344975301</v>
      </c>
      <c r="AJ442" s="32"/>
      <c r="AL442" s="24">
        <f t="shared" si="214"/>
        <v>7642.96</v>
      </c>
      <c r="AM442" s="28"/>
      <c r="AN442" s="26">
        <f t="shared" si="210"/>
        <v>-1584.1100000000006</v>
      </c>
      <c r="AO442" s="33">
        <f t="shared" si="215"/>
        <v>-0.20726393962548548</v>
      </c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</row>
    <row r="443" spans="1:62" ht="15.75" customHeight="1">
      <c r="A443" s="23" t="str">
        <f t="shared" si="180"/>
        <v>Téléphone</v>
      </c>
      <c r="B443" s="181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409"/>
      <c r="S443" s="184"/>
      <c r="T443" s="184"/>
      <c r="U443" s="184"/>
      <c r="V443" s="1" t="s">
        <v>59</v>
      </c>
      <c r="W443" s="30" t="s">
        <v>157</v>
      </c>
      <c r="Z443" s="24">
        <f>+SUM(START:END!Z444)</f>
        <v>2334.3472973708335</v>
      </c>
      <c r="AB443" s="23">
        <f t="shared" si="211"/>
        <v>0</v>
      </c>
      <c r="AC443" s="24">
        <f>+SUM(START:END!AC444)</f>
        <v>0</v>
      </c>
      <c r="AD443" s="32"/>
      <c r="AE443" s="31"/>
      <c r="AF443" s="24">
        <f>+SUM(START:END!AF444)</f>
        <v>2030.28</v>
      </c>
      <c r="AG443" s="25"/>
      <c r="AH443" s="24">
        <f t="shared" si="212"/>
        <v>-304.06729737083356</v>
      </c>
      <c r="AI443" s="48">
        <f t="shared" si="213"/>
        <v>-0.1302579516395454</v>
      </c>
      <c r="AJ443" s="32"/>
      <c r="AL443" s="24">
        <f t="shared" si="214"/>
        <v>2084.7999999999997</v>
      </c>
      <c r="AM443" s="28"/>
      <c r="AN443" s="26">
        <f t="shared" si="210"/>
        <v>-54.519999999999754</v>
      </c>
      <c r="AO443" s="33">
        <f t="shared" si="215"/>
        <v>-2.615118956254785E-2</v>
      </c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</row>
    <row r="444" spans="1:62" ht="15.75" customHeight="1">
      <c r="A444" s="23" t="str">
        <f t="shared" si="180"/>
        <v>Frais postaux</v>
      </c>
      <c r="B444" s="181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409"/>
      <c r="S444" s="184"/>
      <c r="T444" s="184"/>
      <c r="U444" s="184"/>
      <c r="V444" s="1" t="s">
        <v>60</v>
      </c>
      <c r="W444" s="30" t="s">
        <v>158</v>
      </c>
      <c r="Z444" s="24">
        <f>+SUM(START:END!Z445)</f>
        <v>1386.8286366291666</v>
      </c>
      <c r="AB444" s="23">
        <f t="shared" si="211"/>
        <v>0</v>
      </c>
      <c r="AC444" s="24">
        <f>+SUM(START:END!AC445)</f>
        <v>0</v>
      </c>
      <c r="AD444" s="32"/>
      <c r="AE444" s="31"/>
      <c r="AF444" s="24">
        <f>+SUM(START:END!AF445)</f>
        <v>-136.65999999999997</v>
      </c>
      <c r="AG444" s="25"/>
      <c r="AH444" s="24">
        <f t="shared" si="212"/>
        <v>-1523.4886366291666</v>
      </c>
      <c r="AI444" s="27">
        <f t="shared" si="213"/>
        <v>-1.0985413744643799</v>
      </c>
      <c r="AJ444" s="32"/>
      <c r="AL444" s="24">
        <f t="shared" si="214"/>
        <v>1708.88</v>
      </c>
      <c r="AM444" s="28"/>
      <c r="AN444" s="26">
        <f t="shared" si="210"/>
        <v>-1845.54</v>
      </c>
      <c r="AO444" s="33">
        <f t="shared" si="215"/>
        <v>-1.079970506998736</v>
      </c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</row>
    <row r="445" spans="1:62" ht="15.75" customHeight="1">
      <c r="A445" s="23" t="str">
        <f t="shared" si="180"/>
        <v>Divers</v>
      </c>
      <c r="B445" s="181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409"/>
      <c r="R445" s="184"/>
      <c r="S445" s="184"/>
      <c r="T445" s="184"/>
      <c r="U445" s="184"/>
      <c r="V445" s="1" t="s">
        <v>61</v>
      </c>
      <c r="W445" s="30" t="s">
        <v>159</v>
      </c>
      <c r="Y445" s="31"/>
      <c r="Z445" s="24">
        <f>+SUM(START:END!Z446)</f>
        <v>3457.4377822041665</v>
      </c>
      <c r="AB445" s="31">
        <f t="shared" si="211"/>
        <v>0</v>
      </c>
      <c r="AC445" s="24">
        <f>+SUM(START:END!AC446)</f>
        <v>0</v>
      </c>
      <c r="AD445" s="32"/>
      <c r="AE445" s="31"/>
      <c r="AF445" s="24">
        <f>+SUM(START:END!AF446)</f>
        <v>1346.9099999999999</v>
      </c>
      <c r="AG445" s="25"/>
      <c r="AH445" s="24">
        <f t="shared" si="212"/>
        <v>-2110.5277822041667</v>
      </c>
      <c r="AI445" s="48">
        <f t="shared" si="213"/>
        <v>-0.61043116757365756</v>
      </c>
      <c r="AJ445" s="32"/>
      <c r="AL445" s="24">
        <f t="shared" si="214"/>
        <v>1034.55</v>
      </c>
      <c r="AM445" s="28"/>
      <c r="AN445" s="26">
        <f t="shared" si="210"/>
        <v>312.3599999999999</v>
      </c>
      <c r="AO445" s="33">
        <f t="shared" si="215"/>
        <v>0.30192837465564731</v>
      </c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</row>
    <row r="446" spans="1:62" ht="15.75" customHeight="1">
      <c r="A446" s="23" t="str">
        <f t="shared" si="180"/>
        <v>Formation</v>
      </c>
      <c r="B446" s="181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409"/>
      <c r="R446" s="184"/>
      <c r="S446" s="184"/>
      <c r="T446" s="184"/>
      <c r="U446" s="184"/>
      <c r="V446" s="1" t="s">
        <v>62</v>
      </c>
      <c r="W446" s="30" t="s">
        <v>160</v>
      </c>
      <c r="Y446" s="31"/>
      <c r="Z446" s="24">
        <f>+SUM(START:END!Z447)</f>
        <v>22933.135531330296</v>
      </c>
      <c r="AB446" s="31">
        <f t="shared" si="211"/>
        <v>0</v>
      </c>
      <c r="AC446" s="24">
        <f>+SUM(START:END!AC447)</f>
        <v>0</v>
      </c>
      <c r="AD446" s="32"/>
      <c r="AE446" s="31"/>
      <c r="AF446" s="24">
        <f>+SUM(START:END!AF447)</f>
        <v>9299.64</v>
      </c>
      <c r="AG446" s="25"/>
      <c r="AH446" s="24">
        <f t="shared" si="212"/>
        <v>-13633.495531330296</v>
      </c>
      <c r="AI446" s="27">
        <f t="shared" si="213"/>
        <v>-0.59448894429219157</v>
      </c>
      <c r="AJ446" s="32"/>
      <c r="AL446" s="24">
        <f t="shared" si="214"/>
        <v>24538.789999999997</v>
      </c>
      <c r="AM446" s="28"/>
      <c r="AN446" s="26">
        <f t="shared" si="210"/>
        <v>-15239.149999999998</v>
      </c>
      <c r="AO446" s="33">
        <f t="shared" si="215"/>
        <v>-0.62102287847118787</v>
      </c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</row>
    <row r="447" spans="1:62" ht="15.75" customHeight="1">
      <c r="A447" s="23" t="str">
        <f t="shared" si="180"/>
        <v>Frais bancaires</v>
      </c>
      <c r="B447" s="181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409"/>
      <c r="R447" s="184"/>
      <c r="S447" s="184"/>
      <c r="T447" s="184"/>
      <c r="U447" s="184"/>
      <c r="V447" s="1" t="s">
        <v>63</v>
      </c>
      <c r="W447" s="30" t="s">
        <v>161</v>
      </c>
      <c r="Y447" s="31"/>
      <c r="Z447" s="24">
        <f>+SUM(START:END!Z448)</f>
        <v>23340.82885724619</v>
      </c>
      <c r="AB447" s="31">
        <f t="shared" si="211"/>
        <v>0</v>
      </c>
      <c r="AC447" s="24">
        <f>+SUM(START:END!AC448)</f>
        <v>0</v>
      </c>
      <c r="AD447" s="32"/>
      <c r="AE447" s="31"/>
      <c r="AF447" s="24">
        <f>+SUM(START:END!AF448)</f>
        <v>27537.879999999997</v>
      </c>
      <c r="AG447" s="25"/>
      <c r="AH447" s="24">
        <f t="shared" si="212"/>
        <v>4197.0511427538077</v>
      </c>
      <c r="AI447" s="27">
        <f t="shared" si="213"/>
        <v>0.17981585694420735</v>
      </c>
      <c r="AJ447" s="32"/>
      <c r="AL447" s="24">
        <f>+SUM(START:END!AL448)</f>
        <v>31780.799999999996</v>
      </c>
      <c r="AM447" s="28"/>
      <c r="AN447" s="26">
        <f t="shared" si="210"/>
        <v>-4242.9199999999983</v>
      </c>
      <c r="AO447" s="33">
        <f t="shared" si="215"/>
        <v>-0.1335057644867341</v>
      </c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</row>
    <row r="448" spans="1:62" ht="15.75" customHeight="1">
      <c r="A448" s="23" t="str">
        <f t="shared" si="180"/>
        <v>Mitsubishi</v>
      </c>
      <c r="B448" s="181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409"/>
      <c r="R448" s="184"/>
      <c r="S448" s="184"/>
      <c r="T448" s="184"/>
      <c r="U448" s="184"/>
      <c r="V448" s="1" t="s">
        <v>209</v>
      </c>
      <c r="W448" s="30"/>
      <c r="Y448" s="31"/>
      <c r="Z448" s="24">
        <f>+SUM(START:END!Z449)</f>
        <v>0</v>
      </c>
      <c r="AB448" s="31">
        <f t="shared" si="211"/>
        <v>0</v>
      </c>
      <c r="AC448" s="24">
        <f>+SUM(START:END!AC449)</f>
        <v>0</v>
      </c>
      <c r="AD448" s="32"/>
      <c r="AE448" s="31"/>
      <c r="AF448" s="24">
        <f>+SUM(START:END!AF449)</f>
        <v>0</v>
      </c>
      <c r="AG448" s="25"/>
      <c r="AH448" s="24">
        <f t="shared" si="212"/>
        <v>0</v>
      </c>
      <c r="AI448" s="27">
        <f t="shared" si="213"/>
        <v>0</v>
      </c>
      <c r="AJ448" s="32"/>
      <c r="AL448" s="24">
        <f>+SUMIF($C:$C,$V448,Q:Q)</f>
        <v>0</v>
      </c>
      <c r="AM448" s="28"/>
      <c r="AN448" s="26">
        <f t="shared" si="210"/>
        <v>0</v>
      </c>
      <c r="AO448" s="33">
        <f t="shared" si="215"/>
        <v>0</v>
      </c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</row>
    <row r="449" spans="1:62" ht="15.75" hidden="1" customHeight="1">
      <c r="A449" s="23" t="str">
        <f t="shared" si="180"/>
        <v>[...]</v>
      </c>
      <c r="B449" s="181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409"/>
      <c r="R449" s="184"/>
      <c r="S449" s="184"/>
      <c r="T449" s="184"/>
      <c r="U449" s="184"/>
      <c r="V449" s="1" t="s">
        <v>20</v>
      </c>
      <c r="W449" s="30"/>
      <c r="Y449" s="31"/>
      <c r="Z449" s="24">
        <f>+SUM(START:END!Z450)</f>
        <v>0</v>
      </c>
      <c r="AB449" s="31">
        <f t="shared" si="211"/>
        <v>0</v>
      </c>
      <c r="AC449" s="24">
        <f>+SUM(START:END!AC450)</f>
        <v>0</v>
      </c>
      <c r="AD449" s="32"/>
      <c r="AE449" s="31"/>
      <c r="AF449" s="24">
        <f>+SUM(START:END!AF450)</f>
        <v>0</v>
      </c>
      <c r="AG449" s="25"/>
      <c r="AH449" s="24">
        <f t="shared" ref="AH449:AH450" si="216">AF449-AC449</f>
        <v>0</v>
      </c>
      <c r="AI449" s="27">
        <f t="shared" si="213"/>
        <v>0</v>
      </c>
      <c r="AJ449" s="32"/>
      <c r="AL449" s="24"/>
      <c r="AM449" s="28"/>
      <c r="AN449" s="26">
        <f t="shared" si="210"/>
        <v>0</v>
      </c>
      <c r="AO449" s="33">
        <f t="shared" si="215"/>
        <v>0</v>
      </c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</row>
    <row r="450" spans="1:62" ht="15.75" hidden="1" customHeight="1">
      <c r="A450" s="23" t="str">
        <f t="shared" si="180"/>
        <v>[...]</v>
      </c>
      <c r="B450" s="181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411"/>
      <c r="Q450" s="409"/>
      <c r="R450" s="184"/>
      <c r="S450" s="184"/>
      <c r="T450" s="184"/>
      <c r="U450" s="184"/>
      <c r="V450" s="1" t="s">
        <v>20</v>
      </c>
      <c r="W450" s="30"/>
      <c r="Y450" s="31"/>
      <c r="Z450" s="24">
        <f>+SUM(START:END!Z451)</f>
        <v>0</v>
      </c>
      <c r="AB450" s="31">
        <f t="shared" si="211"/>
        <v>0</v>
      </c>
      <c r="AC450" s="24">
        <f>+SUM(START:END!AC451)</f>
        <v>0</v>
      </c>
      <c r="AD450" s="32"/>
      <c r="AE450" s="31"/>
      <c r="AF450" s="24">
        <f>+SUM(START:END!AF451)</f>
        <v>0</v>
      </c>
      <c r="AG450" s="25"/>
      <c r="AH450" s="24">
        <f t="shared" si="216"/>
        <v>0</v>
      </c>
      <c r="AI450" s="27">
        <f t="shared" si="213"/>
        <v>0</v>
      </c>
      <c r="AJ450" s="32"/>
      <c r="AL450" s="24"/>
      <c r="AM450" s="28"/>
      <c r="AN450" s="26">
        <f t="shared" si="210"/>
        <v>0</v>
      </c>
      <c r="AO450" s="33">
        <f t="shared" si="215"/>
        <v>0</v>
      </c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</row>
    <row r="451" spans="1:62" ht="15.75" customHeight="1">
      <c r="A451" s="23" t="str">
        <f t="shared" si="180"/>
        <v>TOTAL SEMI-FIXES</v>
      </c>
      <c r="B451" s="181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409"/>
      <c r="R451" s="184"/>
      <c r="S451" s="184"/>
      <c r="T451" s="184"/>
      <c r="U451" s="184"/>
      <c r="V451" s="40" t="s">
        <v>64</v>
      </c>
      <c r="W451" s="70"/>
      <c r="X451" s="42">
        <f>Z451/+Z406</f>
        <v>0.13987370359131315</v>
      </c>
      <c r="Y451" s="41"/>
      <c r="Z451" s="43">
        <f>+SUM(Z433:Z450)</f>
        <v>387078.47611524252</v>
      </c>
      <c r="AA451" s="42" t="e">
        <f>AC451/+AC406</f>
        <v>#DIV/0!</v>
      </c>
      <c r="AB451" s="41"/>
      <c r="AC451" s="43">
        <f>+SUM(START:END!AC451)</f>
        <v>0</v>
      </c>
      <c r="AD451" s="44">
        <f>AF451/AF406</f>
        <v>0.19438192361441692</v>
      </c>
      <c r="AE451" s="41"/>
      <c r="AF451" s="43">
        <f>+SUM(AF433:AF450)</f>
        <v>368777.70000000007</v>
      </c>
      <c r="AG451" s="50"/>
      <c r="AH451" s="43">
        <f>+SUM(AH433:AH450)</f>
        <v>-18300.776115242457</v>
      </c>
      <c r="AI451" s="42">
        <f>AH451/Z451</f>
        <v>-4.7279239855728579E-2</v>
      </c>
      <c r="AJ451" s="44">
        <f>IF($AL$406=0,0,AL451/$AL$406)</f>
        <v>0.20132009149820229</v>
      </c>
      <c r="AK451" s="42"/>
      <c r="AL451" s="43">
        <f>+SUM(AL433:AL450)</f>
        <v>394734.19</v>
      </c>
      <c r="AM451" s="51"/>
      <c r="AN451" s="46">
        <f>+SUM(AN433:AN450)</f>
        <v>-25956.490000000005</v>
      </c>
      <c r="AO451" s="71">
        <f>IF(AL451=0,0,AN451/AL451)</f>
        <v>-6.575688313191215E-2</v>
      </c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</row>
    <row r="452" spans="1:62" ht="15.75" customHeight="1">
      <c r="A452" s="23" t="str">
        <f t="shared" si="180"/>
        <v>Loyer</v>
      </c>
      <c r="B452" s="181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" t="s">
        <v>162</v>
      </c>
      <c r="W452" s="30" t="s">
        <v>163</v>
      </c>
      <c r="Y452" s="31"/>
      <c r="Z452" s="24">
        <f>+SUM(START:END!Z453)</f>
        <v>108000</v>
      </c>
      <c r="AB452" s="31">
        <f t="shared" ref="AB452:AB461" si="217">IF(AC452=0,0,AC452/(G$13+G$97))</f>
        <v>0</v>
      </c>
      <c r="AC452" s="24">
        <f>+SUM(START:END!AC453)</f>
        <v>0</v>
      </c>
      <c r="AD452" s="32"/>
      <c r="AE452" s="31"/>
      <c r="AF452" s="24">
        <f>+SUM(START:END!AF453)</f>
        <v>108000</v>
      </c>
      <c r="AG452" s="25"/>
      <c r="AH452" s="24">
        <f t="shared" ref="AH452:AH461" si="218">AF452-Z452</f>
        <v>0</v>
      </c>
      <c r="AI452" s="27">
        <f t="shared" ref="AI452:AI461" si="219">IF(Z452=0,0,AH452/Z452)</f>
        <v>0</v>
      </c>
      <c r="AJ452" s="32"/>
      <c r="AL452" s="24">
        <f>+SUM(START:END!AL453)</f>
        <v>78000</v>
      </c>
      <c r="AM452" s="28"/>
      <c r="AN452" s="26">
        <f t="shared" ref="AN452:AN464" si="220">AF452-AL452</f>
        <v>30000</v>
      </c>
      <c r="AO452" s="33">
        <f t="shared" ref="AO452:AO461" si="221">IF(AL452=0,0,AN452/AL452)</f>
        <v>0.38461538461538464</v>
      </c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</row>
    <row r="453" spans="1:62" ht="15.75" customHeight="1">
      <c r="A453" s="23" t="str">
        <f t="shared" si="180"/>
        <v>Taxes foncières</v>
      </c>
      <c r="B453" s="181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" t="s">
        <v>164</v>
      </c>
      <c r="W453" s="30" t="s">
        <v>165</v>
      </c>
      <c r="Y453" s="31"/>
      <c r="Z453" s="24">
        <f>+SUM(START:END!Z454)</f>
        <v>15530.76</v>
      </c>
      <c r="AB453" s="31">
        <f t="shared" si="217"/>
        <v>0</v>
      </c>
      <c r="AC453" s="24">
        <f>+SUM(START:END!AC454)</f>
        <v>0</v>
      </c>
      <c r="AD453" s="32"/>
      <c r="AE453" s="31"/>
      <c r="AF453" s="24">
        <f>+SUM(START:END!AF454)</f>
        <v>15531</v>
      </c>
      <c r="AG453" s="25"/>
      <c r="AH453" s="24">
        <f t="shared" si="218"/>
        <v>0.23999999999978172</v>
      </c>
      <c r="AI453" s="27">
        <f t="shared" si="219"/>
        <v>1.5453203835471139E-5</v>
      </c>
      <c r="AJ453" s="32"/>
      <c r="AL453" s="24">
        <f>+SUM(START:END!AL454)</f>
        <v>15456.75</v>
      </c>
      <c r="AM453" s="28"/>
      <c r="AN453" s="26">
        <f t="shared" si="220"/>
        <v>74.25</v>
      </c>
      <c r="AO453" s="33">
        <f t="shared" si="221"/>
        <v>4.8037265272453779E-3</v>
      </c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</row>
    <row r="454" spans="1:62" ht="15.75" customHeight="1">
      <c r="A454" s="23" t="str">
        <f t="shared" si="180"/>
        <v>Taxes d`affaires</v>
      </c>
      <c r="B454" s="181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2" t="s">
        <v>166</v>
      </c>
      <c r="W454" s="34" t="s">
        <v>167</v>
      </c>
      <c r="X454" s="7"/>
      <c r="Y454" s="35"/>
      <c r="Z454" s="8">
        <f>+SUM(START:END!Z455)</f>
        <v>10334.520000000002</v>
      </c>
      <c r="AA454" s="7"/>
      <c r="AB454" s="35">
        <f t="shared" si="217"/>
        <v>0</v>
      </c>
      <c r="AC454" s="8">
        <f>+SUM(START:END!AC455)</f>
        <v>0</v>
      </c>
      <c r="AD454" s="36"/>
      <c r="AE454" s="35"/>
      <c r="AF454" s="8">
        <f>+SUM(START:END!AF455)</f>
        <v>10651.7</v>
      </c>
      <c r="AG454" s="9"/>
      <c r="AH454" s="8">
        <f t="shared" si="218"/>
        <v>317.17999999999847</v>
      </c>
      <c r="AI454" s="37">
        <f t="shared" si="219"/>
        <v>3.0691314158760967E-2</v>
      </c>
      <c r="AJ454" s="36"/>
      <c r="AK454" s="7"/>
      <c r="AL454" s="8">
        <f>+SUM(START:END!AL455)</f>
        <v>9839.9999999999709</v>
      </c>
      <c r="AM454" s="12"/>
      <c r="AN454" s="10">
        <f t="shared" si="220"/>
        <v>811.70000000002983</v>
      </c>
      <c r="AO454" s="13">
        <f t="shared" si="221"/>
        <v>8.2489837398377258E-2</v>
      </c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</row>
    <row r="455" spans="1:62" ht="15.75" customHeight="1">
      <c r="A455" s="23" t="str">
        <f t="shared" si="180"/>
        <v>Taxe sur le capital</v>
      </c>
      <c r="B455" s="181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" t="s">
        <v>168</v>
      </c>
      <c r="W455" s="30"/>
      <c r="Y455" s="31"/>
      <c r="Z455" s="24">
        <f>+SUM(START:END!Z456)</f>
        <v>0</v>
      </c>
      <c r="AB455" s="31">
        <f t="shared" si="217"/>
        <v>0</v>
      </c>
      <c r="AC455" s="24">
        <f>+SUM(START:END!AC456)</f>
        <v>0</v>
      </c>
      <c r="AD455" s="32"/>
      <c r="AE455" s="31"/>
      <c r="AF455" s="24">
        <f>+SUM(START:END!AF456)</f>
        <v>0</v>
      </c>
      <c r="AG455" s="25"/>
      <c r="AH455" s="24">
        <f t="shared" si="218"/>
        <v>0</v>
      </c>
      <c r="AI455" s="27">
        <f t="shared" si="219"/>
        <v>0</v>
      </c>
      <c r="AJ455" s="32"/>
      <c r="AL455" s="24">
        <f>+SUM(START:END!AL456)</f>
        <v>0</v>
      </c>
      <c r="AM455" s="28"/>
      <c r="AN455" s="26">
        <f t="shared" si="220"/>
        <v>0</v>
      </c>
      <c r="AO455" s="33">
        <f t="shared" si="221"/>
        <v>0</v>
      </c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</row>
    <row r="456" spans="1:62" ht="15.75" customHeight="1">
      <c r="A456" s="23" t="str">
        <f t="shared" si="180"/>
        <v>Assurances</v>
      </c>
      <c r="B456" s="181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2" t="s">
        <v>169</v>
      </c>
      <c r="W456" s="34" t="s">
        <v>170</v>
      </c>
      <c r="X456" s="7"/>
      <c r="Y456" s="35"/>
      <c r="Z456" s="8">
        <f>+SUM(START:END!Z457)</f>
        <v>11679.25</v>
      </c>
      <c r="AA456" s="7"/>
      <c r="AB456" s="35">
        <f t="shared" si="217"/>
        <v>0</v>
      </c>
      <c r="AC456" s="8">
        <f>+SUM(START:END!AC457)</f>
        <v>0</v>
      </c>
      <c r="AD456" s="36"/>
      <c r="AE456" s="35"/>
      <c r="AF456" s="8">
        <f>+SUM(START:END!AF457)</f>
        <v>11679.24</v>
      </c>
      <c r="AG456" s="9"/>
      <c r="AH456" s="8">
        <f t="shared" si="218"/>
        <v>-1.0000000000218279E-2</v>
      </c>
      <c r="AI456" s="37">
        <f t="shared" si="219"/>
        <v>-8.562193634195928E-7</v>
      </c>
      <c r="AJ456" s="36"/>
      <c r="AK456" s="7"/>
      <c r="AL456" s="8">
        <f>+SUM(START:END!AL457)</f>
        <v>12813</v>
      </c>
      <c r="AM456" s="12"/>
      <c r="AN456" s="10">
        <f t="shared" si="220"/>
        <v>-1133.7600000000002</v>
      </c>
      <c r="AO456" s="13">
        <f t="shared" si="221"/>
        <v>-8.8485132287520502E-2</v>
      </c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</row>
    <row r="457" spans="1:62" ht="15.75" customHeight="1">
      <c r="A457" s="23" t="str">
        <f t="shared" si="180"/>
        <v>Chauffage, éclairage</v>
      </c>
      <c r="B457" s="181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" t="s">
        <v>171</v>
      </c>
      <c r="W457" s="30" t="s">
        <v>172</v>
      </c>
      <c r="X457" s="72"/>
      <c r="Y457" s="73"/>
      <c r="Z457" s="24">
        <f>+SUM(START:END!Z458)</f>
        <v>10353.750000000002</v>
      </c>
      <c r="AA457" s="72"/>
      <c r="AB457" s="73">
        <f t="shared" si="217"/>
        <v>0</v>
      </c>
      <c r="AC457" s="24">
        <f>+SUM(START:END!AC458)</f>
        <v>0</v>
      </c>
      <c r="AD457" s="32"/>
      <c r="AE457" s="31"/>
      <c r="AF457" s="24">
        <f>+SUM(START:END!AF458)</f>
        <v>11842.16</v>
      </c>
      <c r="AG457" s="25"/>
      <c r="AH457" s="24">
        <f t="shared" si="218"/>
        <v>1488.409999999998</v>
      </c>
      <c r="AI457" s="27">
        <f t="shared" si="219"/>
        <v>0.14375564409030522</v>
      </c>
      <c r="AJ457" s="32"/>
      <c r="AL457" s="24">
        <f>+SUM(START:END!AL458)</f>
        <v>5460.9499999999907</v>
      </c>
      <c r="AM457" s="28"/>
      <c r="AN457" s="26">
        <f t="shared" si="220"/>
        <v>6381.2100000000091</v>
      </c>
      <c r="AO457" s="33">
        <f t="shared" si="221"/>
        <v>1.1685164669151009</v>
      </c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</row>
    <row r="458" spans="1:62" ht="15.75" customHeight="1">
      <c r="A458" s="23" t="str">
        <f t="shared" si="180"/>
        <v>Honoraires</v>
      </c>
      <c r="B458" s="181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" t="s">
        <v>173</v>
      </c>
      <c r="W458" s="30" t="s">
        <v>174</v>
      </c>
      <c r="Y458" s="31"/>
      <c r="Z458" s="24">
        <f>+SUM(START:END!Z459)</f>
        <v>20352.150000000001</v>
      </c>
      <c r="AB458" s="31">
        <f t="shared" si="217"/>
        <v>0</v>
      </c>
      <c r="AC458" s="24">
        <f>+SUM(START:END!AC459)</f>
        <v>0</v>
      </c>
      <c r="AD458" s="32"/>
      <c r="AE458" s="31"/>
      <c r="AF458" s="24">
        <f>+SUM(START:END!AF459)</f>
        <v>21669.989999999998</v>
      </c>
      <c r="AG458" s="25"/>
      <c r="AH458" s="24">
        <f t="shared" si="218"/>
        <v>1317.8399999999965</v>
      </c>
      <c r="AI458" s="27">
        <f t="shared" si="219"/>
        <v>6.475188125087504E-2</v>
      </c>
      <c r="AJ458" s="32"/>
      <c r="AL458" s="24">
        <f>+SUM(START:END!AL459)</f>
        <v>19928.809999999998</v>
      </c>
      <c r="AM458" s="28"/>
      <c r="AN458" s="26">
        <f t="shared" si="220"/>
        <v>1741.1800000000003</v>
      </c>
      <c r="AO458" s="33">
        <f t="shared" si="221"/>
        <v>8.7369993491834205E-2</v>
      </c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</row>
    <row r="459" spans="1:62" ht="15.75" customHeight="1">
      <c r="A459" s="23" t="str">
        <f t="shared" si="180"/>
        <v>Réparation équipement</v>
      </c>
      <c r="B459" s="181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2" t="s">
        <v>175</v>
      </c>
      <c r="W459" s="34" t="s">
        <v>176</v>
      </c>
      <c r="X459" s="7"/>
      <c r="Y459" s="35"/>
      <c r="Z459" s="8">
        <f>+SUM(START:END!Z460)</f>
        <v>5840.7634698916654</v>
      </c>
      <c r="AA459" s="7"/>
      <c r="AB459" s="35">
        <f t="shared" si="217"/>
        <v>0</v>
      </c>
      <c r="AC459" s="8">
        <f>+SUM(START:END!AC460)</f>
        <v>0</v>
      </c>
      <c r="AD459" s="36"/>
      <c r="AE459" s="35"/>
      <c r="AF459" s="8">
        <f>+SUM(START:END!AF460)</f>
        <v>895.85</v>
      </c>
      <c r="AG459" s="9"/>
      <c r="AH459" s="8">
        <f t="shared" si="218"/>
        <v>-4944.913469891665</v>
      </c>
      <c r="AI459" s="37">
        <f t="shared" si="219"/>
        <v>-0.84662107879937543</v>
      </c>
      <c r="AJ459" s="36"/>
      <c r="AK459" s="7"/>
      <c r="AL459" s="8">
        <f>+SUM(START:END!AL460)</f>
        <v>6468.84</v>
      </c>
      <c r="AM459" s="12"/>
      <c r="AN459" s="10">
        <f t="shared" si="220"/>
        <v>-5572.99</v>
      </c>
      <c r="AO459" s="13">
        <f t="shared" si="221"/>
        <v>-0.86151303788623612</v>
      </c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</row>
    <row r="460" spans="1:62" ht="15.75" customHeight="1">
      <c r="A460" s="23" t="str">
        <f t="shared" si="180"/>
        <v>Location équipement</v>
      </c>
      <c r="B460" s="181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412"/>
      <c r="V460" s="1" t="s">
        <v>177</v>
      </c>
      <c r="W460" s="30" t="s">
        <v>178</v>
      </c>
      <c r="Y460" s="31"/>
      <c r="Z460" s="24">
        <f>+SUM(START:END!Z461)</f>
        <v>3000</v>
      </c>
      <c r="AB460" s="31">
        <f t="shared" si="217"/>
        <v>0</v>
      </c>
      <c r="AC460" s="24">
        <f>+SUM(START:END!AC461)</f>
        <v>0</v>
      </c>
      <c r="AD460" s="32"/>
      <c r="AE460" s="31"/>
      <c r="AF460" s="24">
        <f>+SUM(START:END!AF461)</f>
        <v>2512.0500000000002</v>
      </c>
      <c r="AG460" s="25"/>
      <c r="AH460" s="24">
        <f t="shared" si="218"/>
        <v>-487.94999999999982</v>
      </c>
      <c r="AI460" s="74">
        <f t="shared" si="219"/>
        <v>-0.16264999999999993</v>
      </c>
      <c r="AL460" s="24">
        <f>+SUM(START:END!AL461)</f>
        <v>1918</v>
      </c>
      <c r="AM460" s="28"/>
      <c r="AN460" s="26">
        <f t="shared" si="220"/>
        <v>594.05000000000018</v>
      </c>
      <c r="AO460" s="33">
        <f t="shared" si="221"/>
        <v>0.30972367049009392</v>
      </c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</row>
    <row r="461" spans="1:62" ht="15.75" customHeight="1">
      <c r="A461" s="23" t="str">
        <f t="shared" si="180"/>
        <v>Dons</v>
      </c>
      <c r="B461" s="181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412"/>
      <c r="V461" s="1" t="s">
        <v>179</v>
      </c>
      <c r="W461" s="30" t="s">
        <v>180</v>
      </c>
      <c r="Y461" s="31"/>
      <c r="Z461" s="24">
        <f>+SUM(START:END!Z462)</f>
        <v>0</v>
      </c>
      <c r="AB461" s="31">
        <f t="shared" si="217"/>
        <v>0</v>
      </c>
      <c r="AC461" s="24">
        <f>+SUM(START:END!AC462)</f>
        <v>0</v>
      </c>
      <c r="AD461" s="32"/>
      <c r="AE461" s="31"/>
      <c r="AF461" s="24">
        <f>+SUM(START:END!AF462)</f>
        <v>0</v>
      </c>
      <c r="AG461" s="25"/>
      <c r="AH461" s="24">
        <f t="shared" si="218"/>
        <v>0</v>
      </c>
      <c r="AI461" s="48">
        <f t="shared" si="219"/>
        <v>0</v>
      </c>
      <c r="AL461" s="24">
        <f>+SUM(START:END!AL462)</f>
        <v>0</v>
      </c>
      <c r="AM461" s="28"/>
      <c r="AN461" s="26">
        <f t="shared" si="220"/>
        <v>0</v>
      </c>
      <c r="AO461" s="33">
        <f t="shared" si="221"/>
        <v>0</v>
      </c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</row>
    <row r="462" spans="1:62" ht="15.75" hidden="1" customHeight="1">
      <c r="A462" s="23" t="str">
        <f t="shared" si="180"/>
        <v>[...]</v>
      </c>
      <c r="B462" s="181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412"/>
      <c r="V462" s="1" t="s">
        <v>20</v>
      </c>
      <c r="W462" s="30"/>
      <c r="Y462" s="31"/>
      <c r="Z462" s="24">
        <f>+SUM(START:END!Z463)</f>
        <v>0</v>
      </c>
      <c r="AB462" s="31"/>
      <c r="AC462" s="24">
        <f>+SUM(START:END!AC462)</f>
        <v>0</v>
      </c>
      <c r="AD462" s="32"/>
      <c r="AE462" s="31"/>
      <c r="AF462" s="24">
        <f>+SUM(START:END!AF463)</f>
        <v>0</v>
      </c>
      <c r="AG462" s="25"/>
      <c r="AH462" s="24">
        <f t="shared" ref="AH462:AH464" si="222">AF462-AC462</f>
        <v>0</v>
      </c>
      <c r="AI462" s="48">
        <v>1</v>
      </c>
      <c r="AL462" s="24">
        <f>+SUM(START:END!AL463)</f>
        <v>0</v>
      </c>
      <c r="AM462" s="28"/>
      <c r="AN462" s="26">
        <f t="shared" si="220"/>
        <v>0</v>
      </c>
      <c r="AO462" s="33">
        <v>1</v>
      </c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</row>
    <row r="463" spans="1:62" ht="15.75" hidden="1" customHeight="1">
      <c r="A463" s="23" t="str">
        <f t="shared" si="180"/>
        <v>[...]</v>
      </c>
      <c r="B463" s="181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412"/>
      <c r="V463" s="1" t="s">
        <v>20</v>
      </c>
      <c r="W463" s="30"/>
      <c r="Y463" s="31"/>
      <c r="Z463" s="24">
        <f>+SUM(START:END!Z464)</f>
        <v>0</v>
      </c>
      <c r="AB463" s="31"/>
      <c r="AC463" s="24">
        <f>+SUM(START:END!AC463)</f>
        <v>0</v>
      </c>
      <c r="AD463" s="32"/>
      <c r="AE463" s="31"/>
      <c r="AF463" s="24">
        <f>+SUM(START:END!AF464)</f>
        <v>0</v>
      </c>
      <c r="AG463" s="25"/>
      <c r="AH463" s="24">
        <f t="shared" si="222"/>
        <v>0</v>
      </c>
      <c r="AI463" s="48">
        <v>2</v>
      </c>
      <c r="AL463" s="24">
        <f>+SUM(START:END!AL464)</f>
        <v>0</v>
      </c>
      <c r="AM463" s="28"/>
      <c r="AN463" s="26">
        <f t="shared" si="220"/>
        <v>0</v>
      </c>
      <c r="AO463" s="33">
        <v>2</v>
      </c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</row>
    <row r="464" spans="1:62" ht="15.75" hidden="1" customHeight="1">
      <c r="A464" s="23" t="str">
        <f t="shared" si="180"/>
        <v>[...]</v>
      </c>
      <c r="B464" s="181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" t="s">
        <v>20</v>
      </c>
      <c r="W464" s="30"/>
      <c r="Y464" s="31"/>
      <c r="Z464" s="24">
        <f>+SUM(START:END!Z463)</f>
        <v>0</v>
      </c>
      <c r="AB464" s="31"/>
      <c r="AC464" s="24">
        <f>+SUM(START:END!AC464)</f>
        <v>0</v>
      </c>
      <c r="AD464" s="32"/>
      <c r="AE464" s="31"/>
      <c r="AF464" s="24">
        <f>+SUM(START:END!AF465)</f>
        <v>0</v>
      </c>
      <c r="AG464" s="25"/>
      <c r="AH464" s="24">
        <f t="shared" si="222"/>
        <v>0</v>
      </c>
      <c r="AI464" s="48">
        <v>3</v>
      </c>
      <c r="AL464" s="24">
        <f>+SUM(START:END!AL465)</f>
        <v>0</v>
      </c>
      <c r="AM464" s="28"/>
      <c r="AN464" s="26">
        <f t="shared" si="220"/>
        <v>0</v>
      </c>
      <c r="AO464" s="33">
        <v>3</v>
      </c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</row>
    <row r="465" spans="1:62" ht="15.75" customHeight="1">
      <c r="A465" s="23" t="str">
        <f t="shared" si="180"/>
        <v>TOTAL DÉPENSES FIXES</v>
      </c>
      <c r="B465" s="181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40" t="s">
        <v>181</v>
      </c>
      <c r="W465" s="41"/>
      <c r="X465" s="42">
        <f>Z465/+Z406</f>
        <v>6.688408767286283E-2</v>
      </c>
      <c r="Y465" s="41"/>
      <c r="Z465" s="43">
        <f>SUM(Z452:Z464)</f>
        <v>185091.19346989164</v>
      </c>
      <c r="AA465" s="42" t="e">
        <f>AC465/+AC406</f>
        <v>#DIV/0!</v>
      </c>
      <c r="AB465" s="41"/>
      <c r="AC465" s="43">
        <f>SUM(AC452:AC464)</f>
        <v>0</v>
      </c>
      <c r="AD465" s="44">
        <f>AF465/AF406</f>
        <v>9.6343989395972454E-2</v>
      </c>
      <c r="AE465" s="41"/>
      <c r="AF465" s="43">
        <f>SUM(AF452:AF464)</f>
        <v>182781.99</v>
      </c>
      <c r="AG465" s="50"/>
      <c r="AH465" s="43">
        <f>SUM(AH452:AH464)</f>
        <v>-2309.2034698916723</v>
      </c>
      <c r="AI465" s="42">
        <f>IF(Z465=0,0,AH465/Z465)</f>
        <v>-1.2476031012611657E-2</v>
      </c>
      <c r="AJ465" s="44">
        <f>IF($AL$406=0,0,AL465/$AL$406)</f>
        <v>7.64441856337085E-2</v>
      </c>
      <c r="AK465" s="42"/>
      <c r="AL465" s="43">
        <f>SUM(AL452:AL464)</f>
        <v>149886.34999999995</v>
      </c>
      <c r="AM465" s="51"/>
      <c r="AN465" s="46">
        <f>SUM(AN452:AN464)</f>
        <v>32895.640000000043</v>
      </c>
      <c r="AO465" s="71">
        <f>IF(AL465=0,0,AN465/AL465)</f>
        <v>0.21947055218837508</v>
      </c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</row>
    <row r="466" spans="1:62" ht="15.75" customHeight="1">
      <c r="A466" s="23" t="str">
        <f t="shared" si="180"/>
        <v/>
      </c>
      <c r="B466" s="181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"/>
      <c r="Z466" s="75"/>
      <c r="AC466" s="75"/>
      <c r="AD466" s="32"/>
      <c r="AF466" s="75"/>
      <c r="AG466" s="32"/>
      <c r="AH466" s="75"/>
      <c r="AI466" s="27"/>
      <c r="AJ466" s="32"/>
      <c r="AL466" s="75"/>
      <c r="AM466" s="76"/>
      <c r="AN466" s="26">
        <f t="shared" ref="AN466:AN482" si="223">AF466-AL466</f>
        <v>0</v>
      </c>
      <c r="AO466" s="77">
        <f>IF(AL466=0,0,AN466/AL466)</f>
        <v>0</v>
      </c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</row>
    <row r="467" spans="1:62" ht="15.75" customHeight="1">
      <c r="A467" s="23" t="str">
        <f t="shared" si="180"/>
        <v>TOTAL DES DÉPENSES</v>
      </c>
      <c r="B467" s="181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40" t="s">
        <v>65</v>
      </c>
      <c r="W467" s="41"/>
      <c r="X467" s="42">
        <f>Z467/+Z406</f>
        <v>0.79950329646577367</v>
      </c>
      <c r="Y467" s="41"/>
      <c r="Z467" s="43">
        <f>Z418+Z432+Z451+Z465</f>
        <v>2212499.631448268</v>
      </c>
      <c r="AA467" s="42" t="e">
        <f>AC467/+AC406</f>
        <v>#DIV/0!</v>
      </c>
      <c r="AB467" s="41"/>
      <c r="AC467" s="43">
        <f>AC418+AC432+AC451+AC465</f>
        <v>0</v>
      </c>
      <c r="AD467" s="44">
        <f>AF467/AF406</f>
        <v>1.0508625998075547</v>
      </c>
      <c r="AE467" s="41"/>
      <c r="AF467" s="43">
        <f>AF418+AF432+AF451+AF465</f>
        <v>1993676.6000000003</v>
      </c>
      <c r="AG467" s="50"/>
      <c r="AH467" s="43">
        <f>AH418+AH432+AH451+AH465</f>
        <v>-218823.0314482681</v>
      </c>
      <c r="AI467" s="42">
        <f>AH467/Z467</f>
        <v>-9.8903081536348067E-2</v>
      </c>
      <c r="AJ467" s="44">
        <f>IF($AL$406=0,0,AL467/$AL$406)</f>
        <v>0.94479427460366883</v>
      </c>
      <c r="AK467" s="42"/>
      <c r="AL467" s="43">
        <f>AL418+AL432+AL451+AL465</f>
        <v>1852485.7599999998</v>
      </c>
      <c r="AM467" s="51"/>
      <c r="AN467" s="46">
        <f t="shared" si="223"/>
        <v>141190.84000000055</v>
      </c>
      <c r="AO467" s="21">
        <f>IF(AL467=0,0,AN467/AL467)</f>
        <v>7.6216963740655452E-2</v>
      </c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</row>
    <row r="468" spans="1:62" ht="15.75" customHeight="1">
      <c r="A468" s="23" t="str">
        <f t="shared" si="180"/>
        <v>Revenus autres</v>
      </c>
      <c r="B468" s="181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" t="s">
        <v>182</v>
      </c>
      <c r="W468" s="73"/>
      <c r="X468" s="73"/>
      <c r="Z468" s="54">
        <f>+SUM(START:END!Z469)</f>
        <v>22097.857499999998</v>
      </c>
      <c r="AA468" s="78"/>
      <c r="AB468" s="79">
        <f t="shared" ref="AB468:AB476" si="224">IF(AC468=0,0,AC468/(G$13+G$97))</f>
        <v>0</v>
      </c>
      <c r="AC468" s="54">
        <f>+SUM(START:END!AC469)</f>
        <v>0</v>
      </c>
      <c r="AD468" s="80"/>
      <c r="AE468" s="79"/>
      <c r="AF468" s="24">
        <f>+SUM(START:END!AF469)</f>
        <v>62232.19</v>
      </c>
      <c r="AG468" s="81"/>
      <c r="AH468" s="24">
        <f t="shared" ref="AH468:AH479" si="225">AF468-Z468</f>
        <v>40134.332500000004</v>
      </c>
      <c r="AI468" s="74">
        <f t="shared" ref="AI468:AI479" si="226">IF(Z468=0,0,AH468/Z468)</f>
        <v>1.8162092184728771</v>
      </c>
      <c r="AJ468" s="80"/>
      <c r="AK468" s="172"/>
      <c r="AL468" s="82">
        <f>+SUM(START:END!AL469)</f>
        <v>189265.47</v>
      </c>
      <c r="AM468" s="83"/>
      <c r="AN468" s="26">
        <f t="shared" si="223"/>
        <v>-127033.28</v>
      </c>
      <c r="AO468" s="33">
        <f t="shared" ref="AO468:AO476" si="227">IF(AL468=0,0,AN468/AL468)</f>
        <v>-0.67119099960494644</v>
      </c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</row>
    <row r="469" spans="1:62" ht="18">
      <c r="A469" s="23" t="str">
        <f t="shared" si="180"/>
        <v>Holdbacks</v>
      </c>
      <c r="B469" s="181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" t="s">
        <v>69</v>
      </c>
      <c r="Z469" s="24">
        <f>+SUM(START:END!Z470)</f>
        <v>283999.027681618</v>
      </c>
      <c r="AA469" s="72"/>
      <c r="AB469" s="73">
        <f t="shared" si="224"/>
        <v>0</v>
      </c>
      <c r="AC469" s="24">
        <f>+SUM(START:END!AC470)</f>
        <v>0</v>
      </c>
      <c r="AD469" s="84"/>
      <c r="AE469" s="73"/>
      <c r="AF469" s="24">
        <f>+SUM(START:END!AF470)</f>
        <v>260645.55</v>
      </c>
      <c r="AG469" s="85"/>
      <c r="AH469" s="24">
        <f t="shared" si="225"/>
        <v>-23353.477681618009</v>
      </c>
      <c r="AI469" s="48">
        <f t="shared" si="226"/>
        <v>-8.223083674708502E-2</v>
      </c>
      <c r="AJ469" s="84"/>
      <c r="AK469" s="173"/>
      <c r="AL469" s="86">
        <f>+SUM(START:END!AL470)</f>
        <v>169980.38</v>
      </c>
      <c r="AM469" s="87"/>
      <c r="AN469" s="26">
        <f t="shared" si="223"/>
        <v>90665.169999999984</v>
      </c>
      <c r="AO469" s="33">
        <f t="shared" si="227"/>
        <v>0.53338608844150115</v>
      </c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</row>
    <row r="470" spans="1:62" ht="15.75" customHeight="1">
      <c r="A470" s="23" t="str">
        <f t="shared" si="180"/>
        <v>Variable Margin Program</v>
      </c>
      <c r="B470" s="181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" t="s">
        <v>66</v>
      </c>
      <c r="Z470" s="24">
        <f>+SUM(START:END!Z471)</f>
        <v>20000</v>
      </c>
      <c r="AA470" s="72"/>
      <c r="AB470" s="73">
        <f t="shared" si="224"/>
        <v>0</v>
      </c>
      <c r="AC470" s="24">
        <f>+SUM(START:END!AC471)</f>
        <v>0</v>
      </c>
      <c r="AD470" s="84"/>
      <c r="AE470" s="73"/>
      <c r="AF470" s="24">
        <f>+SUM(START:END!AF471)</f>
        <v>20695</v>
      </c>
      <c r="AG470" s="85"/>
      <c r="AH470" s="24">
        <f t="shared" si="225"/>
        <v>695</v>
      </c>
      <c r="AI470" s="48">
        <f t="shared" si="226"/>
        <v>3.4750000000000003E-2</v>
      </c>
      <c r="AJ470" s="84"/>
      <c r="AK470" s="72"/>
      <c r="AL470" s="86">
        <f>+SUM(START:END!AL471)</f>
        <v>0</v>
      </c>
      <c r="AM470" s="87"/>
      <c r="AN470" s="26">
        <f t="shared" si="223"/>
        <v>20695</v>
      </c>
      <c r="AO470" s="33">
        <f t="shared" si="227"/>
        <v>0</v>
      </c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</row>
    <row r="471" spans="1:62" ht="15.75" customHeight="1">
      <c r="A471" s="23" t="str">
        <f t="shared" si="180"/>
        <v>Floorplan assistance 1%</v>
      </c>
      <c r="B471" s="181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" t="s">
        <v>67</v>
      </c>
      <c r="Z471" s="24">
        <f>+SUM(START:END!Z472)</f>
        <v>0</v>
      </c>
      <c r="AA471" s="72"/>
      <c r="AB471" s="73">
        <f t="shared" si="224"/>
        <v>0</v>
      </c>
      <c r="AC471" s="24">
        <f>+SUM(START:END!AC472)</f>
        <v>0</v>
      </c>
      <c r="AD471" s="84"/>
      <c r="AE471" s="73"/>
      <c r="AF471" s="24">
        <f>+SUM(START:END!AF472)</f>
        <v>0</v>
      </c>
      <c r="AG471" s="85"/>
      <c r="AH471" s="24">
        <f t="shared" si="225"/>
        <v>0</v>
      </c>
      <c r="AI471" s="48">
        <f t="shared" si="226"/>
        <v>0</v>
      </c>
      <c r="AJ471" s="84"/>
      <c r="AK471" s="72"/>
      <c r="AL471" s="86">
        <f>+SUM(START:END!AL472)</f>
        <v>0</v>
      </c>
      <c r="AM471" s="87"/>
      <c r="AN471" s="26">
        <f t="shared" si="223"/>
        <v>0</v>
      </c>
      <c r="AO471" s="33">
        <f t="shared" si="227"/>
        <v>0</v>
      </c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</row>
    <row r="472" spans="1:62" ht="15.75" customHeight="1">
      <c r="A472" s="23" t="str">
        <f t="shared" si="180"/>
        <v>Programme neuf 3</v>
      </c>
      <c r="B472" s="181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" t="s">
        <v>68</v>
      </c>
      <c r="Z472" s="24">
        <f>+SUM(START:END!Z473)</f>
        <v>0</v>
      </c>
      <c r="AA472" s="72"/>
      <c r="AB472" s="73">
        <f t="shared" si="224"/>
        <v>0</v>
      </c>
      <c r="AC472" s="24">
        <f>+SUM(START:END!AC473)</f>
        <v>0</v>
      </c>
      <c r="AD472" s="84"/>
      <c r="AE472" s="73"/>
      <c r="AF472" s="24">
        <f>+SUM(START:END!AF473)</f>
        <v>0</v>
      </c>
      <c r="AG472" s="85"/>
      <c r="AH472" s="24">
        <f t="shared" si="225"/>
        <v>0</v>
      </c>
      <c r="AI472" s="48">
        <f t="shared" si="226"/>
        <v>0</v>
      </c>
      <c r="AJ472" s="84"/>
      <c r="AK472" s="72"/>
      <c r="AL472" s="86">
        <f>+SUM(START:END!AL473)</f>
        <v>0</v>
      </c>
      <c r="AM472" s="87"/>
      <c r="AN472" s="26">
        <f t="shared" si="223"/>
        <v>0</v>
      </c>
      <c r="AO472" s="33">
        <f t="shared" si="227"/>
        <v>0</v>
      </c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</row>
    <row r="473" spans="1:62" ht="15.75" customHeight="1">
      <c r="A473" s="23" t="str">
        <f t="shared" si="180"/>
        <v>Remarketing Bonus</v>
      </c>
      <c r="B473" s="181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" t="s">
        <v>80</v>
      </c>
      <c r="Z473" s="24">
        <f>+SUM(START:END!Z474)</f>
        <v>0</v>
      </c>
      <c r="AA473" s="72"/>
      <c r="AB473" s="73">
        <f t="shared" si="224"/>
        <v>0</v>
      </c>
      <c r="AC473" s="24">
        <f>+SUM(START:END!AC474)</f>
        <v>0</v>
      </c>
      <c r="AD473" s="84"/>
      <c r="AE473" s="73"/>
      <c r="AF473" s="24">
        <f>+SUM(START:END!AF474)</f>
        <v>0</v>
      </c>
      <c r="AG473" s="85"/>
      <c r="AH473" s="24">
        <f t="shared" si="225"/>
        <v>0</v>
      </c>
      <c r="AI473" s="48">
        <f t="shared" si="226"/>
        <v>0</v>
      </c>
      <c r="AJ473" s="84"/>
      <c r="AK473" s="72"/>
      <c r="AL473" s="86">
        <f>+SUM(START:END!AL474)</f>
        <v>0</v>
      </c>
      <c r="AM473" s="87"/>
      <c r="AN473" s="26">
        <f t="shared" si="223"/>
        <v>0</v>
      </c>
      <c r="AO473" s="33">
        <f t="shared" si="227"/>
        <v>0</v>
      </c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</row>
    <row r="474" spans="1:62" ht="15.75" customHeight="1">
      <c r="A474" s="23" t="str">
        <f t="shared" si="180"/>
        <v>Programme used 2</v>
      </c>
      <c r="B474" s="181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" t="s">
        <v>81</v>
      </c>
      <c r="Z474" s="24">
        <f>+SUM(START:END!Z475)</f>
        <v>0</v>
      </c>
      <c r="AA474" s="72"/>
      <c r="AB474" s="73">
        <f t="shared" si="224"/>
        <v>0</v>
      </c>
      <c r="AC474" s="24">
        <f>+SUM(START:END!AC475)</f>
        <v>0</v>
      </c>
      <c r="AD474" s="84"/>
      <c r="AE474" s="73"/>
      <c r="AF474" s="24">
        <f>+SUM(START:END!AF475)</f>
        <v>0</v>
      </c>
      <c r="AG474" s="85"/>
      <c r="AH474" s="24">
        <f t="shared" si="225"/>
        <v>0</v>
      </c>
      <c r="AI474" s="48">
        <f t="shared" si="226"/>
        <v>0</v>
      </c>
      <c r="AJ474" s="84"/>
      <c r="AK474" s="72"/>
      <c r="AL474" s="86">
        <f>+SUM(START:END!AL475)</f>
        <v>0</v>
      </c>
      <c r="AM474" s="87"/>
      <c r="AN474" s="26">
        <f t="shared" si="223"/>
        <v>0</v>
      </c>
      <c r="AO474" s="33">
        <f t="shared" si="227"/>
        <v>0</v>
      </c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</row>
    <row r="475" spans="1:62" ht="15.75" customHeight="1">
      <c r="A475" s="23" t="str">
        <f t="shared" si="180"/>
        <v>Programme used 3</v>
      </c>
      <c r="B475" s="181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" t="s">
        <v>82</v>
      </c>
      <c r="Z475" s="24">
        <f>+SUM(START:END!Z476)</f>
        <v>0</v>
      </c>
      <c r="AA475" s="72"/>
      <c r="AB475" s="73">
        <f t="shared" si="224"/>
        <v>0</v>
      </c>
      <c r="AC475" s="24">
        <f>+SUM(START:END!AC476)</f>
        <v>0</v>
      </c>
      <c r="AD475" s="84"/>
      <c r="AE475" s="73"/>
      <c r="AF475" s="24">
        <f>+SUM(START:END!AF476)</f>
        <v>0</v>
      </c>
      <c r="AG475" s="85"/>
      <c r="AH475" s="24">
        <f t="shared" si="225"/>
        <v>0</v>
      </c>
      <c r="AI475" s="48">
        <f t="shared" si="226"/>
        <v>0</v>
      </c>
      <c r="AJ475" s="84"/>
      <c r="AK475" s="72"/>
      <c r="AL475" s="86">
        <f>+SUM(START:END!AL476)</f>
        <v>0</v>
      </c>
      <c r="AM475" s="87"/>
      <c r="AN475" s="26">
        <f t="shared" si="223"/>
        <v>0</v>
      </c>
      <c r="AO475" s="33">
        <f t="shared" si="227"/>
        <v>0</v>
      </c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</row>
    <row r="476" spans="1:62" ht="15.75" customHeight="1">
      <c r="A476" s="23" t="str">
        <f t="shared" si="180"/>
        <v>Facility Fund</v>
      </c>
      <c r="B476" s="181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" t="s">
        <v>195</v>
      </c>
      <c r="Z476" s="24">
        <f>+SUM(START:END!Z477)</f>
        <v>0</v>
      </c>
      <c r="AA476" s="72"/>
      <c r="AB476" s="73">
        <f t="shared" si="224"/>
        <v>0</v>
      </c>
      <c r="AC476" s="24">
        <f>+SUM(START:END!AC477)</f>
        <v>0</v>
      </c>
      <c r="AD476" s="84"/>
      <c r="AE476" s="73"/>
      <c r="AF476" s="24">
        <f>+SUM(START:END!AF477)</f>
        <v>0</v>
      </c>
      <c r="AG476" s="85"/>
      <c r="AH476" s="24">
        <f t="shared" si="225"/>
        <v>0</v>
      </c>
      <c r="AI476" s="48">
        <f t="shared" si="226"/>
        <v>0</v>
      </c>
      <c r="AJ476" s="84"/>
      <c r="AK476" s="72"/>
      <c r="AL476" s="86">
        <f>+SUM(START:END!AL477)</f>
        <v>0</v>
      </c>
      <c r="AM476" s="87"/>
      <c r="AN476" s="26">
        <f t="shared" si="223"/>
        <v>0</v>
      </c>
      <c r="AO476" s="33">
        <f t="shared" si="227"/>
        <v>0</v>
      </c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</row>
    <row r="477" spans="1:62" ht="15.75" hidden="1" customHeight="1">
      <c r="A477" s="23" t="str">
        <f t="shared" si="180"/>
        <v>[...]</v>
      </c>
      <c r="B477" s="181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" t="s">
        <v>20</v>
      </c>
      <c r="Z477" s="24">
        <f>+SUM(START:END!Z478)</f>
        <v>0</v>
      </c>
      <c r="AA477" s="72"/>
      <c r="AB477" s="73">
        <f t="shared" ref="AB477:AB479" si="228">IF(AC477=0,0,AC477/(G$13+G$97))</f>
        <v>0</v>
      </c>
      <c r="AC477" s="24">
        <f>+SUM(START:END!AC478)</f>
        <v>0</v>
      </c>
      <c r="AD477" s="84"/>
      <c r="AE477" s="73"/>
      <c r="AF477" s="24">
        <f>+SUM(START:END!AF478)</f>
        <v>0</v>
      </c>
      <c r="AG477" s="85"/>
      <c r="AH477" s="24">
        <f t="shared" si="225"/>
        <v>0</v>
      </c>
      <c r="AI477" s="48">
        <f t="shared" si="226"/>
        <v>0</v>
      </c>
      <c r="AJ477" s="84"/>
      <c r="AK477" s="72"/>
      <c r="AL477" s="86">
        <f>+SUM(START:END!AL478)</f>
        <v>0</v>
      </c>
      <c r="AM477" s="87"/>
      <c r="AN477" s="26">
        <f t="shared" ref="AN477:AN479" si="229">AF477-AL477</f>
        <v>0</v>
      </c>
      <c r="AO477" s="33">
        <f t="shared" ref="AO477:AO479" si="230">IF(AL477=0,0,AN477/AL477)</f>
        <v>0</v>
      </c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</row>
    <row r="478" spans="1:62" ht="15.75" hidden="1" customHeight="1">
      <c r="A478" s="23" t="str">
        <f t="shared" si="180"/>
        <v>[...]</v>
      </c>
      <c r="B478" s="181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" t="s">
        <v>20</v>
      </c>
      <c r="Z478" s="24">
        <f>+SUM(START:END!Z479)</f>
        <v>0</v>
      </c>
      <c r="AA478" s="72"/>
      <c r="AB478" s="73">
        <f t="shared" si="228"/>
        <v>0</v>
      </c>
      <c r="AC478" s="24">
        <f>+SUM(START:END!AC479)</f>
        <v>0</v>
      </c>
      <c r="AD478" s="84"/>
      <c r="AE478" s="73"/>
      <c r="AF478" s="24">
        <f>+SUM(START:END!AF479)</f>
        <v>0</v>
      </c>
      <c r="AG478" s="85"/>
      <c r="AH478" s="24">
        <f t="shared" si="225"/>
        <v>0</v>
      </c>
      <c r="AI478" s="48">
        <f t="shared" si="226"/>
        <v>0</v>
      </c>
      <c r="AJ478" s="84"/>
      <c r="AK478" s="72"/>
      <c r="AL478" s="86">
        <f>+SUM(START:END!AL479)</f>
        <v>0</v>
      </c>
      <c r="AM478" s="87"/>
      <c r="AN478" s="26">
        <f t="shared" si="229"/>
        <v>0</v>
      </c>
      <c r="AO478" s="33">
        <f t="shared" si="230"/>
        <v>0</v>
      </c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</row>
    <row r="479" spans="1:62" ht="15.75" customHeight="1">
      <c r="A479" s="23" t="str">
        <f t="shared" si="180"/>
        <v>Frais administration</v>
      </c>
      <c r="B479" s="181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2" t="s">
        <v>70</v>
      </c>
      <c r="Z479" s="24">
        <f>+SUM(START:END!Z480)</f>
        <v>155425.58837499999</v>
      </c>
      <c r="AA479" s="72"/>
      <c r="AB479" s="73">
        <f t="shared" si="228"/>
        <v>0</v>
      </c>
      <c r="AC479" s="24">
        <f>+SUM(START:END!AC480)</f>
        <v>0</v>
      </c>
      <c r="AD479" s="84"/>
      <c r="AE479" s="73"/>
      <c r="AF479" s="24">
        <f>+SUM(START:END!AF480)</f>
        <v>118928.5</v>
      </c>
      <c r="AG479" s="85"/>
      <c r="AH479" s="24">
        <f t="shared" si="225"/>
        <v>-36497.088374999992</v>
      </c>
      <c r="AI479" s="48">
        <f t="shared" si="226"/>
        <v>-0.23482033271730243</v>
      </c>
      <c r="AJ479" s="84"/>
      <c r="AK479" s="72"/>
      <c r="AL479" s="86">
        <f>+SUM(START:END!AL480)</f>
        <v>87402</v>
      </c>
      <c r="AM479" s="87"/>
      <c r="AN479" s="26">
        <f t="shared" si="229"/>
        <v>31526.5</v>
      </c>
      <c r="AO479" s="33">
        <f t="shared" si="230"/>
        <v>0.36070684881352827</v>
      </c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</row>
    <row r="480" spans="1:62" ht="15.75" customHeight="1">
      <c r="A480" s="23" t="str">
        <f t="shared" si="180"/>
        <v>TOTAL AUTRES REVENUS</v>
      </c>
      <c r="B480" s="181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40" t="s">
        <v>183</v>
      </c>
      <c r="W480" s="41"/>
      <c r="X480" s="42">
        <f>Z480/+Z406</f>
        <v>0.17400174872746452</v>
      </c>
      <c r="Y480" s="70"/>
      <c r="Z480" s="43">
        <f>SUM(Z468:Z479)</f>
        <v>481522.47355661797</v>
      </c>
      <c r="AA480" s="42" t="e">
        <f>AC480/+AC406</f>
        <v>#DIV/0!</v>
      </c>
      <c r="AB480" s="70"/>
      <c r="AC480" s="43">
        <f>SUM(AC468:AC479)</f>
        <v>0</v>
      </c>
      <c r="AD480" s="42">
        <f>AF480/+AF406</f>
        <v>0.24378339770884491</v>
      </c>
      <c r="AE480" s="70"/>
      <c r="AF480" s="43">
        <f>SUM(AF468:AF479)</f>
        <v>462501.24</v>
      </c>
      <c r="AG480" s="50"/>
      <c r="AH480" s="43">
        <f>SUM(AH468:AH479)</f>
        <v>-19021.233556617997</v>
      </c>
      <c r="AI480" s="42">
        <f>AH480/Z480</f>
        <v>-3.9502275804747994E-2</v>
      </c>
      <c r="AJ480" s="88"/>
      <c r="AK480" s="89"/>
      <c r="AL480" s="43">
        <f>SUM(AL468:AL479)</f>
        <v>446647.85</v>
      </c>
      <c r="AM480" s="90"/>
      <c r="AN480" s="46">
        <f t="shared" si="223"/>
        <v>15853.390000000014</v>
      </c>
      <c r="AO480" s="71">
        <f>IF(AL480=0,0,AN480/AL480)</f>
        <v>3.5494159436791232E-2</v>
      </c>
      <c r="AP480" s="184"/>
      <c r="AQ480" s="413"/>
      <c r="AR480" s="409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</row>
    <row r="481" spans="1:62" ht="15.75" customHeight="1" thickBot="1">
      <c r="A481" s="23" t="str">
        <f t="shared" si="180"/>
        <v/>
      </c>
      <c r="B481" s="181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91"/>
      <c r="W481" s="92"/>
      <c r="X481" s="92"/>
      <c r="Y481" s="93"/>
      <c r="Z481" s="94"/>
      <c r="AA481" s="92"/>
      <c r="AB481" s="95"/>
      <c r="AC481" s="94"/>
      <c r="AD481" s="92"/>
      <c r="AE481" s="95"/>
      <c r="AF481" s="96"/>
      <c r="AG481" s="97"/>
      <c r="AH481" s="96"/>
      <c r="AI481" s="99"/>
      <c r="AJ481" s="100"/>
      <c r="AK481" s="101"/>
      <c r="AL481" s="96"/>
      <c r="AM481" s="102"/>
      <c r="AN481" s="98">
        <f t="shared" si="223"/>
        <v>0</v>
      </c>
      <c r="AO481" s="103">
        <f t="shared" ref="AO481" si="231">IF(AL481=0,0,AN481/AL481)</f>
        <v>0</v>
      </c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</row>
    <row r="482" spans="1:62" ht="15.75" customHeight="1" thickTop="1" thickBot="1">
      <c r="A482" s="23" t="str">
        <f t="shared" si="180"/>
        <v>BAIIA OPÉRATIONNEL</v>
      </c>
      <c r="B482" s="181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04" t="s">
        <v>184</v>
      </c>
      <c r="W482" s="105"/>
      <c r="X482" s="106" t="s">
        <v>185</v>
      </c>
      <c r="Y482" s="107">
        <f>Z482/Z405</f>
        <v>5.3797301591506558E-2</v>
      </c>
      <c r="Z482" s="108">
        <f>Z406-Z467+Z480</f>
        <v>1036365.5675588686</v>
      </c>
      <c r="AA482" s="106" t="s">
        <v>185</v>
      </c>
      <c r="AB482" s="107" t="e">
        <f>AC482/AC405</f>
        <v>#DIV/0!</v>
      </c>
      <c r="AC482" s="108">
        <f>AC406-AC467+AC480</f>
        <v>0</v>
      </c>
      <c r="AD482" s="106" t="s">
        <v>185</v>
      </c>
      <c r="AE482" s="107">
        <f>AF482/AF405</f>
        <v>2.2279298043804428E-2</v>
      </c>
      <c r="AF482" s="109">
        <f>AF406-AF467+AF480</f>
        <v>366005.6799999997</v>
      </c>
      <c r="AG482" s="110"/>
      <c r="AH482" s="109">
        <f>AH406-AH467+AH480</f>
        <v>-670359.88755886839</v>
      </c>
      <c r="AI482" s="111">
        <f>AH482/Z482</f>
        <v>-0.64683728265681695</v>
      </c>
      <c r="AJ482" s="112" t="s">
        <v>185</v>
      </c>
      <c r="AK482" s="107">
        <f>IF($AL$405=0,0,AL482/$AL$405)</f>
        <v>3.9937591043781751E-2</v>
      </c>
      <c r="AL482" s="109">
        <f>AL406-AL467+AL480</f>
        <v>554891.32999999693</v>
      </c>
      <c r="AM482" s="113"/>
      <c r="AN482" s="109">
        <f t="shared" si="223"/>
        <v>-188885.64999999723</v>
      </c>
      <c r="AO482" s="114">
        <f>IF(AL482=0,0,AN482/AL482)</f>
        <v>-0.34040115566411583</v>
      </c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</row>
    <row r="483" spans="1:62" ht="15.75" customHeight="1" thickTop="1">
      <c r="A483" s="23" t="str">
        <f t="shared" si="180"/>
        <v/>
      </c>
      <c r="B483" s="181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73"/>
      <c r="W483" s="73"/>
      <c r="X483" s="73"/>
      <c r="Y483" s="73"/>
      <c r="Z483" s="26"/>
      <c r="AC483" s="26"/>
      <c r="AF483" s="115"/>
      <c r="AL483" s="26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</row>
    <row r="484" spans="1:62" ht="35.25" customHeight="1">
      <c r="A484" s="23" t="str">
        <f t="shared" ref="A484:A498" si="232">+U484&amp;V484</f>
        <v>Conso</v>
      </c>
      <c r="B484" s="181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73" t="str">
        <f>C1</f>
        <v>Conso</v>
      </c>
      <c r="W484" s="73"/>
      <c r="X484" s="73"/>
      <c r="Y484" s="73"/>
      <c r="Z484" s="177"/>
      <c r="AA484" s="177"/>
      <c r="AB484" s="73"/>
      <c r="AC484" s="73"/>
      <c r="AD484" s="177"/>
      <c r="AE484" s="178" t="s">
        <v>186</v>
      </c>
      <c r="AF484" s="73"/>
      <c r="AG484" s="73"/>
      <c r="AH484" s="177"/>
      <c r="AI484" s="177"/>
      <c r="AJ484" s="400"/>
      <c r="AK484" s="6"/>
      <c r="AL484" s="177"/>
      <c r="AM484" s="73"/>
      <c r="AN484" s="73"/>
      <c r="AO484" s="180" t="str">
        <f>$S$1</f>
        <v xml:space="preserve">Réalisé  </v>
      </c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</row>
    <row r="485" spans="1:62" ht="15.75" customHeight="1">
      <c r="A485" s="23" t="str">
        <f t="shared" si="232"/>
        <v/>
      </c>
      <c r="B485" s="181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73"/>
      <c r="W485" s="73"/>
      <c r="X485" s="73"/>
      <c r="Y485" s="73"/>
      <c r="Z485" s="26"/>
      <c r="AC485" s="26"/>
      <c r="AF485" s="115"/>
      <c r="AL485" s="26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</row>
    <row r="486" spans="1:62" ht="15.75" customHeight="1" thickBot="1">
      <c r="A486" s="23" t="str">
        <f t="shared" si="232"/>
        <v/>
      </c>
      <c r="B486" s="181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73"/>
      <c r="W486" s="73"/>
      <c r="X486" s="73"/>
      <c r="Y486" s="73"/>
      <c r="Z486" s="26"/>
      <c r="AC486" s="26"/>
      <c r="AF486" s="115"/>
      <c r="AL486" s="26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</row>
    <row r="487" spans="1:62" ht="15.75" customHeight="1" thickTop="1" thickBot="1">
      <c r="A487" s="23" t="str">
        <f t="shared" si="232"/>
        <v>BAIIA Corpo</v>
      </c>
      <c r="B487" s="181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59" t="s">
        <v>215</v>
      </c>
      <c r="W487" s="160"/>
      <c r="X487" s="161" t="s">
        <v>185</v>
      </c>
      <c r="Y487" s="162">
        <f>Z487/Z405</f>
        <v>5.797537486635497E-2</v>
      </c>
      <c r="Z487" s="163">
        <f>+Z488+Z414</f>
        <v>1116853.0855698914</v>
      </c>
      <c r="AA487" s="161"/>
      <c r="AB487" s="162"/>
      <c r="AC487" s="163"/>
      <c r="AD487" s="161" t="s">
        <v>185</v>
      </c>
      <c r="AE487" s="162">
        <f>AF487/AF405</f>
        <v>3.0948774317261077E-2</v>
      </c>
      <c r="AF487" s="163">
        <f>+AF488+AF414</f>
        <v>508428.3699999997</v>
      </c>
      <c r="AG487" s="164"/>
      <c r="AH487" s="163">
        <f t="shared" ref="AH487:AH488" si="233">AF487-Z487</f>
        <v>-608424.71556989173</v>
      </c>
      <c r="AI487" s="165">
        <f>AH487/Z487</f>
        <v>-0.54476700958338997</v>
      </c>
      <c r="AJ487" s="161" t="s">
        <v>185</v>
      </c>
      <c r="AK487" s="162">
        <f>AL487/AL405</f>
        <v>4.1249200460181906E-2</v>
      </c>
      <c r="AL487" s="163">
        <f>+AL488+AL414</f>
        <v>573114.77999999688</v>
      </c>
      <c r="AM487" s="167"/>
      <c r="AN487" s="168">
        <f>AF487-AL487</f>
        <v>-64686.40999999718</v>
      </c>
      <c r="AO487" s="169">
        <f>IF(AL487=0,0,AN487/AL487)</f>
        <v>-0.11286815880057662</v>
      </c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</row>
    <row r="488" spans="1:62" ht="15.75" hidden="1" customHeight="1" thickTop="1" thickBot="1">
      <c r="A488" s="23" t="str">
        <f t="shared" si="232"/>
        <v>BAIIA OPÉRATIONNEL</v>
      </c>
      <c r="B488" s="181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16" t="s">
        <v>184</v>
      </c>
      <c r="W488" s="117"/>
      <c r="X488" s="118" t="s">
        <v>185</v>
      </c>
      <c r="Y488" s="119">
        <f>Z488/Z405</f>
        <v>5.3797301591506558E-2</v>
      </c>
      <c r="Z488" s="120">
        <f>Z482</f>
        <v>1036365.5675588686</v>
      </c>
      <c r="AA488" s="118" t="s">
        <v>185</v>
      </c>
      <c r="AB488" s="119" t="e">
        <f>AC488/AC405</f>
        <v>#DIV/0!</v>
      </c>
      <c r="AC488" s="120">
        <f>AC482</f>
        <v>0</v>
      </c>
      <c r="AD488" s="118" t="s">
        <v>185</v>
      </c>
      <c r="AE488" s="119">
        <f>AF488/AF405</f>
        <v>2.2279298043804428E-2</v>
      </c>
      <c r="AF488" s="120">
        <f>AF482</f>
        <v>366005.6799999997</v>
      </c>
      <c r="AG488" s="121"/>
      <c r="AH488" s="110">
        <f t="shared" si="233"/>
        <v>-670359.88755886885</v>
      </c>
      <c r="AI488" s="111">
        <f>AH488/Z488</f>
        <v>-0.64683728265681739</v>
      </c>
      <c r="AJ488" s="118" t="s">
        <v>185</v>
      </c>
      <c r="AK488" s="119">
        <f>IF($AL$405=0,0,AL488/$AL$405)</f>
        <v>3.9937591043781751E-2</v>
      </c>
      <c r="AL488" s="122">
        <f>AL482</f>
        <v>554891.32999999693</v>
      </c>
      <c r="AM488" s="123"/>
      <c r="AN488" s="124">
        <f>AF488-AL488</f>
        <v>-188885.64999999723</v>
      </c>
      <c r="AO488" s="125">
        <f>IF(AL488=0,0,AN488/AL488)</f>
        <v>-0.34040115566411583</v>
      </c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</row>
    <row r="489" spans="1:62" ht="15.75" customHeight="1" thickTop="1">
      <c r="A489" s="23" t="str">
        <f t="shared" si="232"/>
        <v/>
      </c>
      <c r="B489" s="181"/>
      <c r="C489" s="184"/>
      <c r="D489" s="184"/>
      <c r="E489" s="184"/>
      <c r="F489" s="409"/>
      <c r="G489" s="184"/>
      <c r="H489" s="184"/>
      <c r="I489" s="409"/>
      <c r="J489" s="184"/>
      <c r="K489" s="184"/>
      <c r="L489" s="184"/>
      <c r="M489" s="409"/>
      <c r="N489" s="184"/>
      <c r="O489" s="184"/>
      <c r="P489" s="184"/>
      <c r="Q489" s="409"/>
      <c r="R489" s="409"/>
      <c r="S489" s="409"/>
      <c r="T489" s="412"/>
      <c r="U489" s="412"/>
      <c r="V489" s="414"/>
      <c r="W489" s="184"/>
      <c r="X489" s="184"/>
      <c r="Y489" s="184"/>
      <c r="Z489" s="415">
        <f>+SUM(START:END!Z490)</f>
        <v>0</v>
      </c>
      <c r="AA489" s="184"/>
      <c r="AB489" s="184">
        <f t="shared" ref="AB489:AB496" si="234">IF(AC489=0,0,AC489/(G$13+G$97))</f>
        <v>0</v>
      </c>
      <c r="AC489" s="416">
        <f>+SUM(START:END!AC490)</f>
        <v>0</v>
      </c>
      <c r="AD489" s="184"/>
      <c r="AE489" s="184"/>
      <c r="AF489" s="415">
        <f>+SUM(START:END!AF490)</f>
        <v>0</v>
      </c>
      <c r="AG489" s="184"/>
      <c r="AH489" s="415">
        <f t="shared" ref="AH489:AH495" si="235">AF489-Z489</f>
        <v>0</v>
      </c>
      <c r="AI489" s="416">
        <f t="shared" ref="AI489:AI496" si="236">IF(Z489=0,0,AH489/Z489)</f>
        <v>0</v>
      </c>
      <c r="AJ489" s="184"/>
      <c r="AK489" s="184">
        <f t="shared" ref="AK489:AK496" si="237">AL489/(O$13+O$97)</f>
        <v>0</v>
      </c>
      <c r="AL489" s="415">
        <f>+SUM(START:END!AL490)</f>
        <v>0</v>
      </c>
      <c r="AM489" s="417"/>
      <c r="AN489" s="26">
        <f t="shared" ref="AN489:AN496" si="238">AF489-AL489</f>
        <v>0</v>
      </c>
      <c r="AO489" s="418">
        <f t="shared" ref="AO489:AO496" si="239">IF(AL489=0,0,AN489/AL489)</f>
        <v>0</v>
      </c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</row>
    <row r="490" spans="1:62" ht="15.75" customHeight="1">
      <c r="A490" s="23" t="str">
        <f t="shared" si="232"/>
        <v>Amortissement</v>
      </c>
      <c r="B490" s="181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" t="s">
        <v>187</v>
      </c>
      <c r="W490" s="30"/>
      <c r="Y490" s="31"/>
      <c r="Z490" s="24">
        <f>+SUM(START:END!Z491)</f>
        <v>18945</v>
      </c>
      <c r="AB490" s="31">
        <f t="shared" si="234"/>
        <v>0</v>
      </c>
      <c r="AC490" s="24">
        <f>+SUM(START:END!AC491)</f>
        <v>0</v>
      </c>
      <c r="AE490" s="31"/>
      <c r="AF490" s="24">
        <f>+SUM(START:END!AF491)</f>
        <v>18945</v>
      </c>
      <c r="AG490" s="174"/>
      <c r="AH490" s="24">
        <f t="shared" si="235"/>
        <v>0</v>
      </c>
      <c r="AI490" s="48">
        <f t="shared" si="236"/>
        <v>0</v>
      </c>
      <c r="AK490" s="174">
        <f t="shared" si="237"/>
        <v>65.042713567839201</v>
      </c>
      <c r="AL490" s="24">
        <f>+SUM(START:END!AL491)</f>
        <v>12943.5</v>
      </c>
      <c r="AM490" s="28"/>
      <c r="AN490" s="26">
        <f t="shared" si="238"/>
        <v>6001.5</v>
      </c>
      <c r="AO490" s="33">
        <f t="shared" si="239"/>
        <v>0.46366902306176844</v>
      </c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</row>
    <row r="491" spans="1:62" ht="15.75" customHeight="1">
      <c r="A491" s="23" t="str">
        <f t="shared" si="232"/>
        <v>Intérêts sur marge</v>
      </c>
      <c r="B491" s="181"/>
      <c r="C491" s="184"/>
      <c r="D491" s="184"/>
      <c r="E491" s="184"/>
      <c r="F491" s="409"/>
      <c r="G491" s="184"/>
      <c r="H491" s="184"/>
      <c r="I491" s="409"/>
      <c r="J491" s="184"/>
      <c r="K491" s="184"/>
      <c r="L491" s="184"/>
      <c r="M491" s="409"/>
      <c r="N491" s="184"/>
      <c r="O491" s="184"/>
      <c r="P491" s="184"/>
      <c r="Q491" s="409"/>
      <c r="R491" s="409"/>
      <c r="S491" s="409"/>
      <c r="T491" s="184"/>
      <c r="U491" s="184"/>
      <c r="V491" s="1" t="s">
        <v>188</v>
      </c>
      <c r="Z491" s="24">
        <f>+SUM(START:END!Z492)</f>
        <v>0</v>
      </c>
      <c r="AB491" s="23">
        <f t="shared" si="234"/>
        <v>0</v>
      </c>
      <c r="AC491" s="24">
        <f>+SUM(START:END!AC492)</f>
        <v>0</v>
      </c>
      <c r="AF491" s="24">
        <f>+SUM(START:END!AF492)</f>
        <v>0</v>
      </c>
      <c r="AH491" s="24">
        <f t="shared" si="235"/>
        <v>0</v>
      </c>
      <c r="AI491" s="48">
        <f t="shared" si="236"/>
        <v>0</v>
      </c>
      <c r="AK491" s="23">
        <f t="shared" si="237"/>
        <v>0</v>
      </c>
      <c r="AL491" s="24">
        <f>+SUM(START:END!AL492)</f>
        <v>0</v>
      </c>
      <c r="AM491" s="76"/>
      <c r="AN491" s="26">
        <f t="shared" si="238"/>
        <v>0</v>
      </c>
      <c r="AO491" s="33">
        <f t="shared" si="239"/>
        <v>0</v>
      </c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</row>
    <row r="492" spans="1:62" ht="15.75" customHeight="1">
      <c r="A492" s="23" t="str">
        <f t="shared" si="232"/>
        <v>Intérêts sur prêt</v>
      </c>
      <c r="B492" s="181"/>
      <c r="C492" s="184"/>
      <c r="D492" s="184"/>
      <c r="E492" s="184"/>
      <c r="F492" s="409"/>
      <c r="G492" s="184"/>
      <c r="H492" s="184"/>
      <c r="I492" s="409"/>
      <c r="J492" s="184"/>
      <c r="K492" s="184"/>
      <c r="L492" s="184"/>
      <c r="M492" s="409"/>
      <c r="N492" s="184"/>
      <c r="O492" s="184"/>
      <c r="P492" s="184"/>
      <c r="Q492" s="409"/>
      <c r="R492" s="409"/>
      <c r="S492" s="409"/>
      <c r="T492" s="184"/>
      <c r="U492" s="184"/>
      <c r="V492" s="1" t="s">
        <v>189</v>
      </c>
      <c r="Z492" s="24">
        <f>+SUM(START:END!Z493)</f>
        <v>0</v>
      </c>
      <c r="AB492" s="23">
        <f t="shared" si="234"/>
        <v>0</v>
      </c>
      <c r="AC492" s="24">
        <f>+SUM(START:END!AC493)</f>
        <v>0</v>
      </c>
      <c r="AF492" s="24">
        <f>+SUM(START:END!AF493)</f>
        <v>-917.02</v>
      </c>
      <c r="AH492" s="24">
        <f t="shared" si="235"/>
        <v>-917.02</v>
      </c>
      <c r="AI492" s="48">
        <f t="shared" si="236"/>
        <v>0</v>
      </c>
      <c r="AK492" s="174">
        <f t="shared" si="237"/>
        <v>0</v>
      </c>
      <c r="AL492" s="24">
        <f>+SUM(START:END!AL493)</f>
        <v>0</v>
      </c>
      <c r="AM492" s="76"/>
      <c r="AN492" s="26">
        <f t="shared" si="238"/>
        <v>-917.02</v>
      </c>
      <c r="AO492" s="33">
        <f t="shared" si="239"/>
        <v>0</v>
      </c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</row>
    <row r="493" spans="1:62" ht="15.75" customHeight="1">
      <c r="A493" s="23" t="str">
        <f t="shared" si="232"/>
        <v>Intérêts sur avance</v>
      </c>
      <c r="B493" s="181"/>
      <c r="C493" s="184"/>
      <c r="D493" s="184"/>
      <c r="E493" s="184"/>
      <c r="F493" s="409"/>
      <c r="G493" s="184"/>
      <c r="H493" s="184"/>
      <c r="I493" s="409"/>
      <c r="J493" s="184"/>
      <c r="K493" s="184"/>
      <c r="L493" s="184"/>
      <c r="M493" s="409"/>
      <c r="N493" s="184"/>
      <c r="O493" s="184"/>
      <c r="P493" s="184"/>
      <c r="Q493" s="409"/>
      <c r="R493" s="409"/>
      <c r="S493" s="409"/>
      <c r="T493" s="184"/>
      <c r="U493" s="184"/>
      <c r="V493" s="1" t="s">
        <v>190</v>
      </c>
      <c r="Z493" s="24">
        <f>+SUM(START:END!Z494)</f>
        <v>0</v>
      </c>
      <c r="AB493" s="23">
        <f t="shared" si="234"/>
        <v>0</v>
      </c>
      <c r="AC493" s="24">
        <f>+SUM(START:END!AC494)</f>
        <v>0</v>
      </c>
      <c r="AF493" s="24">
        <f>+SUM(START:END!AF494)</f>
        <v>0</v>
      </c>
      <c r="AH493" s="24">
        <f t="shared" si="235"/>
        <v>0</v>
      </c>
      <c r="AI493" s="48">
        <f t="shared" si="236"/>
        <v>0</v>
      </c>
      <c r="AK493" s="23">
        <f t="shared" si="237"/>
        <v>0</v>
      </c>
      <c r="AL493" s="24">
        <f>+SUM(START:END!AL494)</f>
        <v>0</v>
      </c>
      <c r="AM493" s="76"/>
      <c r="AN493" s="26">
        <f t="shared" si="238"/>
        <v>0</v>
      </c>
      <c r="AO493" s="33">
        <f t="shared" si="239"/>
        <v>0</v>
      </c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</row>
    <row r="494" spans="1:62" ht="15.75" customHeight="1">
      <c r="A494" s="23" t="str">
        <f t="shared" si="232"/>
        <v>[...]</v>
      </c>
      <c r="B494" s="181"/>
      <c r="C494" s="184"/>
      <c r="D494" s="184"/>
      <c r="E494" s="184"/>
      <c r="F494" s="409"/>
      <c r="G494" s="184"/>
      <c r="H494" s="184"/>
      <c r="I494" s="409"/>
      <c r="J494" s="184"/>
      <c r="K494" s="184"/>
      <c r="L494" s="184"/>
      <c r="M494" s="409"/>
      <c r="N494" s="184"/>
      <c r="O494" s="184"/>
      <c r="P494" s="184"/>
      <c r="Q494" s="409"/>
      <c r="R494" s="409"/>
      <c r="S494" s="409"/>
      <c r="T494" s="184"/>
      <c r="U494" s="184"/>
      <c r="V494" s="152" t="s">
        <v>20</v>
      </c>
      <c r="Z494" s="24">
        <f>+SUM(START:END!Z495)</f>
        <v>0</v>
      </c>
      <c r="AB494" s="23">
        <f t="shared" si="234"/>
        <v>0</v>
      </c>
      <c r="AC494" s="24">
        <f>+SUM(START:END!AC495)</f>
        <v>0</v>
      </c>
      <c r="AE494" s="174"/>
      <c r="AF494" s="24">
        <f>+SUM(START:END!AF495)</f>
        <v>0</v>
      </c>
      <c r="AG494" s="174"/>
      <c r="AH494" s="24">
        <f t="shared" si="235"/>
        <v>0</v>
      </c>
      <c r="AI494" s="48">
        <f t="shared" si="236"/>
        <v>0</v>
      </c>
      <c r="AK494" s="23">
        <f t="shared" si="237"/>
        <v>0</v>
      </c>
      <c r="AL494" s="24">
        <f>+SUM(START:END!AL495)</f>
        <v>0</v>
      </c>
      <c r="AM494" s="419"/>
      <c r="AN494" s="26">
        <f t="shared" si="238"/>
        <v>0</v>
      </c>
      <c r="AO494" s="33">
        <f t="shared" si="239"/>
        <v>0</v>
      </c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</row>
    <row r="495" spans="1:62" ht="15.75" customHeight="1">
      <c r="A495" s="23" t="str">
        <f t="shared" si="232"/>
        <v>Revenus d'intérêts floor plan</v>
      </c>
      <c r="B495" s="181"/>
      <c r="C495" s="184"/>
      <c r="D495" s="184"/>
      <c r="E495" s="184"/>
      <c r="F495" s="409"/>
      <c r="G495" s="184"/>
      <c r="H495" s="184"/>
      <c r="I495" s="409"/>
      <c r="J495" s="184"/>
      <c r="K495" s="184"/>
      <c r="L495" s="184"/>
      <c r="M495" s="409"/>
      <c r="N495" s="184"/>
      <c r="O495" s="184"/>
      <c r="P495" s="184"/>
      <c r="Q495" s="409"/>
      <c r="R495" s="409"/>
      <c r="S495" s="409"/>
      <c r="T495" s="184"/>
      <c r="U495" s="184"/>
      <c r="V495" s="152" t="s">
        <v>216</v>
      </c>
      <c r="Z495" s="24">
        <f>+SUM(START:END!Z496)</f>
        <v>-14000</v>
      </c>
      <c r="AB495" s="23">
        <f t="shared" si="234"/>
        <v>0</v>
      </c>
      <c r="AC495" s="24">
        <f>+SUM(START:END!AC496)</f>
        <v>0</v>
      </c>
      <c r="AF495" s="24">
        <f>+SUM(START:END!AF496)</f>
        <v>-13217.49</v>
      </c>
      <c r="AH495" s="24">
        <f t="shared" si="235"/>
        <v>782.51000000000022</v>
      </c>
      <c r="AI495" s="48">
        <f t="shared" si="236"/>
        <v>-5.5893571428571445E-2</v>
      </c>
      <c r="AK495" s="23">
        <f t="shared" si="237"/>
        <v>0</v>
      </c>
      <c r="AL495" s="24">
        <f>+SUM(START:END!AL496)</f>
        <v>0</v>
      </c>
      <c r="AM495" s="76"/>
      <c r="AN495" s="26">
        <f t="shared" si="238"/>
        <v>-13217.49</v>
      </c>
      <c r="AO495" s="33">
        <f t="shared" si="239"/>
        <v>0</v>
      </c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</row>
    <row r="496" spans="1:62" ht="15.75" customHeight="1" thickBot="1">
      <c r="A496" s="23" t="str">
        <f t="shared" si="232"/>
        <v>[...]</v>
      </c>
      <c r="B496" s="181"/>
      <c r="C496" s="184"/>
      <c r="D496" s="184"/>
      <c r="E496" s="184"/>
      <c r="F496" s="409"/>
      <c r="G496" s="184"/>
      <c r="H496" s="184"/>
      <c r="I496" s="409"/>
      <c r="J496" s="184"/>
      <c r="K496" s="184"/>
      <c r="L496" s="184"/>
      <c r="M496" s="409"/>
      <c r="N496" s="184"/>
      <c r="O496" s="184"/>
      <c r="P496" s="184"/>
      <c r="Q496" s="409"/>
      <c r="R496" s="409"/>
      <c r="S496" s="409"/>
      <c r="T496" s="184"/>
      <c r="U496" s="184"/>
      <c r="V496" s="1" t="s">
        <v>20</v>
      </c>
      <c r="X496" s="184"/>
      <c r="Z496" s="24">
        <f>+SUM(START:END!Z497)</f>
        <v>0</v>
      </c>
      <c r="AB496" s="23">
        <f t="shared" si="234"/>
        <v>0</v>
      </c>
      <c r="AC496" s="24">
        <f>+SUM(START:END!AC497)</f>
        <v>0</v>
      </c>
      <c r="AE496" s="23">
        <f t="shared" ref="AE496" si="240">IF(AF496=0,0,AF496/(J$13+J$97))</f>
        <v>0</v>
      </c>
      <c r="AF496" s="24">
        <f>+SUM(START:END!AF497)</f>
        <v>0</v>
      </c>
      <c r="AG496" s="23">
        <f t="shared" ref="AG496" si="241">AE496-AB496</f>
        <v>0</v>
      </c>
      <c r="AH496" s="26">
        <f t="shared" ref="AH496" si="242">AF496-AC496</f>
        <v>0</v>
      </c>
      <c r="AI496" s="48">
        <f t="shared" si="236"/>
        <v>0</v>
      </c>
      <c r="AK496" s="23">
        <f t="shared" si="237"/>
        <v>0</v>
      </c>
      <c r="AL496" s="24">
        <f>+SUM(START:END!AL497)</f>
        <v>0</v>
      </c>
      <c r="AM496" s="76">
        <f>AE496-AK496</f>
        <v>0</v>
      </c>
      <c r="AN496" s="26">
        <f t="shared" si="238"/>
        <v>0</v>
      </c>
      <c r="AO496" s="33">
        <f t="shared" si="239"/>
        <v>0</v>
      </c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</row>
    <row r="497" spans="1:62" ht="15.75" customHeight="1" thickTop="1" thickBot="1">
      <c r="A497" s="23" t="str">
        <f t="shared" si="232"/>
        <v>Profit Net</v>
      </c>
      <c r="B497" s="181"/>
      <c r="C497" s="184"/>
      <c r="D497" s="184"/>
      <c r="E497" s="184"/>
      <c r="F497" s="409"/>
      <c r="G497" s="184"/>
      <c r="H497" s="184"/>
      <c r="I497" s="409"/>
      <c r="J497" s="184"/>
      <c r="K497" s="184"/>
      <c r="L497" s="184"/>
      <c r="M497" s="409"/>
      <c r="N497" s="184"/>
      <c r="O497" s="184"/>
      <c r="P497" s="184"/>
      <c r="Q497" s="409"/>
      <c r="R497" s="409"/>
      <c r="S497" s="409"/>
      <c r="T497" s="184"/>
      <c r="U497" s="184"/>
      <c r="V497" s="104" t="s">
        <v>191</v>
      </c>
      <c r="W497" s="105"/>
      <c r="X497" s="106" t="s">
        <v>185</v>
      </c>
      <c r="Y497" s="107">
        <f>Z497/Z405</f>
        <v>5.3540608717199067E-2</v>
      </c>
      <c r="Z497" s="108">
        <f>Z488-Z490-Z491-Z492-Z496-Z493-Z494-Z495</f>
        <v>1031420.5675588686</v>
      </c>
      <c r="AA497" s="106" t="s">
        <v>185</v>
      </c>
      <c r="AB497" s="107" t="e">
        <f>AC497/AC405</f>
        <v>#DIV/0!</v>
      </c>
      <c r="AC497" s="108">
        <f>AC488-AC490-AC491-AC492-AC496-AC493-AC494</f>
        <v>0</v>
      </c>
      <c r="AD497" s="106" t="s">
        <v>185</v>
      </c>
      <c r="AE497" s="107">
        <f>AF497/AF405</f>
        <v>2.1986476521344063E-2</v>
      </c>
      <c r="AF497" s="108">
        <f>AF488-AF490-AF491-AF492-AF496-AF493-AF494-AF495</f>
        <v>361195.18999999971</v>
      </c>
      <c r="AG497" s="110"/>
      <c r="AH497" s="108">
        <f>AH488-AH490-AH491-AH492-AH496-AH493-AH494-AH495</f>
        <v>-670225.37755886884</v>
      </c>
      <c r="AI497" s="111">
        <f>AH497/Z497</f>
        <v>-0.64980804013355642</v>
      </c>
      <c r="AJ497" s="112" t="s">
        <v>185</v>
      </c>
      <c r="AK497" s="107">
        <f>IF($AL$405=0,0,AL497/$AL$405)</f>
        <v>3.9005999249627762E-2</v>
      </c>
      <c r="AL497" s="108">
        <f>AL488-AL490-AL491-AL492-AL496-AL493-AL494-AL495</f>
        <v>541947.82999999693</v>
      </c>
      <c r="AM497" s="113"/>
      <c r="AN497" s="109">
        <f>AN488-AN490-AN491-AN492-AN496-AN493-AN494-AN495</f>
        <v>-180752.63999999725</v>
      </c>
      <c r="AO497" s="126">
        <f>IF(AL497=0,0,AN497/AL497)</f>
        <v>-0.33352405894862291</v>
      </c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</row>
    <row r="498" spans="1:62" ht="15.75" customHeight="1" thickTop="1">
      <c r="A498" s="23" t="str">
        <f t="shared" si="232"/>
        <v/>
      </c>
      <c r="B498" s="181"/>
      <c r="C498" s="184"/>
      <c r="D498" s="184"/>
      <c r="E498" s="184"/>
      <c r="F498" s="409"/>
      <c r="G498" s="184"/>
      <c r="H498" s="184"/>
      <c r="I498" s="409"/>
      <c r="J498" s="184"/>
      <c r="K498" s="184"/>
      <c r="L498" s="184"/>
      <c r="M498" s="409"/>
      <c r="N498" s="184"/>
      <c r="O498" s="184"/>
      <c r="P498" s="184"/>
      <c r="Q498" s="409"/>
      <c r="R498" s="409"/>
      <c r="S498" s="409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77"/>
      <c r="AF498" s="420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</row>
    <row r="499" spans="1:62" ht="15.75" customHeight="1">
      <c r="B499" s="181"/>
      <c r="C499" s="184"/>
      <c r="D499" s="184"/>
      <c r="E499" s="184"/>
      <c r="F499" s="409"/>
      <c r="G499" s="184"/>
      <c r="H499" s="184"/>
      <c r="I499" s="409"/>
      <c r="J499" s="184"/>
      <c r="K499" s="184"/>
      <c r="L499" s="184"/>
      <c r="M499" s="409"/>
      <c r="N499" s="184"/>
      <c r="O499" s="184"/>
      <c r="P499" s="184"/>
      <c r="Q499" s="409"/>
      <c r="R499" s="409"/>
      <c r="S499" s="409"/>
      <c r="T499" s="184"/>
      <c r="U499" s="184"/>
      <c r="V499" s="184"/>
      <c r="W499" s="184"/>
      <c r="X499" s="184"/>
      <c r="Y499" s="184"/>
      <c r="Z499" s="409"/>
      <c r="AA499" s="184"/>
      <c r="AB499" s="184"/>
      <c r="AC499" s="184"/>
      <c r="AD499" s="184"/>
      <c r="AE499" s="184"/>
      <c r="AF499" s="87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</row>
    <row r="500" spans="1:62" ht="15.75" customHeight="1">
      <c r="B500" s="181"/>
      <c r="C500" s="184"/>
      <c r="D500" s="184"/>
      <c r="E500" s="184"/>
      <c r="F500" s="409"/>
      <c r="G500" s="184"/>
      <c r="H500" s="184"/>
      <c r="I500" s="409"/>
      <c r="J500" s="184"/>
      <c r="K500" s="184"/>
      <c r="L500" s="184"/>
      <c r="M500" s="409"/>
      <c r="N500" s="184"/>
      <c r="O500" s="184"/>
      <c r="P500" s="184"/>
      <c r="Q500" s="409"/>
      <c r="R500" s="409"/>
      <c r="S500" s="409"/>
      <c r="T500" s="412"/>
      <c r="U500" s="412"/>
      <c r="V500" s="184"/>
      <c r="W500" s="184"/>
      <c r="X500" s="184"/>
      <c r="Y500" s="184"/>
      <c r="Z500" s="409" t="e">
        <f>+#REF!+#REF!+#REF!</f>
        <v>#REF!</v>
      </c>
      <c r="AA500" s="184"/>
      <c r="AB500" s="184"/>
      <c r="AC500" s="184"/>
      <c r="AD500" s="184"/>
      <c r="AE500" s="184"/>
      <c r="AF500" s="409" t="e">
        <f>+#REF!+#REF!+#REF!</f>
        <v>#REF!</v>
      </c>
      <c r="AG500" s="184"/>
      <c r="AH500" s="409" t="e">
        <f>+#REF!+#REF!+#REF!</f>
        <v>#REF!</v>
      </c>
      <c r="AI500" s="184"/>
      <c r="AJ500" s="184"/>
      <c r="AK500" s="184"/>
      <c r="AL500" s="409" t="e">
        <f>+#REF!+#REF!+#REF!</f>
        <v>#REF!</v>
      </c>
      <c r="AM500" s="184"/>
      <c r="AN500" s="409" t="e">
        <f>+#REF!+#REF!+#REF!</f>
        <v>#REF!</v>
      </c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</row>
    <row r="501" spans="1:62" ht="15.75" customHeight="1">
      <c r="B501" s="181"/>
      <c r="C501" s="184"/>
      <c r="D501" s="184"/>
      <c r="E501" s="184"/>
      <c r="F501" s="409"/>
      <c r="G501" s="184"/>
      <c r="H501" s="184"/>
      <c r="I501" s="409"/>
      <c r="J501" s="184"/>
      <c r="K501" s="184"/>
      <c r="L501" s="184"/>
      <c r="M501" s="409"/>
      <c r="N501" s="184"/>
      <c r="O501" s="184"/>
      <c r="P501" s="184"/>
      <c r="Q501" s="409"/>
      <c r="R501" s="409"/>
      <c r="S501" s="409"/>
      <c r="T501" s="412"/>
      <c r="U501" s="412"/>
      <c r="V501" s="184"/>
      <c r="W501" s="184"/>
      <c r="X501" s="184"/>
      <c r="Y501" s="184"/>
      <c r="Z501" s="409" t="e">
        <f>+Z500-Z497</f>
        <v>#REF!</v>
      </c>
      <c r="AA501" s="184"/>
      <c r="AB501" s="184"/>
      <c r="AC501" s="184"/>
      <c r="AD501" s="184"/>
      <c r="AE501" s="184"/>
      <c r="AF501" s="409" t="e">
        <f>+AF500-AF497</f>
        <v>#REF!</v>
      </c>
      <c r="AG501" s="184"/>
      <c r="AH501" s="409" t="e">
        <f>+AH500-AH497</f>
        <v>#REF!</v>
      </c>
      <c r="AI501" s="184"/>
      <c r="AJ501" s="184"/>
      <c r="AK501" s="184"/>
      <c r="AL501" s="409" t="e">
        <f>+AL500-AL497</f>
        <v>#REF!</v>
      </c>
      <c r="AM501" s="184"/>
      <c r="AN501" s="409" t="e">
        <f>+AN500-AN497</f>
        <v>#REF!</v>
      </c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</row>
    <row r="502" spans="1:62" ht="15.75" customHeight="1">
      <c r="B502" s="181"/>
      <c r="C502" s="184"/>
      <c r="D502" s="184"/>
      <c r="E502" s="184"/>
      <c r="F502" s="409"/>
      <c r="G502" s="184"/>
      <c r="H502" s="184"/>
      <c r="I502" s="409"/>
      <c r="J502" s="184"/>
      <c r="K502" s="184"/>
      <c r="L502" s="184"/>
      <c r="M502" s="409"/>
      <c r="N502" s="184"/>
      <c r="O502" s="184"/>
      <c r="P502" s="184"/>
      <c r="Q502" s="409"/>
      <c r="R502" s="409"/>
      <c r="S502" s="409"/>
      <c r="T502" s="412"/>
      <c r="U502" s="412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409"/>
      <c r="AG502" s="184"/>
      <c r="AH502" s="184"/>
      <c r="AI502" s="409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</row>
    <row r="503" spans="1:62" ht="15.75" customHeight="1">
      <c r="B503" s="181"/>
      <c r="C503" s="184"/>
      <c r="D503" s="184"/>
      <c r="E503" s="184"/>
      <c r="F503" s="409"/>
      <c r="G503" s="184"/>
      <c r="H503" s="184"/>
      <c r="I503" s="409"/>
      <c r="J503" s="184"/>
      <c r="K503" s="184"/>
      <c r="L503" s="184"/>
      <c r="M503" s="409"/>
      <c r="N503" s="184"/>
      <c r="O503" s="184"/>
      <c r="P503" s="184"/>
      <c r="Q503" s="409"/>
      <c r="R503" s="409"/>
      <c r="S503" s="409"/>
      <c r="T503" s="412"/>
      <c r="U503" s="412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409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</row>
    <row r="504" spans="1:62" ht="15.75" customHeight="1">
      <c r="B504" s="181"/>
      <c r="C504" s="184"/>
      <c r="D504" s="184"/>
      <c r="E504" s="184"/>
      <c r="F504" s="409"/>
      <c r="G504" s="184"/>
      <c r="H504" s="184"/>
      <c r="I504" s="409"/>
      <c r="J504" s="184"/>
      <c r="K504" s="184"/>
      <c r="L504" s="184"/>
      <c r="M504" s="409"/>
      <c r="N504" s="184"/>
      <c r="O504" s="184"/>
      <c r="P504" s="184"/>
      <c r="Q504" s="409"/>
      <c r="R504" s="409"/>
      <c r="S504" s="409"/>
      <c r="T504" s="412"/>
      <c r="U504" s="412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</row>
    <row r="505" spans="1:62" ht="15.75" customHeight="1">
      <c r="B505" s="181"/>
      <c r="C505" s="184"/>
      <c r="D505" s="184"/>
      <c r="E505" s="184"/>
      <c r="F505" s="409"/>
      <c r="G505" s="184"/>
      <c r="H505" s="184"/>
      <c r="I505" s="409"/>
      <c r="J505" s="184"/>
      <c r="K505" s="184"/>
      <c r="L505" s="184"/>
      <c r="M505" s="409"/>
      <c r="N505" s="184"/>
      <c r="O505" s="184"/>
      <c r="P505" s="184"/>
      <c r="Q505" s="409"/>
      <c r="R505" s="409"/>
      <c r="S505" s="409"/>
      <c r="T505" s="412"/>
      <c r="U505" s="412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409"/>
      <c r="AG505" s="184"/>
      <c r="AH505" s="184"/>
      <c r="AI505" s="184"/>
      <c r="AJ505" s="184"/>
      <c r="AK505" s="184"/>
      <c r="AL505" s="409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</row>
    <row r="506" spans="1:62" ht="15.75" customHeight="1">
      <c r="B506" s="181"/>
      <c r="C506" s="184"/>
      <c r="D506" s="184"/>
      <c r="E506" s="184"/>
      <c r="F506" s="409"/>
      <c r="G506" s="184"/>
      <c r="H506" s="184"/>
      <c r="I506" s="409"/>
      <c r="J506" s="184"/>
      <c r="K506" s="184"/>
      <c r="L506" s="184"/>
      <c r="M506" s="409"/>
      <c r="N506" s="184"/>
      <c r="O506" s="184"/>
      <c r="P506" s="184"/>
      <c r="Q506" s="409"/>
      <c r="R506" s="409"/>
      <c r="S506" s="409"/>
      <c r="T506" s="412"/>
      <c r="U506" s="412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</row>
    <row r="507" spans="1:62" ht="15.75" customHeight="1">
      <c r="B507" s="181"/>
      <c r="C507" s="184"/>
      <c r="D507" s="184"/>
      <c r="E507" s="184"/>
      <c r="F507" s="409"/>
      <c r="G507" s="184"/>
      <c r="H507" s="184"/>
      <c r="I507" s="409"/>
      <c r="J507" s="184"/>
      <c r="K507" s="184"/>
      <c r="L507" s="184"/>
      <c r="M507" s="409"/>
      <c r="N507" s="184"/>
      <c r="O507" s="184"/>
      <c r="P507" s="184"/>
      <c r="Q507" s="409"/>
      <c r="R507" s="409"/>
      <c r="S507" s="409"/>
      <c r="T507" s="412"/>
      <c r="U507" s="412"/>
      <c r="V507" s="184"/>
      <c r="W507" s="412"/>
      <c r="X507" s="412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</row>
    <row r="508" spans="1:62" ht="15.75" customHeight="1">
      <c r="B508" s="181"/>
      <c r="C508" s="184"/>
      <c r="D508" s="184"/>
      <c r="E508" s="184"/>
      <c r="F508" s="409"/>
      <c r="G508" s="184"/>
      <c r="H508" s="184"/>
      <c r="I508" s="409"/>
      <c r="J508" s="184"/>
      <c r="K508" s="184"/>
      <c r="L508" s="184"/>
      <c r="M508" s="409"/>
      <c r="N508" s="184"/>
      <c r="O508" s="184"/>
      <c r="P508" s="184"/>
      <c r="Q508" s="409"/>
      <c r="R508" s="409"/>
      <c r="S508" s="409"/>
      <c r="T508" s="412"/>
      <c r="U508" s="412"/>
      <c r="V508" s="184"/>
      <c r="W508" s="412"/>
      <c r="X508" s="412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409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</row>
    <row r="509" spans="1:62" ht="15.75" customHeight="1">
      <c r="B509" s="181"/>
      <c r="C509" s="184"/>
      <c r="D509" s="184"/>
      <c r="E509" s="184"/>
      <c r="F509" s="409"/>
      <c r="G509" s="184"/>
      <c r="H509" s="184"/>
      <c r="I509" s="409"/>
      <c r="J509" s="184"/>
      <c r="K509" s="184"/>
      <c r="L509" s="184"/>
      <c r="M509" s="409"/>
      <c r="N509" s="184"/>
      <c r="O509" s="184"/>
      <c r="P509" s="184"/>
      <c r="Q509" s="409"/>
      <c r="R509" s="409"/>
      <c r="S509" s="409"/>
      <c r="T509" s="412"/>
      <c r="U509" s="412"/>
      <c r="V509" s="184"/>
      <c r="W509" s="412"/>
      <c r="X509" s="412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</row>
    <row r="510" spans="1:62" ht="15.75" customHeight="1">
      <c r="B510" s="181"/>
      <c r="C510" s="184"/>
      <c r="D510" s="184"/>
      <c r="E510" s="184"/>
      <c r="F510" s="409"/>
      <c r="G510" s="184"/>
      <c r="H510" s="184"/>
      <c r="I510" s="409"/>
      <c r="J510" s="184"/>
      <c r="K510" s="184"/>
      <c r="L510" s="184"/>
      <c r="M510" s="409"/>
      <c r="N510" s="184"/>
      <c r="O510" s="184"/>
      <c r="P510" s="184"/>
      <c r="Q510" s="409"/>
      <c r="R510" s="409"/>
      <c r="S510" s="409"/>
      <c r="T510" s="412"/>
      <c r="U510" s="412"/>
      <c r="V510" s="184"/>
      <c r="W510" s="412"/>
      <c r="X510" s="412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</row>
    <row r="511" spans="1:62" ht="15.75" customHeight="1">
      <c r="B511" s="181"/>
      <c r="C511" s="184"/>
      <c r="D511" s="184"/>
      <c r="E511" s="184"/>
      <c r="F511" s="409"/>
      <c r="G511" s="184"/>
      <c r="H511" s="184"/>
      <c r="I511" s="409"/>
      <c r="J511" s="184"/>
      <c r="K511" s="184"/>
      <c r="L511" s="184"/>
      <c r="M511" s="409"/>
      <c r="N511" s="184"/>
      <c r="O511" s="184"/>
      <c r="P511" s="184"/>
      <c r="Q511" s="409"/>
      <c r="R511" s="409"/>
      <c r="S511" s="409"/>
      <c r="T511" s="412"/>
      <c r="U511" s="412"/>
      <c r="V511" s="184"/>
      <c r="W511" s="412"/>
      <c r="X511" s="412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</row>
    <row r="512" spans="1:62" ht="15.75" customHeight="1">
      <c r="B512" s="181"/>
      <c r="C512" s="184"/>
      <c r="D512" s="184"/>
      <c r="E512" s="184"/>
      <c r="F512" s="409"/>
      <c r="G512" s="184"/>
      <c r="H512" s="184"/>
      <c r="I512" s="409"/>
      <c r="J512" s="184"/>
      <c r="K512" s="184"/>
      <c r="L512" s="184"/>
      <c r="M512" s="409"/>
      <c r="N512" s="184"/>
      <c r="O512" s="184"/>
      <c r="P512" s="184"/>
      <c r="Q512" s="409"/>
      <c r="R512" s="409"/>
      <c r="S512" s="409"/>
      <c r="T512" s="412"/>
      <c r="U512" s="412"/>
      <c r="V512" s="412"/>
      <c r="W512" s="412"/>
      <c r="X512" s="412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</row>
    <row r="513" spans="2:62" ht="15.75" customHeight="1">
      <c r="B513" s="181"/>
      <c r="C513" s="421"/>
      <c r="D513" s="412"/>
      <c r="E513" s="412"/>
      <c r="F513" s="422"/>
      <c r="G513" s="412"/>
      <c r="H513" s="412"/>
      <c r="I513" s="422"/>
      <c r="J513" s="412"/>
      <c r="K513" s="412"/>
      <c r="L513" s="412"/>
      <c r="M513" s="422"/>
      <c r="N513" s="412"/>
      <c r="O513" s="412"/>
      <c r="P513" s="412"/>
      <c r="Q513" s="422"/>
      <c r="R513" s="422"/>
      <c r="S513" s="422"/>
      <c r="T513" s="412"/>
      <c r="U513" s="412"/>
      <c r="V513" s="412"/>
      <c r="W513" s="412"/>
      <c r="X513" s="412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</row>
    <row r="514" spans="2:62" ht="15.75" customHeight="1">
      <c r="B514" s="181"/>
      <c r="C514" s="423"/>
      <c r="D514" s="412"/>
      <c r="E514" s="412"/>
      <c r="F514" s="422"/>
      <c r="G514" s="412"/>
      <c r="H514" s="412"/>
      <c r="I514" s="422"/>
      <c r="J514" s="412"/>
      <c r="K514" s="412"/>
      <c r="L514" s="412"/>
      <c r="M514" s="422"/>
      <c r="N514" s="412"/>
      <c r="O514" s="412"/>
      <c r="P514" s="412"/>
      <c r="Q514" s="422"/>
      <c r="R514" s="422"/>
      <c r="S514" s="422"/>
      <c r="T514" s="412"/>
      <c r="U514" s="412"/>
      <c r="V514" s="412"/>
      <c r="W514" s="412"/>
      <c r="X514" s="412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</row>
    <row r="515" spans="2:62" ht="15.75" customHeight="1">
      <c r="B515" s="181"/>
      <c r="C515" s="412"/>
      <c r="D515" s="412"/>
      <c r="E515" s="412"/>
      <c r="F515" s="422"/>
      <c r="G515" s="412"/>
      <c r="H515" s="412"/>
      <c r="I515" s="422"/>
      <c r="J515" s="412"/>
      <c r="K515" s="412"/>
      <c r="L515" s="412"/>
      <c r="M515" s="422"/>
      <c r="N515" s="412"/>
      <c r="O515" s="412"/>
      <c r="P515" s="412"/>
      <c r="Q515" s="422"/>
      <c r="R515" s="422"/>
      <c r="S515" s="422"/>
      <c r="T515" s="412"/>
      <c r="U515" s="412"/>
      <c r="V515" s="412"/>
      <c r="W515" s="412"/>
      <c r="X515" s="412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</row>
    <row r="516" spans="2:62" ht="15.75" customHeight="1">
      <c r="B516" s="181"/>
      <c r="C516" s="412"/>
      <c r="D516" s="412"/>
      <c r="E516" s="412"/>
      <c r="F516" s="412"/>
      <c r="G516" s="412"/>
      <c r="H516" s="412"/>
      <c r="I516" s="412"/>
      <c r="J516" s="421"/>
      <c r="K516" s="421"/>
      <c r="L516" s="421"/>
      <c r="M516" s="422"/>
      <c r="N516" s="412"/>
      <c r="O516" s="412"/>
      <c r="P516" s="412"/>
      <c r="Q516" s="412"/>
      <c r="R516" s="412"/>
      <c r="S516" s="422"/>
      <c r="T516" s="412"/>
      <c r="U516" s="412"/>
      <c r="V516" s="412"/>
      <c r="W516" s="412"/>
      <c r="X516" s="412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</row>
    <row r="517" spans="2:62" ht="15.75" customHeight="1">
      <c r="B517" s="181"/>
      <c r="C517" s="412"/>
      <c r="D517" s="412"/>
      <c r="E517" s="412"/>
      <c r="F517" s="412"/>
      <c r="G517" s="412"/>
      <c r="H517" s="412"/>
      <c r="I517" s="412"/>
      <c r="J517" s="412"/>
      <c r="K517" s="412"/>
      <c r="L517" s="412"/>
      <c r="M517" s="422"/>
      <c r="N517" s="412"/>
      <c r="O517" s="412"/>
      <c r="P517" s="412"/>
      <c r="Q517" s="412"/>
      <c r="R517" s="412"/>
      <c r="S517" s="422"/>
      <c r="T517" s="412"/>
      <c r="U517" s="412"/>
      <c r="V517" s="412"/>
      <c r="W517" s="412"/>
      <c r="X517" s="412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</row>
    <row r="518" spans="2:62" ht="15.75" customHeight="1">
      <c r="B518" s="181"/>
      <c r="C518" s="412"/>
      <c r="D518" s="412"/>
      <c r="E518" s="412"/>
      <c r="F518" s="412"/>
      <c r="G518" s="412"/>
      <c r="H518" s="412"/>
      <c r="I518" s="412"/>
      <c r="J518" s="412"/>
      <c r="K518" s="412"/>
      <c r="L518" s="412"/>
      <c r="M518" s="422"/>
      <c r="N518" s="412"/>
      <c r="O518" s="412"/>
      <c r="P518" s="412"/>
      <c r="Q518" s="412"/>
      <c r="R518" s="412"/>
      <c r="S518" s="422"/>
      <c r="T518" s="412"/>
      <c r="U518" s="412"/>
      <c r="V518" s="412"/>
      <c r="W518" s="412"/>
      <c r="X518" s="412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</row>
    <row r="519" spans="2:62" ht="15.75" customHeight="1">
      <c r="B519" s="181"/>
      <c r="C519" s="412"/>
      <c r="D519" s="412"/>
      <c r="E519" s="412"/>
      <c r="F519" s="412"/>
      <c r="G519" s="412"/>
      <c r="H519" s="412"/>
      <c r="I519" s="412"/>
      <c r="J519" s="412"/>
      <c r="K519" s="412"/>
      <c r="L519" s="412"/>
      <c r="M519" s="422"/>
      <c r="N519" s="412"/>
      <c r="O519" s="412"/>
      <c r="P519" s="412"/>
      <c r="Q519" s="412"/>
      <c r="R519" s="412"/>
      <c r="S519" s="422"/>
      <c r="T519" s="412"/>
      <c r="U519" s="412"/>
      <c r="V519" s="412"/>
      <c r="W519" s="412"/>
      <c r="X519" s="412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</row>
    <row r="520" spans="2:62" ht="15.75" customHeight="1">
      <c r="B520" s="181"/>
      <c r="C520" s="412"/>
      <c r="D520" s="412"/>
      <c r="E520" s="412"/>
      <c r="F520" s="412"/>
      <c r="G520" s="412"/>
      <c r="H520" s="412"/>
      <c r="I520" s="412"/>
      <c r="J520" s="412"/>
      <c r="K520" s="412"/>
      <c r="L520" s="412"/>
      <c r="M520" s="422"/>
      <c r="N520" s="412"/>
      <c r="O520" s="412"/>
      <c r="P520" s="412"/>
      <c r="Q520" s="412"/>
      <c r="R520" s="412"/>
      <c r="S520" s="412"/>
      <c r="T520" s="412"/>
      <c r="U520" s="412"/>
      <c r="V520" s="412"/>
      <c r="W520" s="412"/>
      <c r="X520" s="412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</row>
    <row r="521" spans="2:62" ht="15.75" customHeight="1">
      <c r="B521" s="181"/>
      <c r="C521" s="412"/>
      <c r="D521" s="412"/>
      <c r="E521" s="412"/>
      <c r="F521" s="412"/>
      <c r="G521" s="412"/>
      <c r="H521" s="412"/>
      <c r="I521" s="412"/>
      <c r="J521" s="421"/>
      <c r="K521" s="421"/>
      <c r="L521" s="421"/>
      <c r="M521" s="424"/>
      <c r="N521" s="421"/>
      <c r="O521" s="421"/>
      <c r="P521" s="421"/>
      <c r="Q521" s="412"/>
      <c r="R521" s="412"/>
      <c r="S521" s="421"/>
      <c r="T521" s="412"/>
      <c r="U521" s="412"/>
      <c r="V521" s="412"/>
      <c r="W521" s="412"/>
      <c r="X521" s="412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</row>
    <row r="522" spans="2:62" ht="15.75" customHeight="1">
      <c r="B522" s="181"/>
      <c r="C522" s="412"/>
      <c r="D522" s="412"/>
      <c r="E522" s="412"/>
      <c r="F522" s="412"/>
      <c r="G522" s="412"/>
      <c r="H522" s="412"/>
      <c r="I522" s="412"/>
      <c r="J522" s="412"/>
      <c r="K522" s="412"/>
      <c r="L522" s="412"/>
      <c r="M522" s="412"/>
      <c r="N522" s="412"/>
      <c r="O522" s="412"/>
      <c r="P522" s="412"/>
      <c r="Q522" s="412"/>
      <c r="R522" s="412"/>
      <c r="S522" s="412"/>
      <c r="T522" s="412"/>
      <c r="U522" s="412"/>
      <c r="V522" s="412"/>
      <c r="W522" s="412"/>
      <c r="X522" s="412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</row>
    <row r="523" spans="2:62" ht="15.75" customHeight="1">
      <c r="B523" s="181"/>
      <c r="C523" s="412"/>
      <c r="D523" s="412"/>
      <c r="E523" s="412"/>
      <c r="F523" s="412"/>
      <c r="G523" s="412"/>
      <c r="H523" s="412"/>
      <c r="I523" s="412"/>
      <c r="J523" s="412"/>
      <c r="K523" s="412"/>
      <c r="L523" s="412"/>
      <c r="M523" s="412"/>
      <c r="N523" s="412"/>
      <c r="O523" s="412"/>
      <c r="P523" s="412"/>
      <c r="Q523" s="412"/>
      <c r="R523" s="412"/>
      <c r="S523" s="412"/>
      <c r="T523" s="412"/>
      <c r="U523" s="412"/>
      <c r="V523" s="412"/>
      <c r="W523" s="412"/>
      <c r="X523" s="412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</row>
    <row r="524" spans="2:62" ht="15.75" customHeight="1">
      <c r="B524" s="181"/>
      <c r="C524" s="412"/>
      <c r="D524" s="412"/>
      <c r="E524" s="412"/>
      <c r="F524" s="412"/>
      <c r="G524" s="412"/>
      <c r="H524" s="412"/>
      <c r="I524" s="412"/>
      <c r="J524" s="412"/>
      <c r="K524" s="412"/>
      <c r="L524" s="412"/>
      <c r="M524" s="412"/>
      <c r="N524" s="412"/>
      <c r="O524" s="412"/>
      <c r="P524" s="412"/>
      <c r="Q524" s="412"/>
      <c r="R524" s="412"/>
      <c r="S524" s="412"/>
      <c r="T524" s="412"/>
      <c r="U524" s="412"/>
      <c r="V524" s="412"/>
      <c r="W524" s="412"/>
      <c r="X524" s="412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</row>
    <row r="525" spans="2:62" ht="15.75" customHeight="1">
      <c r="B525" s="181"/>
      <c r="C525" s="127"/>
      <c r="D525" s="425"/>
      <c r="E525" s="425"/>
      <c r="F525" s="425"/>
      <c r="G525" s="425"/>
      <c r="H525" s="425"/>
      <c r="I525" s="425"/>
      <c r="J525" s="425"/>
      <c r="K525" s="425"/>
      <c r="L525" s="425"/>
      <c r="M525" s="425"/>
      <c r="N525" s="425"/>
      <c r="O525" s="425"/>
      <c r="P525" s="425"/>
      <c r="Q525" s="425"/>
      <c r="R525" s="425"/>
      <c r="S525" s="425"/>
      <c r="T525" s="412"/>
      <c r="U525" s="412"/>
      <c r="V525" s="412"/>
      <c r="W525" s="412"/>
      <c r="X525" s="412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</row>
    <row r="526" spans="2:62" ht="15.75" customHeight="1">
      <c r="B526" s="181"/>
      <c r="C526" s="412"/>
      <c r="D526" s="412"/>
      <c r="E526" s="412"/>
      <c r="F526" s="412"/>
      <c r="G526" s="412"/>
      <c r="H526" s="412"/>
      <c r="I526" s="412"/>
      <c r="J526" s="412"/>
      <c r="K526" s="412"/>
      <c r="L526" s="412"/>
      <c r="M526" s="412"/>
      <c r="N526" s="412"/>
      <c r="O526" s="412"/>
      <c r="P526" s="412"/>
      <c r="Q526" s="426"/>
      <c r="R526" s="412"/>
      <c r="S526" s="412"/>
      <c r="T526" s="412"/>
      <c r="U526" s="412"/>
      <c r="V526" s="412"/>
      <c r="W526" s="412"/>
      <c r="X526" s="412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</row>
    <row r="527" spans="2:62" ht="15.75" customHeight="1">
      <c r="B527" s="181"/>
      <c r="C527" s="412"/>
      <c r="D527" s="412"/>
      <c r="E527" s="412"/>
      <c r="F527" s="412"/>
      <c r="G527" s="412"/>
      <c r="H527" s="412"/>
      <c r="I527" s="412"/>
      <c r="J527" s="412"/>
      <c r="K527" s="412"/>
      <c r="L527" s="427"/>
      <c r="M527" s="428"/>
      <c r="N527" s="428"/>
      <c r="O527" s="412"/>
      <c r="P527" s="427"/>
      <c r="Q527" s="428"/>
      <c r="R527" s="428"/>
      <c r="S527" s="427"/>
      <c r="T527" s="412"/>
      <c r="U527" s="412"/>
      <c r="V527" s="412"/>
      <c r="W527" s="412"/>
      <c r="X527" s="412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</row>
    <row r="528" spans="2:62" ht="15.75" customHeight="1">
      <c r="B528" s="181"/>
      <c r="C528" s="412"/>
      <c r="D528" s="412"/>
      <c r="E528" s="427"/>
      <c r="F528" s="429"/>
      <c r="G528" s="412"/>
      <c r="H528" s="427"/>
      <c r="I528" s="429"/>
      <c r="J528" s="428"/>
      <c r="K528" s="421"/>
      <c r="L528" s="427"/>
      <c r="M528" s="428"/>
      <c r="N528" s="428"/>
      <c r="O528" s="421"/>
      <c r="P528" s="427"/>
      <c r="Q528" s="428"/>
      <c r="R528" s="428"/>
      <c r="S528" s="427"/>
      <c r="T528" s="412"/>
      <c r="U528" s="412"/>
      <c r="V528" s="412"/>
      <c r="W528" s="412"/>
      <c r="X528" s="412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</row>
    <row r="529" spans="2:62" ht="15.75" customHeight="1">
      <c r="B529" s="181"/>
      <c r="C529" s="412"/>
      <c r="D529" s="430"/>
      <c r="E529" s="429"/>
      <c r="F529" s="429"/>
      <c r="G529" s="430"/>
      <c r="H529" s="429"/>
      <c r="I529" s="429"/>
      <c r="J529" s="429"/>
      <c r="K529" s="429"/>
      <c r="L529" s="429"/>
      <c r="M529" s="429"/>
      <c r="N529" s="429"/>
      <c r="O529" s="429"/>
      <c r="P529" s="429"/>
      <c r="Q529" s="429"/>
      <c r="R529" s="429"/>
      <c r="S529" s="429"/>
      <c r="T529" s="412"/>
      <c r="U529" s="412"/>
      <c r="V529" s="412"/>
      <c r="W529" s="412"/>
      <c r="X529" s="412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</row>
    <row r="530" spans="2:62" ht="15.75" customHeight="1">
      <c r="B530" s="181"/>
      <c r="C530" s="421"/>
      <c r="D530" s="412"/>
      <c r="E530" s="412"/>
      <c r="F530" s="412"/>
      <c r="G530" s="412"/>
      <c r="H530" s="412"/>
      <c r="I530" s="412"/>
      <c r="J530" s="412"/>
      <c r="K530" s="412"/>
      <c r="L530" s="412"/>
      <c r="M530" s="412"/>
      <c r="N530" s="412"/>
      <c r="O530" s="412"/>
      <c r="P530" s="412"/>
      <c r="Q530" s="412"/>
      <c r="R530" s="412"/>
      <c r="S530" s="412"/>
      <c r="T530" s="412"/>
      <c r="U530" s="412"/>
      <c r="V530" s="412"/>
      <c r="W530" s="412"/>
      <c r="X530" s="412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</row>
    <row r="531" spans="2:62" ht="15.75" customHeight="1">
      <c r="B531" s="181"/>
      <c r="C531" s="412"/>
      <c r="D531" s="412"/>
      <c r="E531" s="412"/>
      <c r="F531" s="412"/>
      <c r="G531" s="412"/>
      <c r="H531" s="412"/>
      <c r="I531" s="412"/>
      <c r="J531" s="412"/>
      <c r="K531" s="412"/>
      <c r="L531" s="412"/>
      <c r="M531" s="412"/>
      <c r="N531" s="412"/>
      <c r="O531" s="412"/>
      <c r="P531" s="412"/>
      <c r="Q531" s="412"/>
      <c r="R531" s="412"/>
      <c r="S531" s="412"/>
      <c r="T531" s="412"/>
      <c r="U531" s="412"/>
      <c r="V531" s="412"/>
      <c r="W531" s="412"/>
      <c r="X531" s="412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</row>
    <row r="532" spans="2:62" ht="15.75" customHeight="1">
      <c r="B532" s="181"/>
      <c r="C532" s="412"/>
      <c r="D532" s="412"/>
      <c r="E532" s="422"/>
      <c r="F532" s="431"/>
      <c r="G532" s="412"/>
      <c r="H532" s="422"/>
      <c r="I532" s="431"/>
      <c r="J532" s="431"/>
      <c r="K532" s="422"/>
      <c r="L532" s="431"/>
      <c r="M532" s="422"/>
      <c r="N532" s="431"/>
      <c r="O532" s="422"/>
      <c r="P532" s="431"/>
      <c r="Q532" s="422"/>
      <c r="R532" s="422"/>
      <c r="S532" s="422"/>
      <c r="T532" s="412"/>
      <c r="U532" s="412"/>
      <c r="V532" s="412"/>
      <c r="W532" s="412"/>
      <c r="X532" s="412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</row>
    <row r="533" spans="2:62" ht="15.75" customHeight="1">
      <c r="B533" s="181"/>
      <c r="C533" s="412"/>
      <c r="D533" s="412"/>
      <c r="E533" s="422"/>
      <c r="F533" s="431"/>
      <c r="G533" s="412"/>
      <c r="H533" s="422"/>
      <c r="I533" s="431"/>
      <c r="J533" s="431"/>
      <c r="K533" s="422"/>
      <c r="L533" s="431"/>
      <c r="M533" s="422"/>
      <c r="N533" s="431"/>
      <c r="O533" s="422"/>
      <c r="P533" s="431"/>
      <c r="Q533" s="422"/>
      <c r="R533" s="422"/>
      <c r="S533" s="422"/>
      <c r="T533" s="412"/>
      <c r="U533" s="412"/>
      <c r="V533" s="412"/>
      <c r="W533" s="412"/>
      <c r="X533" s="412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</row>
    <row r="534" spans="2:62" ht="15.75" customHeight="1">
      <c r="B534" s="181"/>
      <c r="C534" s="412"/>
      <c r="D534" s="412"/>
      <c r="E534" s="422"/>
      <c r="F534" s="431"/>
      <c r="G534" s="412"/>
      <c r="H534" s="422"/>
      <c r="I534" s="431"/>
      <c r="J534" s="431"/>
      <c r="K534" s="422"/>
      <c r="L534" s="431"/>
      <c r="M534" s="422"/>
      <c r="N534" s="431"/>
      <c r="O534" s="422"/>
      <c r="P534" s="431"/>
      <c r="Q534" s="422"/>
      <c r="R534" s="422"/>
      <c r="S534" s="422"/>
      <c r="T534" s="412"/>
      <c r="U534" s="412"/>
      <c r="V534" s="412"/>
      <c r="W534" s="412"/>
      <c r="X534" s="412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</row>
    <row r="535" spans="2:62" ht="15.75" customHeight="1">
      <c r="B535" s="181"/>
      <c r="C535" s="412"/>
      <c r="D535" s="412"/>
      <c r="E535" s="422"/>
      <c r="F535" s="431"/>
      <c r="G535" s="412"/>
      <c r="H535" s="422"/>
      <c r="I535" s="431"/>
      <c r="J535" s="431"/>
      <c r="K535" s="422"/>
      <c r="L535" s="431"/>
      <c r="M535" s="422"/>
      <c r="N535" s="431"/>
      <c r="O535" s="422"/>
      <c r="P535" s="431"/>
      <c r="Q535" s="422"/>
      <c r="R535" s="422"/>
      <c r="S535" s="422"/>
      <c r="T535" s="412"/>
      <c r="U535" s="412"/>
      <c r="V535" s="412"/>
      <c r="W535" s="412"/>
      <c r="X535" s="412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</row>
    <row r="536" spans="2:62" ht="15.75" customHeight="1">
      <c r="B536" s="181"/>
      <c r="C536" s="412"/>
      <c r="D536" s="412"/>
      <c r="E536" s="422"/>
      <c r="F536" s="431"/>
      <c r="G536" s="412"/>
      <c r="H536" s="422"/>
      <c r="I536" s="431"/>
      <c r="J536" s="431"/>
      <c r="K536" s="422"/>
      <c r="L536" s="431"/>
      <c r="M536" s="422"/>
      <c r="N536" s="431"/>
      <c r="O536" s="422"/>
      <c r="P536" s="431"/>
      <c r="Q536" s="422"/>
      <c r="R536" s="422"/>
      <c r="S536" s="412"/>
      <c r="T536" s="412"/>
      <c r="U536" s="412"/>
      <c r="V536" s="412"/>
      <c r="W536" s="412"/>
      <c r="X536" s="412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</row>
    <row r="537" spans="2:62" ht="15.75" customHeight="1">
      <c r="B537" s="181"/>
      <c r="C537" s="412"/>
      <c r="D537" s="412"/>
      <c r="E537" s="422"/>
      <c r="F537" s="431"/>
      <c r="G537" s="412"/>
      <c r="H537" s="422"/>
      <c r="I537" s="431"/>
      <c r="J537" s="431"/>
      <c r="K537" s="422"/>
      <c r="L537" s="431"/>
      <c r="M537" s="422"/>
      <c r="N537" s="431"/>
      <c r="O537" s="422"/>
      <c r="P537" s="431"/>
      <c r="Q537" s="422"/>
      <c r="R537" s="422"/>
      <c r="S537" s="422"/>
      <c r="T537" s="412"/>
      <c r="U537" s="412"/>
      <c r="V537" s="412"/>
      <c r="W537" s="412"/>
      <c r="X537" s="412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</row>
    <row r="538" spans="2:62" ht="15.75" customHeight="1">
      <c r="B538" s="181"/>
      <c r="C538" s="412"/>
      <c r="D538" s="412"/>
      <c r="E538" s="422"/>
      <c r="F538" s="432"/>
      <c r="G538" s="412"/>
      <c r="H538" s="422"/>
      <c r="I538" s="432"/>
      <c r="J538" s="431"/>
      <c r="K538" s="422"/>
      <c r="L538" s="431"/>
      <c r="M538" s="422"/>
      <c r="N538" s="431"/>
      <c r="O538" s="422"/>
      <c r="P538" s="412"/>
      <c r="Q538" s="412"/>
      <c r="R538" s="422"/>
      <c r="S538" s="422"/>
      <c r="T538" s="412"/>
      <c r="U538" s="412"/>
      <c r="V538" s="412"/>
      <c r="W538" s="412"/>
      <c r="X538" s="412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</row>
    <row r="539" spans="2:62" ht="15.75" customHeight="1">
      <c r="B539" s="181"/>
      <c r="C539" s="421"/>
      <c r="D539" s="421"/>
      <c r="E539" s="424"/>
      <c r="F539" s="433"/>
      <c r="G539" s="421"/>
      <c r="H539" s="424"/>
      <c r="I539" s="433"/>
      <c r="J539" s="433"/>
      <c r="K539" s="424"/>
      <c r="L539" s="433"/>
      <c r="M539" s="424"/>
      <c r="N539" s="433"/>
      <c r="O539" s="424"/>
      <c r="P539" s="433"/>
      <c r="Q539" s="424"/>
      <c r="R539" s="424"/>
      <c r="S539" s="421"/>
      <c r="T539" s="412"/>
      <c r="U539" s="412"/>
      <c r="V539" s="412"/>
      <c r="W539" s="412"/>
      <c r="X539" s="412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</row>
    <row r="540" spans="2:62" ht="15.75" customHeight="1">
      <c r="B540" s="181"/>
      <c r="C540" s="412"/>
      <c r="D540" s="412"/>
      <c r="E540" s="422"/>
      <c r="F540" s="412"/>
      <c r="G540" s="412"/>
      <c r="H540" s="422"/>
      <c r="I540" s="412"/>
      <c r="J540" s="431"/>
      <c r="K540" s="422"/>
      <c r="L540" s="431"/>
      <c r="M540" s="422"/>
      <c r="N540" s="431"/>
      <c r="O540" s="422"/>
      <c r="P540" s="421"/>
      <c r="Q540" s="433"/>
      <c r="R540" s="433"/>
      <c r="S540" s="412"/>
      <c r="T540" s="412"/>
      <c r="U540" s="412"/>
      <c r="V540" s="412"/>
      <c r="W540" s="412"/>
      <c r="X540" s="412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</row>
    <row r="541" spans="2:62" ht="15.75" customHeight="1">
      <c r="B541" s="181"/>
      <c r="C541" s="412"/>
      <c r="D541" s="412"/>
      <c r="E541" s="422"/>
      <c r="F541" s="412"/>
      <c r="G541" s="412"/>
      <c r="H541" s="422"/>
      <c r="I541" s="412"/>
      <c r="J541" s="431"/>
      <c r="K541" s="422"/>
      <c r="L541" s="431"/>
      <c r="M541" s="422"/>
      <c r="N541" s="431"/>
      <c r="O541" s="422"/>
      <c r="P541" s="412"/>
      <c r="Q541" s="412"/>
      <c r="R541" s="422"/>
      <c r="S541" s="412"/>
      <c r="T541" s="412"/>
      <c r="U541" s="412"/>
      <c r="V541" s="412"/>
      <c r="W541" s="412"/>
      <c r="X541" s="412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</row>
    <row r="542" spans="2:62" ht="15.75" customHeight="1">
      <c r="B542" s="181"/>
      <c r="C542" s="421"/>
      <c r="D542" s="412"/>
      <c r="E542" s="422"/>
      <c r="F542" s="412"/>
      <c r="G542" s="412"/>
      <c r="H542" s="422"/>
      <c r="I542" s="412"/>
      <c r="J542" s="431"/>
      <c r="K542" s="422"/>
      <c r="L542" s="431"/>
      <c r="M542" s="422"/>
      <c r="N542" s="431"/>
      <c r="O542" s="422"/>
      <c r="P542" s="412"/>
      <c r="Q542" s="412"/>
      <c r="R542" s="422"/>
      <c r="S542" s="412"/>
      <c r="T542" s="412"/>
      <c r="U542" s="412"/>
      <c r="V542" s="412"/>
      <c r="W542" s="412"/>
      <c r="X542" s="412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</row>
    <row r="543" spans="2:62" ht="15.75" customHeight="1">
      <c r="B543" s="181"/>
      <c r="C543" s="412"/>
      <c r="D543" s="412"/>
      <c r="E543" s="412"/>
      <c r="F543" s="412"/>
      <c r="G543" s="412"/>
      <c r="H543" s="412"/>
      <c r="I543" s="412"/>
      <c r="J543" s="412"/>
      <c r="K543" s="412"/>
      <c r="L543" s="412"/>
      <c r="M543" s="412"/>
      <c r="N543" s="412"/>
      <c r="O543" s="412"/>
      <c r="P543" s="412"/>
      <c r="Q543" s="412"/>
      <c r="R543" s="412"/>
      <c r="S543" s="412"/>
      <c r="T543" s="412"/>
      <c r="U543" s="412"/>
      <c r="V543" s="412"/>
      <c r="W543" s="412"/>
      <c r="X543" s="412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</row>
    <row r="544" spans="2:62" ht="15.75" customHeight="1">
      <c r="B544" s="181"/>
      <c r="C544" s="412"/>
      <c r="D544" s="412"/>
      <c r="E544" s="422"/>
      <c r="F544" s="431"/>
      <c r="G544" s="412"/>
      <c r="H544" s="422"/>
      <c r="I544" s="431"/>
      <c r="J544" s="431"/>
      <c r="K544" s="412"/>
      <c r="L544" s="431"/>
      <c r="M544" s="412"/>
      <c r="N544" s="431"/>
      <c r="O544" s="412"/>
      <c r="P544" s="431"/>
      <c r="Q544" s="422"/>
      <c r="R544" s="422"/>
      <c r="S544" s="412"/>
      <c r="T544" s="412"/>
      <c r="U544" s="412"/>
      <c r="V544" s="412"/>
      <c r="W544" s="412"/>
      <c r="X544" s="412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</row>
    <row r="545" spans="2:62" ht="15.75" customHeight="1">
      <c r="B545" s="181"/>
      <c r="C545" s="412"/>
      <c r="D545" s="412"/>
      <c r="E545" s="422"/>
      <c r="F545" s="432"/>
      <c r="G545" s="412"/>
      <c r="H545" s="422"/>
      <c r="I545" s="432"/>
      <c r="J545" s="431"/>
      <c r="K545" s="422"/>
      <c r="L545" s="431"/>
      <c r="M545" s="422"/>
      <c r="N545" s="431"/>
      <c r="O545" s="422"/>
      <c r="P545" s="412"/>
      <c r="Q545" s="431"/>
      <c r="R545" s="431"/>
      <c r="S545" s="422"/>
      <c r="T545" s="412"/>
      <c r="U545" s="412"/>
      <c r="V545" s="412"/>
      <c r="W545" s="412"/>
      <c r="X545" s="412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</row>
    <row r="546" spans="2:62" ht="15.75" customHeight="1">
      <c r="B546" s="181"/>
      <c r="C546" s="412"/>
      <c r="D546" s="412"/>
      <c r="E546" s="422"/>
      <c r="F546" s="432"/>
      <c r="G546" s="412"/>
      <c r="H546" s="422"/>
      <c r="I546" s="432"/>
      <c r="J546" s="431"/>
      <c r="K546" s="422"/>
      <c r="L546" s="431"/>
      <c r="M546" s="422"/>
      <c r="N546" s="431"/>
      <c r="O546" s="422"/>
      <c r="P546" s="412"/>
      <c r="Q546" s="412"/>
      <c r="R546" s="422"/>
      <c r="S546" s="422"/>
      <c r="T546" s="412"/>
      <c r="U546" s="412"/>
      <c r="V546" s="412"/>
      <c r="W546" s="412"/>
      <c r="X546" s="412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</row>
    <row r="547" spans="2:62" ht="15.75" customHeight="1">
      <c r="B547" s="181"/>
      <c r="C547" s="412"/>
      <c r="D547" s="412"/>
      <c r="E547" s="422"/>
      <c r="F547" s="431"/>
      <c r="G547" s="412"/>
      <c r="H547" s="422"/>
      <c r="I547" s="431"/>
      <c r="J547" s="431"/>
      <c r="K547" s="422"/>
      <c r="L547" s="431"/>
      <c r="M547" s="422"/>
      <c r="N547" s="431"/>
      <c r="O547" s="422"/>
      <c r="P547" s="412"/>
      <c r="Q547" s="412"/>
      <c r="R547" s="422"/>
      <c r="S547" s="412"/>
      <c r="T547" s="412"/>
      <c r="U547" s="412"/>
      <c r="V547" s="412"/>
      <c r="W547" s="412"/>
      <c r="X547" s="412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</row>
    <row r="548" spans="2:62" ht="15.75" customHeight="1">
      <c r="B548" s="181"/>
      <c r="C548" s="421"/>
      <c r="D548" s="421"/>
      <c r="E548" s="424"/>
      <c r="F548" s="433"/>
      <c r="G548" s="421"/>
      <c r="H548" s="424"/>
      <c r="I548" s="433"/>
      <c r="J548" s="433"/>
      <c r="K548" s="424"/>
      <c r="L548" s="433"/>
      <c r="M548" s="424"/>
      <c r="N548" s="433"/>
      <c r="O548" s="424"/>
      <c r="P548" s="433"/>
      <c r="Q548" s="421"/>
      <c r="R548" s="424"/>
      <c r="S548" s="421"/>
      <c r="T548" s="412"/>
      <c r="U548" s="412"/>
      <c r="V548" s="412"/>
      <c r="W548" s="412"/>
      <c r="X548" s="412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</row>
    <row r="549" spans="2:62" ht="15.75" customHeight="1">
      <c r="B549" s="181"/>
      <c r="C549" s="412"/>
      <c r="D549" s="412"/>
      <c r="E549" s="412"/>
      <c r="F549" s="412"/>
      <c r="G549" s="412"/>
      <c r="H549" s="412"/>
      <c r="I549" s="412"/>
      <c r="J549" s="412"/>
      <c r="K549" s="412"/>
      <c r="L549" s="412"/>
      <c r="M549" s="412"/>
      <c r="N549" s="412"/>
      <c r="O549" s="412"/>
      <c r="P549" s="421"/>
      <c r="Q549" s="433"/>
      <c r="R549" s="433"/>
      <c r="S549" s="412"/>
      <c r="T549" s="412"/>
      <c r="U549" s="412"/>
      <c r="V549" s="412"/>
      <c r="W549" s="412"/>
      <c r="X549" s="412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</row>
    <row r="550" spans="2:62" ht="15.75" customHeight="1">
      <c r="B550" s="181"/>
      <c r="C550" s="412"/>
      <c r="D550" s="412"/>
      <c r="E550" s="422"/>
      <c r="F550" s="431"/>
      <c r="G550" s="412"/>
      <c r="H550" s="422"/>
      <c r="I550" s="431"/>
      <c r="J550" s="431"/>
      <c r="K550" s="422"/>
      <c r="L550" s="431"/>
      <c r="M550" s="422"/>
      <c r="N550" s="431"/>
      <c r="O550" s="422"/>
      <c r="P550" s="412"/>
      <c r="Q550" s="412"/>
      <c r="R550" s="422"/>
      <c r="S550" s="412"/>
      <c r="T550" s="412"/>
      <c r="U550" s="412"/>
      <c r="V550" s="412"/>
      <c r="W550" s="412"/>
      <c r="X550" s="412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</row>
    <row r="551" spans="2:62" ht="15.75" customHeight="1">
      <c r="B551" s="181"/>
      <c r="C551" s="421"/>
      <c r="D551" s="412"/>
      <c r="E551" s="422"/>
      <c r="F551" s="431"/>
      <c r="G551" s="412"/>
      <c r="H551" s="422"/>
      <c r="I551" s="431"/>
      <c r="J551" s="431"/>
      <c r="K551" s="422"/>
      <c r="L551" s="431"/>
      <c r="M551" s="422"/>
      <c r="N551" s="431"/>
      <c r="O551" s="422"/>
      <c r="P551" s="412"/>
      <c r="Q551" s="412"/>
      <c r="R551" s="422"/>
      <c r="S551" s="412"/>
      <c r="T551" s="412"/>
      <c r="U551" s="412"/>
      <c r="V551" s="412"/>
      <c r="W551" s="412"/>
      <c r="X551" s="412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</row>
    <row r="552" spans="2:62" ht="15.75" customHeight="1">
      <c r="B552" s="181"/>
      <c r="C552" s="412"/>
      <c r="D552" s="412"/>
      <c r="E552" s="422"/>
      <c r="F552" s="431"/>
      <c r="G552" s="412"/>
      <c r="H552" s="422"/>
      <c r="I552" s="431"/>
      <c r="J552" s="431"/>
      <c r="K552" s="422"/>
      <c r="L552" s="431"/>
      <c r="M552" s="422"/>
      <c r="N552" s="431"/>
      <c r="O552" s="422"/>
      <c r="P552" s="412"/>
      <c r="Q552" s="412"/>
      <c r="R552" s="422"/>
      <c r="S552" s="412"/>
      <c r="T552" s="412"/>
      <c r="U552" s="412"/>
      <c r="V552" s="412"/>
      <c r="W552" s="412"/>
      <c r="X552" s="412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</row>
    <row r="553" spans="2:62" ht="15.75" customHeight="1">
      <c r="B553" s="181"/>
      <c r="C553" s="412"/>
      <c r="D553" s="412"/>
      <c r="E553" s="412"/>
      <c r="F553" s="412"/>
      <c r="G553" s="412"/>
      <c r="H553" s="412"/>
      <c r="I553" s="412"/>
      <c r="J553" s="412"/>
      <c r="K553" s="412"/>
      <c r="L553" s="412"/>
      <c r="M553" s="412"/>
      <c r="N553" s="412"/>
      <c r="O553" s="412"/>
      <c r="P553" s="431"/>
      <c r="Q553" s="422"/>
      <c r="R553" s="412"/>
      <c r="S553" s="422"/>
      <c r="T553" s="412"/>
      <c r="U553" s="412"/>
      <c r="V553" s="412"/>
      <c r="W553" s="412"/>
      <c r="X553" s="412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</row>
    <row r="554" spans="2:62" ht="15.75" customHeight="1">
      <c r="B554" s="181"/>
      <c r="C554" s="412"/>
      <c r="D554" s="412"/>
      <c r="E554" s="412"/>
      <c r="F554" s="412"/>
      <c r="G554" s="412"/>
      <c r="H554" s="412"/>
      <c r="I554" s="412"/>
      <c r="J554" s="412"/>
      <c r="K554" s="412"/>
      <c r="L554" s="412"/>
      <c r="M554" s="412"/>
      <c r="N554" s="412"/>
      <c r="O554" s="412"/>
      <c r="P554" s="431"/>
      <c r="Q554" s="422"/>
      <c r="R554" s="412"/>
      <c r="S554" s="422"/>
      <c r="T554" s="412"/>
      <c r="U554" s="412"/>
      <c r="V554" s="412"/>
      <c r="W554" s="412"/>
      <c r="X554" s="412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</row>
    <row r="555" spans="2:62" ht="15.75" customHeight="1">
      <c r="B555" s="181"/>
      <c r="C555" s="412"/>
      <c r="D555" s="412"/>
      <c r="E555" s="412"/>
      <c r="F555" s="412"/>
      <c r="G555" s="412"/>
      <c r="H555" s="412"/>
      <c r="I555" s="412"/>
      <c r="J555" s="412"/>
      <c r="K555" s="412"/>
      <c r="L555" s="412"/>
      <c r="M555" s="412"/>
      <c r="N555" s="412"/>
      <c r="O555" s="412"/>
      <c r="P555" s="431"/>
      <c r="Q555" s="422"/>
      <c r="R555" s="412"/>
      <c r="S555" s="422"/>
      <c r="T555" s="412"/>
      <c r="U555" s="412"/>
      <c r="V555" s="412"/>
      <c r="W555" s="412"/>
      <c r="X555" s="412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</row>
    <row r="556" spans="2:62" ht="15.75" customHeight="1">
      <c r="B556" s="181"/>
      <c r="C556" s="412"/>
      <c r="D556" s="412"/>
      <c r="E556" s="412"/>
      <c r="F556" s="412"/>
      <c r="G556" s="412"/>
      <c r="H556" s="412"/>
      <c r="I556" s="412"/>
      <c r="J556" s="412"/>
      <c r="K556" s="412"/>
      <c r="L556" s="412"/>
      <c r="M556" s="412"/>
      <c r="N556" s="412"/>
      <c r="O556" s="412"/>
      <c r="P556" s="431"/>
      <c r="Q556" s="422"/>
      <c r="R556" s="412"/>
      <c r="S556" s="422"/>
      <c r="T556" s="412"/>
      <c r="U556" s="412"/>
      <c r="V556" s="412"/>
      <c r="W556" s="412"/>
      <c r="X556" s="412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</row>
    <row r="557" spans="2:62" ht="15.75" customHeight="1">
      <c r="B557" s="181"/>
      <c r="C557" s="412"/>
      <c r="D557" s="412"/>
      <c r="E557" s="412"/>
      <c r="F557" s="412"/>
      <c r="G557" s="412"/>
      <c r="H557" s="412"/>
      <c r="I557" s="412"/>
      <c r="J557" s="412"/>
      <c r="K557" s="412"/>
      <c r="L557" s="412"/>
      <c r="M557" s="412"/>
      <c r="N557" s="412"/>
      <c r="O557" s="412"/>
      <c r="P557" s="431"/>
      <c r="Q557" s="422"/>
      <c r="R557" s="412"/>
      <c r="S557" s="422"/>
      <c r="T557" s="412"/>
      <c r="U557" s="412"/>
      <c r="V557" s="412"/>
      <c r="W557" s="412"/>
      <c r="X557" s="412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</row>
    <row r="558" spans="2:62" ht="15.75" customHeight="1">
      <c r="B558" s="181"/>
      <c r="C558" s="412"/>
      <c r="D558" s="412"/>
      <c r="E558" s="412"/>
      <c r="F558" s="412"/>
      <c r="G558" s="412"/>
      <c r="H558" s="412"/>
      <c r="I558" s="412"/>
      <c r="J558" s="412"/>
      <c r="K558" s="412"/>
      <c r="L558" s="412"/>
      <c r="M558" s="412"/>
      <c r="N558" s="412"/>
      <c r="O558" s="412"/>
      <c r="P558" s="431"/>
      <c r="Q558" s="422"/>
      <c r="R558" s="412"/>
      <c r="S558" s="422"/>
      <c r="T558" s="412"/>
      <c r="U558" s="412"/>
      <c r="V558" s="412"/>
      <c r="W558" s="412"/>
      <c r="X558" s="412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</row>
    <row r="559" spans="2:62" ht="15.75" customHeight="1">
      <c r="B559" s="181"/>
      <c r="C559" s="412"/>
      <c r="D559" s="412"/>
      <c r="E559" s="412"/>
      <c r="F559" s="412"/>
      <c r="G559" s="412"/>
      <c r="H559" s="412"/>
      <c r="I559" s="412"/>
      <c r="J559" s="412"/>
      <c r="K559" s="412"/>
      <c r="L559" s="412"/>
      <c r="M559" s="412"/>
      <c r="N559" s="412"/>
      <c r="O559" s="412"/>
      <c r="P559" s="431"/>
      <c r="Q559" s="422"/>
      <c r="R559" s="412"/>
      <c r="S559" s="422"/>
      <c r="T559" s="412"/>
      <c r="U559" s="412"/>
      <c r="V559" s="412"/>
      <c r="W559" s="412"/>
      <c r="X559" s="412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</row>
    <row r="560" spans="2:62" ht="15.75" customHeight="1">
      <c r="B560" s="181"/>
      <c r="C560" s="412"/>
      <c r="D560" s="412"/>
      <c r="E560" s="412"/>
      <c r="F560" s="412"/>
      <c r="G560" s="412"/>
      <c r="H560" s="412"/>
      <c r="I560" s="412"/>
      <c r="J560" s="412"/>
      <c r="K560" s="412"/>
      <c r="L560" s="412"/>
      <c r="M560" s="412"/>
      <c r="N560" s="412"/>
      <c r="O560" s="412"/>
      <c r="P560" s="431"/>
      <c r="Q560" s="422"/>
      <c r="R560" s="412"/>
      <c r="S560" s="422"/>
      <c r="T560" s="412"/>
      <c r="U560" s="412"/>
      <c r="V560" s="412"/>
      <c r="W560" s="412"/>
      <c r="X560" s="412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</row>
    <row r="561" spans="2:62" ht="15.75" customHeight="1">
      <c r="B561" s="181"/>
      <c r="C561" s="421"/>
      <c r="D561" s="421"/>
      <c r="E561" s="412"/>
      <c r="F561" s="412"/>
      <c r="G561" s="421"/>
      <c r="H561" s="412"/>
      <c r="I561" s="412"/>
      <c r="J561" s="412"/>
      <c r="K561" s="412"/>
      <c r="L561" s="412"/>
      <c r="M561" s="412"/>
      <c r="N561" s="412"/>
      <c r="O561" s="412"/>
      <c r="P561" s="433"/>
      <c r="Q561" s="424"/>
      <c r="R561" s="412"/>
      <c r="S561" s="424"/>
      <c r="T561" s="412"/>
      <c r="U561" s="412"/>
      <c r="V561" s="412"/>
      <c r="W561" s="412"/>
      <c r="X561" s="412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</row>
    <row r="562" spans="2:62" ht="15.75" customHeight="1">
      <c r="B562" s="181"/>
      <c r="C562" s="412"/>
      <c r="D562" s="412"/>
      <c r="E562" s="412"/>
      <c r="F562" s="412"/>
      <c r="G562" s="412"/>
      <c r="H562" s="412"/>
      <c r="I562" s="412"/>
      <c r="J562" s="412"/>
      <c r="K562" s="412"/>
      <c r="L562" s="412"/>
      <c r="M562" s="412"/>
      <c r="N562" s="412"/>
      <c r="O562" s="412"/>
      <c r="P562" s="433"/>
      <c r="Q562" s="433"/>
      <c r="R562" s="412"/>
      <c r="S562" s="412"/>
      <c r="T562" s="412"/>
      <c r="U562" s="412"/>
      <c r="V562" s="412"/>
      <c r="W562" s="412"/>
      <c r="X562" s="412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</row>
    <row r="563" spans="2:62" ht="15.75" customHeight="1">
      <c r="B563" s="181"/>
      <c r="C563" s="412"/>
      <c r="D563" s="412"/>
      <c r="E563" s="412"/>
      <c r="F563" s="412"/>
      <c r="G563" s="412"/>
      <c r="H563" s="412"/>
      <c r="I563" s="412"/>
      <c r="J563" s="412"/>
      <c r="K563" s="412"/>
      <c r="L563" s="412"/>
      <c r="M563" s="412"/>
      <c r="N563" s="412"/>
      <c r="O563" s="412"/>
      <c r="P563" s="431"/>
      <c r="Q563" s="422"/>
      <c r="R563" s="412"/>
      <c r="S563" s="422"/>
      <c r="T563" s="412"/>
      <c r="U563" s="412"/>
      <c r="V563" s="412"/>
      <c r="W563" s="412"/>
      <c r="X563" s="412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</row>
    <row r="564" spans="2:62" ht="15.75" customHeight="1">
      <c r="B564" s="181"/>
      <c r="C564" s="412"/>
      <c r="D564" s="412"/>
      <c r="E564" s="412"/>
      <c r="F564" s="412"/>
      <c r="G564" s="412"/>
      <c r="H564" s="412"/>
      <c r="I564" s="412"/>
      <c r="J564" s="412"/>
      <c r="K564" s="412"/>
      <c r="L564" s="412"/>
      <c r="M564" s="412"/>
      <c r="N564" s="412"/>
      <c r="O564" s="412"/>
      <c r="P564" s="431"/>
      <c r="Q564" s="422"/>
      <c r="R564" s="412"/>
      <c r="S564" s="422"/>
      <c r="T564" s="412"/>
      <c r="U564" s="412"/>
      <c r="V564" s="412"/>
      <c r="W564" s="412"/>
      <c r="X564" s="412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</row>
    <row r="565" spans="2:62" ht="15.75" customHeight="1">
      <c r="B565" s="181"/>
      <c r="C565" s="421"/>
      <c r="D565" s="412"/>
      <c r="E565" s="412"/>
      <c r="F565" s="412"/>
      <c r="G565" s="412"/>
      <c r="H565" s="412"/>
      <c r="I565" s="412"/>
      <c r="J565" s="412"/>
      <c r="K565" s="412"/>
      <c r="L565" s="412"/>
      <c r="M565" s="412"/>
      <c r="N565" s="412"/>
      <c r="O565" s="412"/>
      <c r="P565" s="433"/>
      <c r="Q565" s="424"/>
      <c r="R565" s="412"/>
      <c r="S565" s="424"/>
      <c r="T565" s="412"/>
      <c r="U565" s="412"/>
      <c r="V565" s="412"/>
      <c r="W565" s="412"/>
      <c r="X565" s="412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</row>
    <row r="566" spans="2:62" ht="15.75" customHeight="1">
      <c r="B566" s="181"/>
      <c r="C566" s="412"/>
      <c r="D566" s="412"/>
      <c r="E566" s="412"/>
      <c r="F566" s="412"/>
      <c r="G566" s="412"/>
      <c r="H566" s="412"/>
      <c r="I566" s="412"/>
      <c r="J566" s="412"/>
      <c r="K566" s="412"/>
      <c r="L566" s="412"/>
      <c r="M566" s="412"/>
      <c r="N566" s="412"/>
      <c r="O566" s="412"/>
      <c r="P566" s="433"/>
      <c r="Q566" s="433"/>
      <c r="R566" s="412"/>
      <c r="S566" s="412"/>
      <c r="T566" s="412"/>
      <c r="U566" s="412"/>
      <c r="V566" s="412"/>
      <c r="W566" s="412"/>
      <c r="X566" s="412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</row>
    <row r="567" spans="2:62" ht="15.75" customHeight="1">
      <c r="B567" s="181"/>
      <c r="C567" s="412"/>
      <c r="D567" s="412"/>
      <c r="E567" s="412"/>
      <c r="F567" s="412"/>
      <c r="G567" s="412"/>
      <c r="H567" s="412"/>
      <c r="I567" s="412"/>
      <c r="J567" s="412"/>
      <c r="K567" s="412"/>
      <c r="L567" s="412"/>
      <c r="M567" s="412"/>
      <c r="N567" s="412"/>
      <c r="O567" s="412"/>
      <c r="P567" s="431"/>
      <c r="Q567" s="422"/>
      <c r="R567" s="412"/>
      <c r="S567" s="422"/>
      <c r="T567" s="412"/>
      <c r="U567" s="412"/>
      <c r="V567" s="412"/>
      <c r="W567" s="412"/>
      <c r="X567" s="412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</row>
    <row r="568" spans="2:62" ht="15.75" customHeight="1">
      <c r="B568" s="181"/>
      <c r="C568" s="421"/>
      <c r="D568" s="421"/>
      <c r="E568" s="412"/>
      <c r="F568" s="412"/>
      <c r="G568" s="421"/>
      <c r="H568" s="412"/>
      <c r="I568" s="412"/>
      <c r="J568" s="412"/>
      <c r="K568" s="412"/>
      <c r="L568" s="412"/>
      <c r="M568" s="412"/>
      <c r="N568" s="412"/>
      <c r="O568" s="412"/>
      <c r="P568" s="433"/>
      <c r="Q568" s="424"/>
      <c r="R568" s="412"/>
      <c r="S568" s="424"/>
      <c r="T568" s="412"/>
      <c r="U568" s="412"/>
      <c r="V568" s="412"/>
      <c r="W568" s="412"/>
      <c r="X568" s="412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</row>
    <row r="569" spans="2:62" ht="15.75" customHeight="1">
      <c r="B569" s="181"/>
      <c r="C569" s="412"/>
      <c r="D569" s="412"/>
      <c r="E569" s="412"/>
      <c r="F569" s="412"/>
      <c r="G569" s="412"/>
      <c r="H569" s="412"/>
      <c r="I569" s="412"/>
      <c r="J569" s="412"/>
      <c r="K569" s="412"/>
      <c r="L569" s="412"/>
      <c r="M569" s="412"/>
      <c r="N569" s="412"/>
      <c r="O569" s="412"/>
      <c r="P569" s="433"/>
      <c r="Q569" s="433"/>
      <c r="R569" s="412"/>
      <c r="S569" s="412"/>
      <c r="T569" s="412"/>
      <c r="U569" s="412"/>
      <c r="V569" s="412"/>
      <c r="W569" s="412"/>
      <c r="X569" s="412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</row>
    <row r="570" spans="2:62" ht="15.75" customHeight="1">
      <c r="B570" s="181"/>
      <c r="C570" s="412"/>
      <c r="D570" s="412"/>
      <c r="E570" s="422"/>
      <c r="F570" s="431"/>
      <c r="G570" s="412"/>
      <c r="H570" s="422"/>
      <c r="I570" s="431"/>
      <c r="J570" s="431"/>
      <c r="K570" s="422"/>
      <c r="L570" s="431"/>
      <c r="M570" s="422"/>
      <c r="N570" s="431"/>
      <c r="O570" s="422"/>
      <c r="P570" s="431"/>
      <c r="Q570" s="422"/>
      <c r="R570" s="422"/>
      <c r="S570" s="412"/>
      <c r="T570" s="412"/>
      <c r="U570" s="412"/>
      <c r="V570" s="412"/>
      <c r="W570" s="412"/>
      <c r="X570" s="412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</row>
    <row r="571" spans="2:62" ht="15.75" customHeight="1">
      <c r="B571" s="181"/>
      <c r="C571" s="421"/>
      <c r="D571" s="421"/>
      <c r="E571" s="424"/>
      <c r="F571" s="433"/>
      <c r="G571" s="421"/>
      <c r="H571" s="424"/>
      <c r="I571" s="433"/>
      <c r="J571" s="433"/>
      <c r="K571" s="424"/>
      <c r="L571" s="433"/>
      <c r="M571" s="424"/>
      <c r="N571" s="433"/>
      <c r="O571" s="424"/>
      <c r="P571" s="433"/>
      <c r="Q571" s="424"/>
      <c r="R571" s="424"/>
      <c r="S571" s="424"/>
      <c r="T571" s="412"/>
      <c r="U571" s="412"/>
      <c r="V571" s="412"/>
      <c r="W571" s="412"/>
      <c r="X571" s="412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</row>
    <row r="572" spans="2:62" ht="15.75" customHeight="1">
      <c r="B572" s="181"/>
      <c r="C572" s="412"/>
      <c r="D572" s="412"/>
      <c r="E572" s="422"/>
      <c r="F572" s="431"/>
      <c r="G572" s="412"/>
      <c r="H572" s="422"/>
      <c r="I572" s="431"/>
      <c r="J572" s="422"/>
      <c r="K572" s="431"/>
      <c r="L572" s="422"/>
      <c r="M572" s="412"/>
      <c r="N572" s="422"/>
      <c r="O572" s="431"/>
      <c r="P572" s="424"/>
      <c r="Q572" s="433"/>
      <c r="R572" s="433"/>
      <c r="S572" s="422"/>
      <c r="T572" s="412"/>
      <c r="U572" s="412"/>
      <c r="V572" s="412"/>
      <c r="W572" s="412"/>
      <c r="X572" s="412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</row>
    <row r="573" spans="2:62" ht="15.75" customHeight="1">
      <c r="B573" s="181"/>
      <c r="C573" s="412"/>
      <c r="D573" s="412"/>
      <c r="E573" s="422"/>
      <c r="F573" s="431"/>
      <c r="G573" s="412"/>
      <c r="H573" s="422"/>
      <c r="I573" s="431"/>
      <c r="J573" s="422"/>
      <c r="K573" s="431"/>
      <c r="L573" s="422"/>
      <c r="M573" s="412"/>
      <c r="N573" s="422"/>
      <c r="O573" s="431"/>
      <c r="P573" s="422"/>
      <c r="Q573" s="412"/>
      <c r="R573" s="431"/>
      <c r="S573" s="422"/>
      <c r="T573" s="412"/>
      <c r="U573" s="412"/>
      <c r="V573" s="412"/>
      <c r="W573" s="412"/>
      <c r="X573" s="412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</row>
    <row r="574" spans="2:62" ht="15.75" customHeight="1">
      <c r="B574" s="181"/>
      <c r="C574" s="412"/>
      <c r="D574" s="412"/>
      <c r="E574" s="412"/>
      <c r="F574" s="412"/>
      <c r="G574" s="412"/>
      <c r="H574" s="412"/>
      <c r="I574" s="412"/>
      <c r="J574" s="412"/>
      <c r="K574" s="412"/>
      <c r="L574" s="412"/>
      <c r="M574" s="412"/>
      <c r="N574" s="412"/>
      <c r="O574" s="412"/>
      <c r="P574" s="412"/>
      <c r="Q574" s="412"/>
      <c r="R574" s="431"/>
      <c r="S574" s="422"/>
      <c r="T574" s="412"/>
      <c r="U574" s="412"/>
      <c r="V574" s="412"/>
      <c r="W574" s="412"/>
      <c r="X574" s="412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</row>
    <row r="575" spans="2:62" ht="15.75" customHeight="1">
      <c r="B575" s="181"/>
      <c r="C575" s="412"/>
      <c r="D575" s="412"/>
      <c r="E575" s="422"/>
      <c r="F575" s="431"/>
      <c r="G575" s="412"/>
      <c r="H575" s="422"/>
      <c r="I575" s="431"/>
      <c r="J575" s="422"/>
      <c r="K575" s="431"/>
      <c r="L575" s="422"/>
      <c r="M575" s="412"/>
      <c r="N575" s="422"/>
      <c r="O575" s="431"/>
      <c r="P575" s="422"/>
      <c r="Q575" s="412"/>
      <c r="R575" s="431"/>
      <c r="S575" s="422"/>
      <c r="T575" s="412"/>
      <c r="U575" s="412"/>
      <c r="V575" s="412"/>
      <c r="W575" s="412"/>
      <c r="X575" s="412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</row>
    <row r="576" spans="2:62" ht="15.75" customHeight="1">
      <c r="B576" s="181"/>
      <c r="C576" s="412"/>
      <c r="D576" s="412"/>
      <c r="E576" s="422"/>
      <c r="F576" s="431"/>
      <c r="G576" s="412"/>
      <c r="H576" s="422"/>
      <c r="I576" s="431"/>
      <c r="J576" s="422"/>
      <c r="K576" s="431"/>
      <c r="L576" s="422"/>
      <c r="M576" s="412"/>
      <c r="N576" s="422"/>
      <c r="O576" s="431"/>
      <c r="P576" s="422"/>
      <c r="Q576" s="412"/>
      <c r="R576" s="431"/>
      <c r="S576" s="422"/>
      <c r="T576" s="412"/>
      <c r="U576" s="412"/>
      <c r="V576" s="412"/>
      <c r="W576" s="412"/>
      <c r="X576" s="412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</row>
    <row r="577" spans="2:62" ht="15.75" customHeight="1">
      <c r="B577" s="181"/>
      <c r="C577" s="412"/>
      <c r="D577" s="412"/>
      <c r="E577" s="422"/>
      <c r="F577" s="431"/>
      <c r="G577" s="412"/>
      <c r="H577" s="422"/>
      <c r="I577" s="431"/>
      <c r="J577" s="422"/>
      <c r="K577" s="431"/>
      <c r="L577" s="422"/>
      <c r="M577" s="412"/>
      <c r="N577" s="422"/>
      <c r="O577" s="431"/>
      <c r="P577" s="422"/>
      <c r="Q577" s="412"/>
      <c r="R577" s="431"/>
      <c r="S577" s="422"/>
      <c r="T577" s="412"/>
      <c r="U577" s="412"/>
      <c r="V577" s="412"/>
      <c r="W577" s="412"/>
      <c r="X577" s="412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</row>
    <row r="578" spans="2:62" ht="15.75" customHeight="1">
      <c r="B578" s="181"/>
      <c r="C578" s="412"/>
      <c r="D578" s="412"/>
      <c r="E578" s="422"/>
      <c r="F578" s="431"/>
      <c r="G578" s="412"/>
      <c r="H578" s="422"/>
      <c r="I578" s="431"/>
      <c r="J578" s="422"/>
      <c r="K578" s="431"/>
      <c r="L578" s="422"/>
      <c r="M578" s="412"/>
      <c r="N578" s="422"/>
      <c r="O578" s="431"/>
      <c r="P578" s="422"/>
      <c r="Q578" s="412"/>
      <c r="R578" s="431"/>
      <c r="S578" s="422"/>
      <c r="T578" s="412"/>
      <c r="U578" s="412"/>
      <c r="V578" s="412"/>
      <c r="W578" s="412"/>
      <c r="X578" s="412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</row>
    <row r="579" spans="2:62" ht="15.75" customHeight="1">
      <c r="B579" s="181"/>
      <c r="C579" s="412"/>
      <c r="D579" s="412"/>
      <c r="E579" s="422"/>
      <c r="F579" s="431"/>
      <c r="G579" s="412"/>
      <c r="H579" s="422"/>
      <c r="I579" s="431"/>
      <c r="J579" s="422"/>
      <c r="K579" s="431"/>
      <c r="L579" s="422"/>
      <c r="M579" s="412"/>
      <c r="N579" s="422"/>
      <c r="O579" s="431"/>
      <c r="P579" s="422"/>
      <c r="Q579" s="412"/>
      <c r="R579" s="431"/>
      <c r="S579" s="422"/>
      <c r="T579" s="412"/>
      <c r="U579" s="412"/>
      <c r="V579" s="412"/>
      <c r="W579" s="412"/>
      <c r="X579" s="412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</row>
    <row r="580" spans="2:62" ht="15.75" customHeight="1">
      <c r="B580" s="181"/>
      <c r="C580" s="412"/>
      <c r="D580" s="412"/>
      <c r="E580" s="422"/>
      <c r="F580" s="431"/>
      <c r="G580" s="412"/>
      <c r="H580" s="422"/>
      <c r="I580" s="431"/>
      <c r="J580" s="422"/>
      <c r="K580" s="431"/>
      <c r="L580" s="422"/>
      <c r="M580" s="412"/>
      <c r="N580" s="422"/>
      <c r="O580" s="431"/>
      <c r="P580" s="422"/>
      <c r="Q580" s="412"/>
      <c r="R580" s="431"/>
      <c r="S580" s="422"/>
      <c r="T580" s="412"/>
      <c r="U580" s="412"/>
      <c r="V580" s="412"/>
      <c r="W580" s="412"/>
      <c r="X580" s="412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</row>
    <row r="581" spans="2:62" ht="15.75" customHeight="1">
      <c r="B581" s="181"/>
      <c r="C581" s="412"/>
      <c r="D581" s="412"/>
      <c r="E581" s="422"/>
      <c r="F581" s="431"/>
      <c r="G581" s="412"/>
      <c r="H581" s="422"/>
      <c r="I581" s="431"/>
      <c r="J581" s="422"/>
      <c r="K581" s="431"/>
      <c r="L581" s="422"/>
      <c r="M581" s="412"/>
      <c r="N581" s="422"/>
      <c r="O581" s="431"/>
      <c r="P581" s="422"/>
      <c r="Q581" s="412"/>
      <c r="R581" s="431"/>
      <c r="S581" s="422"/>
      <c r="T581" s="412"/>
      <c r="U581" s="412"/>
      <c r="V581" s="412"/>
      <c r="W581" s="412"/>
      <c r="X581" s="412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</row>
    <row r="582" spans="2:62" ht="15.75" customHeight="1">
      <c r="B582" s="181"/>
      <c r="C582" s="412"/>
      <c r="D582" s="412"/>
      <c r="E582" s="412"/>
      <c r="F582" s="412"/>
      <c r="G582" s="412"/>
      <c r="H582" s="412"/>
      <c r="I582" s="412"/>
      <c r="J582" s="412"/>
      <c r="K582" s="412"/>
      <c r="L582" s="412"/>
      <c r="M582" s="412"/>
      <c r="N582" s="412"/>
      <c r="O582" s="412"/>
      <c r="P582" s="412"/>
      <c r="Q582" s="412"/>
      <c r="R582" s="412"/>
      <c r="S582" s="412"/>
      <c r="T582" s="412"/>
      <c r="U582" s="412"/>
      <c r="V582" s="412"/>
      <c r="W582" s="412"/>
      <c r="X582" s="412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</row>
    <row r="583" spans="2:62" ht="15.75" customHeight="1">
      <c r="B583" s="181"/>
      <c r="C583" s="412"/>
      <c r="D583" s="412"/>
      <c r="E583" s="412"/>
      <c r="F583" s="412"/>
      <c r="G583" s="412"/>
      <c r="H583" s="412"/>
      <c r="I583" s="412"/>
      <c r="J583" s="412"/>
      <c r="K583" s="412"/>
      <c r="L583" s="412"/>
      <c r="M583" s="412"/>
      <c r="N583" s="412"/>
      <c r="O583" s="412"/>
      <c r="P583" s="412"/>
      <c r="Q583" s="412"/>
      <c r="R583" s="412"/>
      <c r="S583" s="412"/>
      <c r="T583" s="412"/>
      <c r="U583" s="412"/>
      <c r="V583" s="412"/>
      <c r="W583" s="412"/>
      <c r="X583" s="412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</row>
    <row r="584" spans="2:62" ht="15.75" customHeight="1">
      <c r="B584" s="181"/>
      <c r="C584" s="412"/>
      <c r="D584" s="412"/>
      <c r="E584" s="412"/>
      <c r="F584" s="412"/>
      <c r="G584" s="412"/>
      <c r="H584" s="412"/>
      <c r="I584" s="412"/>
      <c r="J584" s="412"/>
      <c r="K584" s="412"/>
      <c r="L584" s="412"/>
      <c r="M584" s="412"/>
      <c r="N584" s="412"/>
      <c r="O584" s="412"/>
      <c r="P584" s="412"/>
      <c r="Q584" s="412"/>
      <c r="R584" s="412"/>
      <c r="S584" s="412"/>
      <c r="T584" s="412"/>
      <c r="U584" s="412"/>
      <c r="V584" s="412"/>
      <c r="W584" s="412"/>
      <c r="X584" s="412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</row>
    <row r="585" spans="2:62" ht="15.75" customHeight="1">
      <c r="B585" s="181"/>
      <c r="C585" s="412"/>
      <c r="D585" s="412"/>
      <c r="E585" s="412"/>
      <c r="F585" s="412"/>
      <c r="G585" s="412"/>
      <c r="H585" s="412"/>
      <c r="I585" s="412"/>
      <c r="J585" s="412"/>
      <c r="K585" s="412"/>
      <c r="L585" s="412"/>
      <c r="M585" s="412"/>
      <c r="N585" s="412"/>
      <c r="O585" s="412"/>
      <c r="P585" s="412"/>
      <c r="Q585" s="412"/>
      <c r="R585" s="412"/>
      <c r="S585" s="412"/>
      <c r="T585" s="412"/>
      <c r="U585" s="412"/>
      <c r="V585" s="412"/>
      <c r="W585" s="412"/>
      <c r="X585" s="412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</row>
    <row r="586" spans="2:62" ht="15.75" customHeight="1">
      <c r="B586" s="181"/>
      <c r="C586" s="412"/>
      <c r="D586" s="412"/>
      <c r="E586" s="412"/>
      <c r="F586" s="412"/>
      <c r="G586" s="412"/>
      <c r="H586" s="412"/>
      <c r="I586" s="412"/>
      <c r="J586" s="412"/>
      <c r="K586" s="412"/>
      <c r="L586" s="412"/>
      <c r="M586" s="412"/>
      <c r="N586" s="412"/>
      <c r="O586" s="412"/>
      <c r="P586" s="412"/>
      <c r="Q586" s="412"/>
      <c r="R586" s="412"/>
      <c r="S586" s="412"/>
      <c r="T586" s="412"/>
      <c r="U586" s="412"/>
      <c r="V586" s="412"/>
      <c r="W586" s="412"/>
      <c r="X586" s="412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</row>
    <row r="587" spans="2:62" ht="15.75" customHeight="1">
      <c r="B587" s="181"/>
      <c r="C587" s="412"/>
      <c r="D587" s="412"/>
      <c r="E587" s="412"/>
      <c r="F587" s="412"/>
      <c r="G587" s="412"/>
      <c r="H587" s="412"/>
      <c r="I587" s="412"/>
      <c r="J587" s="412"/>
      <c r="K587" s="412"/>
      <c r="L587" s="412"/>
      <c r="M587" s="412"/>
      <c r="N587" s="412"/>
      <c r="O587" s="412"/>
      <c r="P587" s="412"/>
      <c r="Q587" s="412"/>
      <c r="R587" s="412"/>
      <c r="S587" s="412"/>
      <c r="T587" s="412"/>
      <c r="U587" s="412"/>
      <c r="V587" s="412"/>
      <c r="W587" s="412"/>
      <c r="X587" s="412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</row>
    <row r="588" spans="2:62" ht="15.75" customHeight="1">
      <c r="B588" s="181"/>
      <c r="C588" s="412"/>
      <c r="D588" s="412"/>
      <c r="E588" s="412"/>
      <c r="F588" s="412"/>
      <c r="G588" s="412"/>
      <c r="H588" s="412"/>
      <c r="I588" s="412"/>
      <c r="J588" s="412"/>
      <c r="K588" s="412"/>
      <c r="L588" s="412"/>
      <c r="M588" s="412"/>
      <c r="N588" s="412"/>
      <c r="O588" s="412"/>
      <c r="P588" s="412"/>
      <c r="Q588" s="412"/>
      <c r="R588" s="412"/>
      <c r="S588" s="412"/>
      <c r="T588" s="412"/>
      <c r="U588" s="412"/>
      <c r="V588" s="412"/>
      <c r="W588" s="412"/>
      <c r="X588" s="412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</row>
    <row r="589" spans="2:62" ht="15.75" customHeight="1">
      <c r="B589" s="181"/>
      <c r="C589" s="412"/>
      <c r="D589" s="412"/>
      <c r="E589" s="412"/>
      <c r="F589" s="412"/>
      <c r="G589" s="412"/>
      <c r="H589" s="412"/>
      <c r="I589" s="412"/>
      <c r="J589" s="412"/>
      <c r="K589" s="412"/>
      <c r="L589" s="412"/>
      <c r="M589" s="412"/>
      <c r="N589" s="412"/>
      <c r="O589" s="412"/>
      <c r="P589" s="412"/>
      <c r="Q589" s="412"/>
      <c r="R589" s="412"/>
      <c r="S589" s="412"/>
      <c r="T589" s="412"/>
      <c r="U589" s="412"/>
      <c r="V589" s="412"/>
      <c r="W589" s="412"/>
      <c r="X589" s="412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</row>
    <row r="590" spans="2:62" ht="15.75" customHeight="1">
      <c r="B590" s="181"/>
      <c r="C590" s="412"/>
      <c r="D590" s="412"/>
      <c r="E590" s="412"/>
      <c r="F590" s="412"/>
      <c r="G590" s="412"/>
      <c r="H590" s="412"/>
      <c r="I590" s="412"/>
      <c r="J590" s="412"/>
      <c r="K590" s="412"/>
      <c r="L590" s="412"/>
      <c r="M590" s="412"/>
      <c r="N590" s="412"/>
      <c r="O590" s="412"/>
      <c r="P590" s="412"/>
      <c r="Q590" s="412"/>
      <c r="R590" s="412"/>
      <c r="S590" s="412"/>
      <c r="T590" s="412"/>
      <c r="U590" s="412"/>
      <c r="V590" s="412"/>
      <c r="W590" s="412"/>
      <c r="X590" s="412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</row>
    <row r="591" spans="2:62" ht="15.75" customHeight="1">
      <c r="B591" s="181"/>
      <c r="C591" s="412"/>
      <c r="D591" s="412"/>
      <c r="E591" s="412"/>
      <c r="F591" s="412"/>
      <c r="G591" s="412"/>
      <c r="H591" s="412"/>
      <c r="I591" s="412"/>
      <c r="J591" s="412"/>
      <c r="K591" s="412"/>
      <c r="L591" s="412"/>
      <c r="M591" s="412"/>
      <c r="N591" s="412"/>
      <c r="O591" s="412"/>
      <c r="P591" s="412"/>
      <c r="Q591" s="412"/>
      <c r="R591" s="412"/>
      <c r="S591" s="412"/>
      <c r="T591" s="412"/>
      <c r="U591" s="412"/>
      <c r="V591" s="412"/>
      <c r="W591" s="412"/>
      <c r="X591" s="412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</row>
    <row r="592" spans="2:62" ht="15.75" customHeight="1">
      <c r="B592" s="181"/>
      <c r="C592" s="412"/>
      <c r="D592" s="412"/>
      <c r="E592" s="412"/>
      <c r="F592" s="412"/>
      <c r="G592" s="412"/>
      <c r="H592" s="412"/>
      <c r="I592" s="412"/>
      <c r="J592" s="412"/>
      <c r="K592" s="412"/>
      <c r="L592" s="412"/>
      <c r="M592" s="412"/>
      <c r="N592" s="412"/>
      <c r="O592" s="412"/>
      <c r="P592" s="412"/>
      <c r="Q592" s="412"/>
      <c r="R592" s="412"/>
      <c r="S592" s="412"/>
      <c r="T592" s="412"/>
      <c r="U592" s="412"/>
      <c r="V592" s="412"/>
      <c r="W592" s="412"/>
      <c r="X592" s="412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</row>
    <row r="593" spans="2:62" ht="15.75" customHeight="1">
      <c r="B593" s="181"/>
      <c r="C593" s="412"/>
      <c r="D593" s="412"/>
      <c r="E593" s="412"/>
      <c r="F593" s="412"/>
      <c r="G593" s="412"/>
      <c r="H593" s="412"/>
      <c r="I593" s="412"/>
      <c r="J593" s="412"/>
      <c r="K593" s="412"/>
      <c r="L593" s="412"/>
      <c r="M593" s="412"/>
      <c r="N593" s="412"/>
      <c r="O593" s="412"/>
      <c r="P593" s="412"/>
      <c r="Q593" s="412"/>
      <c r="R593" s="412"/>
      <c r="S593" s="412"/>
      <c r="T593" s="412"/>
      <c r="U593" s="412"/>
      <c r="V593" s="412"/>
      <c r="W593" s="412"/>
      <c r="X593" s="412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</row>
    <row r="594" spans="2:62" ht="15.75" customHeight="1">
      <c r="B594" s="181"/>
      <c r="C594" s="412"/>
      <c r="D594" s="412"/>
      <c r="E594" s="412"/>
      <c r="F594" s="412"/>
      <c r="G594" s="412"/>
      <c r="H594" s="412"/>
      <c r="I594" s="412"/>
      <c r="J594" s="412"/>
      <c r="K594" s="412"/>
      <c r="L594" s="412"/>
      <c r="M594" s="412"/>
      <c r="N594" s="412"/>
      <c r="O594" s="412"/>
      <c r="P594" s="412"/>
      <c r="Q594" s="412"/>
      <c r="R594" s="412"/>
      <c r="S594" s="412"/>
      <c r="T594" s="412"/>
      <c r="U594" s="412"/>
      <c r="V594" s="412"/>
      <c r="W594" s="412"/>
      <c r="X594" s="412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</row>
    <row r="595" spans="2:62" ht="15.75" customHeight="1">
      <c r="B595" s="181"/>
      <c r="C595" s="412"/>
      <c r="D595" s="412"/>
      <c r="E595" s="412"/>
      <c r="F595" s="412"/>
      <c r="G595" s="412"/>
      <c r="H595" s="412"/>
      <c r="I595" s="412"/>
      <c r="J595" s="412"/>
      <c r="K595" s="412"/>
      <c r="L595" s="412"/>
      <c r="M595" s="412"/>
      <c r="N595" s="412"/>
      <c r="O595" s="412"/>
      <c r="P595" s="412"/>
      <c r="Q595" s="412"/>
      <c r="R595" s="412"/>
      <c r="S595" s="412"/>
      <c r="T595" s="412"/>
      <c r="U595" s="412"/>
      <c r="V595" s="412"/>
      <c r="W595" s="412"/>
      <c r="X595" s="412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</row>
    <row r="596" spans="2:62" ht="15.75" customHeight="1">
      <c r="B596" s="181"/>
      <c r="C596" s="412"/>
      <c r="D596" s="412"/>
      <c r="E596" s="412"/>
      <c r="F596" s="412"/>
      <c r="G596" s="412"/>
      <c r="H596" s="412"/>
      <c r="I596" s="412"/>
      <c r="J596" s="412"/>
      <c r="K596" s="412"/>
      <c r="L596" s="412"/>
      <c r="M596" s="412"/>
      <c r="N596" s="412"/>
      <c r="O596" s="412"/>
      <c r="P596" s="412"/>
      <c r="Q596" s="412"/>
      <c r="R596" s="412"/>
      <c r="S596" s="412"/>
      <c r="T596" s="412"/>
      <c r="U596" s="412"/>
      <c r="V596" s="412"/>
      <c r="W596" s="412"/>
      <c r="X596" s="412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</row>
    <row r="597" spans="2:62" ht="15.75" customHeight="1">
      <c r="B597" s="181"/>
      <c r="C597" s="412"/>
      <c r="D597" s="412"/>
      <c r="E597" s="412"/>
      <c r="F597" s="412"/>
      <c r="G597" s="412"/>
      <c r="H597" s="412"/>
      <c r="I597" s="412"/>
      <c r="J597" s="412"/>
      <c r="K597" s="412"/>
      <c r="L597" s="412"/>
      <c r="M597" s="412"/>
      <c r="N597" s="412"/>
      <c r="O597" s="412"/>
      <c r="P597" s="412"/>
      <c r="Q597" s="412"/>
      <c r="R597" s="412"/>
      <c r="S597" s="412"/>
      <c r="T597" s="412"/>
      <c r="U597" s="412"/>
      <c r="V597" s="412"/>
      <c r="W597" s="412"/>
      <c r="X597" s="412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</row>
    <row r="598" spans="2:62" ht="15.75" customHeight="1">
      <c r="B598" s="181"/>
      <c r="C598" s="412"/>
      <c r="D598" s="412"/>
      <c r="E598" s="412"/>
      <c r="F598" s="412"/>
      <c r="G598" s="412"/>
      <c r="H598" s="412"/>
      <c r="I598" s="412"/>
      <c r="J598" s="412"/>
      <c r="K598" s="412"/>
      <c r="L598" s="412"/>
      <c r="M598" s="412"/>
      <c r="N598" s="412"/>
      <c r="O598" s="412"/>
      <c r="P598" s="412"/>
      <c r="Q598" s="412"/>
      <c r="R598" s="412"/>
      <c r="S598" s="412"/>
      <c r="T598" s="412"/>
      <c r="U598" s="412"/>
      <c r="V598" s="412"/>
      <c r="W598" s="412"/>
      <c r="X598" s="412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</row>
    <row r="599" spans="2:62" ht="15.75" customHeight="1">
      <c r="B599" s="181"/>
      <c r="C599" s="412"/>
      <c r="D599" s="412"/>
      <c r="E599" s="412"/>
      <c r="F599" s="412"/>
      <c r="G599" s="412"/>
      <c r="H599" s="412"/>
      <c r="I599" s="412"/>
      <c r="J599" s="412"/>
      <c r="K599" s="412"/>
      <c r="L599" s="412"/>
      <c r="M599" s="412"/>
      <c r="N599" s="412"/>
      <c r="O599" s="412"/>
      <c r="P599" s="412"/>
      <c r="Q599" s="412"/>
      <c r="R599" s="412"/>
      <c r="S599" s="412"/>
      <c r="T599" s="412"/>
      <c r="U599" s="412"/>
      <c r="V599" s="412"/>
      <c r="W599" s="412"/>
      <c r="X599" s="412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</row>
    <row r="600" spans="2:62" ht="15.75" customHeight="1">
      <c r="B600" s="181"/>
      <c r="C600" s="412"/>
      <c r="D600" s="412"/>
      <c r="E600" s="412"/>
      <c r="F600" s="412"/>
      <c r="G600" s="412"/>
      <c r="H600" s="412"/>
      <c r="I600" s="412"/>
      <c r="J600" s="412"/>
      <c r="K600" s="412"/>
      <c r="L600" s="412"/>
      <c r="M600" s="412"/>
      <c r="N600" s="412"/>
      <c r="O600" s="412"/>
      <c r="P600" s="412"/>
      <c r="Q600" s="412"/>
      <c r="R600" s="412"/>
      <c r="S600" s="412"/>
      <c r="T600" s="412"/>
      <c r="U600" s="412"/>
      <c r="V600" s="412"/>
      <c r="W600" s="412"/>
      <c r="X600" s="412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</row>
    <row r="601" spans="2:62" ht="15.75" customHeight="1">
      <c r="B601" s="181"/>
      <c r="C601" s="412"/>
      <c r="D601" s="412"/>
      <c r="E601" s="412"/>
      <c r="F601" s="412"/>
      <c r="G601" s="412"/>
      <c r="H601" s="412"/>
      <c r="I601" s="412"/>
      <c r="J601" s="412"/>
      <c r="K601" s="412"/>
      <c r="L601" s="412"/>
      <c r="M601" s="412"/>
      <c r="N601" s="412"/>
      <c r="O601" s="412"/>
      <c r="P601" s="412"/>
      <c r="Q601" s="412"/>
      <c r="R601" s="412"/>
      <c r="S601" s="412"/>
      <c r="T601" s="412"/>
      <c r="U601" s="412"/>
      <c r="V601" s="412"/>
      <c r="W601" s="412"/>
      <c r="X601" s="412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</row>
    <row r="602" spans="2:62" ht="15.75" customHeight="1">
      <c r="B602" s="181"/>
      <c r="C602" s="412"/>
      <c r="D602" s="412"/>
      <c r="E602" s="412"/>
      <c r="F602" s="412"/>
      <c r="G602" s="412"/>
      <c r="H602" s="412"/>
      <c r="I602" s="412"/>
      <c r="J602" s="412"/>
      <c r="K602" s="412"/>
      <c r="L602" s="412"/>
      <c r="M602" s="412"/>
      <c r="N602" s="412"/>
      <c r="O602" s="412"/>
      <c r="P602" s="412"/>
      <c r="Q602" s="412"/>
      <c r="R602" s="412"/>
      <c r="S602" s="412"/>
      <c r="T602" s="412"/>
      <c r="U602" s="412"/>
      <c r="V602" s="412"/>
      <c r="W602" s="412"/>
      <c r="X602" s="412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</row>
    <row r="603" spans="2:62" ht="15.75" customHeight="1">
      <c r="B603" s="181"/>
      <c r="C603" s="412"/>
      <c r="D603" s="412"/>
      <c r="E603" s="412"/>
      <c r="F603" s="412"/>
      <c r="G603" s="412"/>
      <c r="H603" s="412"/>
      <c r="I603" s="412"/>
      <c r="J603" s="412"/>
      <c r="K603" s="412"/>
      <c r="L603" s="412"/>
      <c r="M603" s="412"/>
      <c r="N603" s="412"/>
      <c r="O603" s="412"/>
      <c r="P603" s="412"/>
      <c r="Q603" s="412"/>
      <c r="R603" s="412"/>
      <c r="S603" s="412"/>
      <c r="T603" s="412"/>
      <c r="U603" s="412"/>
      <c r="V603" s="412"/>
      <c r="W603" s="412"/>
      <c r="X603" s="412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</row>
    <row r="604" spans="2:62" ht="15.75" customHeight="1">
      <c r="B604" s="181"/>
      <c r="C604" s="412"/>
      <c r="D604" s="412"/>
      <c r="E604" s="412"/>
      <c r="F604" s="412"/>
      <c r="G604" s="412"/>
      <c r="H604" s="412"/>
      <c r="I604" s="412"/>
      <c r="J604" s="412"/>
      <c r="K604" s="412"/>
      <c r="L604" s="412"/>
      <c r="M604" s="412"/>
      <c r="N604" s="412"/>
      <c r="O604" s="412"/>
      <c r="P604" s="412"/>
      <c r="Q604" s="412"/>
      <c r="R604" s="412"/>
      <c r="S604" s="412"/>
      <c r="T604" s="412"/>
      <c r="U604" s="412"/>
      <c r="V604" s="412"/>
      <c r="W604" s="412"/>
      <c r="X604" s="412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</row>
    <row r="605" spans="2:62" ht="15.75" customHeight="1">
      <c r="B605" s="181"/>
      <c r="C605" s="412"/>
      <c r="D605" s="412"/>
      <c r="E605" s="412"/>
      <c r="F605" s="412"/>
      <c r="G605" s="412"/>
      <c r="H605" s="412"/>
      <c r="I605" s="412"/>
      <c r="J605" s="412"/>
      <c r="K605" s="412"/>
      <c r="L605" s="412"/>
      <c r="M605" s="412"/>
      <c r="N605" s="412"/>
      <c r="O605" s="412"/>
      <c r="P605" s="412"/>
      <c r="Q605" s="412"/>
      <c r="R605" s="412"/>
      <c r="S605" s="412"/>
      <c r="T605" s="412"/>
      <c r="U605" s="412"/>
      <c r="V605" s="412"/>
      <c r="W605" s="412"/>
      <c r="X605" s="412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</row>
    <row r="606" spans="2:62" ht="15.75" customHeight="1">
      <c r="B606" s="181"/>
      <c r="C606" s="412"/>
      <c r="D606" s="412"/>
      <c r="E606" s="412"/>
      <c r="F606" s="412"/>
      <c r="G606" s="412"/>
      <c r="H606" s="412"/>
      <c r="I606" s="412"/>
      <c r="J606" s="412"/>
      <c r="K606" s="412"/>
      <c r="L606" s="412"/>
      <c r="M606" s="412"/>
      <c r="N606" s="412"/>
      <c r="O606" s="412"/>
      <c r="P606" s="412"/>
      <c r="Q606" s="412"/>
      <c r="R606" s="412"/>
      <c r="S606" s="412"/>
      <c r="T606" s="412"/>
      <c r="U606" s="412"/>
      <c r="V606" s="412"/>
      <c r="W606" s="412"/>
      <c r="X606" s="412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</row>
    <row r="607" spans="2:62" ht="15.75" customHeight="1">
      <c r="B607" s="181"/>
      <c r="C607" s="412"/>
      <c r="D607" s="412"/>
      <c r="E607" s="412"/>
      <c r="F607" s="412"/>
      <c r="G607" s="412"/>
      <c r="H607" s="412"/>
      <c r="I607" s="412"/>
      <c r="J607" s="412"/>
      <c r="K607" s="412"/>
      <c r="L607" s="412"/>
      <c r="M607" s="412"/>
      <c r="N607" s="412"/>
      <c r="O607" s="412"/>
      <c r="P607" s="412"/>
      <c r="Q607" s="412"/>
      <c r="R607" s="412"/>
      <c r="S607" s="412"/>
      <c r="T607" s="412"/>
      <c r="U607" s="412"/>
      <c r="V607" s="412"/>
      <c r="W607" s="412"/>
      <c r="X607" s="412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</row>
    <row r="608" spans="2:62" ht="15.75" customHeight="1">
      <c r="B608" s="181"/>
      <c r="C608" s="412"/>
      <c r="D608" s="412"/>
      <c r="E608" s="412"/>
      <c r="F608" s="412"/>
      <c r="G608" s="412"/>
      <c r="H608" s="412"/>
      <c r="I608" s="412"/>
      <c r="J608" s="412"/>
      <c r="K608" s="412"/>
      <c r="L608" s="412"/>
      <c r="M608" s="412"/>
      <c r="N608" s="412"/>
      <c r="O608" s="412"/>
      <c r="P608" s="412"/>
      <c r="Q608" s="412"/>
      <c r="R608" s="412"/>
      <c r="S608" s="412"/>
      <c r="T608" s="412"/>
      <c r="U608" s="412"/>
      <c r="V608" s="412"/>
      <c r="W608" s="412"/>
      <c r="X608" s="412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</row>
    <row r="609" spans="2:62" ht="15.75" customHeight="1">
      <c r="B609" s="181"/>
      <c r="C609" s="412"/>
      <c r="D609" s="412"/>
      <c r="E609" s="412"/>
      <c r="F609" s="412"/>
      <c r="G609" s="412"/>
      <c r="H609" s="412"/>
      <c r="I609" s="412"/>
      <c r="J609" s="412"/>
      <c r="K609" s="412"/>
      <c r="L609" s="412"/>
      <c r="M609" s="412"/>
      <c r="N609" s="412"/>
      <c r="O609" s="412"/>
      <c r="P609" s="412"/>
      <c r="Q609" s="412"/>
      <c r="R609" s="412"/>
      <c r="S609" s="412"/>
      <c r="T609" s="412"/>
      <c r="U609" s="412"/>
      <c r="V609" s="412"/>
      <c r="W609" s="412"/>
      <c r="X609" s="412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</row>
    <row r="610" spans="2:62" ht="15.75" customHeight="1">
      <c r="B610" s="181"/>
      <c r="C610" s="412"/>
      <c r="D610" s="412"/>
      <c r="E610" s="412"/>
      <c r="F610" s="412"/>
      <c r="G610" s="412"/>
      <c r="H610" s="412"/>
      <c r="I610" s="412"/>
      <c r="J610" s="412"/>
      <c r="K610" s="412"/>
      <c r="L610" s="412"/>
      <c r="M610" s="412"/>
      <c r="N610" s="412"/>
      <c r="O610" s="412"/>
      <c r="P610" s="412"/>
      <c r="Q610" s="412"/>
      <c r="R610" s="412"/>
      <c r="S610" s="412"/>
      <c r="T610" s="412"/>
      <c r="U610" s="412"/>
      <c r="V610" s="412"/>
      <c r="W610" s="412"/>
      <c r="X610" s="412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</row>
    <row r="611" spans="2:62" ht="15.75" customHeight="1">
      <c r="B611" s="181"/>
      <c r="C611" s="412"/>
      <c r="D611" s="412"/>
      <c r="E611" s="412"/>
      <c r="F611" s="412"/>
      <c r="G611" s="412"/>
      <c r="H611" s="412"/>
      <c r="I611" s="412"/>
      <c r="J611" s="412"/>
      <c r="K611" s="412"/>
      <c r="L611" s="412"/>
      <c r="M611" s="412"/>
      <c r="N611" s="412"/>
      <c r="O611" s="412"/>
      <c r="P611" s="412"/>
      <c r="Q611" s="412"/>
      <c r="R611" s="412"/>
      <c r="S611" s="412"/>
      <c r="T611" s="412"/>
      <c r="U611" s="412"/>
      <c r="V611" s="412"/>
      <c r="W611" s="412"/>
      <c r="X611" s="412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</row>
    <row r="612" spans="2:62" ht="15.75" customHeight="1">
      <c r="B612" s="181"/>
      <c r="C612" s="412"/>
      <c r="D612" s="412"/>
      <c r="E612" s="412"/>
      <c r="F612" s="412"/>
      <c r="G612" s="412"/>
      <c r="H612" s="412"/>
      <c r="I612" s="412"/>
      <c r="J612" s="412"/>
      <c r="K612" s="412"/>
      <c r="L612" s="412"/>
      <c r="M612" s="412"/>
      <c r="N612" s="412"/>
      <c r="O612" s="412"/>
      <c r="P612" s="412"/>
      <c r="Q612" s="412"/>
      <c r="R612" s="412"/>
      <c r="S612" s="412"/>
      <c r="T612" s="412"/>
      <c r="U612" s="412"/>
      <c r="V612" s="412"/>
      <c r="W612" s="412"/>
      <c r="X612" s="412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</row>
    <row r="613" spans="2:62" ht="15.75" customHeight="1">
      <c r="B613" s="181"/>
      <c r="C613" s="412"/>
      <c r="D613" s="412"/>
      <c r="E613" s="412"/>
      <c r="F613" s="412"/>
      <c r="G613" s="412"/>
      <c r="H613" s="412"/>
      <c r="I613" s="412"/>
      <c r="J613" s="412"/>
      <c r="K613" s="412"/>
      <c r="L613" s="412"/>
      <c r="M613" s="412"/>
      <c r="N613" s="412"/>
      <c r="O613" s="412"/>
      <c r="P613" s="412"/>
      <c r="Q613" s="412"/>
      <c r="R613" s="412"/>
      <c r="S613" s="412"/>
      <c r="T613" s="412"/>
      <c r="U613" s="412"/>
      <c r="V613" s="412"/>
      <c r="W613" s="412"/>
      <c r="X613" s="412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</row>
    <row r="614" spans="2:62" ht="15.75" customHeight="1">
      <c r="B614" s="181"/>
      <c r="C614" s="412"/>
      <c r="D614" s="412"/>
      <c r="E614" s="412"/>
      <c r="F614" s="412"/>
      <c r="G614" s="412"/>
      <c r="H614" s="412"/>
      <c r="I614" s="412"/>
      <c r="J614" s="412"/>
      <c r="K614" s="412"/>
      <c r="L614" s="412"/>
      <c r="M614" s="412"/>
      <c r="N614" s="412"/>
      <c r="O614" s="412"/>
      <c r="P614" s="412"/>
      <c r="Q614" s="412"/>
      <c r="R614" s="412"/>
      <c r="S614" s="412"/>
      <c r="T614" s="412"/>
      <c r="U614" s="412"/>
      <c r="V614" s="412"/>
      <c r="W614" s="412"/>
      <c r="X614" s="412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</row>
    <row r="615" spans="2:62" ht="15.75" customHeight="1">
      <c r="B615" s="181"/>
      <c r="C615" s="412"/>
      <c r="D615" s="412"/>
      <c r="E615" s="412"/>
      <c r="F615" s="412"/>
      <c r="G615" s="412"/>
      <c r="H615" s="412"/>
      <c r="I615" s="412"/>
      <c r="J615" s="412"/>
      <c r="K615" s="412"/>
      <c r="L615" s="412"/>
      <c r="M615" s="412"/>
      <c r="N615" s="412"/>
      <c r="O615" s="412"/>
      <c r="P615" s="412"/>
      <c r="Q615" s="412"/>
      <c r="R615" s="412"/>
      <c r="S615" s="412"/>
      <c r="T615" s="412"/>
      <c r="U615" s="412"/>
      <c r="V615" s="412"/>
      <c r="W615" s="412"/>
      <c r="X615" s="412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</row>
    <row r="616" spans="2:62" ht="15.75" customHeight="1">
      <c r="B616" s="181"/>
      <c r="C616" s="412"/>
      <c r="D616" s="412"/>
      <c r="E616" s="412"/>
      <c r="F616" s="412"/>
      <c r="G616" s="412"/>
      <c r="H616" s="412"/>
      <c r="I616" s="412"/>
      <c r="J616" s="412"/>
      <c r="K616" s="412"/>
      <c r="L616" s="412"/>
      <c r="M616" s="412"/>
      <c r="N616" s="412"/>
      <c r="O616" s="412"/>
      <c r="P616" s="412"/>
      <c r="Q616" s="412"/>
      <c r="R616" s="412"/>
      <c r="S616" s="412"/>
      <c r="T616" s="412"/>
      <c r="U616" s="412"/>
      <c r="V616" s="412"/>
      <c r="W616" s="412"/>
      <c r="X616" s="412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</row>
    <row r="617" spans="2:62" ht="15.75" customHeight="1">
      <c r="B617" s="181"/>
      <c r="C617" s="412"/>
      <c r="D617" s="412"/>
      <c r="E617" s="412"/>
      <c r="F617" s="412"/>
      <c r="G617" s="412"/>
      <c r="H617" s="412"/>
      <c r="I617" s="412"/>
      <c r="J617" s="412"/>
      <c r="K617" s="412"/>
      <c r="L617" s="412"/>
      <c r="M617" s="412"/>
      <c r="N617" s="412"/>
      <c r="O617" s="412"/>
      <c r="P617" s="412"/>
      <c r="Q617" s="412"/>
      <c r="R617" s="412"/>
      <c r="S617" s="412"/>
      <c r="T617" s="412"/>
      <c r="U617" s="412"/>
      <c r="V617" s="412"/>
      <c r="W617" s="412"/>
      <c r="X617" s="412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</row>
    <row r="618" spans="2:62" ht="15.75" customHeight="1">
      <c r="B618" s="181"/>
      <c r="C618" s="412"/>
      <c r="D618" s="412"/>
      <c r="E618" s="412"/>
      <c r="F618" s="412"/>
      <c r="G618" s="412"/>
      <c r="H618" s="412"/>
      <c r="I618" s="412"/>
      <c r="J618" s="412"/>
      <c r="K618" s="412"/>
      <c r="L618" s="412"/>
      <c r="M618" s="412"/>
      <c r="N618" s="412"/>
      <c r="O618" s="412"/>
      <c r="P618" s="412"/>
      <c r="Q618" s="412"/>
      <c r="R618" s="412"/>
      <c r="S618" s="412"/>
      <c r="T618" s="412"/>
      <c r="U618" s="412"/>
      <c r="V618" s="412"/>
      <c r="W618" s="412"/>
      <c r="X618" s="412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</row>
    <row r="619" spans="2:62" ht="15.75" customHeight="1">
      <c r="B619" s="181"/>
      <c r="C619" s="412"/>
      <c r="D619" s="412"/>
      <c r="E619" s="412"/>
      <c r="F619" s="412"/>
      <c r="G619" s="412"/>
      <c r="H619" s="412"/>
      <c r="I619" s="412"/>
      <c r="J619" s="412"/>
      <c r="K619" s="412"/>
      <c r="L619" s="412"/>
      <c r="M619" s="412"/>
      <c r="N619" s="412"/>
      <c r="O619" s="412"/>
      <c r="P619" s="412"/>
      <c r="Q619" s="412"/>
      <c r="R619" s="412"/>
      <c r="S619" s="412"/>
      <c r="T619" s="412"/>
      <c r="U619" s="412"/>
      <c r="V619" s="412"/>
      <c r="W619" s="412"/>
      <c r="X619" s="412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</row>
    <row r="620" spans="2:62" ht="15.75" customHeight="1">
      <c r="B620" s="181"/>
      <c r="C620" s="412"/>
      <c r="D620" s="412"/>
      <c r="E620" s="412"/>
      <c r="F620" s="412"/>
      <c r="G620" s="412"/>
      <c r="H620" s="412"/>
      <c r="I620" s="412"/>
      <c r="J620" s="412"/>
      <c r="K620" s="412"/>
      <c r="L620" s="412"/>
      <c r="M620" s="412"/>
      <c r="N620" s="412"/>
      <c r="O620" s="412"/>
      <c r="P620" s="412"/>
      <c r="Q620" s="412"/>
      <c r="R620" s="412"/>
      <c r="S620" s="412"/>
      <c r="T620" s="412"/>
      <c r="U620" s="412"/>
      <c r="V620" s="412"/>
      <c r="W620" s="412"/>
      <c r="X620" s="412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</row>
    <row r="621" spans="2:62" ht="15.75" customHeight="1">
      <c r="B621" s="181"/>
      <c r="C621" s="412"/>
      <c r="D621" s="412"/>
      <c r="E621" s="412"/>
      <c r="F621" s="412"/>
      <c r="G621" s="412"/>
      <c r="H621" s="412"/>
      <c r="I621" s="412"/>
      <c r="J621" s="412"/>
      <c r="K621" s="412"/>
      <c r="L621" s="412"/>
      <c r="M621" s="412"/>
      <c r="N621" s="412"/>
      <c r="O621" s="412"/>
      <c r="P621" s="412"/>
      <c r="Q621" s="412"/>
      <c r="R621" s="412"/>
      <c r="S621" s="412"/>
      <c r="T621" s="412"/>
      <c r="U621" s="412"/>
      <c r="V621" s="412"/>
      <c r="W621" s="412"/>
      <c r="X621" s="412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</row>
    <row r="622" spans="2:62" ht="15.75" customHeight="1">
      <c r="B622" s="181"/>
      <c r="C622" s="412"/>
      <c r="D622" s="412"/>
      <c r="E622" s="412"/>
      <c r="F622" s="412"/>
      <c r="G622" s="412"/>
      <c r="H622" s="412"/>
      <c r="I622" s="412"/>
      <c r="J622" s="412"/>
      <c r="K622" s="412"/>
      <c r="L622" s="412"/>
      <c r="M622" s="412"/>
      <c r="N622" s="412"/>
      <c r="O622" s="412"/>
      <c r="P622" s="412"/>
      <c r="Q622" s="412"/>
      <c r="R622" s="412"/>
      <c r="S622" s="412"/>
      <c r="T622" s="412"/>
      <c r="U622" s="412"/>
      <c r="V622" s="412"/>
      <c r="W622" s="412"/>
      <c r="X622" s="412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</row>
    <row r="623" spans="2:62" ht="15.75" customHeight="1">
      <c r="B623" s="181"/>
      <c r="C623" s="412"/>
      <c r="D623" s="412"/>
      <c r="E623" s="412"/>
      <c r="F623" s="412"/>
      <c r="G623" s="412"/>
      <c r="H623" s="412"/>
      <c r="I623" s="412"/>
      <c r="J623" s="412"/>
      <c r="K623" s="412"/>
      <c r="L623" s="412"/>
      <c r="M623" s="412"/>
      <c r="N623" s="412"/>
      <c r="O623" s="412"/>
      <c r="P623" s="412"/>
      <c r="Q623" s="412"/>
      <c r="R623" s="412"/>
      <c r="S623" s="412"/>
      <c r="T623" s="412"/>
      <c r="U623" s="412"/>
      <c r="V623" s="412"/>
      <c r="W623" s="412"/>
      <c r="X623" s="412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</row>
    <row r="624" spans="2:62" ht="15.75" customHeight="1">
      <c r="B624" s="181"/>
      <c r="C624" s="412"/>
      <c r="D624" s="412"/>
      <c r="E624" s="412"/>
      <c r="F624" s="412"/>
      <c r="G624" s="412"/>
      <c r="H624" s="412"/>
      <c r="I624" s="412"/>
      <c r="J624" s="412"/>
      <c r="K624" s="412"/>
      <c r="L624" s="412"/>
      <c r="M624" s="412"/>
      <c r="N624" s="412"/>
      <c r="O624" s="412"/>
      <c r="P624" s="412"/>
      <c r="Q624" s="412"/>
      <c r="R624" s="412"/>
      <c r="S624" s="412"/>
      <c r="T624" s="412"/>
      <c r="U624" s="412"/>
      <c r="V624" s="412"/>
      <c r="W624" s="412"/>
      <c r="X624" s="412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</row>
    <row r="625" spans="2:62" ht="15.75" customHeight="1">
      <c r="B625" s="181"/>
      <c r="C625" s="412"/>
      <c r="D625" s="412"/>
      <c r="E625" s="412"/>
      <c r="F625" s="412"/>
      <c r="G625" s="412"/>
      <c r="H625" s="412"/>
      <c r="I625" s="412"/>
      <c r="J625" s="412"/>
      <c r="K625" s="412"/>
      <c r="L625" s="412"/>
      <c r="M625" s="412"/>
      <c r="N625" s="412"/>
      <c r="O625" s="412"/>
      <c r="P625" s="412"/>
      <c r="Q625" s="412"/>
      <c r="R625" s="412"/>
      <c r="S625" s="412"/>
      <c r="T625" s="412"/>
      <c r="U625" s="412"/>
      <c r="V625" s="412"/>
      <c r="W625" s="412"/>
      <c r="X625" s="412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</row>
    <row r="626" spans="2:62" ht="15.75" customHeight="1">
      <c r="B626" s="181"/>
      <c r="C626" s="412"/>
      <c r="D626" s="412"/>
      <c r="E626" s="412"/>
      <c r="F626" s="412"/>
      <c r="G626" s="412"/>
      <c r="H626" s="412"/>
      <c r="I626" s="412"/>
      <c r="J626" s="412"/>
      <c r="K626" s="412"/>
      <c r="L626" s="412"/>
      <c r="M626" s="412"/>
      <c r="N626" s="412"/>
      <c r="O626" s="412"/>
      <c r="P626" s="412"/>
      <c r="Q626" s="412"/>
      <c r="R626" s="412"/>
      <c r="S626" s="412"/>
      <c r="T626" s="412"/>
      <c r="U626" s="412"/>
      <c r="V626" s="412"/>
      <c r="W626" s="412"/>
      <c r="X626" s="412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</row>
    <row r="627" spans="2:62" ht="15.75" customHeight="1">
      <c r="B627" s="181"/>
      <c r="C627" s="412"/>
      <c r="D627" s="412"/>
      <c r="E627" s="412"/>
      <c r="F627" s="412"/>
      <c r="G627" s="412"/>
      <c r="H627" s="412"/>
      <c r="I627" s="412"/>
      <c r="J627" s="412"/>
      <c r="K627" s="412"/>
      <c r="L627" s="412"/>
      <c r="M627" s="412"/>
      <c r="N627" s="412"/>
      <c r="O627" s="412"/>
      <c r="P627" s="412"/>
      <c r="Q627" s="412"/>
      <c r="R627" s="412"/>
      <c r="S627" s="412"/>
      <c r="T627" s="412"/>
      <c r="U627" s="412"/>
      <c r="V627" s="412"/>
      <c r="W627" s="412"/>
      <c r="X627" s="412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</row>
    <row r="628" spans="2:62" ht="15.75" customHeight="1">
      <c r="B628" s="181"/>
      <c r="C628" s="412"/>
      <c r="D628" s="412"/>
      <c r="E628" s="412"/>
      <c r="F628" s="412"/>
      <c r="G628" s="412"/>
      <c r="H628" s="412"/>
      <c r="I628" s="412"/>
      <c r="J628" s="412"/>
      <c r="K628" s="412"/>
      <c r="L628" s="412"/>
      <c r="M628" s="412"/>
      <c r="N628" s="412"/>
      <c r="O628" s="412"/>
      <c r="P628" s="412"/>
      <c r="Q628" s="412"/>
      <c r="R628" s="412"/>
      <c r="S628" s="412"/>
      <c r="T628" s="412"/>
      <c r="U628" s="412"/>
      <c r="V628" s="412"/>
      <c r="W628" s="412"/>
      <c r="X628" s="412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</row>
    <row r="629" spans="2:62" ht="15.75" customHeight="1">
      <c r="B629" s="181"/>
      <c r="C629" s="412"/>
      <c r="D629" s="412"/>
      <c r="E629" s="412"/>
      <c r="F629" s="412"/>
      <c r="G629" s="412"/>
      <c r="H629" s="412"/>
      <c r="I629" s="412"/>
      <c r="J629" s="412"/>
      <c r="K629" s="412"/>
      <c r="L629" s="412"/>
      <c r="M629" s="412"/>
      <c r="N629" s="412"/>
      <c r="O629" s="412"/>
      <c r="P629" s="412"/>
      <c r="Q629" s="412"/>
      <c r="R629" s="412"/>
      <c r="S629" s="412"/>
      <c r="T629" s="412"/>
      <c r="U629" s="412"/>
      <c r="V629" s="412"/>
      <c r="W629" s="412"/>
      <c r="X629" s="412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</row>
    <row r="630" spans="2:62" ht="15.75" customHeight="1">
      <c r="B630" s="181"/>
      <c r="C630" s="412"/>
      <c r="D630" s="412"/>
      <c r="E630" s="412"/>
      <c r="F630" s="412"/>
      <c r="G630" s="412"/>
      <c r="H630" s="412"/>
      <c r="I630" s="412"/>
      <c r="J630" s="412"/>
      <c r="K630" s="412"/>
      <c r="L630" s="412"/>
      <c r="M630" s="412"/>
      <c r="N630" s="412"/>
      <c r="O630" s="412"/>
      <c r="P630" s="412"/>
      <c r="Q630" s="412"/>
      <c r="R630" s="412"/>
      <c r="S630" s="412"/>
      <c r="T630" s="412"/>
      <c r="U630" s="412"/>
      <c r="V630" s="412"/>
      <c r="W630" s="412"/>
      <c r="X630" s="412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</row>
    <row r="631" spans="2:62" ht="15.75" customHeight="1">
      <c r="B631" s="181"/>
      <c r="C631" s="412"/>
      <c r="D631" s="412"/>
      <c r="E631" s="412"/>
      <c r="F631" s="412"/>
      <c r="G631" s="412"/>
      <c r="H631" s="412"/>
      <c r="I631" s="412"/>
      <c r="J631" s="412"/>
      <c r="K631" s="412"/>
      <c r="L631" s="412"/>
      <c r="M631" s="412"/>
      <c r="N631" s="412"/>
      <c r="O631" s="412"/>
      <c r="P631" s="412"/>
      <c r="Q631" s="412"/>
      <c r="R631" s="412"/>
      <c r="S631" s="412"/>
      <c r="T631" s="412"/>
      <c r="U631" s="412"/>
      <c r="V631" s="412"/>
      <c r="W631" s="412"/>
      <c r="X631" s="412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</row>
    <row r="632" spans="2:62" ht="15.75" customHeight="1">
      <c r="B632" s="181"/>
      <c r="C632" s="412"/>
      <c r="D632" s="412"/>
      <c r="E632" s="412"/>
      <c r="F632" s="412"/>
      <c r="G632" s="412"/>
      <c r="H632" s="412"/>
      <c r="I632" s="412"/>
      <c r="J632" s="412"/>
      <c r="K632" s="412"/>
      <c r="L632" s="412"/>
      <c r="M632" s="412"/>
      <c r="N632" s="412"/>
      <c r="O632" s="412"/>
      <c r="P632" s="412"/>
      <c r="Q632" s="412"/>
      <c r="R632" s="412"/>
      <c r="S632" s="412"/>
      <c r="T632" s="412"/>
      <c r="U632" s="412"/>
      <c r="V632" s="412"/>
      <c r="W632" s="412"/>
      <c r="X632" s="412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</row>
    <row r="633" spans="2:62" ht="15.75" customHeight="1">
      <c r="B633" s="181"/>
      <c r="C633" s="412"/>
      <c r="D633" s="412"/>
      <c r="E633" s="412"/>
      <c r="F633" s="412"/>
      <c r="G633" s="412"/>
      <c r="H633" s="412"/>
      <c r="I633" s="412"/>
      <c r="J633" s="412"/>
      <c r="K633" s="412"/>
      <c r="L633" s="412"/>
      <c r="M633" s="412"/>
      <c r="N633" s="412"/>
      <c r="O633" s="412"/>
      <c r="P633" s="412"/>
      <c r="Q633" s="412"/>
      <c r="R633" s="412"/>
      <c r="S633" s="412"/>
      <c r="T633" s="412"/>
      <c r="U633" s="412"/>
      <c r="V633" s="412"/>
      <c r="W633" s="412"/>
      <c r="X633" s="412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</row>
    <row r="634" spans="2:62" ht="15.75" customHeight="1">
      <c r="B634" s="181"/>
      <c r="C634" s="412"/>
      <c r="D634" s="412"/>
      <c r="E634" s="412"/>
      <c r="F634" s="412"/>
      <c r="G634" s="412"/>
      <c r="H634" s="412"/>
      <c r="I634" s="412"/>
      <c r="J634" s="412"/>
      <c r="K634" s="412"/>
      <c r="L634" s="412"/>
      <c r="M634" s="412"/>
      <c r="N634" s="412"/>
      <c r="O634" s="412"/>
      <c r="P634" s="412"/>
      <c r="Q634" s="412"/>
      <c r="R634" s="412"/>
      <c r="S634" s="412"/>
      <c r="T634" s="412"/>
      <c r="U634" s="412"/>
      <c r="V634" s="412"/>
      <c r="W634" s="412"/>
      <c r="X634" s="412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</row>
    <row r="635" spans="2:62" ht="15.75" customHeight="1">
      <c r="B635" s="181"/>
      <c r="C635" s="412"/>
      <c r="D635" s="412"/>
      <c r="E635" s="412"/>
      <c r="F635" s="412"/>
      <c r="G635" s="412"/>
      <c r="H635" s="412"/>
      <c r="I635" s="412"/>
      <c r="J635" s="412"/>
      <c r="K635" s="412"/>
      <c r="L635" s="412"/>
      <c r="M635" s="412"/>
      <c r="N635" s="412"/>
      <c r="O635" s="412"/>
      <c r="P635" s="412"/>
      <c r="Q635" s="412"/>
      <c r="R635" s="412"/>
      <c r="S635" s="412"/>
      <c r="T635" s="412"/>
      <c r="U635" s="412"/>
      <c r="V635" s="412"/>
      <c r="W635" s="412"/>
      <c r="X635" s="412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</row>
    <row r="636" spans="2:62" ht="15.75" customHeight="1">
      <c r="B636" s="181"/>
      <c r="C636" s="412"/>
      <c r="D636" s="412"/>
      <c r="E636" s="412"/>
      <c r="F636" s="412"/>
      <c r="G636" s="412"/>
      <c r="H636" s="412"/>
      <c r="I636" s="412"/>
      <c r="J636" s="412"/>
      <c r="K636" s="412"/>
      <c r="L636" s="412"/>
      <c r="M636" s="412"/>
      <c r="N636" s="412"/>
      <c r="O636" s="412"/>
      <c r="P636" s="412"/>
      <c r="Q636" s="412"/>
      <c r="R636" s="412"/>
      <c r="S636" s="412"/>
      <c r="T636" s="412"/>
      <c r="U636" s="412"/>
      <c r="V636" s="412"/>
      <c r="W636" s="412"/>
      <c r="X636" s="412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</row>
    <row r="637" spans="2:62" ht="15.75" customHeight="1">
      <c r="B637" s="181"/>
      <c r="C637" s="412"/>
      <c r="D637" s="412"/>
      <c r="E637" s="412"/>
      <c r="F637" s="412"/>
      <c r="G637" s="412"/>
      <c r="H637" s="412"/>
      <c r="I637" s="412"/>
      <c r="J637" s="412"/>
      <c r="K637" s="412"/>
      <c r="L637" s="412"/>
      <c r="M637" s="412"/>
      <c r="N637" s="412"/>
      <c r="O637" s="412"/>
      <c r="P637" s="412"/>
      <c r="Q637" s="412"/>
      <c r="R637" s="412"/>
      <c r="S637" s="412"/>
      <c r="T637" s="412"/>
      <c r="U637" s="412"/>
      <c r="V637" s="412"/>
      <c r="W637" s="412"/>
      <c r="X637" s="412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</row>
    <row r="638" spans="2:62" ht="15.75" customHeight="1">
      <c r="B638" s="181"/>
      <c r="C638" s="412"/>
      <c r="D638" s="412"/>
      <c r="E638" s="412"/>
      <c r="F638" s="412"/>
      <c r="G638" s="412"/>
      <c r="H638" s="412"/>
      <c r="I638" s="412"/>
      <c r="J638" s="412"/>
      <c r="K638" s="412"/>
      <c r="L638" s="412"/>
      <c r="M638" s="412"/>
      <c r="N638" s="412"/>
      <c r="O638" s="412"/>
      <c r="P638" s="412"/>
      <c r="Q638" s="412"/>
      <c r="R638" s="412"/>
      <c r="S638" s="412"/>
      <c r="T638" s="412"/>
      <c r="U638" s="412"/>
      <c r="V638" s="412"/>
      <c r="W638" s="412"/>
      <c r="X638" s="412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</row>
    <row r="639" spans="2:62" ht="15.75" customHeight="1">
      <c r="B639" s="181"/>
      <c r="C639" s="412"/>
      <c r="D639" s="412"/>
      <c r="E639" s="412"/>
      <c r="F639" s="412"/>
      <c r="G639" s="412"/>
      <c r="H639" s="412"/>
      <c r="I639" s="412"/>
      <c r="J639" s="412"/>
      <c r="K639" s="412"/>
      <c r="L639" s="412"/>
      <c r="M639" s="412"/>
      <c r="N639" s="412"/>
      <c r="O639" s="412"/>
      <c r="P639" s="412"/>
      <c r="Q639" s="412"/>
      <c r="R639" s="412"/>
      <c r="S639" s="412"/>
      <c r="T639" s="412"/>
      <c r="U639" s="412"/>
      <c r="V639" s="412"/>
      <c r="W639" s="412"/>
      <c r="X639" s="412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</row>
    <row r="640" spans="2:62" ht="15.75" customHeight="1">
      <c r="B640" s="181"/>
      <c r="C640" s="412"/>
      <c r="D640" s="412"/>
      <c r="E640" s="412"/>
      <c r="F640" s="412"/>
      <c r="G640" s="412"/>
      <c r="H640" s="412"/>
      <c r="I640" s="412"/>
      <c r="J640" s="412"/>
      <c r="K640" s="412"/>
      <c r="L640" s="412"/>
      <c r="M640" s="412"/>
      <c r="N640" s="412"/>
      <c r="O640" s="412"/>
      <c r="P640" s="412"/>
      <c r="Q640" s="412"/>
      <c r="R640" s="412"/>
      <c r="S640" s="412"/>
      <c r="T640" s="412"/>
      <c r="U640" s="412"/>
      <c r="V640" s="412"/>
      <c r="W640" s="412"/>
      <c r="X640" s="412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</row>
    <row r="641" spans="2:62" ht="15.75" customHeight="1">
      <c r="B641" s="181"/>
      <c r="C641" s="412"/>
      <c r="D641" s="412"/>
      <c r="E641" s="412"/>
      <c r="F641" s="412"/>
      <c r="G641" s="412"/>
      <c r="H641" s="412"/>
      <c r="I641" s="412"/>
      <c r="J641" s="412"/>
      <c r="K641" s="412"/>
      <c r="L641" s="412"/>
      <c r="M641" s="412"/>
      <c r="N641" s="412"/>
      <c r="O641" s="412"/>
      <c r="P641" s="412"/>
      <c r="Q641" s="412"/>
      <c r="R641" s="412"/>
      <c r="S641" s="412"/>
      <c r="T641" s="412"/>
      <c r="U641" s="412"/>
      <c r="V641" s="412"/>
      <c r="W641" s="412"/>
      <c r="X641" s="412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</row>
    <row r="642" spans="2:62" ht="15.75" customHeight="1">
      <c r="B642" s="181"/>
      <c r="C642" s="412"/>
      <c r="D642" s="412"/>
      <c r="E642" s="412"/>
      <c r="F642" s="412"/>
      <c r="G642" s="412"/>
      <c r="H642" s="412"/>
      <c r="I642" s="412"/>
      <c r="J642" s="412"/>
      <c r="K642" s="412"/>
      <c r="L642" s="412"/>
      <c r="M642" s="412"/>
      <c r="N642" s="412"/>
      <c r="O642" s="412"/>
      <c r="P642" s="412"/>
      <c r="Q642" s="412"/>
      <c r="R642" s="412"/>
      <c r="S642" s="412"/>
      <c r="T642" s="412"/>
      <c r="U642" s="412"/>
      <c r="V642" s="412"/>
      <c r="W642" s="412"/>
      <c r="X642" s="412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</row>
    <row r="643" spans="2:62" ht="15.75" customHeight="1">
      <c r="B643" s="181"/>
      <c r="C643" s="412"/>
      <c r="D643" s="412"/>
      <c r="E643" s="412"/>
      <c r="F643" s="412"/>
      <c r="G643" s="412"/>
      <c r="H643" s="412"/>
      <c r="I643" s="412"/>
      <c r="J643" s="412"/>
      <c r="K643" s="412"/>
      <c r="L643" s="412"/>
      <c r="M643" s="412"/>
      <c r="N643" s="412"/>
      <c r="O643" s="412"/>
      <c r="P643" s="412"/>
      <c r="Q643" s="412"/>
      <c r="R643" s="412"/>
      <c r="S643" s="412"/>
      <c r="T643" s="412"/>
      <c r="U643" s="412"/>
      <c r="V643" s="412"/>
      <c r="W643" s="412"/>
      <c r="X643" s="412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</row>
    <row r="644" spans="2:62" ht="15.75" customHeight="1">
      <c r="B644" s="181"/>
      <c r="C644" s="412"/>
      <c r="D644" s="412"/>
      <c r="E644" s="412"/>
      <c r="F644" s="412"/>
      <c r="G644" s="412"/>
      <c r="H644" s="412"/>
      <c r="I644" s="412"/>
      <c r="J644" s="412"/>
      <c r="K644" s="412"/>
      <c r="L644" s="412"/>
      <c r="M644" s="412"/>
      <c r="N644" s="412"/>
      <c r="O644" s="412"/>
      <c r="P644" s="412"/>
      <c r="Q644" s="412"/>
      <c r="R644" s="412"/>
      <c r="S644" s="412"/>
      <c r="T644" s="412"/>
      <c r="U644" s="412"/>
      <c r="V644" s="412"/>
      <c r="W644" s="412"/>
      <c r="X644" s="412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</row>
    <row r="645" spans="2:62" ht="15.75" customHeight="1">
      <c r="B645" s="181"/>
      <c r="C645" s="434"/>
      <c r="D645" s="412"/>
      <c r="E645" s="412"/>
      <c r="F645" s="412"/>
      <c r="G645" s="412"/>
      <c r="H645" s="412"/>
      <c r="I645" s="412"/>
      <c r="J645" s="412"/>
      <c r="K645" s="412"/>
      <c r="L645" s="412"/>
      <c r="M645" s="412"/>
      <c r="N645" s="412"/>
      <c r="O645" s="128"/>
      <c r="P645" s="412"/>
      <c r="Q645" s="412"/>
      <c r="R645" s="412"/>
      <c r="S645" s="412"/>
      <c r="T645" s="412"/>
      <c r="U645" s="412"/>
      <c r="V645" s="412"/>
      <c r="W645" s="412"/>
      <c r="X645" s="412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</row>
    <row r="646" spans="2:62" ht="15.75" customHeight="1">
      <c r="B646" s="181"/>
      <c r="C646" s="127"/>
      <c r="D646" s="428"/>
      <c r="E646" s="428"/>
      <c r="F646" s="428"/>
      <c r="G646" s="428"/>
      <c r="H646" s="428"/>
      <c r="I646" s="428"/>
      <c r="J646" s="428"/>
      <c r="K646" s="428"/>
      <c r="L646" s="428"/>
      <c r="M646" s="428"/>
      <c r="N646" s="428"/>
      <c r="O646" s="428"/>
      <c r="P646" s="428"/>
      <c r="Q646" s="435"/>
      <c r="R646" s="428"/>
      <c r="S646" s="428"/>
      <c r="T646" s="412"/>
      <c r="U646" s="412"/>
      <c r="V646" s="412"/>
      <c r="W646" s="412"/>
      <c r="X646" s="412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</row>
    <row r="647" spans="2:62" ht="15.75" customHeight="1">
      <c r="B647" s="181"/>
      <c r="C647" s="412"/>
      <c r="D647" s="425"/>
      <c r="E647" s="425"/>
      <c r="F647" s="128"/>
      <c r="G647" s="425"/>
      <c r="H647" s="425"/>
      <c r="I647" s="128"/>
      <c r="J647" s="429"/>
      <c r="K647" s="429"/>
      <c r="L647" s="436"/>
      <c r="M647" s="429"/>
      <c r="N647" s="429"/>
      <c r="O647" s="429"/>
      <c r="P647" s="429"/>
      <c r="Q647" s="426"/>
      <c r="R647" s="425"/>
      <c r="S647" s="128"/>
      <c r="T647" s="412"/>
      <c r="U647" s="412"/>
      <c r="V647" s="412"/>
      <c r="W647" s="412"/>
      <c r="X647" s="412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</row>
    <row r="648" spans="2:62" ht="15.75" customHeight="1">
      <c r="B648" s="181"/>
      <c r="C648" s="437"/>
      <c r="D648" s="412"/>
      <c r="E648" s="412"/>
      <c r="F648" s="428"/>
      <c r="G648" s="412"/>
      <c r="H648" s="412"/>
      <c r="I648" s="428"/>
      <c r="J648" s="428"/>
      <c r="K648" s="428"/>
      <c r="L648" s="412"/>
      <c r="M648" s="428"/>
      <c r="N648" s="428"/>
      <c r="O648" s="412"/>
      <c r="P648" s="428"/>
      <c r="Q648" s="428"/>
      <c r="R648" s="412"/>
      <c r="S648" s="428"/>
      <c r="T648" s="412"/>
      <c r="U648" s="412"/>
      <c r="V648" s="412"/>
      <c r="W648" s="412"/>
      <c r="X648" s="412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</row>
    <row r="649" spans="2:62" ht="15.75" customHeight="1">
      <c r="B649" s="181"/>
      <c r="C649" s="412"/>
      <c r="D649" s="412"/>
      <c r="E649" s="412"/>
      <c r="F649" s="422"/>
      <c r="G649" s="412"/>
      <c r="H649" s="412"/>
      <c r="I649" s="422"/>
      <c r="J649" s="422"/>
      <c r="K649" s="422"/>
      <c r="L649" s="422"/>
      <c r="M649" s="422"/>
      <c r="N649" s="422"/>
      <c r="O649" s="422"/>
      <c r="P649" s="422"/>
      <c r="Q649" s="422"/>
      <c r="R649" s="422"/>
      <c r="S649" s="422"/>
      <c r="T649" s="412"/>
      <c r="U649" s="412"/>
      <c r="V649" s="412"/>
      <c r="W649" s="412"/>
      <c r="X649" s="412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</row>
    <row r="650" spans="2:62" ht="15.75" customHeight="1">
      <c r="B650" s="181"/>
      <c r="C650" s="421"/>
      <c r="D650" s="421"/>
      <c r="E650" s="421"/>
      <c r="F650" s="424"/>
      <c r="G650" s="421"/>
      <c r="H650" s="421"/>
      <c r="I650" s="424"/>
      <c r="J650" s="424"/>
      <c r="K650" s="424"/>
      <c r="L650" s="424"/>
      <c r="M650" s="424"/>
      <c r="N650" s="424"/>
      <c r="O650" s="424"/>
      <c r="P650" s="424"/>
      <c r="Q650" s="424"/>
      <c r="R650" s="424"/>
      <c r="S650" s="424"/>
      <c r="T650" s="412"/>
      <c r="U650" s="412"/>
      <c r="V650" s="412"/>
      <c r="W650" s="412"/>
      <c r="X650" s="412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</row>
    <row r="651" spans="2:62" ht="15.75" customHeight="1">
      <c r="B651" s="181"/>
      <c r="C651" s="412"/>
      <c r="D651" s="412"/>
      <c r="E651" s="412"/>
      <c r="F651" s="412"/>
      <c r="G651" s="412"/>
      <c r="H651" s="412"/>
      <c r="I651" s="412"/>
      <c r="J651" s="422"/>
      <c r="K651" s="422"/>
      <c r="L651" s="422"/>
      <c r="M651" s="422"/>
      <c r="N651" s="422"/>
      <c r="O651" s="422"/>
      <c r="P651" s="422"/>
      <c r="Q651" s="422"/>
      <c r="R651" s="422"/>
      <c r="S651" s="422"/>
      <c r="T651" s="412"/>
      <c r="U651" s="412"/>
      <c r="V651" s="412"/>
      <c r="W651" s="412"/>
      <c r="X651" s="412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</row>
    <row r="652" spans="2:62" ht="15.75" customHeight="1">
      <c r="B652" s="181"/>
      <c r="C652" s="412"/>
      <c r="D652" s="412"/>
      <c r="E652" s="412"/>
      <c r="F652" s="412"/>
      <c r="G652" s="412"/>
      <c r="H652" s="412"/>
      <c r="I652" s="412"/>
      <c r="J652" s="412"/>
      <c r="K652" s="422"/>
      <c r="L652" s="422"/>
      <c r="M652" s="412"/>
      <c r="N652" s="422"/>
      <c r="O652" s="422"/>
      <c r="P652" s="412"/>
      <c r="Q652" s="422"/>
      <c r="R652" s="422"/>
      <c r="S652" s="412"/>
      <c r="T652" s="412"/>
      <c r="U652" s="412"/>
      <c r="V652" s="412"/>
      <c r="W652" s="412"/>
      <c r="X652" s="412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</row>
    <row r="653" spans="2:62" ht="15.75" customHeight="1">
      <c r="B653" s="181"/>
      <c r="C653" s="412"/>
      <c r="D653" s="412"/>
      <c r="E653" s="412"/>
      <c r="F653" s="412"/>
      <c r="G653" s="412"/>
      <c r="H653" s="412"/>
      <c r="I653" s="412"/>
      <c r="J653" s="412"/>
      <c r="K653" s="422"/>
      <c r="L653" s="422"/>
      <c r="M653" s="412"/>
      <c r="N653" s="422"/>
      <c r="O653" s="422"/>
      <c r="P653" s="412"/>
      <c r="Q653" s="422"/>
      <c r="R653" s="422"/>
      <c r="S653" s="412"/>
      <c r="T653" s="412"/>
      <c r="U653" s="412"/>
      <c r="V653" s="412"/>
      <c r="W653" s="412"/>
      <c r="X653" s="412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</row>
    <row r="654" spans="2:62" ht="15.75" customHeight="1">
      <c r="B654" s="181"/>
      <c r="C654" s="412"/>
      <c r="D654" s="412"/>
      <c r="E654" s="412"/>
      <c r="F654" s="412"/>
      <c r="G654" s="412"/>
      <c r="H654" s="412"/>
      <c r="I654" s="412"/>
      <c r="J654" s="412"/>
      <c r="K654" s="422"/>
      <c r="L654" s="422"/>
      <c r="M654" s="412"/>
      <c r="N654" s="422"/>
      <c r="O654" s="422"/>
      <c r="P654" s="412"/>
      <c r="Q654" s="422"/>
      <c r="R654" s="422"/>
      <c r="S654" s="412"/>
      <c r="T654" s="412"/>
      <c r="U654" s="412"/>
      <c r="V654" s="412"/>
      <c r="W654" s="412"/>
      <c r="X654" s="412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</row>
    <row r="655" spans="2:62" ht="15.75" customHeight="1">
      <c r="B655" s="181"/>
      <c r="C655" s="412"/>
      <c r="D655" s="412"/>
      <c r="E655" s="412"/>
      <c r="F655" s="412"/>
      <c r="G655" s="412"/>
      <c r="H655" s="412"/>
      <c r="I655" s="412"/>
      <c r="J655" s="412"/>
      <c r="K655" s="422"/>
      <c r="L655" s="422"/>
      <c r="M655" s="412"/>
      <c r="N655" s="422"/>
      <c r="O655" s="422"/>
      <c r="P655" s="412"/>
      <c r="Q655" s="422"/>
      <c r="R655" s="422"/>
      <c r="S655" s="412"/>
      <c r="T655" s="412"/>
      <c r="U655" s="412"/>
      <c r="V655" s="412"/>
      <c r="W655" s="412"/>
      <c r="X655" s="412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</row>
    <row r="656" spans="2:62" ht="15.75" customHeight="1">
      <c r="B656" s="181"/>
      <c r="C656" s="412"/>
      <c r="D656" s="412"/>
      <c r="E656" s="412"/>
      <c r="F656" s="412"/>
      <c r="G656" s="412"/>
      <c r="H656" s="412"/>
      <c r="I656" s="412"/>
      <c r="J656" s="412"/>
      <c r="K656" s="422"/>
      <c r="L656" s="422"/>
      <c r="M656" s="412"/>
      <c r="N656" s="422"/>
      <c r="O656" s="422"/>
      <c r="P656" s="412"/>
      <c r="Q656" s="422"/>
      <c r="R656" s="422"/>
      <c r="S656" s="412"/>
      <c r="T656" s="412"/>
      <c r="U656" s="412"/>
      <c r="V656" s="412"/>
      <c r="W656" s="412"/>
      <c r="X656" s="412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</row>
    <row r="657" spans="2:62" ht="15.75" customHeight="1">
      <c r="B657" s="181"/>
      <c r="C657" s="412"/>
      <c r="D657" s="412"/>
      <c r="E657" s="412"/>
      <c r="F657" s="412"/>
      <c r="G657" s="412"/>
      <c r="H657" s="412"/>
      <c r="I657" s="412"/>
      <c r="J657" s="412"/>
      <c r="K657" s="422"/>
      <c r="L657" s="424"/>
      <c r="M657" s="412"/>
      <c r="N657" s="422"/>
      <c r="O657" s="422"/>
      <c r="P657" s="412"/>
      <c r="Q657" s="422"/>
      <c r="R657" s="424"/>
      <c r="S657" s="412"/>
      <c r="T657" s="412"/>
      <c r="U657" s="412"/>
      <c r="V657" s="412"/>
      <c r="W657" s="412"/>
      <c r="X657" s="412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</row>
    <row r="658" spans="2:62" ht="15.75" customHeight="1">
      <c r="B658" s="181"/>
      <c r="C658" s="412"/>
      <c r="D658" s="412"/>
      <c r="E658" s="412"/>
      <c r="F658" s="412"/>
      <c r="G658" s="412"/>
      <c r="H658" s="412"/>
      <c r="I658" s="412"/>
      <c r="J658" s="412"/>
      <c r="K658" s="422"/>
      <c r="L658" s="422"/>
      <c r="M658" s="412"/>
      <c r="N658" s="422"/>
      <c r="O658" s="422"/>
      <c r="P658" s="412"/>
      <c r="Q658" s="422"/>
      <c r="R658" s="422"/>
      <c r="S658" s="412"/>
      <c r="T658" s="412"/>
      <c r="U658" s="412"/>
      <c r="V658" s="412"/>
      <c r="W658" s="412"/>
      <c r="X658" s="412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</row>
    <row r="659" spans="2:62" ht="15.75" customHeight="1">
      <c r="B659" s="181"/>
      <c r="C659" s="412"/>
      <c r="D659" s="412"/>
      <c r="E659" s="412"/>
      <c r="F659" s="412"/>
      <c r="G659" s="412"/>
      <c r="H659" s="412"/>
      <c r="I659" s="412"/>
      <c r="J659" s="412"/>
      <c r="K659" s="412"/>
      <c r="L659" s="412"/>
      <c r="M659" s="412"/>
      <c r="N659" s="424"/>
      <c r="O659" s="424"/>
      <c r="P659" s="412"/>
      <c r="Q659" s="424"/>
      <c r="R659" s="412"/>
      <c r="S659" s="412"/>
      <c r="T659" s="412"/>
      <c r="U659" s="412"/>
      <c r="V659" s="412"/>
      <c r="W659" s="412"/>
      <c r="X659" s="412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</row>
    <row r="660" spans="2:62" ht="15.75" customHeight="1">
      <c r="B660" s="181"/>
      <c r="C660" s="412"/>
      <c r="D660" s="412"/>
      <c r="E660" s="412"/>
      <c r="F660" s="412"/>
      <c r="G660" s="412"/>
      <c r="H660" s="412"/>
      <c r="I660" s="412"/>
      <c r="J660" s="412"/>
      <c r="K660" s="424"/>
      <c r="L660" s="424"/>
      <c r="M660" s="412"/>
      <c r="N660" s="422"/>
      <c r="O660" s="422"/>
      <c r="P660" s="412"/>
      <c r="Q660" s="422"/>
      <c r="R660" s="424"/>
      <c r="S660" s="412"/>
      <c r="T660" s="412"/>
      <c r="U660" s="412"/>
      <c r="V660" s="412"/>
      <c r="W660" s="412"/>
      <c r="X660" s="412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</row>
    <row r="661" spans="2:62" ht="15.75" customHeight="1">
      <c r="B661" s="181"/>
      <c r="C661" s="412"/>
      <c r="D661" s="412"/>
      <c r="E661" s="412"/>
      <c r="F661" s="412"/>
      <c r="G661" s="412"/>
      <c r="H661" s="412"/>
      <c r="I661" s="412"/>
      <c r="J661" s="412"/>
      <c r="K661" s="422"/>
      <c r="L661" s="422"/>
      <c r="M661" s="412"/>
      <c r="N661" s="422"/>
      <c r="O661" s="422"/>
      <c r="P661" s="412"/>
      <c r="Q661" s="422"/>
      <c r="R661" s="422"/>
      <c r="S661" s="412"/>
      <c r="T661" s="412"/>
      <c r="U661" s="412"/>
      <c r="V661" s="412"/>
      <c r="W661" s="412"/>
      <c r="X661" s="412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</row>
    <row r="662" spans="2:62" ht="15.75" customHeight="1">
      <c r="B662" s="181"/>
      <c r="C662" s="412"/>
      <c r="D662" s="412"/>
      <c r="E662" s="412"/>
      <c r="F662" s="412"/>
      <c r="G662" s="412"/>
      <c r="H662" s="412"/>
      <c r="I662" s="412"/>
      <c r="J662" s="412"/>
      <c r="K662" s="422"/>
      <c r="L662" s="422"/>
      <c r="M662" s="412"/>
      <c r="N662" s="422"/>
      <c r="O662" s="422"/>
      <c r="P662" s="412"/>
      <c r="Q662" s="422"/>
      <c r="R662" s="422"/>
      <c r="S662" s="412"/>
      <c r="T662" s="412"/>
      <c r="U662" s="412"/>
      <c r="V662" s="412"/>
      <c r="W662" s="412"/>
      <c r="X662" s="412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</row>
    <row r="663" spans="2:62" ht="15.75" customHeight="1">
      <c r="B663" s="181"/>
      <c r="C663" s="412"/>
      <c r="D663" s="412"/>
      <c r="E663" s="412"/>
      <c r="F663" s="412"/>
      <c r="G663" s="412"/>
      <c r="H663" s="412"/>
      <c r="I663" s="412"/>
      <c r="J663" s="412"/>
      <c r="K663" s="422"/>
      <c r="L663" s="422"/>
      <c r="M663" s="412"/>
      <c r="N663" s="422"/>
      <c r="O663" s="422"/>
      <c r="P663" s="412"/>
      <c r="Q663" s="422"/>
      <c r="R663" s="422"/>
      <c r="S663" s="412"/>
      <c r="T663" s="412"/>
      <c r="U663" s="412"/>
      <c r="V663" s="412"/>
      <c r="W663" s="412"/>
      <c r="X663" s="412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</row>
    <row r="664" spans="2:62" ht="15.75" customHeight="1">
      <c r="B664" s="181"/>
      <c r="C664" s="412"/>
      <c r="D664" s="412"/>
      <c r="E664" s="412"/>
      <c r="F664" s="412"/>
      <c r="G664" s="412"/>
      <c r="H664" s="412"/>
      <c r="I664" s="412"/>
      <c r="J664" s="412"/>
      <c r="K664" s="422"/>
      <c r="L664" s="422"/>
      <c r="M664" s="412"/>
      <c r="N664" s="422"/>
      <c r="O664" s="422"/>
      <c r="P664" s="412"/>
      <c r="Q664" s="422"/>
      <c r="R664" s="422"/>
      <c r="S664" s="412"/>
      <c r="T664" s="412"/>
      <c r="U664" s="412"/>
      <c r="V664" s="412"/>
      <c r="W664" s="412"/>
      <c r="X664" s="412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</row>
    <row r="665" spans="2:62" ht="15.75" customHeight="1">
      <c r="B665" s="181"/>
      <c r="C665" s="412"/>
      <c r="D665" s="412"/>
      <c r="E665" s="412"/>
      <c r="F665" s="412"/>
      <c r="G665" s="412"/>
      <c r="H665" s="412"/>
      <c r="I665" s="412"/>
      <c r="J665" s="412"/>
      <c r="K665" s="422"/>
      <c r="L665" s="422"/>
      <c r="M665" s="412"/>
      <c r="N665" s="422"/>
      <c r="O665" s="422"/>
      <c r="P665" s="412"/>
      <c r="Q665" s="422"/>
      <c r="R665" s="422"/>
      <c r="S665" s="412"/>
      <c r="T665" s="412"/>
      <c r="U665" s="412"/>
      <c r="V665" s="412"/>
      <c r="W665" s="412"/>
      <c r="X665" s="412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</row>
    <row r="666" spans="2:62" ht="15.75" customHeight="1">
      <c r="B666" s="181"/>
      <c r="C666" s="412"/>
      <c r="D666" s="412"/>
      <c r="E666" s="412"/>
      <c r="F666" s="412"/>
      <c r="G666" s="412"/>
      <c r="H666" s="412"/>
      <c r="I666" s="412"/>
      <c r="J666" s="412"/>
      <c r="K666" s="422"/>
      <c r="L666" s="422"/>
      <c r="M666" s="412"/>
      <c r="N666" s="422"/>
      <c r="O666" s="422"/>
      <c r="P666" s="412"/>
      <c r="Q666" s="422"/>
      <c r="R666" s="422"/>
      <c r="S666" s="412"/>
      <c r="T666" s="412"/>
      <c r="U666" s="412"/>
      <c r="V666" s="412"/>
      <c r="W666" s="412"/>
      <c r="X666" s="412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</row>
    <row r="667" spans="2:62" ht="15.75" customHeight="1">
      <c r="B667" s="181"/>
      <c r="C667" s="412"/>
      <c r="D667" s="412"/>
      <c r="E667" s="412"/>
      <c r="F667" s="412"/>
      <c r="G667" s="412"/>
      <c r="H667" s="412"/>
      <c r="I667" s="412"/>
      <c r="J667" s="412"/>
      <c r="K667" s="422"/>
      <c r="L667" s="422"/>
      <c r="M667" s="412"/>
      <c r="N667" s="422"/>
      <c r="O667" s="422"/>
      <c r="P667" s="412"/>
      <c r="Q667" s="422"/>
      <c r="R667" s="422"/>
      <c r="S667" s="412"/>
      <c r="T667" s="412"/>
      <c r="U667" s="412"/>
      <c r="V667" s="412"/>
      <c r="W667" s="412"/>
      <c r="X667" s="412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</row>
    <row r="668" spans="2:62" ht="15.75" customHeight="1">
      <c r="B668" s="181"/>
      <c r="C668" s="412"/>
      <c r="D668" s="412"/>
      <c r="E668" s="412"/>
      <c r="F668" s="412"/>
      <c r="G668" s="412"/>
      <c r="H668" s="412"/>
      <c r="I668" s="412"/>
      <c r="J668" s="412"/>
      <c r="K668" s="422"/>
      <c r="L668" s="422"/>
      <c r="M668" s="412"/>
      <c r="N668" s="422"/>
      <c r="O668" s="422"/>
      <c r="P668" s="412"/>
      <c r="Q668" s="422"/>
      <c r="R668" s="422"/>
      <c r="S668" s="412"/>
      <c r="T668" s="412"/>
      <c r="U668" s="412"/>
      <c r="V668" s="412"/>
      <c r="W668" s="412"/>
      <c r="X668" s="412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</row>
    <row r="669" spans="2:62" ht="15.75" customHeight="1">
      <c r="B669" s="181"/>
      <c r="C669" s="412"/>
      <c r="D669" s="412"/>
      <c r="E669" s="412"/>
      <c r="F669" s="412"/>
      <c r="G669" s="412"/>
      <c r="H669" s="412"/>
      <c r="I669" s="412"/>
      <c r="J669" s="412"/>
      <c r="K669" s="422"/>
      <c r="L669" s="422"/>
      <c r="M669" s="412"/>
      <c r="N669" s="424"/>
      <c r="O669" s="424"/>
      <c r="P669" s="412"/>
      <c r="Q669" s="424"/>
      <c r="R669" s="422"/>
      <c r="S669" s="412"/>
      <c r="T669" s="412"/>
      <c r="U669" s="412"/>
      <c r="V669" s="412"/>
      <c r="W669" s="412"/>
      <c r="X669" s="412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</row>
    <row r="670" spans="2:62" ht="15.75" customHeight="1">
      <c r="B670" s="181"/>
      <c r="C670" s="412"/>
      <c r="D670" s="412"/>
      <c r="E670" s="412"/>
      <c r="F670" s="412"/>
      <c r="G670" s="412"/>
      <c r="H670" s="412"/>
      <c r="I670" s="412"/>
      <c r="J670" s="412"/>
      <c r="K670" s="424"/>
      <c r="L670" s="424"/>
      <c r="M670" s="412"/>
      <c r="N670" s="422"/>
      <c r="O670" s="422"/>
      <c r="P670" s="412"/>
      <c r="Q670" s="422"/>
      <c r="R670" s="424"/>
      <c r="S670" s="412"/>
      <c r="T670" s="412"/>
      <c r="U670" s="412"/>
      <c r="V670" s="412"/>
      <c r="W670" s="412"/>
      <c r="X670" s="412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</row>
    <row r="671" spans="2:62" ht="15.75" customHeight="1">
      <c r="B671" s="181"/>
      <c r="C671" s="412"/>
      <c r="D671" s="412"/>
      <c r="E671" s="412"/>
      <c r="F671" s="412"/>
      <c r="G671" s="412"/>
      <c r="H671" s="412"/>
      <c r="I671" s="412"/>
      <c r="J671" s="412"/>
      <c r="K671" s="422"/>
      <c r="L671" s="422"/>
      <c r="M671" s="412"/>
      <c r="N671" s="422"/>
      <c r="O671" s="422"/>
      <c r="P671" s="412"/>
      <c r="Q671" s="422"/>
      <c r="R671" s="422"/>
      <c r="S671" s="412"/>
      <c r="T671" s="412"/>
      <c r="U671" s="412"/>
      <c r="V671" s="412"/>
      <c r="W671" s="412"/>
      <c r="X671" s="412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</row>
    <row r="672" spans="2:62" ht="15.75" customHeight="1">
      <c r="B672" s="181"/>
      <c r="C672" s="412"/>
      <c r="D672" s="412"/>
      <c r="E672" s="412"/>
      <c r="F672" s="412"/>
      <c r="G672" s="412"/>
      <c r="H672" s="412"/>
      <c r="I672" s="412"/>
      <c r="J672" s="412"/>
      <c r="K672" s="422"/>
      <c r="L672" s="422"/>
      <c r="M672" s="412"/>
      <c r="N672" s="422"/>
      <c r="O672" s="422"/>
      <c r="P672" s="412"/>
      <c r="Q672" s="422"/>
      <c r="R672" s="422"/>
      <c r="S672" s="412"/>
      <c r="T672" s="412"/>
      <c r="U672" s="412"/>
      <c r="V672" s="412"/>
      <c r="W672" s="412"/>
      <c r="X672" s="412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</row>
    <row r="673" spans="2:62" ht="15.75" customHeight="1">
      <c r="B673" s="181"/>
      <c r="C673" s="412"/>
      <c r="D673" s="412"/>
      <c r="E673" s="412"/>
      <c r="F673" s="412"/>
      <c r="G673" s="412"/>
      <c r="H673" s="412"/>
      <c r="I673" s="412"/>
      <c r="J673" s="412"/>
      <c r="K673" s="422"/>
      <c r="L673" s="422"/>
      <c r="M673" s="412"/>
      <c r="N673" s="422"/>
      <c r="O673" s="422"/>
      <c r="P673" s="412"/>
      <c r="Q673" s="422"/>
      <c r="R673" s="422"/>
      <c r="S673" s="412"/>
      <c r="T673" s="412"/>
      <c r="U673" s="412"/>
      <c r="V673" s="412"/>
      <c r="W673" s="412"/>
      <c r="X673" s="412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</row>
    <row r="674" spans="2:62" ht="15.75" customHeight="1">
      <c r="B674" s="181"/>
      <c r="C674" s="412"/>
      <c r="D674" s="412"/>
      <c r="E674" s="412"/>
      <c r="F674" s="412"/>
      <c r="G674" s="412"/>
      <c r="H674" s="412"/>
      <c r="I674" s="412"/>
      <c r="J674" s="412"/>
      <c r="K674" s="422"/>
      <c r="L674" s="422"/>
      <c r="M674" s="412"/>
      <c r="N674" s="422"/>
      <c r="O674" s="422"/>
      <c r="P674" s="412"/>
      <c r="Q674" s="422"/>
      <c r="R674" s="422"/>
      <c r="S674" s="412"/>
      <c r="T674" s="412"/>
      <c r="U674" s="412"/>
      <c r="V674" s="412"/>
      <c r="W674" s="412"/>
      <c r="X674" s="412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</row>
    <row r="675" spans="2:62" ht="15.75" customHeight="1">
      <c r="B675" s="181"/>
      <c r="C675" s="412"/>
      <c r="D675" s="412"/>
      <c r="E675" s="412"/>
      <c r="F675" s="412"/>
      <c r="G675" s="412"/>
      <c r="H675" s="412"/>
      <c r="I675" s="412"/>
      <c r="J675" s="412"/>
      <c r="K675" s="422"/>
      <c r="L675" s="422"/>
      <c r="M675" s="412"/>
      <c r="N675" s="422"/>
      <c r="O675" s="422"/>
      <c r="P675" s="412"/>
      <c r="Q675" s="422"/>
      <c r="R675" s="422"/>
      <c r="S675" s="412"/>
      <c r="T675" s="412"/>
      <c r="U675" s="412"/>
      <c r="V675" s="412"/>
      <c r="W675" s="412"/>
      <c r="X675" s="412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</row>
    <row r="676" spans="2:62" ht="15.75" customHeight="1">
      <c r="B676" s="181"/>
      <c r="C676" s="412"/>
      <c r="D676" s="412"/>
      <c r="E676" s="412"/>
      <c r="F676" s="412"/>
      <c r="G676" s="412"/>
      <c r="H676" s="412"/>
      <c r="I676" s="412"/>
      <c r="J676" s="412"/>
      <c r="K676" s="422"/>
      <c r="L676" s="422"/>
      <c r="M676" s="412"/>
      <c r="N676" s="422"/>
      <c r="O676" s="422"/>
      <c r="P676" s="412"/>
      <c r="Q676" s="422"/>
      <c r="R676" s="422"/>
      <c r="S676" s="412"/>
      <c r="T676" s="412"/>
      <c r="U676" s="412"/>
      <c r="V676" s="412"/>
      <c r="W676" s="412"/>
      <c r="X676" s="412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</row>
    <row r="677" spans="2:62" ht="15.75" customHeight="1">
      <c r="B677" s="181"/>
      <c r="C677" s="412"/>
      <c r="D677" s="412"/>
      <c r="E677" s="412"/>
      <c r="F677" s="412"/>
      <c r="G677" s="412"/>
      <c r="H677" s="412"/>
      <c r="I677" s="412"/>
      <c r="J677" s="412"/>
      <c r="K677" s="422"/>
      <c r="L677" s="422"/>
      <c r="M677" s="412"/>
      <c r="N677" s="422"/>
      <c r="O677" s="422"/>
      <c r="P677" s="412"/>
      <c r="Q677" s="422"/>
      <c r="R677" s="422"/>
      <c r="S677" s="412"/>
      <c r="T677" s="412"/>
      <c r="U677" s="412"/>
      <c r="V677" s="412"/>
      <c r="W677" s="412"/>
      <c r="X677" s="412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</row>
    <row r="678" spans="2:62" ht="15.75" customHeight="1">
      <c r="B678" s="181"/>
      <c r="C678" s="412"/>
      <c r="D678" s="412"/>
      <c r="E678" s="412"/>
      <c r="F678" s="412"/>
      <c r="G678" s="412"/>
      <c r="H678" s="412"/>
      <c r="I678" s="412"/>
      <c r="J678" s="412"/>
      <c r="K678" s="422"/>
      <c r="L678" s="422"/>
      <c r="M678" s="412"/>
      <c r="N678" s="422"/>
      <c r="O678" s="422"/>
      <c r="P678" s="412"/>
      <c r="Q678" s="422"/>
      <c r="R678" s="422"/>
      <c r="S678" s="412"/>
      <c r="T678" s="412"/>
      <c r="U678" s="412"/>
      <c r="V678" s="412"/>
      <c r="W678" s="412"/>
      <c r="X678" s="412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</row>
    <row r="679" spans="2:62" ht="15.75" customHeight="1">
      <c r="B679" s="181"/>
      <c r="C679" s="412"/>
      <c r="D679" s="412"/>
      <c r="E679" s="412"/>
      <c r="F679" s="412"/>
      <c r="G679" s="412"/>
      <c r="H679" s="412"/>
      <c r="I679" s="412"/>
      <c r="J679" s="412"/>
      <c r="K679" s="422"/>
      <c r="L679" s="422"/>
      <c r="M679" s="412"/>
      <c r="N679" s="422"/>
      <c r="O679" s="422"/>
      <c r="P679" s="412"/>
      <c r="Q679" s="422"/>
      <c r="R679" s="422"/>
      <c r="S679" s="412"/>
      <c r="T679" s="412"/>
      <c r="U679" s="412"/>
      <c r="V679" s="412"/>
      <c r="W679" s="412"/>
      <c r="X679" s="412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</row>
    <row r="680" spans="2:62" ht="15.75" customHeight="1">
      <c r="B680" s="181"/>
      <c r="C680" s="412"/>
      <c r="D680" s="412"/>
      <c r="E680" s="412"/>
      <c r="F680" s="412"/>
      <c r="G680" s="412"/>
      <c r="H680" s="412"/>
      <c r="I680" s="412"/>
      <c r="J680" s="412"/>
      <c r="K680" s="422"/>
      <c r="L680" s="422"/>
      <c r="M680" s="412"/>
      <c r="N680" s="422"/>
      <c r="O680" s="422"/>
      <c r="P680" s="412"/>
      <c r="Q680" s="422"/>
      <c r="R680" s="422"/>
      <c r="S680" s="412"/>
      <c r="T680" s="412"/>
      <c r="U680" s="412"/>
      <c r="V680" s="412"/>
      <c r="W680" s="412"/>
      <c r="X680" s="412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</row>
    <row r="681" spans="2:62" ht="15.75" customHeight="1">
      <c r="B681" s="181"/>
      <c r="C681" s="412"/>
      <c r="D681" s="412"/>
      <c r="E681" s="412"/>
      <c r="F681" s="412"/>
      <c r="G681" s="412"/>
      <c r="H681" s="412"/>
      <c r="I681" s="412"/>
      <c r="J681" s="412"/>
      <c r="K681" s="422"/>
      <c r="L681" s="422"/>
      <c r="M681" s="412"/>
      <c r="N681" s="422"/>
      <c r="O681" s="422"/>
      <c r="P681" s="412"/>
      <c r="Q681" s="422"/>
      <c r="R681" s="422"/>
      <c r="S681" s="412"/>
      <c r="T681" s="412"/>
      <c r="U681" s="412"/>
      <c r="V681" s="412"/>
      <c r="W681" s="412"/>
      <c r="X681" s="412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</row>
    <row r="682" spans="2:62" ht="15.75" customHeight="1">
      <c r="B682" s="181"/>
      <c r="C682" s="412"/>
      <c r="D682" s="412"/>
      <c r="E682" s="412"/>
      <c r="F682" s="412"/>
      <c r="G682" s="412"/>
      <c r="H682" s="412"/>
      <c r="I682" s="412"/>
      <c r="J682" s="412"/>
      <c r="K682" s="422"/>
      <c r="L682" s="422"/>
      <c r="M682" s="412"/>
      <c r="N682" s="422"/>
      <c r="O682" s="422"/>
      <c r="P682" s="412"/>
      <c r="Q682" s="422"/>
      <c r="R682" s="422"/>
      <c r="S682" s="412"/>
      <c r="T682" s="412"/>
      <c r="U682" s="412"/>
      <c r="V682" s="412"/>
      <c r="W682" s="412"/>
      <c r="X682" s="412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</row>
    <row r="683" spans="2:62" ht="15.75" customHeight="1">
      <c r="B683" s="181"/>
      <c r="C683" s="412"/>
      <c r="D683" s="412"/>
      <c r="E683" s="412"/>
      <c r="F683" s="412"/>
      <c r="G683" s="412"/>
      <c r="H683" s="412"/>
      <c r="I683" s="412"/>
      <c r="J683" s="412"/>
      <c r="K683" s="422"/>
      <c r="L683" s="422"/>
      <c r="M683" s="412"/>
      <c r="N683" s="422"/>
      <c r="O683" s="422"/>
      <c r="P683" s="412"/>
      <c r="Q683" s="422"/>
      <c r="R683" s="422"/>
      <c r="S683" s="412"/>
      <c r="T683" s="412"/>
      <c r="U683" s="412"/>
      <c r="V683" s="412"/>
      <c r="W683" s="412"/>
      <c r="X683" s="412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</row>
    <row r="684" spans="2:62" ht="15.75" customHeight="1">
      <c r="B684" s="181"/>
      <c r="C684" s="412"/>
      <c r="D684" s="412"/>
      <c r="E684" s="412"/>
      <c r="F684" s="412"/>
      <c r="G684" s="412"/>
      <c r="H684" s="412"/>
      <c r="I684" s="412"/>
      <c r="J684" s="412"/>
      <c r="K684" s="422"/>
      <c r="L684" s="422"/>
      <c r="M684" s="412"/>
      <c r="N684" s="412"/>
      <c r="O684" s="412"/>
      <c r="P684" s="412"/>
      <c r="Q684" s="412"/>
      <c r="R684" s="422"/>
      <c r="S684" s="412"/>
      <c r="T684" s="412"/>
      <c r="U684" s="412"/>
      <c r="V684" s="412"/>
      <c r="W684" s="412"/>
      <c r="X684" s="412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</row>
    <row r="685" spans="2:62" ht="15.75" customHeight="1">
      <c r="B685" s="181"/>
      <c r="C685" s="412"/>
      <c r="D685" s="412"/>
      <c r="E685" s="412"/>
      <c r="F685" s="412"/>
      <c r="G685" s="412"/>
      <c r="H685" s="412"/>
      <c r="I685" s="412"/>
      <c r="J685" s="412"/>
      <c r="K685" s="422"/>
      <c r="L685" s="422"/>
      <c r="M685" s="412"/>
      <c r="N685" s="424"/>
      <c r="O685" s="424"/>
      <c r="P685" s="412"/>
      <c r="Q685" s="424"/>
      <c r="R685" s="422"/>
      <c r="S685" s="412"/>
      <c r="T685" s="412"/>
      <c r="U685" s="412"/>
      <c r="V685" s="412"/>
      <c r="W685" s="412"/>
      <c r="X685" s="412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</row>
    <row r="686" spans="2:62" ht="15.75" customHeight="1">
      <c r="B686" s="181"/>
      <c r="C686" s="412"/>
      <c r="D686" s="412"/>
      <c r="E686" s="412"/>
      <c r="F686" s="412"/>
      <c r="G686" s="412"/>
      <c r="H686" s="412"/>
      <c r="I686" s="412"/>
      <c r="J686" s="412"/>
      <c r="K686" s="412"/>
      <c r="L686" s="412"/>
      <c r="M686" s="412"/>
      <c r="N686" s="422"/>
      <c r="O686" s="422"/>
      <c r="P686" s="412"/>
      <c r="Q686" s="422"/>
      <c r="R686" s="412"/>
      <c r="S686" s="412"/>
      <c r="T686" s="412"/>
      <c r="U686" s="412"/>
      <c r="V686" s="412"/>
      <c r="W686" s="412"/>
      <c r="X686" s="412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</row>
    <row r="687" spans="2:62" ht="15.75" customHeight="1">
      <c r="B687" s="181"/>
      <c r="C687" s="412"/>
      <c r="D687" s="412"/>
      <c r="E687" s="412"/>
      <c r="F687" s="412"/>
      <c r="G687" s="412"/>
      <c r="H687" s="412"/>
      <c r="I687" s="412"/>
      <c r="J687" s="412"/>
      <c r="K687" s="424"/>
      <c r="L687" s="424"/>
      <c r="M687" s="412"/>
      <c r="N687" s="422"/>
      <c r="O687" s="422"/>
      <c r="P687" s="412"/>
      <c r="Q687" s="422"/>
      <c r="R687" s="424"/>
      <c r="S687" s="412"/>
      <c r="T687" s="412"/>
      <c r="U687" s="412"/>
      <c r="V687" s="412"/>
      <c r="W687" s="412"/>
      <c r="X687" s="412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</row>
    <row r="688" spans="2:62" ht="15.75" customHeight="1">
      <c r="B688" s="181"/>
      <c r="C688" s="412"/>
      <c r="D688" s="412"/>
      <c r="E688" s="412"/>
      <c r="F688" s="412"/>
      <c r="G688" s="412"/>
      <c r="H688" s="412"/>
      <c r="I688" s="412"/>
      <c r="J688" s="412"/>
      <c r="K688" s="422"/>
      <c r="L688" s="422"/>
      <c r="M688" s="412"/>
      <c r="N688" s="422"/>
      <c r="O688" s="422"/>
      <c r="P688" s="412"/>
      <c r="Q688" s="422"/>
      <c r="R688" s="422"/>
      <c r="S688" s="412"/>
      <c r="T688" s="412"/>
      <c r="U688" s="412"/>
      <c r="V688" s="412"/>
      <c r="W688" s="412"/>
      <c r="X688" s="412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</row>
    <row r="689" spans="2:62" ht="15.75" customHeight="1">
      <c r="B689" s="181"/>
      <c r="C689" s="412"/>
      <c r="D689" s="412"/>
      <c r="E689" s="412"/>
      <c r="F689" s="412"/>
      <c r="G689" s="412"/>
      <c r="H689" s="412"/>
      <c r="I689" s="412"/>
      <c r="J689" s="412"/>
      <c r="K689" s="422"/>
      <c r="L689" s="422"/>
      <c r="M689" s="412"/>
      <c r="N689" s="422"/>
      <c r="O689" s="422"/>
      <c r="P689" s="412"/>
      <c r="Q689" s="422"/>
      <c r="R689" s="422"/>
      <c r="S689" s="412"/>
      <c r="T689" s="412"/>
      <c r="U689" s="412"/>
      <c r="V689" s="412"/>
      <c r="W689" s="412"/>
      <c r="X689" s="412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</row>
    <row r="690" spans="2:62" ht="15.75" customHeight="1">
      <c r="B690" s="181"/>
      <c r="C690" s="412"/>
      <c r="D690" s="412"/>
      <c r="E690" s="412"/>
      <c r="F690" s="412"/>
      <c r="G690" s="412"/>
      <c r="H690" s="412"/>
      <c r="I690" s="412"/>
      <c r="J690" s="412"/>
      <c r="K690" s="422"/>
      <c r="L690" s="422"/>
      <c r="M690" s="412"/>
      <c r="N690" s="422"/>
      <c r="O690" s="422"/>
      <c r="P690" s="412"/>
      <c r="Q690" s="422"/>
      <c r="R690" s="422"/>
      <c r="S690" s="412"/>
      <c r="T690" s="412"/>
      <c r="U690" s="412"/>
      <c r="V690" s="412"/>
      <c r="W690" s="412"/>
      <c r="X690" s="412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</row>
    <row r="691" spans="2:62" ht="15.75" customHeight="1">
      <c r="B691" s="181"/>
      <c r="C691" s="412"/>
      <c r="D691" s="412"/>
      <c r="E691" s="412"/>
      <c r="F691" s="412"/>
      <c r="G691" s="412"/>
      <c r="H691" s="412"/>
      <c r="I691" s="412"/>
      <c r="J691" s="412"/>
      <c r="K691" s="422"/>
      <c r="L691" s="422"/>
      <c r="M691" s="412"/>
      <c r="N691" s="422"/>
      <c r="O691" s="422"/>
      <c r="P691" s="412"/>
      <c r="Q691" s="422"/>
      <c r="R691" s="422"/>
      <c r="S691" s="412"/>
      <c r="T691" s="412"/>
      <c r="U691" s="412"/>
      <c r="V691" s="412"/>
      <c r="W691" s="412"/>
      <c r="X691" s="412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</row>
    <row r="692" spans="2:62" ht="15.75" customHeight="1">
      <c r="B692" s="181"/>
      <c r="C692" s="412"/>
      <c r="D692" s="412"/>
      <c r="E692" s="412"/>
      <c r="F692" s="412"/>
      <c r="G692" s="412"/>
      <c r="H692" s="412"/>
      <c r="I692" s="412"/>
      <c r="J692" s="412"/>
      <c r="K692" s="422"/>
      <c r="L692" s="422"/>
      <c r="M692" s="412"/>
      <c r="N692" s="422"/>
      <c r="O692" s="422"/>
      <c r="P692" s="412"/>
      <c r="Q692" s="422"/>
      <c r="R692" s="422"/>
      <c r="S692" s="412"/>
      <c r="T692" s="412"/>
      <c r="U692" s="412"/>
      <c r="V692" s="412"/>
      <c r="W692" s="412"/>
      <c r="X692" s="412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</row>
    <row r="693" spans="2:62" ht="15.75" customHeight="1">
      <c r="B693" s="181"/>
      <c r="C693" s="412"/>
      <c r="D693" s="412"/>
      <c r="E693" s="412"/>
      <c r="F693" s="412"/>
      <c r="G693" s="412"/>
      <c r="H693" s="412"/>
      <c r="I693" s="412"/>
      <c r="J693" s="412"/>
      <c r="K693" s="422"/>
      <c r="L693" s="422"/>
      <c r="M693" s="412"/>
      <c r="N693" s="422"/>
      <c r="O693" s="422"/>
      <c r="P693" s="412"/>
      <c r="Q693" s="422"/>
      <c r="R693" s="422"/>
      <c r="S693" s="412"/>
      <c r="T693" s="412"/>
      <c r="U693" s="412"/>
      <c r="V693" s="412"/>
      <c r="W693" s="412"/>
      <c r="X693" s="412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</row>
    <row r="694" spans="2:62" ht="15.75" customHeight="1">
      <c r="B694" s="181"/>
      <c r="C694" s="412"/>
      <c r="D694" s="412"/>
      <c r="E694" s="412"/>
      <c r="F694" s="412"/>
      <c r="G694" s="412"/>
      <c r="H694" s="412"/>
      <c r="I694" s="412"/>
      <c r="J694" s="412"/>
      <c r="K694" s="422"/>
      <c r="L694" s="424"/>
      <c r="M694" s="412"/>
      <c r="N694" s="422"/>
      <c r="O694" s="422"/>
      <c r="P694" s="412"/>
      <c r="Q694" s="422"/>
      <c r="R694" s="424"/>
      <c r="S694" s="412"/>
      <c r="T694" s="412"/>
      <c r="U694" s="412"/>
      <c r="V694" s="412"/>
      <c r="W694" s="412"/>
      <c r="X694" s="412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</row>
    <row r="695" spans="2:62" ht="15.75" customHeight="1">
      <c r="B695" s="181"/>
      <c r="C695" s="412"/>
      <c r="D695" s="412"/>
      <c r="E695" s="412"/>
      <c r="F695" s="412"/>
      <c r="G695" s="412"/>
      <c r="H695" s="412"/>
      <c r="I695" s="412"/>
      <c r="J695" s="412"/>
      <c r="K695" s="422"/>
      <c r="L695" s="422"/>
      <c r="M695" s="412"/>
      <c r="N695" s="422"/>
      <c r="O695" s="422"/>
      <c r="P695" s="412"/>
      <c r="Q695" s="422"/>
      <c r="R695" s="422"/>
      <c r="S695" s="412"/>
      <c r="T695" s="412"/>
      <c r="U695" s="412"/>
      <c r="V695" s="412"/>
      <c r="W695" s="412"/>
      <c r="X695" s="412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</row>
    <row r="696" spans="2:62" ht="15.75" customHeight="1">
      <c r="B696" s="181"/>
      <c r="C696" s="412"/>
      <c r="D696" s="412"/>
      <c r="E696" s="412"/>
      <c r="F696" s="412"/>
      <c r="G696" s="412"/>
      <c r="H696" s="412"/>
      <c r="I696" s="412"/>
      <c r="J696" s="412"/>
      <c r="K696" s="422"/>
      <c r="L696" s="422"/>
      <c r="M696" s="412"/>
      <c r="N696" s="422"/>
      <c r="O696" s="422"/>
      <c r="P696" s="412"/>
      <c r="Q696" s="422"/>
      <c r="R696" s="422"/>
      <c r="S696" s="412"/>
      <c r="T696" s="412"/>
      <c r="U696" s="412"/>
      <c r="V696" s="412"/>
      <c r="W696" s="412"/>
      <c r="X696" s="412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</row>
    <row r="697" spans="2:62" ht="15.75" customHeight="1">
      <c r="B697" s="181"/>
      <c r="C697" s="412"/>
      <c r="D697" s="412"/>
      <c r="E697" s="412"/>
      <c r="F697" s="412"/>
      <c r="G697" s="412"/>
      <c r="H697" s="412"/>
      <c r="I697" s="412"/>
      <c r="J697" s="412"/>
      <c r="K697" s="422"/>
      <c r="L697" s="422"/>
      <c r="M697" s="412"/>
      <c r="N697" s="424"/>
      <c r="O697" s="424"/>
      <c r="P697" s="412"/>
      <c r="Q697" s="424"/>
      <c r="R697" s="422"/>
      <c r="S697" s="412"/>
      <c r="T697" s="412"/>
      <c r="U697" s="412"/>
      <c r="V697" s="412"/>
      <c r="W697" s="412"/>
      <c r="X697" s="412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phoneticPr fontId="19" type="noConversion"/>
  <conditionalFormatting sqref="F5 H318:H347 J318:K347 O318:P347">
    <cfRule type="expression" dxfId="281" priority="255" stopIfTrue="1">
      <formula>"esterreur(reference)"</formula>
    </cfRule>
  </conditionalFormatting>
  <conditionalFormatting sqref="F171">
    <cfRule type="expression" dxfId="280" priority="15" stopIfTrue="1">
      <formula>"esterreur(reference)"</formula>
    </cfRule>
  </conditionalFormatting>
  <conditionalFormatting sqref="F184">
    <cfRule type="expression" dxfId="279" priority="12" stopIfTrue="1">
      <formula>"esterreur(reference)"</formula>
    </cfRule>
  </conditionalFormatting>
  <conditionalFormatting sqref="F232">
    <cfRule type="expression" dxfId="278" priority="13" stopIfTrue="1">
      <formula>"esterreur(reference)"</formula>
    </cfRule>
  </conditionalFormatting>
  <conditionalFormatting sqref="G112:G113">
    <cfRule type="expression" dxfId="277" priority="75" stopIfTrue="1">
      <formula>"esterreur(reference)"</formula>
    </cfRule>
  </conditionalFormatting>
  <conditionalFormatting sqref="H136:H152">
    <cfRule type="expression" dxfId="276" priority="113" stopIfTrue="1">
      <formula>"esterreur(reference)"</formula>
    </cfRule>
  </conditionalFormatting>
  <conditionalFormatting sqref="H359">
    <cfRule type="expression" dxfId="275" priority="407" stopIfTrue="1">
      <formula>"esterreur(reference)"</formula>
    </cfRule>
  </conditionalFormatting>
  <conditionalFormatting sqref="H395:L398">
    <cfRule type="expression" dxfId="274" priority="404" stopIfTrue="1">
      <formula>"esterreur(reference)"</formula>
    </cfRule>
  </conditionalFormatting>
  <conditionalFormatting sqref="I5">
    <cfRule type="expression" dxfId="273" priority="74" stopIfTrue="1">
      <formula>"esterreur(reference)"</formula>
    </cfRule>
  </conditionalFormatting>
  <conditionalFormatting sqref="I184">
    <cfRule type="expression" dxfId="272" priority="71" stopIfTrue="1">
      <formula>"esterreur(reference)"</formula>
    </cfRule>
  </conditionalFormatting>
  <conditionalFormatting sqref="I376:L376 H377:H394">
    <cfRule type="expression" dxfId="271" priority="405" stopIfTrue="1">
      <formula>"esterreur(reference)"</formula>
    </cfRule>
  </conditionalFormatting>
  <conditionalFormatting sqref="J3 I13:J14 I16:J16 I17 I18:J18 J19 I20:J20 J21:J23 I24:J24 H25:L30 J31:K48 H31:H72 F83:F85 H83:L85 H86:K88 L87:L90 H90:I90 K90 J90:J91 H98:L98 I101:L101 H101:H104 I105:L111 H106:H134 I122:L122 H135:L135 H153:L153 H156:H157 J156:K157 H164:L164 H165 J165:K165 H166:K167 L167:L169 H169:I169 K169 J169:J171 H171:I171 K171:L171 H229 J229:K229 H232:L232 H233 J233:K233 H234:K235 L235:L237 H237:I237 K237 J237:J240 H239:I239 J243:L243 J252:L253 J254:K283 J284:J285 J288:L288 J289:K289 H290:K290 L291:L292 H292:I292 K292 J292:J293 H294:L294 H304:L306 H309:L310 H313:L317 H348:L348 H351:L351 H352:H354 J352:K354 H360:L363 H364:H375 H399 J399:K399">
    <cfRule type="expression" dxfId="270" priority="390" stopIfTrue="1">
      <formula>"esterreur(reference)"</formula>
    </cfRule>
  </conditionalFormatting>
  <conditionalFormatting sqref="J49:L72">
    <cfRule type="expression" dxfId="269" priority="118" stopIfTrue="1">
      <formula>"esterreur(reference)"</formula>
    </cfRule>
  </conditionalFormatting>
  <conditionalFormatting sqref="J102:L104">
    <cfRule type="expression" dxfId="268" priority="363" stopIfTrue="1">
      <formula>"esterreur(reference)"</formula>
    </cfRule>
  </conditionalFormatting>
  <conditionalFormatting sqref="J112:L121">
    <cfRule type="expression" dxfId="267" priority="335" stopIfTrue="1">
      <formula>"esterreur(reference)"</formula>
    </cfRule>
  </conditionalFormatting>
  <conditionalFormatting sqref="J123:L134">
    <cfRule type="expression" dxfId="266" priority="263" stopIfTrue="1">
      <formula>"esterreur(reference)"</formula>
    </cfRule>
  </conditionalFormatting>
  <conditionalFormatting sqref="J136:L152">
    <cfRule type="expression" dxfId="265" priority="112" stopIfTrue="1">
      <formula>"esterreur(reference)"</formula>
    </cfRule>
  </conditionalFormatting>
  <conditionalFormatting sqref="J295:L303">
    <cfRule type="expression" dxfId="264" priority="85" stopIfTrue="1">
      <formula>"esterreur(reference)"</formula>
    </cfRule>
  </conditionalFormatting>
  <conditionalFormatting sqref="J307:L308">
    <cfRule type="expression" dxfId="263" priority="279" stopIfTrue="1">
      <formula>"esterreur(reference)"</formula>
    </cfRule>
  </conditionalFormatting>
  <conditionalFormatting sqref="J359:L359">
    <cfRule type="expression" dxfId="262" priority="268" stopIfTrue="1">
      <formula>"esterreur(reference)"</formula>
    </cfRule>
  </conditionalFormatting>
  <conditionalFormatting sqref="J364:L375">
    <cfRule type="expression" dxfId="261" priority="275" stopIfTrue="1">
      <formula>"esterreur(reference)"</formula>
    </cfRule>
  </conditionalFormatting>
  <conditionalFormatting sqref="J377:L393">
    <cfRule type="expression" dxfId="260" priority="274" stopIfTrue="1">
      <formula>"esterreur(reference)"</formula>
    </cfRule>
  </conditionalFormatting>
  <conditionalFormatting sqref="J311:M312">
    <cfRule type="expression" dxfId="259" priority="36" stopIfTrue="1">
      <formula>"esterreur(reference)"</formula>
    </cfRule>
  </conditionalFormatting>
  <conditionalFormatting sqref="K5">
    <cfRule type="expression" dxfId="258" priority="284" stopIfTrue="1">
      <formula>"esterreur(reference)"</formula>
    </cfRule>
  </conditionalFormatting>
  <conditionalFormatting sqref="K394">
    <cfRule type="expression" dxfId="257" priority="408" stopIfTrue="1">
      <formula>"esterreur(reference)"</formula>
    </cfRule>
  </conditionalFormatting>
  <conditionalFormatting sqref="K93:L93">
    <cfRule type="expression" dxfId="256" priority="105" stopIfTrue="1">
      <formula>"esterreur(reference)"</formula>
    </cfRule>
  </conditionalFormatting>
  <conditionalFormatting sqref="K239:L241">
    <cfRule type="expression" dxfId="255" priority="86" stopIfTrue="1">
      <formula>"esterreur(reference)"</formula>
    </cfRule>
  </conditionalFormatting>
  <conditionalFormatting sqref="K244:L244">
    <cfRule type="expression" dxfId="254" priority="281" stopIfTrue="1">
      <formula>"esterreur(reference)"</formula>
    </cfRule>
  </conditionalFormatting>
  <conditionalFormatting sqref="K247:L247">
    <cfRule type="expression" dxfId="253" priority="280" stopIfTrue="1">
      <formula>"esterreur(reference)"</formula>
    </cfRule>
  </conditionalFormatting>
  <conditionalFormatting sqref="K99:M100">
    <cfRule type="expression" dxfId="252" priority="21" stopIfTrue="1">
      <formula>"esterreur(reference)"</formula>
    </cfRule>
  </conditionalFormatting>
  <conditionalFormatting sqref="L5:L14">
    <cfRule type="expression" dxfId="251" priority="73" stopIfTrue="1">
      <formula>"esterreur(reference)"</formula>
    </cfRule>
  </conditionalFormatting>
  <conditionalFormatting sqref="L16:L24">
    <cfRule type="expression" dxfId="250" priority="387" stopIfTrue="1">
      <formula>"esterreur(reference)"</formula>
    </cfRule>
  </conditionalFormatting>
  <conditionalFormatting sqref="L42:L48">
    <cfRule type="expression" dxfId="249" priority="383" stopIfTrue="1">
      <formula>"esterreur(reference)"</formula>
    </cfRule>
  </conditionalFormatting>
  <conditionalFormatting sqref="L75:L82">
    <cfRule type="expression" dxfId="248" priority="258" stopIfTrue="1">
      <formula>"esterreur(reference)"</formula>
    </cfRule>
  </conditionalFormatting>
  <conditionalFormatting sqref="L156:L162">
    <cfRule type="expression" dxfId="247" priority="109" stopIfTrue="1">
      <formula>"esterreur(reference)"</formula>
    </cfRule>
  </conditionalFormatting>
  <conditionalFormatting sqref="L184">
    <cfRule type="expression" dxfId="246" priority="70" stopIfTrue="1">
      <formula>"esterreur(reference)"</formula>
    </cfRule>
  </conditionalFormatting>
  <conditionalFormatting sqref="L254:L265">
    <cfRule type="expression" dxfId="245" priority="305" stopIfTrue="1">
      <formula>"esterreur(reference)"</formula>
    </cfRule>
  </conditionalFormatting>
  <conditionalFormatting sqref="L267:L285">
    <cfRule type="expression" dxfId="244" priority="260" stopIfTrue="1">
      <formula>"esterreur(reference)"</formula>
    </cfRule>
  </conditionalFormatting>
  <conditionalFormatting sqref="L318:L328">
    <cfRule type="expression" dxfId="243" priority="286" stopIfTrue="1">
      <formula>"esterreur(reference)"</formula>
    </cfRule>
  </conditionalFormatting>
  <conditionalFormatting sqref="L330:L347">
    <cfRule type="expression" dxfId="242" priority="259" stopIfTrue="1">
      <formula>"esterreur(reference)"</formula>
    </cfRule>
  </conditionalFormatting>
  <conditionalFormatting sqref="L355:L356 H356:I356 K356 J356:J357 H358:L358">
    <cfRule type="expression" dxfId="241" priority="403" stopIfTrue="1">
      <formula>"esterreur(reference)"</formula>
    </cfRule>
  </conditionalFormatting>
  <conditionalFormatting sqref="M13">
    <cfRule type="expression" dxfId="240" priority="24" stopIfTrue="1">
      <formula>"esterreur(reference)"</formula>
    </cfRule>
  </conditionalFormatting>
  <conditionalFormatting sqref="M95:M96">
    <cfRule type="expression" dxfId="239" priority="391" stopIfTrue="1">
      <formula>"esterreur(reference)"</formula>
    </cfRule>
  </conditionalFormatting>
  <conditionalFormatting sqref="M24:N24">
    <cfRule type="expression" dxfId="238" priority="23" stopIfTrue="1">
      <formula>"esterreur(reference)"</formula>
    </cfRule>
  </conditionalFormatting>
  <conditionalFormatting sqref="M27:N27">
    <cfRule type="expression" dxfId="237" priority="22" stopIfTrue="1">
      <formula>"esterreur(reference)"</formula>
    </cfRule>
  </conditionalFormatting>
  <conditionalFormatting sqref="N54">
    <cfRule type="expression" dxfId="236" priority="28" stopIfTrue="1">
      <formula>"esterreur(reference)"</formula>
    </cfRule>
  </conditionalFormatting>
  <conditionalFormatting sqref="N72">
    <cfRule type="expression" dxfId="235" priority="27" stopIfTrue="1">
      <formula>"esterreur(reference)"</formula>
    </cfRule>
  </conditionalFormatting>
  <conditionalFormatting sqref="N83">
    <cfRule type="expression" dxfId="234" priority="26" stopIfTrue="1">
      <formula>"esterreur(reference)"</formula>
    </cfRule>
  </conditionalFormatting>
  <conditionalFormatting sqref="N85">
    <cfRule type="expression" dxfId="233" priority="25" stopIfTrue="1">
      <formula>"esterreur(reference)"</formula>
    </cfRule>
  </conditionalFormatting>
  <conditionalFormatting sqref="N105">
    <cfRule type="expression" dxfId="232" priority="20" stopIfTrue="1">
      <formula>"esterreur(reference)"</formula>
    </cfRule>
  </conditionalFormatting>
  <conditionalFormatting sqref="N108">
    <cfRule type="expression" dxfId="231" priority="19" stopIfTrue="1">
      <formula>"esterreur(reference)"</formula>
    </cfRule>
  </conditionalFormatting>
  <conditionalFormatting sqref="N122">
    <cfRule type="expression" dxfId="230" priority="18" stopIfTrue="1">
      <formula>"esterreur(reference)"</formula>
    </cfRule>
  </conditionalFormatting>
  <conditionalFormatting sqref="N135">
    <cfRule type="expression" dxfId="229" priority="17" stopIfTrue="1">
      <formula>"esterreur(reference)"</formula>
    </cfRule>
  </conditionalFormatting>
  <conditionalFormatting sqref="N153">
    <cfRule type="expression" dxfId="228" priority="16" stopIfTrue="1">
      <formula>"esterreur(reference)"</formula>
    </cfRule>
  </conditionalFormatting>
  <conditionalFormatting sqref="N285">
    <cfRule type="expression" dxfId="227" priority="9" stopIfTrue="1">
      <formula>"esterreur(reference)"</formula>
    </cfRule>
  </conditionalFormatting>
  <conditionalFormatting sqref="N304">
    <cfRule type="expression" dxfId="226" priority="8" stopIfTrue="1">
      <formula>"esterreur(reference)"</formula>
    </cfRule>
  </conditionalFormatting>
  <conditionalFormatting sqref="N309">
    <cfRule type="expression" dxfId="225" priority="7" stopIfTrue="1">
      <formula>"esterreur(reference)"</formula>
    </cfRule>
  </conditionalFormatting>
  <conditionalFormatting sqref="N314">
    <cfRule type="expression" dxfId="224" priority="6" stopIfTrue="1">
      <formula>"esterreur(reference)"</formula>
    </cfRule>
  </conditionalFormatting>
  <conditionalFormatting sqref="N361">
    <cfRule type="expression" dxfId="223" priority="3" stopIfTrue="1">
      <formula>"esterreur(reference)"</formula>
    </cfRule>
  </conditionalFormatting>
  <conditionalFormatting sqref="N376">
    <cfRule type="expression" dxfId="222" priority="2" stopIfTrue="1">
      <formula>"esterreur(reference)"</formula>
    </cfRule>
  </conditionalFormatting>
  <conditionalFormatting sqref="N232:Q232">
    <cfRule type="expression" dxfId="221" priority="11" stopIfTrue="1">
      <formula>"esterreur(reference)"</formula>
    </cfRule>
  </conditionalFormatting>
  <conditionalFormatting sqref="N288:Q288">
    <cfRule type="expression" dxfId="220" priority="10" stopIfTrue="1">
      <formula>"esterreur(reference)"</formula>
    </cfRule>
  </conditionalFormatting>
  <conditionalFormatting sqref="N348:Q348">
    <cfRule type="expression" dxfId="219" priority="5" stopIfTrue="1">
      <formula>"esterreur(reference)"</formula>
    </cfRule>
  </conditionalFormatting>
  <conditionalFormatting sqref="N351:Q351">
    <cfRule type="expression" dxfId="218" priority="4" stopIfTrue="1">
      <formula>"esterreur(reference)"</formula>
    </cfRule>
  </conditionalFormatting>
  <conditionalFormatting sqref="N395:Q398">
    <cfRule type="expression" dxfId="217" priority="1" stopIfTrue="1">
      <formula>"esterreur(reference)"</formula>
    </cfRule>
  </conditionalFormatting>
  <conditionalFormatting sqref="O13:O14 O16 O18:O24 O83:Q85">
    <cfRule type="expression" dxfId="216" priority="250" stopIfTrue="1">
      <formula>"esterreur(reference)"</formula>
    </cfRule>
  </conditionalFormatting>
  <conditionalFormatting sqref="O229:P229 O233:P233">
    <cfRule type="expression" dxfId="215" priority="181" stopIfTrue="1">
      <formula>"esterreur(reference)"</formula>
    </cfRule>
  </conditionalFormatting>
  <conditionalFormatting sqref="O25:Q72">
    <cfRule type="expression" dxfId="214" priority="119" stopIfTrue="1">
      <formula>"esterreur(reference)"</formula>
    </cfRule>
  </conditionalFormatting>
  <conditionalFormatting sqref="O101:Q153">
    <cfRule type="expression" dxfId="213" priority="31" stopIfTrue="1">
      <formula>"esterreur(reference)"</formula>
    </cfRule>
  </conditionalFormatting>
  <conditionalFormatting sqref="O243:Q243 O252:Q253 O254:P283 O284:O285 O289:P289">
    <cfRule type="expression" dxfId="212" priority="66" stopIfTrue="1">
      <formula>"esterreur(reference)"</formula>
    </cfRule>
  </conditionalFormatting>
  <conditionalFormatting sqref="O295:Q310">
    <cfRule type="expression" dxfId="211" priority="132" stopIfTrue="1">
      <formula>"esterreur(reference)"</formula>
    </cfRule>
  </conditionalFormatting>
  <conditionalFormatting sqref="O313:Q317 O352:P352">
    <cfRule type="expression" dxfId="210" priority="146" stopIfTrue="1">
      <formula>"esterreur(reference)"</formula>
    </cfRule>
  </conditionalFormatting>
  <conditionalFormatting sqref="O358:Q393">
    <cfRule type="expression" dxfId="209" priority="120" stopIfTrue="1">
      <formula>"esterreur(reference)"</formula>
    </cfRule>
  </conditionalFormatting>
  <conditionalFormatting sqref="O311:R312">
    <cfRule type="expression" dxfId="208" priority="33" stopIfTrue="1">
      <formula>"esterreur(reference)"</formula>
    </cfRule>
  </conditionalFormatting>
  <conditionalFormatting sqref="P5">
    <cfRule type="expression" dxfId="207" priority="227" stopIfTrue="1">
      <formula>"esterreur(reference)"</formula>
    </cfRule>
  </conditionalFormatting>
  <conditionalFormatting sqref="P97 O98:Q98 O156:P157 O164:Q164 O165:P165">
    <cfRule type="expression" dxfId="206" priority="218" stopIfTrue="1">
      <formula>"esterreur(reference)"</formula>
    </cfRule>
  </conditionalFormatting>
  <conditionalFormatting sqref="P394">
    <cfRule type="expression" dxfId="205" priority="129" stopIfTrue="1">
      <formula>"esterreur(reference)"</formula>
    </cfRule>
  </conditionalFormatting>
  <conditionalFormatting sqref="P93:Q93">
    <cfRule type="expression" dxfId="204" priority="104" stopIfTrue="1">
      <formula>"esterreur(reference)"</formula>
    </cfRule>
  </conditionalFormatting>
  <conditionalFormatting sqref="P99:Q100">
    <cfRule type="expression" dxfId="203" priority="106" stopIfTrue="1">
      <formula>"esterreur(reference)"</formula>
    </cfRule>
  </conditionalFormatting>
  <conditionalFormatting sqref="P241:Q241">
    <cfRule type="expression" dxfId="202" priority="41" stopIfTrue="1">
      <formula>"esterreur(reference)"</formula>
    </cfRule>
  </conditionalFormatting>
  <conditionalFormatting sqref="P244:Q244">
    <cfRule type="expression" dxfId="201" priority="45" stopIfTrue="1">
      <formula>"esterreur(reference)"</formula>
    </cfRule>
  </conditionalFormatting>
  <conditionalFormatting sqref="P247:Q247">
    <cfRule type="expression" dxfId="200" priority="44" stopIfTrue="1">
      <formula>"esterreur(reference)"</formula>
    </cfRule>
  </conditionalFormatting>
  <conditionalFormatting sqref="Q5:Q14">
    <cfRule type="expression" dxfId="199" priority="72" stopIfTrue="1">
      <formula>"esterreur(reference)"</formula>
    </cfRule>
  </conditionalFormatting>
  <conditionalFormatting sqref="Q16:Q24">
    <cfRule type="expression" dxfId="198" priority="247" stopIfTrue="1">
      <formula>"esterreur(reference)"</formula>
    </cfRule>
  </conditionalFormatting>
  <conditionalFormatting sqref="Q75:Q82">
    <cfRule type="expression" dxfId="197" priority="229" stopIfTrue="1">
      <formula>"esterreur(reference)"</formula>
    </cfRule>
  </conditionalFormatting>
  <conditionalFormatting sqref="Q156:Q162">
    <cfRule type="expression" dxfId="196" priority="189" stopIfTrue="1">
      <formula>"esterreur(reference)"</formula>
    </cfRule>
  </conditionalFormatting>
  <conditionalFormatting sqref="Q184">
    <cfRule type="expression" dxfId="195" priority="69" stopIfTrue="1">
      <formula>"esterreur(reference)"</formula>
    </cfRule>
  </conditionalFormatting>
  <conditionalFormatting sqref="Q254:Q265">
    <cfRule type="expression" dxfId="194" priority="53" stopIfTrue="1">
      <formula>"esterreur(reference)"</formula>
    </cfRule>
  </conditionalFormatting>
  <conditionalFormatting sqref="Q267:Q285">
    <cfRule type="expression" dxfId="193" priority="43" stopIfTrue="1">
      <formula>"esterreur(reference)"</formula>
    </cfRule>
  </conditionalFormatting>
  <conditionalFormatting sqref="Q318:Q328">
    <cfRule type="expression" dxfId="192" priority="134" stopIfTrue="1">
      <formula>"esterreur(reference)"</formula>
    </cfRule>
  </conditionalFormatting>
  <conditionalFormatting sqref="Q330:Q347">
    <cfRule type="expression" dxfId="191" priority="130" stopIfTrue="1">
      <formula>"esterreur(reference)"</formula>
    </cfRule>
  </conditionalFormatting>
  <conditionalFormatting sqref="S186">
    <cfRule type="expression" dxfId="190" priority="267" stopIfTrue="1">
      <formula>"esterreur(reference)"</formula>
    </cfRule>
  </conditionalFormatting>
  <conditionalFormatting sqref="AG408:AG417 AI408:AI417">
    <cfRule type="cellIs" dxfId="189" priority="108" operator="greaterThan">
      <formula>0</formula>
    </cfRule>
  </conditionalFormatting>
  <conditionalFormatting sqref="AI419:AI450 AG431 AI452:AI459 AI465:AI467 AI490:AI495 AH496:AI496">
    <cfRule type="cellIs" dxfId="188" priority="399" operator="greaterThan">
      <formula>0</formula>
    </cfRule>
  </conditionalFormatting>
  <conditionalFormatting sqref="AI468:AI479">
    <cfRule type="cellIs" dxfId="187" priority="400" operator="lessThan">
      <formula>0</formula>
    </cfRule>
  </conditionalFormatting>
  <conditionalFormatting sqref="AO408:AO417">
    <cfRule type="cellIs" dxfId="186" priority="107" operator="greaterThan">
      <formula>0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7" min="1" max="1" man="1"/>
    <brk id="88" min="1" max="1" man="1"/>
    <brk id="167" min="2" max="18" man="1"/>
    <brk id="233" min="2" max="18" man="1"/>
    <brk id="235" min="1" max="1" man="1"/>
    <brk id="290" min="2" max="18" man="1"/>
    <brk id="352" min="2" max="18" man="1"/>
    <brk id="398" min="1" max="1" man="1"/>
    <brk id="482" min="1" max="1" man="1"/>
    <brk id="290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defaultColWidth="11.19921875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E6C3-B253-42A6-B6BA-FEE406962852}">
  <sheetPr>
    <tabColor rgb="FFFFC000"/>
  </sheetPr>
  <dimension ref="A1:BJ693"/>
  <sheetViews>
    <sheetView topLeftCell="Q458" zoomScale="80" zoomScaleNormal="80" workbookViewId="0">
      <selection activeCell="U503" sqref="U503"/>
    </sheetView>
  </sheetViews>
  <sheetFormatPr defaultColWidth="12.59765625" defaultRowHeight="15" customHeight="1"/>
  <cols>
    <col min="1" max="1" width="37.5" style="494" hidden="1" customWidth="1"/>
    <col min="2" max="2" width="21.8984375" style="494" hidden="1" customWidth="1"/>
    <col min="3" max="3" width="31.19921875" style="494" customWidth="1"/>
    <col min="4" max="4" width="16.5" style="494" customWidth="1"/>
    <col min="5" max="5" width="14.59765625" style="494" customWidth="1"/>
    <col min="6" max="6" width="14" style="494" customWidth="1"/>
    <col min="7" max="7" width="17.69921875" style="494" hidden="1" customWidth="1"/>
    <col min="8" max="8" width="15.09765625" style="494" hidden="1" customWidth="1"/>
    <col min="9" max="9" width="14" style="494" hidden="1" customWidth="1"/>
    <col min="10" max="10" width="15.59765625" style="494" customWidth="1"/>
    <col min="11" max="11" width="15.5" style="494" customWidth="1"/>
    <col min="12" max="12" width="14.8984375" style="494" customWidth="1"/>
    <col min="13" max="14" width="16.19921875" style="494" customWidth="1"/>
    <col min="15" max="15" width="15.5" style="494" customWidth="1"/>
    <col min="16" max="16" width="14.59765625" style="494" customWidth="1"/>
    <col min="17" max="17" width="14" style="494" customWidth="1"/>
    <col min="18" max="18" width="14.69921875" style="494" customWidth="1"/>
    <col min="19" max="19" width="19" style="494" customWidth="1"/>
    <col min="20" max="20" width="4.59765625" style="494" customWidth="1"/>
    <col min="21" max="21" width="31.69921875" style="494" customWidth="1"/>
    <col min="22" max="22" width="34" style="494" customWidth="1"/>
    <col min="23" max="23" width="12.19921875" style="494" customWidth="1"/>
    <col min="24" max="24" width="13.69921875" style="494" customWidth="1"/>
    <col min="25" max="25" width="15.09765625" style="494" customWidth="1"/>
    <col min="26" max="26" width="15" style="494" customWidth="1"/>
    <col min="27" max="27" width="11.09765625" style="494" hidden="1" customWidth="1"/>
    <col min="28" max="28" width="9.3984375" style="494" hidden="1" customWidth="1"/>
    <col min="29" max="29" width="14.5" style="494" hidden="1" customWidth="1"/>
    <col min="30" max="30" width="13.5" style="494" customWidth="1"/>
    <col min="31" max="31" width="14.19921875" style="494" customWidth="1"/>
    <col min="32" max="32" width="14.09765625" style="494" customWidth="1"/>
    <col min="33" max="33" width="9" style="494" customWidth="1"/>
    <col min="34" max="34" width="13.5" style="494" customWidth="1"/>
    <col min="35" max="35" width="11.5" style="494" bestFit="1" customWidth="1"/>
    <col min="36" max="36" width="10.8984375" style="494" customWidth="1"/>
    <col min="37" max="37" width="11.3984375" style="494" customWidth="1"/>
    <col min="38" max="38" width="12.69921875" style="494" customWidth="1"/>
    <col min="39" max="39" width="9" style="494" customWidth="1"/>
    <col min="40" max="40" width="11" style="494" customWidth="1"/>
    <col min="41" max="41" width="14.69921875" style="494" customWidth="1"/>
    <col min="42" max="42" width="11" style="494" customWidth="1"/>
    <col min="43" max="43" width="48.3984375" style="494" customWidth="1"/>
    <col min="44" max="62" width="11" style="494" customWidth="1"/>
    <col min="63" max="16384" width="12.59765625" style="494"/>
  </cols>
  <sheetData>
    <row r="1" spans="1:40" ht="36" thickBot="1">
      <c r="B1" s="495"/>
      <c r="C1" s="496" t="s">
        <v>477</v>
      </c>
      <c r="D1" s="497"/>
      <c r="E1" s="498"/>
      <c r="F1" s="497"/>
      <c r="G1" s="497"/>
      <c r="H1" s="495"/>
      <c r="I1" s="497"/>
      <c r="J1" s="495"/>
      <c r="K1" s="499" t="s">
        <v>0</v>
      </c>
      <c r="L1" s="497"/>
      <c r="M1" s="497"/>
      <c r="N1" s="500"/>
      <c r="O1" s="496"/>
      <c r="P1" s="501"/>
      <c r="Q1" s="496"/>
      <c r="R1" s="501"/>
      <c r="S1" s="502" t="s">
        <v>481</v>
      </c>
      <c r="T1" s="497" t="s">
        <v>1</v>
      </c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</row>
    <row r="2" spans="1:40" ht="15" customHeight="1" thickTop="1" thickBot="1">
      <c r="B2" s="503"/>
      <c r="C2" s="504"/>
      <c r="D2" s="505" t="s">
        <v>2</v>
      </c>
      <c r="E2" s="505" t="s">
        <v>3</v>
      </c>
      <c r="F2" s="505" t="s">
        <v>4</v>
      </c>
      <c r="G2" s="505"/>
      <c r="H2" s="505"/>
      <c r="I2" s="505"/>
      <c r="J2" s="505" t="s">
        <v>218</v>
      </c>
      <c r="K2" s="505"/>
      <c r="L2" s="505" t="s">
        <v>219</v>
      </c>
      <c r="M2" s="506"/>
      <c r="N2" s="506"/>
      <c r="O2" s="505" t="s">
        <v>2</v>
      </c>
      <c r="P2" s="505" t="s">
        <v>3</v>
      </c>
      <c r="Q2" s="505" t="s">
        <v>4</v>
      </c>
      <c r="R2" s="506"/>
      <c r="S2" s="506"/>
      <c r="T2" s="506"/>
      <c r="U2" s="506"/>
      <c r="V2" s="507" t="s">
        <v>220</v>
      </c>
      <c r="W2" s="508"/>
    </row>
    <row r="3" spans="1:40" ht="21.6" thickTop="1">
      <c r="B3" s="509"/>
      <c r="C3" s="510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221</v>
      </c>
      <c r="N3" s="513"/>
      <c r="O3" s="511" t="s">
        <v>8</v>
      </c>
      <c r="P3" s="512"/>
      <c r="Q3" s="513"/>
      <c r="R3" s="514" t="s">
        <v>222</v>
      </c>
      <c r="S3" s="513"/>
      <c r="T3" s="509"/>
      <c r="U3" s="509"/>
      <c r="V3" s="515" t="s">
        <v>223</v>
      </c>
      <c r="W3" s="516">
        <v>0.45</v>
      </c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  <c r="AM3" s="509"/>
      <c r="AN3" s="509"/>
    </row>
    <row r="4" spans="1:40" ht="20.399999999999999">
      <c r="B4" s="509"/>
      <c r="C4" s="517"/>
      <c r="D4" s="518" t="s">
        <v>10</v>
      </c>
      <c r="E4" s="519" t="s">
        <v>11</v>
      </c>
      <c r="F4" s="520" t="s">
        <v>12</v>
      </c>
      <c r="G4" s="521"/>
      <c r="H4" s="519"/>
      <c r="I4" s="520"/>
      <c r="J4" s="521" t="s">
        <v>224</v>
      </c>
      <c r="K4" s="519" t="s">
        <v>13</v>
      </c>
      <c r="L4" s="520" t="s">
        <v>12</v>
      </c>
      <c r="M4" s="521" t="s">
        <v>224</v>
      </c>
      <c r="N4" s="520" t="s">
        <v>12</v>
      </c>
      <c r="O4" s="519" t="s">
        <v>10</v>
      </c>
      <c r="P4" s="519" t="s">
        <v>11</v>
      </c>
      <c r="Q4" s="520" t="s">
        <v>12</v>
      </c>
      <c r="R4" s="521" t="s">
        <v>224</v>
      </c>
      <c r="S4" s="520" t="s">
        <v>12</v>
      </c>
      <c r="T4" s="509"/>
      <c r="U4" s="509"/>
      <c r="V4" s="515" t="s">
        <v>225</v>
      </c>
      <c r="W4" s="516">
        <v>0.1</v>
      </c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509"/>
      <c r="AK4" s="509"/>
      <c r="AL4" s="509"/>
      <c r="AM4" s="509"/>
      <c r="AN4" s="509"/>
    </row>
    <row r="5" spans="1:40" ht="20.399999999999999">
      <c r="A5" s="494" t="s">
        <v>226</v>
      </c>
      <c r="B5" s="509" t="s">
        <v>0</v>
      </c>
      <c r="C5" s="522" t="s">
        <v>15</v>
      </c>
      <c r="D5" s="523"/>
      <c r="E5" s="523"/>
      <c r="F5" s="524">
        <v>3243094.3321145447</v>
      </c>
      <c r="G5" s="523"/>
      <c r="H5" s="523"/>
      <c r="I5" s="525"/>
      <c r="J5" s="522"/>
      <c r="K5" s="526"/>
      <c r="L5" s="524">
        <v>3890022.88</v>
      </c>
      <c r="M5" s="527"/>
      <c r="N5" s="528"/>
      <c r="O5" s="522"/>
      <c r="P5" s="526"/>
      <c r="Q5" s="524">
        <v>1765866.96</v>
      </c>
      <c r="R5" s="527"/>
      <c r="S5" s="528"/>
      <c r="T5" s="509"/>
      <c r="U5" s="509"/>
      <c r="V5" s="515" t="s">
        <v>227</v>
      </c>
      <c r="W5" s="516">
        <v>0.22500000000000001</v>
      </c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1:40" ht="20.399999999999999">
      <c r="A6" s="494" t="s">
        <v>228</v>
      </c>
      <c r="B6" s="509" t="s">
        <v>0</v>
      </c>
      <c r="C6" s="529" t="s">
        <v>16</v>
      </c>
      <c r="D6" s="530">
        <v>12</v>
      </c>
      <c r="E6" s="530">
        <v>2198.1219285498491</v>
      </c>
      <c r="F6" s="530">
        <v>26377.46314259819</v>
      </c>
      <c r="G6" s="531"/>
      <c r="H6" s="530"/>
      <c r="I6" s="530"/>
      <c r="J6" s="531">
        <v>18</v>
      </c>
      <c r="K6" s="530">
        <v>2168.0938888888859</v>
      </c>
      <c r="L6" s="532">
        <v>39025.689999999944</v>
      </c>
      <c r="M6" s="531">
        <v>6</v>
      </c>
      <c r="N6" s="532">
        <v>12648.226857401754</v>
      </c>
      <c r="O6" s="531">
        <v>12</v>
      </c>
      <c r="P6" s="530">
        <v>2975.6024999999918</v>
      </c>
      <c r="Q6" s="532">
        <v>35707.229999999901</v>
      </c>
      <c r="R6" s="531">
        <v>6</v>
      </c>
      <c r="S6" s="532">
        <v>3318.4600000000428</v>
      </c>
      <c r="T6" s="509"/>
      <c r="U6" s="509"/>
      <c r="V6" s="515" t="s">
        <v>229</v>
      </c>
      <c r="W6" s="516">
        <v>2.5000000000000001E-2</v>
      </c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</row>
    <row r="7" spans="1:40" ht="20.399999999999999">
      <c r="A7" s="494" t="s">
        <v>230</v>
      </c>
      <c r="B7" s="509" t="s">
        <v>0</v>
      </c>
      <c r="C7" s="529" t="s">
        <v>17</v>
      </c>
      <c r="D7" s="530">
        <v>50</v>
      </c>
      <c r="E7" s="530">
        <v>2850.2586963355784</v>
      </c>
      <c r="F7" s="530">
        <v>142512.93481677893</v>
      </c>
      <c r="G7" s="531"/>
      <c r="H7" s="530"/>
      <c r="I7" s="530"/>
      <c r="J7" s="531">
        <v>51</v>
      </c>
      <c r="K7" s="530">
        <v>2906.2868627451003</v>
      </c>
      <c r="L7" s="532">
        <v>148220.63000000012</v>
      </c>
      <c r="M7" s="531">
        <v>1</v>
      </c>
      <c r="N7" s="532">
        <v>5707.6951832211926</v>
      </c>
      <c r="O7" s="531">
        <v>16</v>
      </c>
      <c r="P7" s="530">
        <v>2481.2724999999937</v>
      </c>
      <c r="Q7" s="532">
        <v>39700.359999999899</v>
      </c>
      <c r="R7" s="531">
        <v>35</v>
      </c>
      <c r="S7" s="532">
        <v>108520.27000000022</v>
      </c>
      <c r="T7" s="509"/>
      <c r="U7" s="509"/>
      <c r="V7" s="515" t="s">
        <v>231</v>
      </c>
      <c r="W7" s="516">
        <v>0.2</v>
      </c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</row>
    <row r="8" spans="1:40" ht="21" thickBot="1">
      <c r="A8" s="494" t="s">
        <v>232</v>
      </c>
      <c r="B8" s="509" t="s">
        <v>0</v>
      </c>
      <c r="C8" s="529" t="s">
        <v>18</v>
      </c>
      <c r="D8" s="530">
        <v>0</v>
      </c>
      <c r="E8" s="530">
        <v>0</v>
      </c>
      <c r="F8" s="530">
        <v>0</v>
      </c>
      <c r="G8" s="531"/>
      <c r="H8" s="530"/>
      <c r="I8" s="530"/>
      <c r="J8" s="531">
        <v>0</v>
      </c>
      <c r="K8" s="530">
        <v>0</v>
      </c>
      <c r="L8" s="532">
        <v>0</v>
      </c>
      <c r="M8" s="531">
        <v>0</v>
      </c>
      <c r="N8" s="532">
        <v>0</v>
      </c>
      <c r="O8" s="531">
        <v>0</v>
      </c>
      <c r="P8" s="530">
        <v>0</v>
      </c>
      <c r="Q8" s="532">
        <v>0</v>
      </c>
      <c r="R8" s="531">
        <v>0</v>
      </c>
      <c r="S8" s="532">
        <v>0</v>
      </c>
      <c r="T8" s="509"/>
      <c r="U8" s="509"/>
      <c r="V8" s="533"/>
      <c r="W8" s="534">
        <v>1</v>
      </c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</row>
    <row r="9" spans="1:40" ht="21" thickTop="1">
      <c r="A9" s="494" t="s">
        <v>233</v>
      </c>
      <c r="B9" s="509" t="s">
        <v>0</v>
      </c>
      <c r="C9" s="529" t="s">
        <v>19</v>
      </c>
      <c r="D9" s="530">
        <v>0</v>
      </c>
      <c r="E9" s="530">
        <v>0</v>
      </c>
      <c r="F9" s="530">
        <v>0</v>
      </c>
      <c r="G9" s="531"/>
      <c r="H9" s="530"/>
      <c r="I9" s="530"/>
      <c r="J9" s="531">
        <v>0</v>
      </c>
      <c r="K9" s="530">
        <v>0</v>
      </c>
      <c r="L9" s="532">
        <v>0</v>
      </c>
      <c r="M9" s="531">
        <v>0</v>
      </c>
      <c r="N9" s="532">
        <v>0</v>
      </c>
      <c r="O9" s="531">
        <v>0</v>
      </c>
      <c r="P9" s="530">
        <v>0</v>
      </c>
      <c r="Q9" s="532">
        <v>0</v>
      </c>
      <c r="R9" s="531">
        <v>0</v>
      </c>
      <c r="S9" s="532">
        <v>0</v>
      </c>
      <c r="T9" s="509"/>
      <c r="U9" s="509"/>
      <c r="V9" s="509"/>
      <c r="W9" s="509"/>
      <c r="X9" s="509"/>
      <c r="Y9" s="509"/>
      <c r="Z9" s="509"/>
      <c r="AA9" s="509"/>
      <c r="AB9" s="509"/>
      <c r="AC9" s="509"/>
      <c r="AD9" s="509"/>
      <c r="AE9" s="509"/>
      <c r="AF9" s="509"/>
      <c r="AG9" s="509"/>
      <c r="AH9" s="509"/>
      <c r="AI9" s="509"/>
      <c r="AJ9" s="509"/>
      <c r="AK9" s="509"/>
      <c r="AL9" s="509"/>
      <c r="AM9" s="509"/>
      <c r="AN9" s="509"/>
    </row>
    <row r="10" spans="1:40" ht="20.25" hidden="1" customHeight="1">
      <c r="A10" s="494" t="s">
        <v>234</v>
      </c>
      <c r="B10" s="509" t="s">
        <v>0</v>
      </c>
      <c r="C10" s="529" t="s">
        <v>20</v>
      </c>
      <c r="D10" s="530">
        <v>0</v>
      </c>
      <c r="E10" s="530">
        <v>0</v>
      </c>
      <c r="F10" s="530">
        <v>0</v>
      </c>
      <c r="G10" s="531"/>
      <c r="H10" s="530"/>
      <c r="I10" s="530"/>
      <c r="J10" s="531">
        <v>0</v>
      </c>
      <c r="K10" s="530">
        <v>0</v>
      </c>
      <c r="L10" s="532">
        <v>0</v>
      </c>
      <c r="M10" s="531">
        <v>0</v>
      </c>
      <c r="N10" s="532">
        <v>0</v>
      </c>
      <c r="O10" s="531">
        <v>0</v>
      </c>
      <c r="P10" s="530">
        <v>0</v>
      </c>
      <c r="Q10" s="532">
        <v>0</v>
      </c>
      <c r="R10" s="531">
        <v>0</v>
      </c>
      <c r="S10" s="532">
        <v>0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 ht="20.25" hidden="1" customHeight="1">
      <c r="A11" s="494" t="s">
        <v>234</v>
      </c>
      <c r="B11" s="509" t="s">
        <v>0</v>
      </c>
      <c r="C11" s="529" t="s">
        <v>20</v>
      </c>
      <c r="D11" s="530">
        <v>0</v>
      </c>
      <c r="E11" s="530">
        <v>0</v>
      </c>
      <c r="F11" s="530">
        <v>0</v>
      </c>
      <c r="G11" s="531"/>
      <c r="H11" s="530"/>
      <c r="I11" s="530"/>
      <c r="J11" s="531">
        <v>0</v>
      </c>
      <c r="K11" s="530">
        <v>0</v>
      </c>
      <c r="L11" s="532">
        <v>0</v>
      </c>
      <c r="M11" s="531">
        <v>0</v>
      </c>
      <c r="N11" s="532">
        <v>0</v>
      </c>
      <c r="O11" s="531">
        <v>0</v>
      </c>
      <c r="P11" s="530">
        <v>0</v>
      </c>
      <c r="Q11" s="532">
        <v>0</v>
      </c>
      <c r="R11" s="531">
        <v>0</v>
      </c>
      <c r="S11" s="532">
        <v>0</v>
      </c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  <c r="AG11" s="509"/>
      <c r="AH11" s="509"/>
      <c r="AI11" s="509"/>
      <c r="AJ11" s="509"/>
      <c r="AK11" s="509"/>
      <c r="AL11" s="509"/>
      <c r="AM11" s="509"/>
      <c r="AN11" s="509"/>
    </row>
    <row r="12" spans="1:40" ht="20.25" hidden="1" customHeight="1">
      <c r="A12" s="494" t="s">
        <v>234</v>
      </c>
      <c r="B12" s="509" t="s">
        <v>0</v>
      </c>
      <c r="C12" s="529" t="s">
        <v>20</v>
      </c>
      <c r="D12" s="530">
        <v>0</v>
      </c>
      <c r="E12" s="530">
        <v>0</v>
      </c>
      <c r="F12" s="530">
        <v>0</v>
      </c>
      <c r="G12" s="531"/>
      <c r="H12" s="530"/>
      <c r="I12" s="530"/>
      <c r="J12" s="531">
        <v>0</v>
      </c>
      <c r="K12" s="530">
        <v>0</v>
      </c>
      <c r="L12" s="532">
        <v>0</v>
      </c>
      <c r="M12" s="531">
        <v>0</v>
      </c>
      <c r="N12" s="532">
        <v>0</v>
      </c>
      <c r="O12" s="531">
        <v>0</v>
      </c>
      <c r="P12" s="530">
        <v>0</v>
      </c>
      <c r="Q12" s="532">
        <v>0</v>
      </c>
      <c r="R12" s="531">
        <v>0</v>
      </c>
      <c r="S12" s="532">
        <v>0</v>
      </c>
      <c r="T12" s="509"/>
      <c r="U12" s="509"/>
      <c r="V12" s="509"/>
      <c r="W12" s="509"/>
      <c r="X12" s="509"/>
      <c r="Y12" s="509"/>
      <c r="Z12" s="509"/>
      <c r="AA12" s="509"/>
      <c r="AB12" s="509"/>
      <c r="AC12" s="509"/>
      <c r="AD12" s="509"/>
      <c r="AE12" s="509"/>
      <c r="AF12" s="509"/>
      <c r="AG12" s="509"/>
      <c r="AH12" s="509"/>
      <c r="AI12" s="509"/>
      <c r="AJ12" s="509"/>
      <c r="AK12" s="509"/>
      <c r="AL12" s="509"/>
      <c r="AM12" s="509"/>
      <c r="AN12" s="509"/>
    </row>
    <row r="13" spans="1:40" ht="21">
      <c r="A13" s="494" t="s">
        <v>235</v>
      </c>
      <c r="B13" s="509" t="s">
        <v>0</v>
      </c>
      <c r="C13" s="535" t="s">
        <v>21</v>
      </c>
      <c r="D13" s="536">
        <v>62</v>
      </c>
      <c r="E13" s="536">
        <v>2724.0386767641471</v>
      </c>
      <c r="F13" s="537">
        <v>168890.39795937712</v>
      </c>
      <c r="G13" s="538"/>
      <c r="H13" s="536"/>
      <c r="I13" s="537"/>
      <c r="J13" s="538">
        <v>69</v>
      </c>
      <c r="K13" s="536">
        <v>2713.7147826086966</v>
      </c>
      <c r="L13" s="537">
        <v>187246.32000000007</v>
      </c>
      <c r="M13" s="538">
        <v>7</v>
      </c>
      <c r="N13" s="537">
        <v>18355.922040622947</v>
      </c>
      <c r="O13" s="538">
        <v>28</v>
      </c>
      <c r="P13" s="536">
        <v>2693.1282142857067</v>
      </c>
      <c r="Q13" s="537">
        <v>75407.589999999793</v>
      </c>
      <c r="R13" s="538">
        <v>41</v>
      </c>
      <c r="S13" s="537">
        <v>111838.73000000027</v>
      </c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09"/>
      <c r="AI13" s="509"/>
      <c r="AJ13" s="509"/>
      <c r="AK13" s="509"/>
      <c r="AL13" s="509"/>
      <c r="AM13" s="509"/>
      <c r="AN13" s="509"/>
    </row>
    <row r="14" spans="1:40" ht="20.399999999999999">
      <c r="A14" s="494" t="s">
        <v>0</v>
      </c>
      <c r="B14" s="509" t="s">
        <v>0</v>
      </c>
      <c r="C14" s="529"/>
      <c r="D14" s="509"/>
      <c r="E14" s="530"/>
      <c r="F14" s="539"/>
      <c r="G14" s="529"/>
      <c r="H14" s="530"/>
      <c r="I14" s="539"/>
      <c r="J14" s="529"/>
      <c r="K14" s="530"/>
      <c r="L14" s="539"/>
      <c r="M14" s="540">
        <v>0.11290322580645161</v>
      </c>
      <c r="N14" s="541">
        <v>0.10868540936849506</v>
      </c>
      <c r="O14" s="529"/>
      <c r="P14" s="530"/>
      <c r="Q14" s="539"/>
      <c r="R14" s="540">
        <v>1.4642857142857142</v>
      </c>
      <c r="S14" s="541">
        <v>1.4831229853652739</v>
      </c>
      <c r="T14" s="509"/>
      <c r="U14" s="509"/>
      <c r="V14" s="509"/>
      <c r="W14" s="530"/>
      <c r="X14" s="530"/>
      <c r="Y14" s="509"/>
      <c r="Z14" s="509"/>
      <c r="AA14" s="509"/>
      <c r="AB14" s="509"/>
      <c r="AC14" s="509"/>
      <c r="AD14" s="509">
        <v>20</v>
      </c>
      <c r="AE14" s="509">
        <v>1000</v>
      </c>
      <c r="AF14" s="509">
        <v>20000</v>
      </c>
      <c r="AG14" s="509"/>
      <c r="AH14" s="509"/>
      <c r="AI14" s="509"/>
      <c r="AJ14" s="509"/>
      <c r="AK14" s="509"/>
      <c r="AL14" s="509"/>
      <c r="AM14" s="509"/>
      <c r="AN14" s="509"/>
    </row>
    <row r="15" spans="1:40" ht="21">
      <c r="A15" s="494" t="s">
        <v>236</v>
      </c>
      <c r="B15" s="509" t="s">
        <v>0</v>
      </c>
      <c r="C15" s="542" t="s">
        <v>22</v>
      </c>
      <c r="D15" s="526">
        <v>5</v>
      </c>
      <c r="E15" s="526">
        <v>2484.4191558676371</v>
      </c>
      <c r="F15" s="524">
        <v>12422.095779338186</v>
      </c>
      <c r="G15" s="543"/>
      <c r="H15" s="526"/>
      <c r="I15" s="524"/>
      <c r="J15" s="544">
        <v>4</v>
      </c>
      <c r="K15" s="545">
        <v>2264.375</v>
      </c>
      <c r="L15" s="545">
        <v>9057.5</v>
      </c>
      <c r="M15" s="543">
        <v>-1</v>
      </c>
      <c r="N15" s="524">
        <v>-3364.5957793381858</v>
      </c>
      <c r="O15" s="544">
        <v>6</v>
      </c>
      <c r="P15" s="545">
        <v>1717.8083333333334</v>
      </c>
      <c r="Q15" s="545">
        <v>10306.85</v>
      </c>
      <c r="R15" s="543">
        <v>-2</v>
      </c>
      <c r="S15" s="524">
        <v>-1249.3500000000004</v>
      </c>
      <c r="T15" s="509"/>
      <c r="V15" s="530"/>
      <c r="W15" s="509"/>
      <c r="X15" s="509"/>
      <c r="Y15" s="509"/>
      <c r="Z15" s="509"/>
      <c r="AA15" s="509"/>
      <c r="AB15" s="509"/>
      <c r="AC15" s="509"/>
      <c r="AD15" s="509">
        <v>25</v>
      </c>
      <c r="AE15" s="509">
        <v>800</v>
      </c>
      <c r="AF15" s="509">
        <v>20000</v>
      </c>
      <c r="AG15" s="509"/>
      <c r="AH15" s="509"/>
      <c r="AI15" s="509"/>
      <c r="AJ15" s="509"/>
      <c r="AK15" s="509"/>
      <c r="AL15" s="509"/>
      <c r="AM15" s="509"/>
      <c r="AN15" s="509"/>
    </row>
    <row r="16" spans="1:40" ht="21">
      <c r="A16" s="494" t="s">
        <v>0</v>
      </c>
      <c r="B16" s="509" t="s">
        <v>0</v>
      </c>
      <c r="C16" s="529"/>
      <c r="D16" s="509"/>
      <c r="E16" s="530"/>
      <c r="F16" s="539"/>
      <c r="G16" s="529"/>
      <c r="H16" s="530"/>
      <c r="I16" s="539"/>
      <c r="J16" s="529"/>
      <c r="K16" s="530"/>
      <c r="L16" s="532"/>
      <c r="M16" s="546"/>
      <c r="N16" s="547"/>
      <c r="O16" s="529"/>
      <c r="P16" s="530"/>
      <c r="Q16" s="532"/>
      <c r="R16" s="546"/>
      <c r="S16" s="547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09"/>
      <c r="AK16" s="509"/>
      <c r="AL16" s="509"/>
      <c r="AM16" s="509"/>
      <c r="AN16" s="509"/>
    </row>
    <row r="17" spans="1:40" ht="21">
      <c r="A17" s="494" t="s">
        <v>237</v>
      </c>
      <c r="B17" s="509" t="s">
        <v>0</v>
      </c>
      <c r="C17" s="548" t="s">
        <v>23</v>
      </c>
      <c r="D17" s="530">
        <v>4.5</v>
      </c>
      <c r="E17" s="530">
        <v>2664.4640678584237</v>
      </c>
      <c r="F17" s="530">
        <v>11990.088305362908</v>
      </c>
      <c r="G17" s="531"/>
      <c r="H17" s="530"/>
      <c r="I17" s="530"/>
      <c r="J17" s="543">
        <v>0</v>
      </c>
      <c r="K17" s="530">
        <v>0</v>
      </c>
      <c r="L17" s="532">
        <v>0</v>
      </c>
      <c r="M17" s="543">
        <v>-4.5</v>
      </c>
      <c r="N17" s="532">
        <v>-11990.088305362908</v>
      </c>
      <c r="O17" s="543">
        <v>3</v>
      </c>
      <c r="P17" s="530">
        <v>3228.9066666666663</v>
      </c>
      <c r="Q17" s="532">
        <v>9686.7199999999993</v>
      </c>
      <c r="R17" s="531">
        <v>-3</v>
      </c>
      <c r="S17" s="532">
        <v>-9686.7199999999993</v>
      </c>
      <c r="T17" s="509"/>
      <c r="U17" s="509"/>
      <c r="V17" s="549"/>
      <c r="W17" s="509"/>
      <c r="X17" s="509"/>
      <c r="Y17" s="509"/>
      <c r="Z17" s="509"/>
      <c r="AA17" s="530"/>
      <c r="AB17" s="509"/>
      <c r="AC17" s="509"/>
      <c r="AD17" s="509"/>
      <c r="AE17" s="509"/>
      <c r="AF17" s="509"/>
      <c r="AG17" s="509"/>
      <c r="AH17" s="509"/>
      <c r="AI17" s="509"/>
      <c r="AJ17" s="509"/>
      <c r="AK17" s="509"/>
      <c r="AL17" s="509"/>
      <c r="AM17" s="509"/>
      <c r="AN17" s="509"/>
    </row>
    <row r="18" spans="1:40" ht="21">
      <c r="A18" s="494" t="s">
        <v>0</v>
      </c>
      <c r="B18" s="509" t="s">
        <v>0</v>
      </c>
      <c r="C18" s="535"/>
      <c r="D18" s="550"/>
      <c r="E18" s="550"/>
      <c r="F18" s="551"/>
      <c r="G18" s="552"/>
      <c r="H18" s="550"/>
      <c r="I18" s="551"/>
      <c r="J18" s="531"/>
      <c r="K18" s="550"/>
      <c r="L18" s="551"/>
      <c r="M18" s="531"/>
      <c r="N18" s="551"/>
      <c r="O18" s="531"/>
      <c r="P18" s="550"/>
      <c r="Q18" s="551"/>
      <c r="R18" s="552"/>
      <c r="S18" s="551"/>
      <c r="T18" s="509"/>
      <c r="U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09"/>
      <c r="AK18" s="509"/>
      <c r="AL18" s="509"/>
      <c r="AM18" s="509"/>
      <c r="AN18" s="509"/>
    </row>
    <row r="19" spans="1:40" ht="21">
      <c r="A19" s="494" t="s">
        <v>238</v>
      </c>
      <c r="B19" s="509" t="s">
        <v>0</v>
      </c>
      <c r="C19" s="542" t="s">
        <v>24</v>
      </c>
      <c r="D19" s="530">
        <v>0</v>
      </c>
      <c r="E19" s="530">
        <v>0</v>
      </c>
      <c r="F19" s="530">
        <v>8500</v>
      </c>
      <c r="G19" s="531"/>
      <c r="H19" s="530"/>
      <c r="I19" s="530"/>
      <c r="J19" s="543"/>
      <c r="K19" s="530"/>
      <c r="L19" s="532">
        <v>6030.3699999999953</v>
      </c>
      <c r="M19" s="531"/>
      <c r="N19" s="532">
        <v>-2469.6300000000047</v>
      </c>
      <c r="O19" s="543"/>
      <c r="P19" s="530"/>
      <c r="Q19" s="532">
        <v>7229.2700000000104</v>
      </c>
      <c r="R19" s="531">
        <v>0</v>
      </c>
      <c r="S19" s="532">
        <v>-1198.9000000000151</v>
      </c>
      <c r="T19" s="509"/>
      <c r="W19" s="530"/>
      <c r="X19" s="553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</row>
    <row r="20" spans="1:40" ht="21">
      <c r="A20" s="494" t="s">
        <v>0</v>
      </c>
      <c r="B20" s="509" t="s">
        <v>0</v>
      </c>
      <c r="C20" s="535"/>
      <c r="D20" s="550"/>
      <c r="E20" s="550"/>
      <c r="F20" s="551"/>
      <c r="G20" s="552"/>
      <c r="H20" s="550"/>
      <c r="I20" s="551"/>
      <c r="J20" s="531"/>
      <c r="K20" s="550"/>
      <c r="L20" s="551"/>
      <c r="M20" s="552"/>
      <c r="N20" s="551"/>
      <c r="O20" s="531"/>
      <c r="P20" s="550"/>
      <c r="Q20" s="551"/>
      <c r="R20" s="552"/>
      <c r="S20" s="551"/>
      <c r="T20" s="509"/>
      <c r="U20" s="509"/>
      <c r="W20" s="530"/>
      <c r="X20" s="553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</row>
    <row r="21" spans="1:40" ht="15.75" customHeight="1">
      <c r="A21" s="494" t="s">
        <v>239</v>
      </c>
      <c r="B21" s="509" t="s">
        <v>0</v>
      </c>
      <c r="C21" s="529" t="s">
        <v>25</v>
      </c>
      <c r="D21" s="530">
        <v>0</v>
      </c>
      <c r="E21" s="530">
        <v>0</v>
      </c>
      <c r="F21" s="530">
        <v>13400</v>
      </c>
      <c r="G21" s="531"/>
      <c r="H21" s="530"/>
      <c r="I21" s="530"/>
      <c r="J21" s="531"/>
      <c r="K21" s="530">
        <v>0</v>
      </c>
      <c r="L21" s="532">
        <v>0</v>
      </c>
      <c r="M21" s="531"/>
      <c r="N21" s="532">
        <v>-13400</v>
      </c>
      <c r="O21" s="531"/>
      <c r="P21" s="530"/>
      <c r="Q21" s="532">
        <v>2434.63</v>
      </c>
      <c r="R21" s="531">
        <v>0</v>
      </c>
      <c r="S21" s="532">
        <v>-2434.63</v>
      </c>
      <c r="T21" s="509"/>
      <c r="U21" s="509"/>
      <c r="W21" s="509"/>
      <c r="X21" s="553"/>
      <c r="Y21" s="509"/>
      <c r="Z21" s="509"/>
      <c r="AA21" s="509"/>
      <c r="AB21" s="509"/>
      <c r="AC21" s="509"/>
      <c r="AD21" s="509"/>
      <c r="AE21" s="509"/>
      <c r="AF21" s="509"/>
      <c r="AG21" s="509"/>
      <c r="AH21" s="509"/>
      <c r="AI21" s="509"/>
      <c r="AJ21" s="509"/>
      <c r="AK21" s="509"/>
      <c r="AL21" s="509"/>
      <c r="AM21" s="509"/>
      <c r="AN21" s="509"/>
    </row>
    <row r="22" spans="1:40" ht="18" customHeight="1">
      <c r="A22" s="494" t="s">
        <v>240</v>
      </c>
      <c r="B22" s="509" t="s">
        <v>0</v>
      </c>
      <c r="C22" s="529" t="s">
        <v>26</v>
      </c>
      <c r="D22" s="530">
        <v>0</v>
      </c>
      <c r="E22" s="530">
        <v>0</v>
      </c>
      <c r="F22" s="530">
        <v>72360</v>
      </c>
      <c r="G22" s="531"/>
      <c r="H22" s="530"/>
      <c r="I22" s="530"/>
      <c r="J22" s="531"/>
      <c r="K22" s="530">
        <v>765.92219178082189</v>
      </c>
      <c r="L22" s="532">
        <v>55912.32</v>
      </c>
      <c r="M22" s="531"/>
      <c r="N22" s="532">
        <v>-16447.68</v>
      </c>
      <c r="O22" s="531"/>
      <c r="P22" s="530"/>
      <c r="Q22" s="532">
        <v>31050.48</v>
      </c>
      <c r="R22" s="531">
        <v>-765.92219178082189</v>
      </c>
      <c r="S22" s="532">
        <v>24861.84</v>
      </c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</row>
    <row r="23" spans="1:40" ht="19.5" customHeight="1">
      <c r="A23" s="494" t="s">
        <v>241</v>
      </c>
      <c r="B23" s="509" t="s">
        <v>0</v>
      </c>
      <c r="C23" s="529" t="s">
        <v>27</v>
      </c>
      <c r="D23" s="530">
        <v>0</v>
      </c>
      <c r="E23" s="530">
        <v>0</v>
      </c>
      <c r="F23" s="530">
        <v>1340</v>
      </c>
      <c r="G23" s="531"/>
      <c r="H23" s="530"/>
      <c r="I23" s="530"/>
      <c r="J23" s="531"/>
      <c r="K23" s="530">
        <v>18.605890410958903</v>
      </c>
      <c r="L23" s="532">
        <v>1358.23</v>
      </c>
      <c r="M23" s="543"/>
      <c r="N23" s="532">
        <v>18.230000000000018</v>
      </c>
      <c r="O23" s="531"/>
      <c r="P23" s="530"/>
      <c r="Q23" s="532">
        <v>0</v>
      </c>
      <c r="R23" s="531">
        <v>-18.605890410958903</v>
      </c>
      <c r="S23" s="532">
        <v>1358.23</v>
      </c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</row>
    <row r="24" spans="1:40" ht="18" customHeight="1">
      <c r="A24" s="494" t="s">
        <v>242</v>
      </c>
      <c r="B24" s="509" t="s">
        <v>0</v>
      </c>
      <c r="C24" s="535" t="s">
        <v>28</v>
      </c>
      <c r="D24" s="536">
        <v>67</v>
      </c>
      <c r="E24" s="536">
        <v>1300</v>
      </c>
      <c r="F24" s="537">
        <v>87100</v>
      </c>
      <c r="G24" s="538"/>
      <c r="H24" s="536"/>
      <c r="I24" s="537"/>
      <c r="J24" s="538">
        <v>73</v>
      </c>
      <c r="K24" s="536">
        <v>784.52808219178087</v>
      </c>
      <c r="L24" s="537">
        <v>57270.55</v>
      </c>
      <c r="M24" s="554">
        <v>6</v>
      </c>
      <c r="N24" s="537">
        <v>-29829.449999999997</v>
      </c>
      <c r="O24" s="538">
        <v>34</v>
      </c>
      <c r="P24" s="536">
        <v>984.85617647058825</v>
      </c>
      <c r="Q24" s="537">
        <v>33485.11</v>
      </c>
      <c r="R24" s="552"/>
      <c r="S24" s="537">
        <v>23785.440000000002</v>
      </c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  <c r="AJ24" s="509"/>
      <c r="AK24" s="509"/>
      <c r="AL24" s="509"/>
      <c r="AM24" s="509"/>
      <c r="AN24" s="509"/>
    </row>
    <row r="25" spans="1:40" ht="15.75" customHeight="1">
      <c r="A25" s="494" t="s">
        <v>0</v>
      </c>
      <c r="B25" s="509" t="s">
        <v>0</v>
      </c>
      <c r="C25" s="529"/>
      <c r="D25" s="509"/>
      <c r="E25" s="509"/>
      <c r="F25" s="555"/>
      <c r="G25" s="529"/>
      <c r="H25" s="509"/>
      <c r="I25" s="555"/>
      <c r="J25" s="529"/>
      <c r="K25" s="509"/>
      <c r="L25" s="555"/>
      <c r="M25" s="546"/>
      <c r="N25" s="547">
        <v>-0.34247359357060847</v>
      </c>
      <c r="O25" s="529"/>
      <c r="P25" s="509"/>
      <c r="Q25" s="555"/>
      <c r="R25" s="556"/>
      <c r="S25" s="547">
        <v>0.71032885960356718</v>
      </c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</row>
    <row r="26" spans="1:40" ht="15.75" customHeight="1" thickBot="1">
      <c r="A26" s="494" t="s">
        <v>0</v>
      </c>
      <c r="B26" s="509" t="s">
        <v>0</v>
      </c>
      <c r="C26" s="529"/>
      <c r="D26" s="509"/>
      <c r="E26" s="509"/>
      <c r="F26" s="539"/>
      <c r="G26" s="529"/>
      <c r="H26" s="509"/>
      <c r="I26" s="539"/>
      <c r="J26" s="529"/>
      <c r="K26" s="509"/>
      <c r="L26" s="539"/>
      <c r="M26" s="529"/>
      <c r="N26" s="539"/>
      <c r="O26" s="529"/>
      <c r="P26" s="509"/>
      <c r="Q26" s="539"/>
      <c r="R26" s="529"/>
      <c r="S26" s="539"/>
      <c r="T26" s="509"/>
      <c r="U26" s="509"/>
      <c r="V26" s="509"/>
      <c r="W26" s="509"/>
      <c r="X26" s="509"/>
      <c r="Y26" s="509"/>
      <c r="Z26" s="509"/>
      <c r="AA26" s="509"/>
      <c r="AB26" s="509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</row>
    <row r="27" spans="1:40" ht="18" customHeight="1" thickTop="1">
      <c r="A27" s="494" t="s">
        <v>243</v>
      </c>
      <c r="B27" s="509" t="s">
        <v>0</v>
      </c>
      <c r="C27" s="557" t="s">
        <v>29</v>
      </c>
      <c r="D27" s="558">
        <v>71.5</v>
      </c>
      <c r="E27" s="559">
        <v>4040.5955530640308</v>
      </c>
      <c r="F27" s="560">
        <v>288902.58204407821</v>
      </c>
      <c r="G27" s="561"/>
      <c r="H27" s="559"/>
      <c r="I27" s="560"/>
      <c r="J27" s="561">
        <v>73</v>
      </c>
      <c r="K27" s="559">
        <v>3556.2293150684936</v>
      </c>
      <c r="L27" s="560">
        <v>259604.74000000005</v>
      </c>
      <c r="M27" s="561">
        <v>1.5</v>
      </c>
      <c r="N27" s="560">
        <v>-29297.842044078163</v>
      </c>
      <c r="O27" s="561">
        <v>37</v>
      </c>
      <c r="P27" s="559">
        <v>3678.7983783783729</v>
      </c>
      <c r="Q27" s="560">
        <v>136115.5399999998</v>
      </c>
      <c r="R27" s="561">
        <v>36</v>
      </c>
      <c r="S27" s="560">
        <v>123489.20000000024</v>
      </c>
      <c r="T27" s="509"/>
      <c r="U27" s="509"/>
      <c r="V27" s="509"/>
      <c r="W27" s="509"/>
      <c r="X27" s="509"/>
      <c r="Y27" s="509"/>
      <c r="Z27" s="509"/>
      <c r="AA27" s="509"/>
      <c r="AB27" s="509"/>
      <c r="AC27" s="509"/>
      <c r="AD27" s="509"/>
      <c r="AE27" s="509"/>
      <c r="AF27" s="509"/>
      <c r="AG27" s="509"/>
      <c r="AH27" s="509"/>
      <c r="AI27" s="509"/>
      <c r="AJ27" s="509"/>
      <c r="AK27" s="509"/>
      <c r="AL27" s="509"/>
      <c r="AM27" s="509"/>
      <c r="AN27" s="509"/>
    </row>
    <row r="28" spans="1:40" ht="22.5" customHeight="1" thickBot="1">
      <c r="A28" s="494" t="s">
        <v>0</v>
      </c>
      <c r="B28" s="509" t="s">
        <v>0</v>
      </c>
      <c r="C28" s="562"/>
      <c r="D28" s="563"/>
      <c r="E28" s="563"/>
      <c r="F28" s="564"/>
      <c r="G28" s="562"/>
      <c r="H28" s="563"/>
      <c r="I28" s="564"/>
      <c r="J28" s="562"/>
      <c r="K28" s="563"/>
      <c r="L28" s="565">
        <v>0.89858919973374218</v>
      </c>
      <c r="M28" s="566">
        <v>2.097902097902098E-2</v>
      </c>
      <c r="N28" s="567">
        <v>-0.10141080026625776</v>
      </c>
      <c r="O28" s="562"/>
      <c r="P28" s="563"/>
      <c r="Q28" s="564"/>
      <c r="R28" s="566">
        <v>0.97297297297297303</v>
      </c>
      <c r="S28" s="567">
        <v>0.90723807142079749</v>
      </c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</row>
    <row r="29" spans="1:40" ht="15.75" customHeight="1" thickTop="1">
      <c r="A29" s="494" t="s">
        <v>0</v>
      </c>
      <c r="B29" s="509" t="s">
        <v>0</v>
      </c>
      <c r="C29" s="548"/>
      <c r="D29" s="568"/>
      <c r="E29" s="568"/>
      <c r="F29" s="569"/>
      <c r="G29" s="548"/>
      <c r="H29" s="568"/>
      <c r="I29" s="569"/>
      <c r="J29" s="548"/>
      <c r="K29" s="568"/>
      <c r="L29" s="569"/>
      <c r="M29" s="546"/>
      <c r="N29" s="547"/>
      <c r="O29" s="548"/>
      <c r="P29" s="568"/>
      <c r="Q29" s="569"/>
      <c r="R29" s="546"/>
      <c r="S29" s="547"/>
      <c r="T29" s="509"/>
      <c r="U29" s="570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</row>
    <row r="30" spans="1:40" ht="15.75" customHeight="1">
      <c r="A30" s="494" t="s">
        <v>244</v>
      </c>
      <c r="B30" s="509" t="s">
        <v>0</v>
      </c>
      <c r="C30" s="571" t="s">
        <v>30</v>
      </c>
      <c r="D30" s="509"/>
      <c r="E30" s="572"/>
      <c r="F30" s="555"/>
      <c r="G30" s="529"/>
      <c r="H30" s="572"/>
      <c r="I30" s="555"/>
      <c r="J30" s="529"/>
      <c r="K30" s="572"/>
      <c r="L30" s="539"/>
      <c r="M30" s="529"/>
      <c r="N30" s="539"/>
      <c r="O30" s="529"/>
      <c r="P30" s="572"/>
      <c r="Q30" s="539"/>
      <c r="R30" s="529"/>
      <c r="S30" s="539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09"/>
      <c r="AM30" s="509"/>
      <c r="AN30" s="509"/>
    </row>
    <row r="31" spans="1:40" ht="15.75" customHeight="1">
      <c r="A31" s="494" t="s">
        <v>245</v>
      </c>
      <c r="B31" s="509" t="s">
        <v>0</v>
      </c>
      <c r="C31" s="529" t="s">
        <v>31</v>
      </c>
      <c r="D31" s="573">
        <v>0.34</v>
      </c>
      <c r="E31" s="570">
        <v>920.09325180840608</v>
      </c>
      <c r="F31" s="530">
        <v>61646.247871163207</v>
      </c>
      <c r="G31" s="574"/>
      <c r="H31" s="570"/>
      <c r="I31" s="530"/>
      <c r="J31" s="574">
        <v>0.24820204721436387</v>
      </c>
      <c r="K31" s="570">
        <v>667.43849315068496</v>
      </c>
      <c r="L31" s="530">
        <v>48723.01</v>
      </c>
      <c r="M31" s="529"/>
      <c r="N31" s="555">
        <v>-12923.237871163205</v>
      </c>
      <c r="O31" s="575">
        <v>0.38883657179849884</v>
      </c>
      <c r="P31" s="570">
        <v>1091.0429411764705</v>
      </c>
      <c r="Q31" s="532">
        <v>37095.46</v>
      </c>
      <c r="R31" s="529"/>
      <c r="S31" s="555">
        <v>11627.550000000003</v>
      </c>
      <c r="T31" s="509"/>
      <c r="U31" s="509"/>
      <c r="V31" s="509"/>
      <c r="W31" s="509"/>
      <c r="X31" s="509"/>
      <c r="Y31" s="509"/>
      <c r="Z31" s="509"/>
      <c r="AA31" s="509"/>
      <c r="AB31" s="509"/>
      <c r="AC31" s="509"/>
      <c r="AD31" s="509"/>
      <c r="AE31" s="509"/>
      <c r="AF31" s="509"/>
      <c r="AG31" s="509"/>
      <c r="AH31" s="509"/>
      <c r="AI31" s="509"/>
      <c r="AJ31" s="509"/>
      <c r="AK31" s="509"/>
      <c r="AL31" s="509"/>
      <c r="AM31" s="509"/>
      <c r="AN31" s="509"/>
    </row>
    <row r="32" spans="1:40" ht="15.75" customHeight="1">
      <c r="A32" s="494" t="s">
        <v>246</v>
      </c>
      <c r="B32" s="509" t="s">
        <v>0</v>
      </c>
      <c r="C32" s="522" t="s">
        <v>32</v>
      </c>
      <c r="D32" s="576">
        <v>0.3</v>
      </c>
      <c r="E32" s="577">
        <v>390</v>
      </c>
      <c r="F32" s="524">
        <v>26130</v>
      </c>
      <c r="G32" s="578"/>
      <c r="H32" s="577"/>
      <c r="I32" s="524"/>
      <c r="J32" s="578">
        <v>0.29711867617824522</v>
      </c>
      <c r="K32" s="577">
        <v>233.09794520547948</v>
      </c>
      <c r="L32" s="524">
        <v>17016.150000000001</v>
      </c>
      <c r="M32" s="522"/>
      <c r="N32" s="579">
        <v>-9113.8499999999985</v>
      </c>
      <c r="O32" s="580">
        <v>0.29978160442059171</v>
      </c>
      <c r="P32" s="577">
        <v>295.24176470588236</v>
      </c>
      <c r="Q32" s="524">
        <v>10038.219999999999</v>
      </c>
      <c r="R32" s="522"/>
      <c r="S32" s="579">
        <v>6977.9300000000021</v>
      </c>
      <c r="T32" s="509"/>
      <c r="Z32" s="509"/>
      <c r="AA32" s="509"/>
      <c r="AB32" s="509"/>
      <c r="AC32" s="509"/>
      <c r="AD32" s="509"/>
      <c r="AE32" s="509"/>
      <c r="AF32" s="509"/>
      <c r="AG32" s="509"/>
      <c r="AH32" s="509"/>
      <c r="AI32" s="509"/>
      <c r="AJ32" s="509"/>
      <c r="AK32" s="509"/>
      <c r="AL32" s="509"/>
      <c r="AM32" s="509"/>
      <c r="AN32" s="509"/>
    </row>
    <row r="33" spans="1:40" ht="15.75" customHeight="1">
      <c r="A33" s="494" t="s">
        <v>247</v>
      </c>
      <c r="B33" s="509" t="s">
        <v>0</v>
      </c>
      <c r="C33" s="529" t="s">
        <v>33</v>
      </c>
      <c r="D33" s="581"/>
      <c r="E33" s="570">
        <v>115</v>
      </c>
      <c r="F33" s="530">
        <v>7705</v>
      </c>
      <c r="G33" s="582"/>
      <c r="H33" s="570"/>
      <c r="I33" s="530"/>
      <c r="J33" s="529"/>
      <c r="K33" s="570">
        <v>51.421369863013702</v>
      </c>
      <c r="L33" s="530">
        <v>3753.76</v>
      </c>
      <c r="M33" s="529"/>
      <c r="N33" s="555">
        <v>-3951.24</v>
      </c>
      <c r="O33" s="529"/>
      <c r="P33" s="570">
        <v>99.448823529411769</v>
      </c>
      <c r="Q33" s="532">
        <v>3381.26</v>
      </c>
      <c r="R33" s="529"/>
      <c r="S33" s="555">
        <v>372.5</v>
      </c>
      <c r="T33" s="509"/>
      <c r="Z33" s="509"/>
      <c r="AA33" s="509"/>
      <c r="AB33" s="509"/>
      <c r="AC33" s="509"/>
      <c r="AD33" s="509"/>
      <c r="AE33" s="509"/>
      <c r="AF33" s="509"/>
      <c r="AG33" s="509"/>
      <c r="AH33" s="509"/>
      <c r="AI33" s="509"/>
      <c r="AJ33" s="509"/>
      <c r="AK33" s="509"/>
      <c r="AL33" s="509"/>
      <c r="AM33" s="509"/>
      <c r="AN33" s="509"/>
    </row>
    <row r="34" spans="1:40" ht="15.75" customHeight="1">
      <c r="A34" s="494" t="s">
        <v>248</v>
      </c>
      <c r="B34" s="509" t="s">
        <v>0</v>
      </c>
      <c r="C34" s="529" t="s">
        <v>34</v>
      </c>
      <c r="D34" s="581"/>
      <c r="E34" s="570">
        <v>3</v>
      </c>
      <c r="F34" s="530">
        <v>201</v>
      </c>
      <c r="G34" s="582"/>
      <c r="H34" s="570"/>
      <c r="I34" s="530"/>
      <c r="J34" s="529"/>
      <c r="K34" s="570">
        <v>1.516027397260274</v>
      </c>
      <c r="L34" s="530">
        <v>110.67</v>
      </c>
      <c r="M34" s="529"/>
      <c r="N34" s="555">
        <v>-90.33</v>
      </c>
      <c r="O34" s="529"/>
      <c r="P34" s="570">
        <v>2.3529411764705883</v>
      </c>
      <c r="Q34" s="532">
        <v>80</v>
      </c>
      <c r="R34" s="529"/>
      <c r="S34" s="555">
        <v>30.67</v>
      </c>
      <c r="T34" s="509"/>
      <c r="Z34" s="509"/>
      <c r="AA34" s="509"/>
      <c r="AB34" s="509"/>
      <c r="AC34" s="509"/>
      <c r="AD34" s="509"/>
      <c r="AE34" s="509"/>
      <c r="AF34" s="509"/>
      <c r="AG34" s="509"/>
      <c r="AH34" s="509"/>
      <c r="AI34" s="509"/>
      <c r="AJ34" s="509"/>
      <c r="AK34" s="509"/>
      <c r="AL34" s="509"/>
      <c r="AM34" s="509"/>
      <c r="AN34" s="509"/>
    </row>
    <row r="35" spans="1:40" ht="15.75" customHeight="1">
      <c r="A35" s="494" t="s">
        <v>249</v>
      </c>
      <c r="B35" s="509" t="s">
        <v>0</v>
      </c>
      <c r="C35" s="522" t="s">
        <v>35</v>
      </c>
      <c r="D35" s="583"/>
      <c r="E35" s="577">
        <v>85.05</v>
      </c>
      <c r="F35" s="524">
        <v>5698.3499999999995</v>
      </c>
      <c r="G35" s="584"/>
      <c r="H35" s="577"/>
      <c r="I35" s="524"/>
      <c r="J35" s="522"/>
      <c r="K35" s="577">
        <v>164.94</v>
      </c>
      <c r="L35" s="524">
        <v>12040.62</v>
      </c>
      <c r="M35" s="522"/>
      <c r="N35" s="579">
        <v>6342.2700000000013</v>
      </c>
      <c r="O35" s="522"/>
      <c r="P35" s="577">
        <v>88.820000000000007</v>
      </c>
      <c r="Q35" s="532">
        <v>3019.88</v>
      </c>
      <c r="R35" s="522"/>
      <c r="S35" s="579">
        <v>9020.7400000000016</v>
      </c>
      <c r="T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509"/>
      <c r="AK35" s="509"/>
      <c r="AL35" s="509"/>
      <c r="AM35" s="509"/>
      <c r="AN35" s="509"/>
    </row>
    <row r="36" spans="1:40" ht="15.75" customHeight="1">
      <c r="A36" s="494" t="s">
        <v>250</v>
      </c>
      <c r="B36" s="509" t="s">
        <v>0</v>
      </c>
      <c r="C36" s="529" t="s">
        <v>36</v>
      </c>
      <c r="D36" s="581"/>
      <c r="E36" s="570">
        <v>112.4776119402985</v>
      </c>
      <c r="F36" s="530">
        <v>7536</v>
      </c>
      <c r="G36" s="582"/>
      <c r="H36" s="570"/>
      <c r="I36" s="530"/>
      <c r="J36" s="529"/>
      <c r="K36" s="570">
        <v>131.05397260273972</v>
      </c>
      <c r="L36" s="585">
        <v>9566.9399999999987</v>
      </c>
      <c r="M36" s="509"/>
      <c r="N36" s="555">
        <v>2030.9399999999987</v>
      </c>
      <c r="O36" s="529"/>
      <c r="P36" s="570">
        <v>159.71529411764706</v>
      </c>
      <c r="Q36" s="551">
        <v>5430.32</v>
      </c>
      <c r="R36" s="529"/>
      <c r="S36" s="555">
        <v>4136.619999999999</v>
      </c>
      <c r="T36" s="509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</row>
    <row r="37" spans="1:40" ht="15.75" customHeight="1">
      <c r="A37" s="494" t="s">
        <v>251</v>
      </c>
      <c r="B37" s="509" t="s">
        <v>0</v>
      </c>
      <c r="C37" s="529" t="s">
        <v>37</v>
      </c>
      <c r="D37" s="581"/>
      <c r="E37" s="570">
        <v>318.30489402145508</v>
      </c>
      <c r="F37" s="530">
        <v>21326.427899437491</v>
      </c>
      <c r="G37" s="582"/>
      <c r="H37" s="570"/>
      <c r="I37" s="530"/>
      <c r="J37" s="529"/>
      <c r="K37" s="570">
        <v>474.72863013698634</v>
      </c>
      <c r="L37" s="586">
        <v>34655.19</v>
      </c>
      <c r="M37" s="509"/>
      <c r="N37" s="555">
        <v>13328.762100562511</v>
      </c>
      <c r="O37" s="529"/>
      <c r="P37" s="570">
        <v>54.914411764705882</v>
      </c>
      <c r="Q37" s="532">
        <v>1867.09</v>
      </c>
      <c r="R37" s="529"/>
      <c r="S37" s="555">
        <v>32788.100000000006</v>
      </c>
      <c r="T37" s="509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</row>
    <row r="38" spans="1:40" ht="15.75" hidden="1" customHeight="1">
      <c r="A38" s="494" t="s">
        <v>234</v>
      </c>
      <c r="B38" s="509" t="s">
        <v>0</v>
      </c>
      <c r="C38" s="529" t="s">
        <v>20</v>
      </c>
      <c r="D38" s="581"/>
      <c r="E38" s="570">
        <v>0</v>
      </c>
      <c r="F38" s="530">
        <v>0</v>
      </c>
      <c r="G38" s="582"/>
      <c r="H38" s="570"/>
      <c r="I38" s="530"/>
      <c r="J38" s="529"/>
      <c r="K38" s="570">
        <v>0</v>
      </c>
      <c r="L38" s="586">
        <v>0</v>
      </c>
      <c r="M38" s="509"/>
      <c r="N38" s="555">
        <v>0</v>
      </c>
      <c r="O38" s="529"/>
      <c r="P38" s="570">
        <v>0</v>
      </c>
      <c r="Q38" s="532">
        <v>0</v>
      </c>
      <c r="R38" s="529"/>
      <c r="S38" s="555">
        <v>0</v>
      </c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09"/>
      <c r="AK38" s="509"/>
      <c r="AL38" s="509"/>
      <c r="AM38" s="509"/>
      <c r="AN38" s="509"/>
    </row>
    <row r="39" spans="1:40" ht="15.75" hidden="1" customHeight="1">
      <c r="A39" s="494" t="s">
        <v>234</v>
      </c>
      <c r="B39" s="509" t="s">
        <v>0</v>
      </c>
      <c r="C39" s="529" t="s">
        <v>20</v>
      </c>
      <c r="D39" s="581"/>
      <c r="E39" s="570">
        <v>0</v>
      </c>
      <c r="F39" s="530">
        <v>0</v>
      </c>
      <c r="G39" s="582"/>
      <c r="H39" s="570"/>
      <c r="I39" s="530"/>
      <c r="J39" s="529"/>
      <c r="K39" s="570">
        <v>0</v>
      </c>
      <c r="L39" s="586">
        <v>0</v>
      </c>
      <c r="M39" s="509"/>
      <c r="N39" s="555">
        <v>0</v>
      </c>
      <c r="O39" s="529"/>
      <c r="P39" s="570">
        <v>0</v>
      </c>
      <c r="Q39" s="532">
        <v>0</v>
      </c>
      <c r="R39" s="529"/>
      <c r="S39" s="555">
        <v>0</v>
      </c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</row>
    <row r="40" spans="1:40" ht="15.75" hidden="1" customHeight="1">
      <c r="A40" s="494" t="s">
        <v>234</v>
      </c>
      <c r="B40" s="509" t="s">
        <v>0</v>
      </c>
      <c r="C40" s="529" t="s">
        <v>20</v>
      </c>
      <c r="D40" s="581"/>
      <c r="E40" s="570">
        <v>0</v>
      </c>
      <c r="F40" s="530">
        <v>0</v>
      </c>
      <c r="G40" s="582"/>
      <c r="H40" s="570"/>
      <c r="I40" s="530"/>
      <c r="J40" s="529"/>
      <c r="K40" s="570">
        <v>0</v>
      </c>
      <c r="L40" s="587">
        <v>0</v>
      </c>
      <c r="M40" s="509"/>
      <c r="N40" s="555">
        <v>0</v>
      </c>
      <c r="O40" s="529"/>
      <c r="P40" s="570">
        <v>0</v>
      </c>
      <c r="Q40" s="532">
        <v>0</v>
      </c>
      <c r="R40" s="529"/>
      <c r="S40" s="555">
        <v>0</v>
      </c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</row>
    <row r="41" spans="1:40" ht="15.75" customHeight="1">
      <c r="A41" s="494" t="s">
        <v>252</v>
      </c>
      <c r="B41" s="509" t="s">
        <v>0</v>
      </c>
      <c r="C41" s="588" t="s">
        <v>38</v>
      </c>
      <c r="D41" s="589" t="s">
        <v>39</v>
      </c>
      <c r="E41" s="590">
        <v>0.45081987446802874</v>
      </c>
      <c r="F41" s="591">
        <v>130243.02577060071</v>
      </c>
      <c r="G41" s="592"/>
      <c r="H41" s="590"/>
      <c r="I41" s="591"/>
      <c r="J41" s="592" t="s">
        <v>39</v>
      </c>
      <c r="K41" s="590">
        <v>0.48483837390642393</v>
      </c>
      <c r="L41" s="591">
        <v>125866.34</v>
      </c>
      <c r="M41" s="593"/>
      <c r="N41" s="591">
        <v>-4376.685770600714</v>
      </c>
      <c r="O41" s="592" t="s">
        <v>39</v>
      </c>
      <c r="P41" s="590">
        <v>0.44750386326204988</v>
      </c>
      <c r="Q41" s="594">
        <v>60912.229999999996</v>
      </c>
      <c r="R41" s="595"/>
      <c r="S41" s="591">
        <v>64954.11</v>
      </c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</row>
    <row r="42" spans="1:40" ht="15.75" customHeight="1">
      <c r="A42" s="494" t="s">
        <v>253</v>
      </c>
      <c r="B42" s="509" t="s">
        <v>0</v>
      </c>
      <c r="C42" s="596" t="s">
        <v>41</v>
      </c>
      <c r="D42" s="509"/>
      <c r="E42" s="509"/>
      <c r="F42" s="530">
        <v>18197.116666666669</v>
      </c>
      <c r="G42" s="529"/>
      <c r="H42" s="509"/>
      <c r="I42" s="530"/>
      <c r="J42" s="529"/>
      <c r="K42" s="509"/>
      <c r="L42" s="532">
        <v>13149.05</v>
      </c>
      <c r="M42" s="529"/>
      <c r="N42" s="555">
        <v>-5048.0666666666693</v>
      </c>
      <c r="O42" s="529"/>
      <c r="P42" s="597">
        <v>9.7681425647652115E-2</v>
      </c>
      <c r="Q42" s="532">
        <v>13295.96</v>
      </c>
      <c r="R42" s="529"/>
      <c r="S42" s="555">
        <v>-146.90999999999985</v>
      </c>
      <c r="T42" s="509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09"/>
      <c r="AK42" s="509"/>
      <c r="AL42" s="509"/>
      <c r="AM42" s="509"/>
      <c r="AN42" s="509"/>
    </row>
    <row r="43" spans="1:40" ht="15.75" customHeight="1">
      <c r="A43" s="494" t="s">
        <v>254</v>
      </c>
      <c r="B43" s="509" t="s">
        <v>0</v>
      </c>
      <c r="C43" s="598" t="s">
        <v>42</v>
      </c>
      <c r="D43" s="581"/>
      <c r="E43" s="509"/>
      <c r="F43" s="524">
        <v>11267.511076923076</v>
      </c>
      <c r="G43" s="582"/>
      <c r="H43" s="509"/>
      <c r="I43" s="524"/>
      <c r="J43" s="529"/>
      <c r="K43" s="509"/>
      <c r="L43" s="532">
        <v>9365.85</v>
      </c>
      <c r="M43" s="529"/>
      <c r="N43" s="555">
        <v>-1901.6610769230756</v>
      </c>
      <c r="O43" s="529"/>
      <c r="P43" s="509"/>
      <c r="Q43" s="532">
        <v>10544.06</v>
      </c>
      <c r="R43" s="529"/>
      <c r="S43" s="555">
        <v>-1178.2099999999991</v>
      </c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</row>
    <row r="44" spans="1:40" ht="15.75" customHeight="1">
      <c r="A44" s="494" t="s">
        <v>255</v>
      </c>
      <c r="B44" s="509" t="s">
        <v>0</v>
      </c>
      <c r="C44" s="596" t="s">
        <v>43</v>
      </c>
      <c r="D44" s="599"/>
      <c r="E44" s="600"/>
      <c r="F44" s="530">
        <v>2664.3538461538465</v>
      </c>
      <c r="G44" s="601"/>
      <c r="H44" s="600"/>
      <c r="I44" s="530"/>
      <c r="J44" s="517"/>
      <c r="K44" s="600"/>
      <c r="L44" s="551">
        <v>4575.3599999999997</v>
      </c>
      <c r="M44" s="517"/>
      <c r="N44" s="602">
        <v>1911.0061538461532</v>
      </c>
      <c r="O44" s="517"/>
      <c r="P44" s="600"/>
      <c r="Q44" s="551">
        <v>12250.19</v>
      </c>
      <c r="R44" s="517"/>
      <c r="S44" s="602">
        <v>-7674.8300000000008</v>
      </c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</row>
    <row r="45" spans="1:40" ht="15.75" customHeight="1">
      <c r="A45" s="494" t="s">
        <v>256</v>
      </c>
      <c r="B45" s="509" t="s">
        <v>0</v>
      </c>
      <c r="C45" s="596" t="s">
        <v>44</v>
      </c>
      <c r="D45" s="581"/>
      <c r="E45" s="509"/>
      <c r="F45" s="530">
        <v>0</v>
      </c>
      <c r="G45" s="582"/>
      <c r="H45" s="509"/>
      <c r="I45" s="530"/>
      <c r="J45" s="529"/>
      <c r="K45" s="509"/>
      <c r="L45" s="532">
        <v>0</v>
      </c>
      <c r="M45" s="529"/>
      <c r="N45" s="555">
        <v>0</v>
      </c>
      <c r="O45" s="529"/>
      <c r="P45" s="509"/>
      <c r="Q45" s="532">
        <v>0</v>
      </c>
      <c r="R45" s="529"/>
      <c r="S45" s="555">
        <v>0</v>
      </c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</row>
    <row r="46" spans="1:40" ht="15.75" hidden="1" customHeight="1">
      <c r="A46" s="494" t="s">
        <v>234</v>
      </c>
      <c r="B46" s="509" t="s">
        <v>0</v>
      </c>
      <c r="C46" s="596" t="s">
        <v>20</v>
      </c>
      <c r="D46" s="581"/>
      <c r="E46" s="509"/>
      <c r="F46" s="530">
        <v>0</v>
      </c>
      <c r="G46" s="582"/>
      <c r="H46" s="509"/>
      <c r="I46" s="530"/>
      <c r="J46" s="529"/>
      <c r="K46" s="509"/>
      <c r="L46" s="532">
        <v>0</v>
      </c>
      <c r="M46" s="529"/>
      <c r="N46" s="555">
        <v>0</v>
      </c>
      <c r="O46" s="529"/>
      <c r="P46" s="509"/>
      <c r="Q46" s="532">
        <v>0</v>
      </c>
      <c r="R46" s="529"/>
      <c r="S46" s="555">
        <v>0</v>
      </c>
      <c r="T46" s="509"/>
      <c r="U46" s="509"/>
      <c r="V46" s="509"/>
      <c r="W46" s="509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</row>
    <row r="47" spans="1:40" ht="15.75" hidden="1" customHeight="1">
      <c r="A47" s="494" t="s">
        <v>234</v>
      </c>
      <c r="B47" s="509" t="s">
        <v>0</v>
      </c>
      <c r="C47" s="596" t="s">
        <v>20</v>
      </c>
      <c r="D47" s="581"/>
      <c r="E47" s="509"/>
      <c r="F47" s="530">
        <v>0</v>
      </c>
      <c r="G47" s="582"/>
      <c r="H47" s="509"/>
      <c r="I47" s="530"/>
      <c r="J47" s="529"/>
      <c r="K47" s="509"/>
      <c r="L47" s="532">
        <v>0</v>
      </c>
      <c r="M47" s="529"/>
      <c r="N47" s="555">
        <v>0</v>
      </c>
      <c r="O47" s="529"/>
      <c r="P47" s="509"/>
      <c r="Q47" s="532">
        <v>0</v>
      </c>
      <c r="R47" s="529"/>
      <c r="S47" s="555">
        <v>0</v>
      </c>
      <c r="T47" s="509"/>
      <c r="U47" s="509"/>
      <c r="V47" s="509"/>
      <c r="W47" s="509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09"/>
      <c r="AK47" s="509"/>
      <c r="AL47" s="509"/>
      <c r="AM47" s="509"/>
      <c r="AN47" s="509"/>
    </row>
    <row r="48" spans="1:40" ht="15.75" hidden="1" customHeight="1">
      <c r="A48" s="494" t="s">
        <v>234</v>
      </c>
      <c r="B48" s="509" t="s">
        <v>0</v>
      </c>
      <c r="C48" s="596" t="s">
        <v>20</v>
      </c>
      <c r="D48" s="581"/>
      <c r="E48" s="509"/>
      <c r="F48" s="530">
        <v>0</v>
      </c>
      <c r="G48" s="582"/>
      <c r="H48" s="509"/>
      <c r="I48" s="530"/>
      <c r="J48" s="529"/>
      <c r="K48" s="509"/>
      <c r="L48" s="532">
        <v>0</v>
      </c>
      <c r="M48" s="529"/>
      <c r="N48" s="555">
        <v>0</v>
      </c>
      <c r="O48" s="529"/>
      <c r="P48" s="509"/>
      <c r="Q48" s="532">
        <v>0</v>
      </c>
      <c r="R48" s="529"/>
      <c r="S48" s="555">
        <v>0</v>
      </c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</row>
    <row r="49" spans="1:40" ht="15.75" customHeight="1">
      <c r="A49" s="494" t="s">
        <v>257</v>
      </c>
      <c r="B49" s="509" t="s">
        <v>0</v>
      </c>
      <c r="C49" s="598" t="s">
        <v>45</v>
      </c>
      <c r="D49" s="581"/>
      <c r="E49" s="509"/>
      <c r="F49" s="524">
        <v>12428.151948410499</v>
      </c>
      <c r="G49" s="582"/>
      <c r="H49" s="509"/>
      <c r="I49" s="524"/>
      <c r="J49" s="529"/>
      <c r="K49" s="509"/>
      <c r="L49" s="524">
        <v>11763.15</v>
      </c>
      <c r="M49" s="529"/>
      <c r="N49" s="555">
        <v>-665.00194841049961</v>
      </c>
      <c r="O49" s="529"/>
      <c r="P49" s="509"/>
      <c r="Q49" s="524">
        <v>11060.27</v>
      </c>
      <c r="R49" s="529"/>
      <c r="S49" s="555">
        <v>702.8799999999992</v>
      </c>
      <c r="T49" s="509"/>
      <c r="U49" s="509"/>
      <c r="V49" s="509"/>
      <c r="W49" s="509"/>
      <c r="X49" s="506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09"/>
      <c r="AK49" s="509"/>
      <c r="AL49" s="509"/>
      <c r="AM49" s="509"/>
      <c r="AN49" s="509"/>
    </row>
    <row r="50" spans="1:40" ht="15.75" customHeight="1">
      <c r="A50" s="494" t="s">
        <v>258</v>
      </c>
      <c r="B50" s="509" t="s">
        <v>0</v>
      </c>
      <c r="C50" s="596" t="s">
        <v>46</v>
      </c>
      <c r="D50" s="599"/>
      <c r="E50" s="600"/>
      <c r="F50" s="530">
        <v>15110.880783089418</v>
      </c>
      <c r="G50" s="601"/>
      <c r="H50" s="600"/>
      <c r="I50" s="530"/>
      <c r="J50" s="517"/>
      <c r="K50" s="600"/>
      <c r="L50" s="532">
        <v>18598.07</v>
      </c>
      <c r="M50" s="517"/>
      <c r="N50" s="602">
        <v>3487.1892169105813</v>
      </c>
      <c r="O50" s="517"/>
      <c r="P50" s="600"/>
      <c r="Q50" s="532">
        <v>16153.21</v>
      </c>
      <c r="R50" s="517"/>
      <c r="S50" s="602">
        <v>2444.8600000000006</v>
      </c>
      <c r="T50" s="509"/>
      <c r="U50" s="509"/>
      <c r="V50" s="509"/>
      <c r="W50" s="509"/>
      <c r="X50" s="506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9"/>
      <c r="AK50" s="509"/>
      <c r="AL50" s="509"/>
      <c r="AM50" s="509"/>
      <c r="AN50" s="509"/>
    </row>
    <row r="51" spans="1:40" ht="15.75" customHeight="1">
      <c r="A51" s="494" t="s">
        <v>259</v>
      </c>
      <c r="B51" s="509" t="s">
        <v>0</v>
      </c>
      <c r="C51" s="596" t="s">
        <v>47</v>
      </c>
      <c r="D51" s="581"/>
      <c r="E51" s="509"/>
      <c r="F51" s="530">
        <v>7785.3885773743295</v>
      </c>
      <c r="G51" s="582"/>
      <c r="H51" s="509"/>
      <c r="I51" s="530"/>
      <c r="J51" s="529"/>
      <c r="K51" s="509"/>
      <c r="L51" s="532">
        <v>7275.41</v>
      </c>
      <c r="M51" s="529"/>
      <c r="N51" s="555">
        <v>-509.97857737432969</v>
      </c>
      <c r="O51" s="529"/>
      <c r="P51" s="509"/>
      <c r="Q51" s="532">
        <v>9403.86</v>
      </c>
      <c r="R51" s="529"/>
      <c r="S51" s="555">
        <v>-2128.4500000000007</v>
      </c>
      <c r="T51" s="509"/>
      <c r="U51" s="509"/>
      <c r="V51" s="509"/>
      <c r="W51" s="509"/>
      <c r="X51" s="506"/>
      <c r="Y51" s="509"/>
      <c r="Z51" s="509"/>
      <c r="AA51" s="509"/>
      <c r="AB51" s="509"/>
      <c r="AC51" s="509"/>
      <c r="AD51" s="509"/>
      <c r="AE51" s="509"/>
      <c r="AF51" s="509"/>
      <c r="AG51" s="509"/>
      <c r="AH51" s="509"/>
      <c r="AI51" s="509"/>
      <c r="AJ51" s="509"/>
      <c r="AK51" s="509"/>
      <c r="AL51" s="509"/>
      <c r="AM51" s="509"/>
      <c r="AN51" s="509"/>
    </row>
    <row r="52" spans="1:40" ht="15.75" customHeight="1">
      <c r="A52" s="494" t="s">
        <v>260</v>
      </c>
      <c r="B52" s="509" t="s">
        <v>0</v>
      </c>
      <c r="C52" s="596" t="s">
        <v>48</v>
      </c>
      <c r="D52" s="581"/>
      <c r="E52" s="509"/>
      <c r="F52" s="530">
        <v>3394.4732193896516</v>
      </c>
      <c r="G52" s="582"/>
      <c r="H52" s="509"/>
      <c r="I52" s="530"/>
      <c r="J52" s="529"/>
      <c r="K52" s="509"/>
      <c r="L52" s="532">
        <v>3705.07</v>
      </c>
      <c r="M52" s="529"/>
      <c r="N52" s="555">
        <v>310.59678061034856</v>
      </c>
      <c r="O52" s="529"/>
      <c r="P52" s="509"/>
      <c r="Q52" s="532">
        <v>2775.98</v>
      </c>
      <c r="R52" s="529"/>
      <c r="S52" s="555">
        <v>929.09000000000015</v>
      </c>
      <c r="T52" s="509"/>
      <c r="U52" s="509"/>
      <c r="V52" s="509"/>
      <c r="W52" s="509"/>
      <c r="X52" s="506"/>
      <c r="Y52" s="509"/>
      <c r="Z52" s="509"/>
      <c r="AA52" s="509"/>
      <c r="AB52" s="509"/>
      <c r="AC52" s="509"/>
      <c r="AD52" s="509"/>
      <c r="AE52" s="509"/>
      <c r="AF52" s="509"/>
      <c r="AG52" s="509"/>
      <c r="AH52" s="509"/>
      <c r="AI52" s="509"/>
      <c r="AJ52" s="509"/>
      <c r="AK52" s="509"/>
      <c r="AL52" s="509"/>
      <c r="AM52" s="509"/>
      <c r="AN52" s="509"/>
    </row>
    <row r="53" spans="1:40" ht="15.75" hidden="1" customHeight="1">
      <c r="A53" s="494" t="s">
        <v>234</v>
      </c>
      <c r="B53" s="509" t="s">
        <v>0</v>
      </c>
      <c r="C53" s="529" t="s">
        <v>20</v>
      </c>
      <c r="D53" s="583" t="e">
        <v>#N/A</v>
      </c>
      <c r="E53" s="603"/>
      <c r="F53" s="530">
        <v>0</v>
      </c>
      <c r="G53" s="584"/>
      <c r="H53" s="603"/>
      <c r="I53" s="530"/>
      <c r="J53" s="522"/>
      <c r="K53" s="603"/>
      <c r="L53" s="532">
        <v>0</v>
      </c>
      <c r="M53" s="522"/>
      <c r="N53" s="579">
        <v>0</v>
      </c>
      <c r="O53" s="522"/>
      <c r="P53" s="603"/>
      <c r="Q53" s="532">
        <v>0</v>
      </c>
      <c r="R53" s="522"/>
      <c r="S53" s="579">
        <v>0</v>
      </c>
      <c r="T53" s="509"/>
      <c r="U53" s="509"/>
      <c r="V53" s="509"/>
      <c r="W53" s="509"/>
      <c r="X53" s="506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09"/>
      <c r="AK53" s="509"/>
      <c r="AL53" s="509"/>
      <c r="AM53" s="509"/>
      <c r="AN53" s="509"/>
    </row>
    <row r="54" spans="1:40" ht="15.75" customHeight="1">
      <c r="A54" s="494" t="s">
        <v>261</v>
      </c>
      <c r="B54" s="509" t="s">
        <v>0</v>
      </c>
      <c r="C54" s="588" t="s">
        <v>49</v>
      </c>
      <c r="D54" s="589" t="s">
        <v>39</v>
      </c>
      <c r="E54" s="590">
        <v>0.24523102430146551</v>
      </c>
      <c r="F54" s="591">
        <v>70847.87611800748</v>
      </c>
      <c r="G54" s="592"/>
      <c r="H54" s="590"/>
      <c r="I54" s="591"/>
      <c r="J54" s="592" t="s">
        <v>39</v>
      </c>
      <c r="K54" s="590">
        <v>0.26360057986614571</v>
      </c>
      <c r="L54" s="591">
        <v>68431.960000000006</v>
      </c>
      <c r="M54" s="595"/>
      <c r="N54" s="591">
        <v>-2415.9161180074911</v>
      </c>
      <c r="O54" s="592" t="s">
        <v>39</v>
      </c>
      <c r="P54" s="590">
        <v>0.55455482893430164</v>
      </c>
      <c r="Q54" s="591">
        <v>75483.529999999984</v>
      </c>
      <c r="R54" s="595"/>
      <c r="S54" s="591">
        <v>-7051.5700000000015</v>
      </c>
      <c r="T54" s="570"/>
      <c r="U54" s="509"/>
      <c r="V54" s="509"/>
      <c r="W54" s="509"/>
      <c r="X54" s="506"/>
      <c r="Y54" s="509"/>
      <c r="Z54" s="509"/>
      <c r="AA54" s="509"/>
      <c r="AB54" s="509"/>
      <c r="AC54" s="509"/>
      <c r="AD54" s="509"/>
      <c r="AE54" s="509"/>
      <c r="AF54" s="509"/>
      <c r="AG54" s="509"/>
      <c r="AH54" s="509"/>
      <c r="AI54" s="509"/>
      <c r="AJ54" s="509"/>
      <c r="AK54" s="509"/>
      <c r="AL54" s="509"/>
      <c r="AM54" s="509"/>
      <c r="AN54" s="509"/>
    </row>
    <row r="55" spans="1:40" ht="15.75" hidden="1" customHeight="1">
      <c r="A55" s="494" t="s">
        <v>262</v>
      </c>
      <c r="B55" s="509" t="s">
        <v>0</v>
      </c>
      <c r="C55" s="529" t="s">
        <v>50</v>
      </c>
      <c r="D55" s="581"/>
      <c r="E55" s="509"/>
      <c r="F55" s="530">
        <v>0</v>
      </c>
      <c r="G55" s="582"/>
      <c r="H55" s="509"/>
      <c r="I55" s="530"/>
      <c r="J55" s="529"/>
      <c r="K55" s="509"/>
      <c r="L55" s="532">
        <v>0</v>
      </c>
      <c r="M55" s="529"/>
      <c r="N55" s="555">
        <v>0</v>
      </c>
      <c r="O55" s="529"/>
      <c r="P55" s="509"/>
      <c r="Q55" s="532">
        <v>0</v>
      </c>
      <c r="R55" s="529"/>
      <c r="S55" s="555">
        <v>0</v>
      </c>
      <c r="T55" s="570"/>
      <c r="U55" s="509"/>
      <c r="V55" s="509"/>
      <c r="W55" s="509"/>
      <c r="X55" s="506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</row>
    <row r="56" spans="1:40" ht="15.75" hidden="1" customHeight="1">
      <c r="A56" s="494" t="s">
        <v>263</v>
      </c>
      <c r="B56" s="509" t="s">
        <v>0</v>
      </c>
      <c r="C56" s="529" t="s">
        <v>51</v>
      </c>
      <c r="D56" s="581"/>
      <c r="E56" s="509"/>
      <c r="F56" s="530">
        <v>0</v>
      </c>
      <c r="G56" s="582"/>
      <c r="H56" s="509"/>
      <c r="I56" s="530"/>
      <c r="J56" s="529"/>
      <c r="K56" s="509"/>
      <c r="L56" s="532">
        <v>0</v>
      </c>
      <c r="M56" s="529"/>
      <c r="N56" s="555">
        <v>0</v>
      </c>
      <c r="O56" s="529"/>
      <c r="P56" s="509"/>
      <c r="Q56" s="532">
        <v>0</v>
      </c>
      <c r="R56" s="529"/>
      <c r="S56" s="555">
        <v>0</v>
      </c>
      <c r="T56" s="570"/>
      <c r="U56" s="509"/>
      <c r="V56" s="509"/>
      <c r="W56" s="509"/>
      <c r="X56" s="506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</row>
    <row r="57" spans="1:40" ht="15.75" customHeight="1">
      <c r="A57" s="494" t="s">
        <v>264</v>
      </c>
      <c r="B57" s="509" t="s">
        <v>0</v>
      </c>
      <c r="C57" s="522" t="s">
        <v>52</v>
      </c>
      <c r="D57" s="583"/>
      <c r="E57" s="603"/>
      <c r="F57" s="524">
        <v>9200</v>
      </c>
      <c r="G57" s="584"/>
      <c r="H57" s="603"/>
      <c r="I57" s="524"/>
      <c r="J57" s="522"/>
      <c r="K57" s="603"/>
      <c r="L57" s="524">
        <v>11626.31</v>
      </c>
      <c r="M57" s="522"/>
      <c r="N57" s="579">
        <v>2426.3099999999995</v>
      </c>
      <c r="O57" s="522"/>
      <c r="P57" s="603"/>
      <c r="Q57" s="524">
        <v>6050.54</v>
      </c>
      <c r="R57" s="522"/>
      <c r="S57" s="579">
        <v>5575.7699999999995</v>
      </c>
      <c r="T57" s="604"/>
      <c r="U57" s="509"/>
      <c r="V57" s="509"/>
      <c r="W57" s="509"/>
      <c r="X57" s="506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09"/>
      <c r="AK57" s="509"/>
      <c r="AL57" s="509"/>
      <c r="AM57" s="509"/>
      <c r="AN57" s="509"/>
    </row>
    <row r="58" spans="1:40" ht="15.75" customHeight="1">
      <c r="A58" s="494" t="s">
        <v>265</v>
      </c>
      <c r="B58" s="509" t="s">
        <v>0</v>
      </c>
      <c r="C58" s="529" t="s">
        <v>53</v>
      </c>
      <c r="D58" s="581"/>
      <c r="E58" s="509"/>
      <c r="F58" s="530">
        <v>9039.6954662222215</v>
      </c>
      <c r="G58" s="582"/>
      <c r="H58" s="509"/>
      <c r="I58" s="530"/>
      <c r="J58" s="529"/>
      <c r="K58" s="509"/>
      <c r="L58" s="532">
        <v>7516.3</v>
      </c>
      <c r="M58" s="529"/>
      <c r="N58" s="555">
        <v>-1523.3954662222213</v>
      </c>
      <c r="O58" s="529"/>
      <c r="P58" s="509"/>
      <c r="Q58" s="532">
        <v>6422.17</v>
      </c>
      <c r="R58" s="529"/>
      <c r="S58" s="555">
        <v>1094.1300000000001</v>
      </c>
      <c r="T58" s="570"/>
      <c r="U58" s="509"/>
      <c r="V58" s="509"/>
      <c r="W58" s="509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09"/>
      <c r="AK58" s="509"/>
      <c r="AL58" s="509"/>
      <c r="AM58" s="509"/>
      <c r="AN58" s="509"/>
    </row>
    <row r="59" spans="1:40" ht="15.75" customHeight="1">
      <c r="A59" s="494" t="s">
        <v>266</v>
      </c>
      <c r="B59" s="509" t="s">
        <v>0</v>
      </c>
      <c r="C59" s="529" t="s">
        <v>54</v>
      </c>
      <c r="D59" s="581"/>
      <c r="E59" s="509"/>
      <c r="F59" s="530">
        <v>1105.2258848911197</v>
      </c>
      <c r="G59" s="582"/>
      <c r="H59" s="509"/>
      <c r="I59" s="530"/>
      <c r="J59" s="529"/>
      <c r="K59" s="509"/>
      <c r="L59" s="532">
        <v>2705.19</v>
      </c>
      <c r="M59" s="529"/>
      <c r="N59" s="555">
        <v>1599.9641151088804</v>
      </c>
      <c r="O59" s="529"/>
      <c r="P59" s="509"/>
      <c r="Q59" s="532">
        <v>925.52</v>
      </c>
      <c r="R59" s="529"/>
      <c r="S59" s="555">
        <v>1779.67</v>
      </c>
      <c r="T59" s="509"/>
      <c r="U59" s="509"/>
      <c r="V59" s="509"/>
      <c r="W59" s="509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09"/>
      <c r="AK59" s="509"/>
      <c r="AL59" s="509"/>
      <c r="AM59" s="509"/>
      <c r="AN59" s="509"/>
    </row>
    <row r="60" spans="1:40" ht="15.75" customHeight="1">
      <c r="A60" s="494" t="s">
        <v>267</v>
      </c>
      <c r="B60" s="509" t="s">
        <v>0</v>
      </c>
      <c r="C60" s="522" t="s">
        <v>55</v>
      </c>
      <c r="D60" s="583"/>
      <c r="E60" s="603"/>
      <c r="F60" s="524">
        <v>6711.4186422074081</v>
      </c>
      <c r="G60" s="584"/>
      <c r="H60" s="603"/>
      <c r="I60" s="524"/>
      <c r="J60" s="522"/>
      <c r="K60" s="603"/>
      <c r="L60" s="524">
        <v>6746.26</v>
      </c>
      <c r="M60" s="522"/>
      <c r="N60" s="579">
        <v>34.841357792592135</v>
      </c>
      <c r="O60" s="522"/>
      <c r="P60" s="603"/>
      <c r="Q60" s="524">
        <v>5703.27</v>
      </c>
      <c r="R60" s="522"/>
      <c r="S60" s="579">
        <v>1042.9899999999998</v>
      </c>
      <c r="T60" s="509"/>
      <c r="U60" s="509"/>
      <c r="V60" s="509"/>
      <c r="W60" s="509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09"/>
      <c r="AK60" s="509"/>
      <c r="AL60" s="509"/>
      <c r="AM60" s="509"/>
      <c r="AN60" s="509"/>
    </row>
    <row r="61" spans="1:40" ht="15.75" customHeight="1">
      <c r="A61" s="494" t="s">
        <v>268</v>
      </c>
      <c r="B61" s="509" t="s">
        <v>0</v>
      </c>
      <c r="C61" s="529" t="s">
        <v>56</v>
      </c>
      <c r="D61" s="581"/>
      <c r="E61" s="509"/>
      <c r="F61" s="530">
        <v>125</v>
      </c>
      <c r="G61" s="582"/>
      <c r="H61" s="509"/>
      <c r="I61" s="530"/>
      <c r="J61" s="529"/>
      <c r="K61" s="509"/>
      <c r="L61" s="532">
        <v>36.28</v>
      </c>
      <c r="M61" s="529"/>
      <c r="N61" s="555">
        <v>-88.72</v>
      </c>
      <c r="O61" s="529"/>
      <c r="P61" s="509"/>
      <c r="Q61" s="532">
        <v>0</v>
      </c>
      <c r="R61" s="529"/>
      <c r="S61" s="555">
        <v>36.28</v>
      </c>
      <c r="T61" s="509"/>
      <c r="U61" s="509"/>
      <c r="V61" s="509"/>
      <c r="W61" s="509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09"/>
      <c r="AK61" s="509"/>
      <c r="AL61" s="509"/>
      <c r="AM61" s="509"/>
      <c r="AN61" s="509"/>
    </row>
    <row r="62" spans="1:40" ht="15.75" customHeight="1">
      <c r="A62" s="494" t="s">
        <v>269</v>
      </c>
      <c r="B62" s="509" t="s">
        <v>0</v>
      </c>
      <c r="C62" s="529" t="s">
        <v>57</v>
      </c>
      <c r="D62" s="581"/>
      <c r="E62" s="509"/>
      <c r="F62" s="530">
        <v>83.333333333333329</v>
      </c>
      <c r="G62" s="582"/>
      <c r="H62" s="509"/>
      <c r="I62" s="530"/>
      <c r="J62" s="529"/>
      <c r="K62" s="509"/>
      <c r="L62" s="532">
        <v>0</v>
      </c>
      <c r="M62" s="529"/>
      <c r="N62" s="555">
        <v>-83.333333333333329</v>
      </c>
      <c r="O62" s="529"/>
      <c r="P62" s="509"/>
      <c r="Q62" s="532">
        <v>0</v>
      </c>
      <c r="R62" s="529"/>
      <c r="S62" s="555">
        <v>0</v>
      </c>
      <c r="T62" s="509"/>
      <c r="U62" s="509"/>
      <c r="V62" s="509"/>
      <c r="W62" s="509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09"/>
      <c r="AK62" s="509"/>
      <c r="AL62" s="509"/>
      <c r="AM62" s="509"/>
      <c r="AN62" s="509"/>
    </row>
    <row r="63" spans="1:40" ht="15.75" customHeight="1">
      <c r="A63" s="494" t="s">
        <v>270</v>
      </c>
      <c r="B63" s="509" t="s">
        <v>0</v>
      </c>
      <c r="C63" s="529" t="s">
        <v>58</v>
      </c>
      <c r="D63" s="581"/>
      <c r="E63" s="509"/>
      <c r="F63" s="530">
        <v>756.94660196799998</v>
      </c>
      <c r="G63" s="582"/>
      <c r="H63" s="509"/>
      <c r="I63" s="530"/>
      <c r="J63" s="529"/>
      <c r="K63" s="509"/>
      <c r="L63" s="532">
        <v>381.04</v>
      </c>
      <c r="M63" s="529"/>
      <c r="N63" s="555">
        <v>-375.90660196799996</v>
      </c>
      <c r="O63" s="529"/>
      <c r="P63" s="509"/>
      <c r="Q63" s="532">
        <v>783.41</v>
      </c>
      <c r="R63" s="529"/>
      <c r="S63" s="555">
        <v>-402.36999999999995</v>
      </c>
      <c r="T63" s="509"/>
      <c r="U63" s="509"/>
      <c r="V63" s="509"/>
      <c r="W63" s="509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09"/>
      <c r="AK63" s="509"/>
      <c r="AL63" s="509"/>
      <c r="AM63" s="509"/>
      <c r="AN63" s="509"/>
    </row>
    <row r="64" spans="1:40" ht="15.75" customHeight="1">
      <c r="A64" s="494" t="s">
        <v>271</v>
      </c>
      <c r="B64" s="509" t="s">
        <v>0</v>
      </c>
      <c r="C64" s="529" t="s">
        <v>59</v>
      </c>
      <c r="D64" s="581"/>
      <c r="E64" s="509"/>
      <c r="F64" s="530">
        <v>309.40348505288893</v>
      </c>
      <c r="G64" s="582"/>
      <c r="H64" s="509"/>
      <c r="I64" s="530"/>
      <c r="J64" s="529"/>
      <c r="K64" s="509"/>
      <c r="L64" s="532">
        <v>318.89999999999998</v>
      </c>
      <c r="M64" s="529"/>
      <c r="N64" s="555">
        <v>9.4965149471110522</v>
      </c>
      <c r="O64" s="529"/>
      <c r="P64" s="509"/>
      <c r="Q64" s="532">
        <v>233.07</v>
      </c>
      <c r="R64" s="529"/>
      <c r="S64" s="555">
        <v>85.829999999999984</v>
      </c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09"/>
      <c r="AK64" s="509"/>
      <c r="AL64" s="509"/>
      <c r="AM64" s="509"/>
      <c r="AN64" s="509"/>
    </row>
    <row r="65" spans="1:40" ht="15.75" customHeight="1">
      <c r="A65" s="494" t="s">
        <v>272</v>
      </c>
      <c r="B65" s="509" t="s">
        <v>0</v>
      </c>
      <c r="C65" s="529" t="s">
        <v>60</v>
      </c>
      <c r="D65" s="581"/>
      <c r="E65" s="509"/>
      <c r="F65" s="530">
        <v>113.12880990711112</v>
      </c>
      <c r="G65" s="582"/>
      <c r="H65" s="509"/>
      <c r="I65" s="530"/>
      <c r="J65" s="529"/>
      <c r="K65" s="509"/>
      <c r="L65" s="532">
        <v>10.56</v>
      </c>
      <c r="M65" s="529"/>
      <c r="N65" s="555">
        <v>-102.56880990711112</v>
      </c>
      <c r="O65" s="529"/>
      <c r="P65" s="509"/>
      <c r="Q65" s="532">
        <v>129.09</v>
      </c>
      <c r="R65" s="529"/>
      <c r="S65" s="555">
        <v>-118.53</v>
      </c>
      <c r="T65" s="509"/>
      <c r="U65" s="509"/>
      <c r="V65" s="509"/>
      <c r="W65" s="509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09"/>
      <c r="AK65" s="509"/>
      <c r="AL65" s="509"/>
      <c r="AM65" s="509"/>
      <c r="AN65" s="509"/>
    </row>
    <row r="66" spans="1:40" ht="15.75" customHeight="1">
      <c r="A66" s="494" t="s">
        <v>273</v>
      </c>
      <c r="B66" s="509" t="s">
        <v>0</v>
      </c>
      <c r="C66" s="529" t="s">
        <v>61</v>
      </c>
      <c r="D66" s="581"/>
      <c r="E66" s="509"/>
      <c r="F66" s="530">
        <v>282.46260343511113</v>
      </c>
      <c r="G66" s="582"/>
      <c r="H66" s="509"/>
      <c r="I66" s="530"/>
      <c r="J66" s="529"/>
      <c r="K66" s="509"/>
      <c r="L66" s="532">
        <v>201.95</v>
      </c>
      <c r="M66" s="529"/>
      <c r="N66" s="555">
        <v>-80.512603435111146</v>
      </c>
      <c r="O66" s="529"/>
      <c r="P66" s="509"/>
      <c r="Q66" s="532">
        <v>116.88</v>
      </c>
      <c r="R66" s="529"/>
      <c r="S66" s="555">
        <v>85.07</v>
      </c>
      <c r="T66" s="509"/>
      <c r="U66" s="509"/>
      <c r="V66" s="509"/>
      <c r="W66" s="509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09"/>
      <c r="AK66" s="509"/>
      <c r="AL66" s="509"/>
      <c r="AM66" s="509"/>
      <c r="AN66" s="509"/>
    </row>
    <row r="67" spans="1:40" ht="15.75" customHeight="1">
      <c r="A67" s="494" t="s">
        <v>274</v>
      </c>
      <c r="B67" s="509" t="s">
        <v>0</v>
      </c>
      <c r="C67" s="529" t="s">
        <v>62</v>
      </c>
      <c r="D67" s="581"/>
      <c r="E67" s="509"/>
      <c r="F67" s="530">
        <v>1899.1075000000001</v>
      </c>
      <c r="G67" s="582"/>
      <c r="H67" s="509"/>
      <c r="I67" s="530"/>
      <c r="J67" s="529"/>
      <c r="K67" s="509"/>
      <c r="L67" s="532">
        <v>1147.3499999999999</v>
      </c>
      <c r="M67" s="529"/>
      <c r="N67" s="555">
        <v>-751.75750000000016</v>
      </c>
      <c r="O67" s="529"/>
      <c r="P67" s="509"/>
      <c r="Q67" s="532">
        <v>2687.5</v>
      </c>
      <c r="R67" s="529"/>
      <c r="S67" s="555">
        <v>-1540.15</v>
      </c>
      <c r="T67" s="509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09"/>
      <c r="AK67" s="509"/>
      <c r="AL67" s="509"/>
      <c r="AM67" s="509"/>
      <c r="AN67" s="509"/>
    </row>
    <row r="68" spans="1:40" ht="15.75" customHeight="1">
      <c r="A68" s="494" t="s">
        <v>275</v>
      </c>
      <c r="B68" s="509" t="s">
        <v>0</v>
      </c>
      <c r="C68" s="529" t="s">
        <v>63</v>
      </c>
      <c r="D68" s="581"/>
      <c r="E68" s="509"/>
      <c r="F68" s="530">
        <v>3363.2959290092826</v>
      </c>
      <c r="G68" s="582"/>
      <c r="H68" s="509"/>
      <c r="I68" s="530"/>
      <c r="J68" s="529"/>
      <c r="K68" s="509"/>
      <c r="L68" s="532">
        <v>4277.07</v>
      </c>
      <c r="M68" s="529"/>
      <c r="N68" s="555">
        <v>913.77407099071706</v>
      </c>
      <c r="O68" s="529"/>
      <c r="P68" s="509"/>
      <c r="Q68" s="532">
        <v>3025.62</v>
      </c>
      <c r="R68" s="529"/>
      <c r="S68" s="555">
        <v>1251.4499999999998</v>
      </c>
      <c r="T68" s="509"/>
      <c r="X68" s="509"/>
      <c r="Y68" s="509"/>
      <c r="Z68" s="509"/>
      <c r="AA68" s="509"/>
      <c r="AB68" s="509"/>
      <c r="AC68" s="509"/>
      <c r="AD68" s="509"/>
      <c r="AE68" s="509"/>
      <c r="AF68" s="509"/>
      <c r="AG68" s="509"/>
      <c r="AH68" s="509"/>
      <c r="AI68" s="509"/>
      <c r="AJ68" s="509"/>
      <c r="AK68" s="509"/>
      <c r="AL68" s="509"/>
      <c r="AM68" s="509"/>
      <c r="AN68" s="509"/>
    </row>
    <row r="69" spans="1:40" ht="15.75" hidden="1" customHeight="1">
      <c r="A69" s="494" t="s">
        <v>234</v>
      </c>
      <c r="B69" s="509" t="s">
        <v>0</v>
      </c>
      <c r="C69" s="529" t="s">
        <v>20</v>
      </c>
      <c r="D69" s="581"/>
      <c r="E69" s="509"/>
      <c r="F69" s="530">
        <v>0</v>
      </c>
      <c r="G69" s="582"/>
      <c r="H69" s="509"/>
      <c r="I69" s="530"/>
      <c r="J69" s="529"/>
      <c r="K69" s="509"/>
      <c r="L69" s="532"/>
      <c r="M69" s="529"/>
      <c r="N69" s="555">
        <v>0</v>
      </c>
      <c r="O69" s="529"/>
      <c r="P69" s="509"/>
      <c r="Q69" s="532">
        <v>0</v>
      </c>
      <c r="R69" s="529"/>
      <c r="S69" s="555">
        <v>0</v>
      </c>
      <c r="T69" s="509"/>
      <c r="X69" s="509"/>
      <c r="Y69" s="509"/>
      <c r="Z69" s="509"/>
      <c r="AA69" s="509"/>
      <c r="AB69" s="509"/>
      <c r="AC69" s="509"/>
      <c r="AD69" s="509"/>
      <c r="AE69" s="509"/>
      <c r="AF69" s="509"/>
      <c r="AG69" s="509"/>
      <c r="AH69" s="509"/>
      <c r="AI69" s="509"/>
      <c r="AJ69" s="509"/>
      <c r="AK69" s="509"/>
      <c r="AL69" s="509"/>
      <c r="AM69" s="509"/>
      <c r="AN69" s="509"/>
    </row>
    <row r="70" spans="1:40" ht="15.75" hidden="1" customHeight="1">
      <c r="A70" s="494" t="s">
        <v>234</v>
      </c>
      <c r="B70" s="509" t="s">
        <v>0</v>
      </c>
      <c r="C70" s="529" t="s">
        <v>20</v>
      </c>
      <c r="D70" s="581"/>
      <c r="E70" s="509"/>
      <c r="F70" s="530">
        <v>0</v>
      </c>
      <c r="G70" s="582"/>
      <c r="H70" s="509"/>
      <c r="I70" s="530"/>
      <c r="J70" s="529"/>
      <c r="K70" s="509"/>
      <c r="L70" s="532">
        <v>0</v>
      </c>
      <c r="M70" s="529"/>
      <c r="N70" s="555">
        <v>0</v>
      </c>
      <c r="O70" s="529"/>
      <c r="P70" s="509"/>
      <c r="Q70" s="532">
        <v>0</v>
      </c>
      <c r="R70" s="529"/>
      <c r="S70" s="555">
        <v>0</v>
      </c>
      <c r="T70" s="509"/>
      <c r="X70" s="509"/>
      <c r="Y70" s="509"/>
      <c r="Z70" s="509"/>
      <c r="AA70" s="509"/>
      <c r="AB70" s="509"/>
      <c r="AC70" s="509"/>
      <c r="AD70" s="509"/>
      <c r="AE70" s="509"/>
      <c r="AF70" s="509"/>
      <c r="AG70" s="509"/>
      <c r="AH70" s="509"/>
      <c r="AI70" s="509"/>
      <c r="AJ70" s="509"/>
      <c r="AK70" s="509"/>
      <c r="AL70" s="509"/>
      <c r="AM70" s="509"/>
      <c r="AN70" s="509"/>
    </row>
    <row r="71" spans="1:40" ht="15.75" hidden="1" customHeight="1">
      <c r="A71" s="494" t="s">
        <v>234</v>
      </c>
      <c r="B71" s="509" t="s">
        <v>0</v>
      </c>
      <c r="C71" s="529" t="s">
        <v>20</v>
      </c>
      <c r="D71" s="581"/>
      <c r="E71" s="509"/>
      <c r="F71" s="530">
        <v>0</v>
      </c>
      <c r="G71" s="582"/>
      <c r="H71" s="509"/>
      <c r="I71" s="530"/>
      <c r="J71" s="529"/>
      <c r="K71" s="509"/>
      <c r="L71" s="532">
        <v>0</v>
      </c>
      <c r="M71" s="529"/>
      <c r="N71" s="555">
        <v>0</v>
      </c>
      <c r="O71" s="529"/>
      <c r="P71" s="509"/>
      <c r="Q71" s="532">
        <v>0</v>
      </c>
      <c r="R71" s="529"/>
      <c r="S71" s="555">
        <v>0</v>
      </c>
      <c r="T71" s="509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09"/>
      <c r="AK71" s="509"/>
      <c r="AL71" s="509"/>
      <c r="AM71" s="509"/>
      <c r="AN71" s="509"/>
    </row>
    <row r="72" spans="1:40" ht="15.75" customHeight="1">
      <c r="A72" s="494" t="s">
        <v>276</v>
      </c>
      <c r="B72" s="509" t="s">
        <v>0</v>
      </c>
      <c r="C72" s="588" t="s">
        <v>64</v>
      </c>
      <c r="D72" s="589" t="s">
        <v>39</v>
      </c>
      <c r="E72" s="590">
        <v>0.11418734309198143</v>
      </c>
      <c r="F72" s="591">
        <v>32989.018256026473</v>
      </c>
      <c r="G72" s="592"/>
      <c r="H72" s="590"/>
      <c r="I72" s="591"/>
      <c r="J72" s="592" t="s">
        <v>39</v>
      </c>
      <c r="K72" s="590">
        <v>0.13469403524758444</v>
      </c>
      <c r="L72" s="591">
        <v>34967.21</v>
      </c>
      <c r="M72" s="595"/>
      <c r="N72" s="591">
        <v>1978.1917439735234</v>
      </c>
      <c r="O72" s="592" t="s">
        <v>39</v>
      </c>
      <c r="P72" s="590">
        <v>0.19158040294297063</v>
      </c>
      <c r="Q72" s="591">
        <v>26077.07</v>
      </c>
      <c r="R72" s="595"/>
      <c r="S72" s="591">
        <v>8890.14</v>
      </c>
      <c r="T72" s="509"/>
      <c r="X72" s="509"/>
      <c r="Y72" s="509"/>
      <c r="Z72" s="509"/>
      <c r="AA72" s="509"/>
      <c r="AB72" s="509"/>
      <c r="AC72" s="509"/>
      <c r="AD72" s="509"/>
      <c r="AE72" s="509"/>
      <c r="AF72" s="509"/>
      <c r="AG72" s="509"/>
      <c r="AH72" s="509"/>
      <c r="AI72" s="509"/>
      <c r="AJ72" s="509"/>
      <c r="AK72" s="509"/>
      <c r="AL72" s="509"/>
      <c r="AM72" s="509"/>
      <c r="AN72" s="509"/>
    </row>
    <row r="73" spans="1:40" ht="15.75" customHeight="1">
      <c r="A73" s="494" t="s">
        <v>0</v>
      </c>
      <c r="B73" s="509" t="s">
        <v>0</v>
      </c>
      <c r="C73" s="522"/>
      <c r="D73" s="583"/>
      <c r="E73" s="603"/>
      <c r="F73" s="555"/>
      <c r="G73" s="584"/>
      <c r="H73" s="603"/>
      <c r="I73" s="555"/>
      <c r="J73" s="522"/>
      <c r="K73" s="603"/>
      <c r="L73" s="579"/>
      <c r="M73" s="522"/>
      <c r="N73" s="579"/>
      <c r="O73" s="522"/>
      <c r="P73" s="603"/>
      <c r="Q73" s="579"/>
      <c r="R73" s="522"/>
      <c r="S73" s="579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</row>
    <row r="74" spans="1:40" ht="15.75" customHeight="1">
      <c r="A74" s="494" t="s">
        <v>277</v>
      </c>
      <c r="B74" s="509" t="s">
        <v>0</v>
      </c>
      <c r="C74" s="588" t="s">
        <v>65</v>
      </c>
      <c r="D74" s="589" t="s">
        <v>39</v>
      </c>
      <c r="E74" s="590">
        <v>0.81023824186147564</v>
      </c>
      <c r="F74" s="591">
        <v>234079.92014463464</v>
      </c>
      <c r="G74" s="592"/>
      <c r="H74" s="590"/>
      <c r="I74" s="591"/>
      <c r="J74" s="592" t="s">
        <v>39</v>
      </c>
      <c r="K74" s="590">
        <v>0.88313298902015402</v>
      </c>
      <c r="L74" s="591">
        <v>229265.50999999998</v>
      </c>
      <c r="M74" s="595"/>
      <c r="N74" s="605">
        <v>-4814.4101446346613</v>
      </c>
      <c r="O74" s="592" t="s">
        <v>39</v>
      </c>
      <c r="P74" s="590">
        <v>1.1936390951393223</v>
      </c>
      <c r="Q74" s="591">
        <v>162472.82999999999</v>
      </c>
      <c r="R74" s="595"/>
      <c r="S74" s="605">
        <v>66792.679999999993</v>
      </c>
      <c r="T74" s="509"/>
      <c r="U74" s="509"/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</row>
    <row r="75" spans="1:40" ht="15.75" customHeight="1">
      <c r="A75" s="494" t="s">
        <v>278</v>
      </c>
      <c r="B75" s="509" t="s">
        <v>0</v>
      </c>
      <c r="C75" s="529" t="s">
        <v>197</v>
      </c>
      <c r="D75" s="581"/>
      <c r="E75" s="509"/>
      <c r="F75" s="530">
        <v>0</v>
      </c>
      <c r="G75" s="582"/>
      <c r="H75" s="509"/>
      <c r="I75" s="530"/>
      <c r="J75" s="529"/>
      <c r="K75" s="509"/>
      <c r="L75" s="532">
        <v>695</v>
      </c>
      <c r="M75" s="529"/>
      <c r="N75" s="555">
        <v>695</v>
      </c>
      <c r="O75" s="529"/>
      <c r="P75" s="509"/>
      <c r="Q75" s="532">
        <v>0</v>
      </c>
      <c r="R75" s="529"/>
      <c r="S75" s="555"/>
      <c r="T75" s="509"/>
      <c r="U75" s="509"/>
      <c r="V75" s="509"/>
      <c r="W75" s="509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09"/>
      <c r="AK75" s="509"/>
      <c r="AL75" s="509"/>
      <c r="AM75" s="509"/>
      <c r="AN75" s="509"/>
    </row>
    <row r="76" spans="1:40" ht="15.75" customHeight="1">
      <c r="A76" s="494" t="s">
        <v>279</v>
      </c>
      <c r="B76" s="509" t="s">
        <v>0</v>
      </c>
      <c r="C76" s="529" t="s">
        <v>194</v>
      </c>
      <c r="D76" s="581"/>
      <c r="E76" s="509"/>
      <c r="F76" s="530">
        <v>0</v>
      </c>
      <c r="G76" s="582"/>
      <c r="H76" s="509"/>
      <c r="I76" s="530"/>
      <c r="J76" s="529"/>
      <c r="K76" s="509"/>
      <c r="L76" s="532">
        <v>0</v>
      </c>
      <c r="M76" s="529"/>
      <c r="N76" s="555">
        <v>0</v>
      </c>
      <c r="O76" s="529"/>
      <c r="P76" s="509"/>
      <c r="Q76" s="532">
        <v>0</v>
      </c>
      <c r="R76" s="529"/>
      <c r="S76" s="555">
        <v>0</v>
      </c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09"/>
      <c r="AK76" s="509"/>
      <c r="AL76" s="509"/>
      <c r="AM76" s="509"/>
      <c r="AN76" s="509"/>
    </row>
    <row r="77" spans="1:40" ht="15.75" customHeight="1">
      <c r="A77" s="494" t="s">
        <v>280</v>
      </c>
      <c r="B77" s="509" t="s">
        <v>0</v>
      </c>
      <c r="C77" s="529" t="s">
        <v>68</v>
      </c>
      <c r="D77" s="581"/>
      <c r="E77" s="509"/>
      <c r="F77" s="530">
        <v>0</v>
      </c>
      <c r="G77" s="582"/>
      <c r="H77" s="509"/>
      <c r="I77" s="530"/>
      <c r="J77" s="529"/>
      <c r="K77" s="509"/>
      <c r="L77" s="532">
        <v>0</v>
      </c>
      <c r="M77" s="529"/>
      <c r="N77" s="555">
        <v>0</v>
      </c>
      <c r="O77" s="529"/>
      <c r="P77" s="509"/>
      <c r="Q77" s="532">
        <v>0</v>
      </c>
      <c r="R77" s="529"/>
      <c r="S77" s="555">
        <v>0</v>
      </c>
      <c r="T77" s="509"/>
      <c r="U77" s="509"/>
      <c r="V77" s="509"/>
      <c r="W77" s="509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09"/>
      <c r="AK77" s="509"/>
      <c r="AL77" s="509"/>
      <c r="AM77" s="509"/>
      <c r="AN77" s="509"/>
    </row>
    <row r="78" spans="1:40" ht="15.75" customHeight="1">
      <c r="A78" s="494" t="s">
        <v>281</v>
      </c>
      <c r="B78" s="509" t="s">
        <v>0</v>
      </c>
      <c r="C78" s="529" t="s">
        <v>69</v>
      </c>
      <c r="D78" s="581"/>
      <c r="E78" s="606">
        <v>1304.7120563880987</v>
      </c>
      <c r="F78" s="530">
        <v>93286.91203174906</v>
      </c>
      <c r="G78" s="582"/>
      <c r="H78" s="509"/>
      <c r="I78" s="530"/>
      <c r="J78" s="607"/>
      <c r="K78" s="606">
        <v>1453.1349315068494</v>
      </c>
      <c r="L78" s="532">
        <v>106078.85</v>
      </c>
      <c r="M78" s="529"/>
      <c r="N78" s="555">
        <v>12791.937968250946</v>
      </c>
      <c r="O78" s="529"/>
      <c r="P78" s="509"/>
      <c r="Q78" s="532">
        <v>39086.080000000002</v>
      </c>
      <c r="R78" s="529"/>
      <c r="S78" s="555">
        <v>66992.77</v>
      </c>
      <c r="T78" s="509"/>
      <c r="U78" s="509"/>
      <c r="V78" s="509"/>
      <c r="W78" s="509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09"/>
      <c r="AK78" s="509"/>
      <c r="AL78" s="509"/>
      <c r="AM78" s="509"/>
      <c r="AN78" s="509"/>
    </row>
    <row r="79" spans="1:40" ht="15.75" hidden="1" customHeight="1">
      <c r="A79" s="494" t="s">
        <v>234</v>
      </c>
      <c r="B79" s="509" t="s">
        <v>0</v>
      </c>
      <c r="C79" s="529" t="s">
        <v>20</v>
      </c>
      <c r="D79" s="581"/>
      <c r="E79" s="509"/>
      <c r="F79" s="530">
        <v>0</v>
      </c>
      <c r="G79" s="582"/>
      <c r="H79" s="509"/>
      <c r="I79" s="530"/>
      <c r="J79" s="529"/>
      <c r="K79" s="509"/>
      <c r="L79" s="532">
        <v>0</v>
      </c>
      <c r="M79" s="529"/>
      <c r="N79" s="555">
        <v>0</v>
      </c>
      <c r="O79" s="529"/>
      <c r="P79" s="509"/>
      <c r="Q79" s="532">
        <v>0</v>
      </c>
      <c r="R79" s="529"/>
      <c r="S79" s="555">
        <v>0</v>
      </c>
      <c r="T79" s="509"/>
      <c r="U79" s="509"/>
      <c r="V79" s="509"/>
      <c r="W79" s="509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09"/>
      <c r="AK79" s="509"/>
      <c r="AL79" s="509"/>
      <c r="AM79" s="509"/>
      <c r="AN79" s="509"/>
    </row>
    <row r="80" spans="1:40" ht="15.75" hidden="1" customHeight="1">
      <c r="A80" s="494" t="s">
        <v>234</v>
      </c>
      <c r="B80" s="509" t="s">
        <v>0</v>
      </c>
      <c r="C80" s="529" t="s">
        <v>20</v>
      </c>
      <c r="D80" s="581"/>
      <c r="E80" s="509"/>
      <c r="F80" s="530">
        <v>0</v>
      </c>
      <c r="G80" s="582"/>
      <c r="H80" s="509"/>
      <c r="I80" s="530"/>
      <c r="J80" s="529"/>
      <c r="K80" s="509"/>
      <c r="L80" s="532">
        <v>0</v>
      </c>
      <c r="M80" s="529"/>
      <c r="N80" s="555">
        <v>0</v>
      </c>
      <c r="O80" s="529"/>
      <c r="P80" s="509"/>
      <c r="Q80" s="532">
        <v>0</v>
      </c>
      <c r="R80" s="529"/>
      <c r="S80" s="555">
        <v>0</v>
      </c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09"/>
      <c r="AK80" s="509"/>
      <c r="AL80" s="509"/>
      <c r="AM80" s="509"/>
      <c r="AN80" s="509"/>
    </row>
    <row r="81" spans="1:40" ht="15.75" hidden="1" customHeight="1">
      <c r="A81" s="494" t="s">
        <v>234</v>
      </c>
      <c r="B81" s="509" t="s">
        <v>0</v>
      </c>
      <c r="C81" s="529" t="s">
        <v>20</v>
      </c>
      <c r="D81" s="581"/>
      <c r="E81" s="509"/>
      <c r="F81" s="530">
        <v>0</v>
      </c>
      <c r="G81" s="582"/>
      <c r="H81" s="509"/>
      <c r="I81" s="530"/>
      <c r="J81" s="529"/>
      <c r="K81" s="509"/>
      <c r="L81" s="532">
        <v>0</v>
      </c>
      <c r="M81" s="529"/>
      <c r="N81" s="555">
        <v>0</v>
      </c>
      <c r="O81" s="529"/>
      <c r="P81" s="509"/>
      <c r="Q81" s="532">
        <v>0</v>
      </c>
      <c r="R81" s="529"/>
      <c r="S81" s="555">
        <v>0</v>
      </c>
      <c r="T81" s="509"/>
      <c r="U81" s="509"/>
      <c r="V81" s="509"/>
      <c r="W81" s="509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09"/>
      <c r="AK81" s="509"/>
      <c r="AL81" s="509"/>
      <c r="AM81" s="509"/>
      <c r="AN81" s="509"/>
    </row>
    <row r="82" spans="1:40" ht="15.75" customHeight="1">
      <c r="A82" s="608" t="s">
        <v>282</v>
      </c>
      <c r="B82" s="609" t="s">
        <v>0</v>
      </c>
      <c r="C82" s="529" t="s">
        <v>70</v>
      </c>
      <c r="D82" s="610">
        <v>0.95</v>
      </c>
      <c r="E82" s="611">
        <v>474.04999999999995</v>
      </c>
      <c r="F82" s="530">
        <v>31761.35</v>
      </c>
      <c r="G82" s="582"/>
      <c r="H82" s="509"/>
      <c r="I82" s="530"/>
      <c r="J82" s="612">
        <v>0.98932110796936346</v>
      </c>
      <c r="K82" s="611">
        <v>493.67123287671234</v>
      </c>
      <c r="L82" s="532">
        <v>36038</v>
      </c>
      <c r="M82" s="529"/>
      <c r="N82" s="555">
        <v>4276.6500000000015</v>
      </c>
      <c r="O82" s="529"/>
      <c r="P82" s="509"/>
      <c r="Q82" s="532">
        <v>12599</v>
      </c>
      <c r="R82" s="529"/>
      <c r="S82" s="555">
        <v>23439</v>
      </c>
      <c r="T82" s="509"/>
      <c r="U82" s="509"/>
      <c r="V82" s="509"/>
      <c r="W82" s="509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09"/>
      <c r="AK82" s="509"/>
      <c r="AL82" s="509"/>
      <c r="AM82" s="509"/>
      <c r="AN82" s="509"/>
    </row>
    <row r="83" spans="1:40" ht="15.75" customHeight="1">
      <c r="A83" s="494" t="s">
        <v>283</v>
      </c>
      <c r="B83" s="509" t="s">
        <v>0</v>
      </c>
      <c r="C83" s="588" t="s">
        <v>71</v>
      </c>
      <c r="D83" s="589"/>
      <c r="E83" s="590"/>
      <c r="F83" s="591">
        <v>125048.26203174907</v>
      </c>
      <c r="G83" s="592"/>
      <c r="H83" s="590"/>
      <c r="I83" s="591"/>
      <c r="J83" s="592"/>
      <c r="K83" s="590"/>
      <c r="L83" s="591">
        <v>142811.85</v>
      </c>
      <c r="M83" s="595"/>
      <c r="N83" s="591">
        <v>17763.587968250948</v>
      </c>
      <c r="O83" s="592"/>
      <c r="P83" s="590"/>
      <c r="Q83" s="591">
        <v>51685.08</v>
      </c>
      <c r="R83" s="595"/>
      <c r="S83" s="591">
        <v>90431.77</v>
      </c>
      <c r="T83" s="509"/>
      <c r="U83" s="509"/>
      <c r="V83" s="509"/>
      <c r="W83" s="509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09"/>
      <c r="AK83" s="509"/>
      <c r="AL83" s="509"/>
      <c r="AM83" s="509"/>
      <c r="AN83" s="509"/>
    </row>
    <row r="84" spans="1:40" ht="15.75" customHeight="1">
      <c r="A84" s="494" t="s">
        <v>0</v>
      </c>
      <c r="B84" s="509" t="s">
        <v>0</v>
      </c>
      <c r="C84" s="613"/>
      <c r="D84" s="614"/>
      <c r="E84" s="615"/>
      <c r="F84" s="616"/>
      <c r="G84" s="617"/>
      <c r="H84" s="615"/>
      <c r="I84" s="616"/>
      <c r="J84" s="618"/>
      <c r="K84" s="619"/>
      <c r="L84" s="616"/>
      <c r="M84" s="618"/>
      <c r="N84" s="620"/>
      <c r="O84" s="618"/>
      <c r="P84" s="619"/>
      <c r="Q84" s="616"/>
      <c r="R84" s="618"/>
      <c r="S84" s="620"/>
      <c r="T84" s="509"/>
      <c r="U84" s="509"/>
      <c r="V84" s="509"/>
      <c r="W84" s="509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09"/>
      <c r="AK84" s="509"/>
      <c r="AL84" s="509"/>
      <c r="AM84" s="509"/>
      <c r="AN84" s="509"/>
    </row>
    <row r="85" spans="1:40" ht="22.5" customHeight="1" thickBot="1">
      <c r="A85" s="494" t="s">
        <v>284</v>
      </c>
      <c r="B85" s="509" t="s">
        <v>0</v>
      </c>
      <c r="C85" s="621" t="s">
        <v>72</v>
      </c>
      <c r="D85" s="622"/>
      <c r="E85" s="623"/>
      <c r="F85" s="624">
        <v>179870.92393119264</v>
      </c>
      <c r="G85" s="625"/>
      <c r="H85" s="623"/>
      <c r="I85" s="624"/>
      <c r="J85" s="625"/>
      <c r="K85" s="622"/>
      <c r="L85" s="624">
        <v>173151.08000000007</v>
      </c>
      <c r="M85" s="625"/>
      <c r="N85" s="624">
        <v>-6719.8439311925322</v>
      </c>
      <c r="O85" s="625"/>
      <c r="P85" s="626">
        <v>1.4342977457373018E-2</v>
      </c>
      <c r="Q85" s="624">
        <v>25327.789999999819</v>
      </c>
      <c r="R85" s="625"/>
      <c r="S85" s="624">
        <v>147128.29000000027</v>
      </c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09"/>
    </row>
    <row r="86" spans="1:40" ht="15.75" customHeight="1" thickTop="1">
      <c r="B86" s="627"/>
      <c r="C86" s="627"/>
      <c r="D86" s="627"/>
      <c r="E86" s="627"/>
      <c r="F86" s="627"/>
      <c r="G86" s="627"/>
      <c r="H86" s="627"/>
      <c r="I86" s="627"/>
      <c r="J86" s="628"/>
      <c r="K86" s="627"/>
      <c r="L86" s="629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27"/>
      <c r="AB86" s="627"/>
      <c r="AC86" s="627"/>
      <c r="AD86" s="627"/>
      <c r="AE86" s="627"/>
      <c r="AF86" s="627"/>
      <c r="AG86" s="627"/>
      <c r="AH86" s="627"/>
      <c r="AI86" s="627"/>
      <c r="AJ86" s="627"/>
      <c r="AK86" s="627"/>
      <c r="AL86" s="627"/>
      <c r="AM86" s="627"/>
      <c r="AN86" s="627"/>
    </row>
    <row r="87" spans="1:40" ht="12.75" customHeight="1">
      <c r="B87" s="627"/>
      <c r="C87" s="627"/>
      <c r="D87" s="627"/>
      <c r="E87" s="627"/>
      <c r="F87" s="627"/>
      <c r="G87" s="627"/>
      <c r="H87" s="627"/>
      <c r="I87" s="630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27"/>
      <c r="AB87" s="627"/>
      <c r="AC87" s="627"/>
      <c r="AD87" s="627"/>
      <c r="AE87" s="627"/>
      <c r="AF87" s="627"/>
      <c r="AG87" s="627"/>
      <c r="AH87" s="627"/>
      <c r="AI87" s="627"/>
      <c r="AJ87" s="627"/>
      <c r="AK87" s="627"/>
      <c r="AL87" s="627"/>
      <c r="AM87" s="627"/>
      <c r="AN87" s="627"/>
    </row>
    <row r="88" spans="1:40" ht="15.75" hidden="1" customHeight="1">
      <c r="B88" s="503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</row>
    <row r="89" spans="1:40" ht="33" customHeight="1">
      <c r="B89" s="495"/>
      <c r="C89" s="631" t="s">
        <v>477</v>
      </c>
      <c r="D89" s="497"/>
      <c r="E89" s="497"/>
      <c r="F89" s="497"/>
      <c r="G89" s="497"/>
      <c r="H89" s="495"/>
      <c r="I89" s="495"/>
      <c r="J89" s="495"/>
      <c r="K89" s="499" t="s">
        <v>73</v>
      </c>
      <c r="L89" s="497"/>
      <c r="M89" s="497"/>
      <c r="N89" s="495"/>
      <c r="O89" s="495"/>
      <c r="P89" s="497"/>
      <c r="Q89" s="495"/>
      <c r="R89" s="497"/>
      <c r="S89" s="632" t="s">
        <v>481</v>
      </c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</row>
    <row r="90" spans="1:40" ht="15.75" customHeight="1" thickBot="1">
      <c r="B90" s="503"/>
      <c r="C90" s="504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</row>
    <row r="91" spans="1:40" ht="15.75" customHeight="1" thickTop="1">
      <c r="B91" s="509"/>
      <c r="C91" s="510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221</v>
      </c>
      <c r="N91" s="513"/>
      <c r="O91" s="511" t="s">
        <v>8</v>
      </c>
      <c r="P91" s="512"/>
      <c r="Q91" s="513"/>
      <c r="R91" s="514" t="s">
        <v>222</v>
      </c>
      <c r="S91" s="513"/>
      <c r="T91" s="509"/>
      <c r="U91" s="509"/>
      <c r="V91" s="509"/>
      <c r="W91" s="509"/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09"/>
      <c r="AK91" s="509"/>
      <c r="AL91" s="509"/>
      <c r="AM91" s="509"/>
      <c r="AN91" s="509"/>
    </row>
    <row r="92" spans="1:40" ht="15.75" customHeight="1">
      <c r="B92" s="509"/>
      <c r="C92" s="529"/>
      <c r="D92" s="518" t="s">
        <v>10</v>
      </c>
      <c r="E92" s="519" t="s">
        <v>11</v>
      </c>
      <c r="F92" s="520" t="s">
        <v>12</v>
      </c>
      <c r="G92" s="521"/>
      <c r="H92" s="519"/>
      <c r="I92" s="520"/>
      <c r="J92" s="521" t="s">
        <v>224</v>
      </c>
      <c r="K92" s="519" t="s">
        <v>13</v>
      </c>
      <c r="L92" s="520" t="s">
        <v>12</v>
      </c>
      <c r="M92" s="521" t="s">
        <v>224</v>
      </c>
      <c r="N92" s="520" t="s">
        <v>12</v>
      </c>
      <c r="O92" s="519" t="s">
        <v>10</v>
      </c>
      <c r="P92" s="519" t="s">
        <v>11</v>
      </c>
      <c r="Q92" s="520" t="s">
        <v>12</v>
      </c>
      <c r="R92" s="521" t="s">
        <v>224</v>
      </c>
      <c r="S92" s="520" t="s">
        <v>12</v>
      </c>
      <c r="T92" s="509"/>
      <c r="U92" s="509"/>
      <c r="V92" s="509"/>
      <c r="W92" s="509"/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09"/>
      <c r="AK92" s="509"/>
      <c r="AL92" s="509"/>
      <c r="AM92" s="509"/>
      <c r="AN92" s="509"/>
    </row>
    <row r="93" spans="1:40" ht="24" customHeight="1">
      <c r="A93" s="494" t="s">
        <v>285</v>
      </c>
      <c r="B93" s="509" t="s">
        <v>73</v>
      </c>
      <c r="C93" s="522" t="s">
        <v>15</v>
      </c>
      <c r="D93" s="526"/>
      <c r="E93" s="526"/>
      <c r="F93" s="524">
        <v>2101187.1269358294</v>
      </c>
      <c r="G93" s="543"/>
      <c r="H93" s="526"/>
      <c r="I93" s="524"/>
      <c r="J93" s="522"/>
      <c r="K93" s="526"/>
      <c r="L93" s="524">
        <v>1101235.5499999998</v>
      </c>
      <c r="M93" s="633"/>
      <c r="N93" s="634"/>
      <c r="O93" s="522"/>
      <c r="P93" s="526"/>
      <c r="Q93" s="524">
        <v>738971.179999999</v>
      </c>
      <c r="R93" s="633"/>
      <c r="S93" s="634"/>
      <c r="T93" s="509"/>
      <c r="U93" s="509"/>
      <c r="V93" s="509"/>
      <c r="W93" s="509"/>
      <c r="X93" s="509"/>
      <c r="Y93" s="509"/>
      <c r="Z93" s="509"/>
      <c r="AA93" s="509"/>
      <c r="AB93" s="509"/>
      <c r="AC93" s="509"/>
      <c r="AD93" s="509"/>
      <c r="AE93" s="509"/>
      <c r="AF93" s="509"/>
      <c r="AG93" s="509"/>
      <c r="AH93" s="509"/>
      <c r="AI93" s="509"/>
      <c r="AJ93" s="509"/>
      <c r="AK93" s="509"/>
      <c r="AL93" s="509"/>
      <c r="AM93" s="509"/>
      <c r="AN93" s="509"/>
    </row>
    <row r="94" spans="1:40" ht="21.75" customHeight="1">
      <c r="A94" s="494" t="s">
        <v>286</v>
      </c>
      <c r="B94" s="509" t="s">
        <v>73</v>
      </c>
      <c r="C94" s="529" t="s">
        <v>75</v>
      </c>
      <c r="D94" s="530">
        <v>38.765999999999998</v>
      </c>
      <c r="E94" s="530">
        <v>1800.0000000000002</v>
      </c>
      <c r="F94" s="530">
        <v>69778.8</v>
      </c>
      <c r="G94" s="531"/>
      <c r="H94" s="530"/>
      <c r="I94" s="530"/>
      <c r="J94" s="531">
        <v>22</v>
      </c>
      <c r="K94" s="530">
        <v>1680.7486363636344</v>
      </c>
      <c r="L94" s="532">
        <v>36976.469999999958</v>
      </c>
      <c r="M94" s="531">
        <v>-16.765999999999998</v>
      </c>
      <c r="N94" s="532">
        <v>-32802.330000000045</v>
      </c>
      <c r="O94" s="531">
        <v>15</v>
      </c>
      <c r="P94" s="530">
        <v>1983.7439999999935</v>
      </c>
      <c r="Q94" s="532">
        <v>29756.159999999902</v>
      </c>
      <c r="R94" s="531">
        <v>7</v>
      </c>
      <c r="S94" s="532">
        <v>7220.3100000000559</v>
      </c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09"/>
      <c r="AK94" s="509"/>
      <c r="AL94" s="509"/>
      <c r="AM94" s="509"/>
      <c r="AN94" s="509"/>
    </row>
    <row r="95" spans="1:40" ht="18.75" customHeight="1">
      <c r="A95" s="494" t="s">
        <v>287</v>
      </c>
      <c r="B95" s="509" t="s">
        <v>73</v>
      </c>
      <c r="C95" s="529" t="s">
        <v>76</v>
      </c>
      <c r="D95" s="530">
        <v>2.1867999999999999</v>
      </c>
      <c r="E95" s="530">
        <v>1800.0000000000002</v>
      </c>
      <c r="F95" s="530">
        <v>3936.2400000000002</v>
      </c>
      <c r="G95" s="531"/>
      <c r="H95" s="530"/>
      <c r="I95" s="530"/>
      <c r="J95" s="531">
        <v>1</v>
      </c>
      <c r="K95" s="530">
        <v>1000</v>
      </c>
      <c r="L95" s="532">
        <v>1000</v>
      </c>
      <c r="M95" s="531">
        <v>-1.1867999999999999</v>
      </c>
      <c r="N95" s="532">
        <v>-2936.2400000000002</v>
      </c>
      <c r="O95" s="531">
        <v>5</v>
      </c>
      <c r="P95" s="530">
        <v>2587.1639999999798</v>
      </c>
      <c r="Q95" s="532">
        <v>12935.8199999999</v>
      </c>
      <c r="R95" s="531">
        <v>-4</v>
      </c>
      <c r="S95" s="532">
        <v>-11935.8199999999</v>
      </c>
      <c r="T95" s="509"/>
      <c r="U95" s="509"/>
      <c r="V95" s="635"/>
      <c r="W95" s="509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09"/>
      <c r="AK95" s="509"/>
      <c r="AL95" s="509"/>
      <c r="AM95" s="509"/>
      <c r="AN95" s="509"/>
    </row>
    <row r="96" spans="1:40" ht="18.75" customHeight="1">
      <c r="A96" s="494" t="s">
        <v>482</v>
      </c>
      <c r="B96" s="509" t="s">
        <v>73</v>
      </c>
      <c r="C96" s="529" t="s">
        <v>288</v>
      </c>
      <c r="D96" s="530">
        <v>1.2922</v>
      </c>
      <c r="E96" s="526">
        <v>1800</v>
      </c>
      <c r="F96" s="530">
        <v>2325.96</v>
      </c>
      <c r="G96" s="531"/>
      <c r="H96" s="530"/>
      <c r="I96" s="530"/>
      <c r="J96" s="531">
        <v>0</v>
      </c>
      <c r="K96" s="530">
        <v>0</v>
      </c>
      <c r="L96" s="532">
        <v>0</v>
      </c>
      <c r="M96" s="531">
        <v>-1.2922</v>
      </c>
      <c r="N96" s="532">
        <v>-2325.96</v>
      </c>
      <c r="O96" s="531">
        <v>0</v>
      </c>
      <c r="P96" s="530">
        <v>0</v>
      </c>
      <c r="Q96" s="532">
        <v>0</v>
      </c>
      <c r="R96" s="531">
        <v>0</v>
      </c>
      <c r="S96" s="532">
        <v>0</v>
      </c>
      <c r="T96" s="509"/>
      <c r="U96" s="509"/>
      <c r="V96" s="635"/>
      <c r="W96" s="509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09"/>
      <c r="AK96" s="509"/>
      <c r="AL96" s="509"/>
      <c r="AM96" s="509"/>
      <c r="AN96" s="509"/>
    </row>
    <row r="97" spans="1:40" ht="15.75" customHeight="1">
      <c r="A97" s="494" t="s">
        <v>483</v>
      </c>
      <c r="B97" s="509" t="s">
        <v>73</v>
      </c>
      <c r="C97" s="535" t="s">
        <v>77</v>
      </c>
      <c r="D97" s="536">
        <v>42.244999999999997</v>
      </c>
      <c r="E97" s="530">
        <v>1800.0000000000005</v>
      </c>
      <c r="F97" s="537">
        <v>76041.000000000015</v>
      </c>
      <c r="G97" s="538"/>
      <c r="H97" s="536"/>
      <c r="I97" s="537"/>
      <c r="J97" s="538">
        <v>23</v>
      </c>
      <c r="K97" s="536">
        <v>1651.1508695652155</v>
      </c>
      <c r="L97" s="537">
        <v>37976.469999999958</v>
      </c>
      <c r="M97" s="538">
        <v>-19.244999999999997</v>
      </c>
      <c r="N97" s="537">
        <v>-38064.530000000057</v>
      </c>
      <c r="O97" s="538">
        <v>20</v>
      </c>
      <c r="P97" s="536">
        <v>2134.5989999999902</v>
      </c>
      <c r="Q97" s="537">
        <v>42691.979999999799</v>
      </c>
      <c r="R97" s="538">
        <v>3</v>
      </c>
      <c r="S97" s="537">
        <v>-4715.5099999998438</v>
      </c>
      <c r="T97" s="509"/>
      <c r="U97" s="509"/>
      <c r="V97" s="509"/>
      <c r="W97" s="509"/>
      <c r="X97" s="509"/>
      <c r="Y97" s="509"/>
      <c r="Z97" s="509"/>
      <c r="AA97" s="509"/>
      <c r="AB97" s="509"/>
      <c r="AC97" s="570"/>
      <c r="AD97" s="509"/>
      <c r="AE97" s="509"/>
      <c r="AF97" s="570"/>
      <c r="AG97" s="509"/>
      <c r="AH97" s="509"/>
      <c r="AI97" s="509"/>
      <c r="AJ97" s="509"/>
      <c r="AK97" s="509"/>
      <c r="AL97" s="509"/>
      <c r="AM97" s="509"/>
      <c r="AN97" s="509"/>
    </row>
    <row r="98" spans="1:40" ht="15.75" customHeight="1">
      <c r="A98" s="494" t="s">
        <v>73</v>
      </c>
      <c r="B98" s="509" t="s">
        <v>73</v>
      </c>
      <c r="C98" s="529"/>
      <c r="D98" s="509"/>
      <c r="E98" s="530">
        <v>0</v>
      </c>
      <c r="F98" s="539"/>
      <c r="G98" s="529"/>
      <c r="H98" s="509"/>
      <c r="I98" s="539"/>
      <c r="J98" s="529"/>
      <c r="K98" s="509"/>
      <c r="L98" s="539"/>
      <c r="M98" s="636">
        <v>-0.45555687063557815</v>
      </c>
      <c r="N98" s="637">
        <v>-0.50057902973395996</v>
      </c>
      <c r="O98" s="529"/>
      <c r="P98" s="509">
        <v>0</v>
      </c>
      <c r="Q98" s="539"/>
      <c r="R98" s="636">
        <v>0.15</v>
      </c>
      <c r="S98" s="637">
        <v>-0.11045423519827063</v>
      </c>
      <c r="T98" s="509"/>
      <c r="U98" s="509"/>
      <c r="V98" s="509"/>
      <c r="W98" s="509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09"/>
      <c r="AK98" s="509"/>
      <c r="AL98" s="509"/>
      <c r="AM98" s="509"/>
      <c r="AN98" s="509"/>
    </row>
    <row r="99" spans="1:40" ht="15.75" customHeight="1">
      <c r="A99" s="494" t="s">
        <v>73</v>
      </c>
      <c r="B99" s="509" t="s">
        <v>73</v>
      </c>
      <c r="C99" s="529"/>
      <c r="D99" s="530">
        <v>0</v>
      </c>
      <c r="E99" s="530">
        <v>0</v>
      </c>
      <c r="F99" s="530">
        <v>0</v>
      </c>
      <c r="G99" s="531"/>
      <c r="H99" s="530"/>
      <c r="I99" s="530"/>
      <c r="J99" s="531"/>
      <c r="K99" s="530"/>
      <c r="L99" s="532"/>
      <c r="M99" s="531"/>
      <c r="N99" s="532"/>
      <c r="O99" s="531"/>
      <c r="P99" s="530"/>
      <c r="Q99" s="532"/>
      <c r="R99" s="531"/>
      <c r="S99" s="532"/>
      <c r="T99" s="509"/>
      <c r="U99" s="509"/>
      <c r="V99" s="509"/>
      <c r="W99" s="530"/>
      <c r="X99" s="530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09"/>
      <c r="AK99" s="509"/>
      <c r="AL99" s="509"/>
      <c r="AM99" s="509"/>
      <c r="AN99" s="509"/>
    </row>
    <row r="100" spans="1:40" ht="15.75" customHeight="1">
      <c r="A100" s="494" t="s">
        <v>289</v>
      </c>
      <c r="B100" s="509" t="s">
        <v>73</v>
      </c>
      <c r="C100" s="529" t="s">
        <v>78</v>
      </c>
      <c r="D100" s="530">
        <v>43.239000000000004</v>
      </c>
      <c r="E100" s="530">
        <v>400</v>
      </c>
      <c r="F100" s="530">
        <v>17295.600000000002</v>
      </c>
      <c r="G100" s="531"/>
      <c r="H100" s="530"/>
      <c r="I100" s="530"/>
      <c r="J100" s="531">
        <v>31</v>
      </c>
      <c r="K100" s="530">
        <v>-367.32290322580673</v>
      </c>
      <c r="L100" s="532">
        <v>-11387.010000000009</v>
      </c>
      <c r="M100" s="531">
        <v>-12.239000000000004</v>
      </c>
      <c r="N100" s="532">
        <v>-28682.610000000011</v>
      </c>
      <c r="O100" s="531">
        <v>10</v>
      </c>
      <c r="P100" s="530">
        <v>1818</v>
      </c>
      <c r="Q100" s="532">
        <v>18180</v>
      </c>
      <c r="R100" s="531">
        <v>21</v>
      </c>
      <c r="S100" s="532">
        <v>-29567.010000000009</v>
      </c>
      <c r="T100" s="509"/>
      <c r="U100" s="509"/>
      <c r="V100" s="509"/>
      <c r="W100" s="509"/>
      <c r="X100" s="509"/>
      <c r="Y100" s="509"/>
      <c r="Z100" s="509"/>
      <c r="AA100" s="509"/>
      <c r="AB100" s="509"/>
      <c r="AC100" s="570"/>
      <c r="AD100" s="509"/>
      <c r="AE100" s="509"/>
      <c r="AF100" s="638"/>
      <c r="AG100" s="509"/>
      <c r="AH100" s="509"/>
      <c r="AI100" s="509"/>
      <c r="AJ100" s="509"/>
      <c r="AK100" s="509"/>
      <c r="AL100" s="509"/>
      <c r="AM100" s="509"/>
      <c r="AN100" s="509"/>
    </row>
    <row r="101" spans="1:40" ht="15.75" customHeight="1">
      <c r="A101" s="494" t="s">
        <v>73</v>
      </c>
      <c r="B101" s="509" t="s">
        <v>73</v>
      </c>
      <c r="C101" s="522"/>
      <c r="D101" s="526"/>
      <c r="E101" s="526"/>
      <c r="F101" s="524"/>
      <c r="G101" s="543"/>
      <c r="H101" s="526"/>
      <c r="I101" s="524"/>
      <c r="J101" s="543"/>
      <c r="K101" s="526"/>
      <c r="L101" s="524"/>
      <c r="M101" s="544"/>
      <c r="N101" s="639"/>
      <c r="O101" s="543"/>
      <c r="P101" s="526"/>
      <c r="Q101" s="524"/>
      <c r="R101" s="544"/>
      <c r="S101" s="639"/>
      <c r="T101" s="509"/>
      <c r="U101" s="509"/>
      <c r="V101" s="509"/>
      <c r="W101" s="509"/>
      <c r="X101" s="509"/>
      <c r="Y101" s="509"/>
      <c r="Z101" s="509"/>
      <c r="AA101" s="509"/>
      <c r="AB101" s="509"/>
      <c r="AC101" s="509"/>
      <c r="AD101" s="509"/>
      <c r="AE101" s="509"/>
      <c r="AF101" s="638"/>
      <c r="AG101" s="509"/>
      <c r="AH101" s="509"/>
      <c r="AI101" s="509"/>
      <c r="AJ101" s="509"/>
      <c r="AK101" s="509"/>
      <c r="AL101" s="509"/>
      <c r="AM101" s="509"/>
      <c r="AN101" s="509"/>
    </row>
    <row r="102" spans="1:40" ht="15.75" customHeight="1">
      <c r="A102" s="494" t="s">
        <v>290</v>
      </c>
      <c r="B102" s="509" t="s">
        <v>73</v>
      </c>
      <c r="C102" s="529" t="s">
        <v>25</v>
      </c>
      <c r="D102" s="530">
        <v>0</v>
      </c>
      <c r="E102" s="530">
        <v>0</v>
      </c>
      <c r="F102" s="532">
        <v>29571.5</v>
      </c>
      <c r="G102" s="531"/>
      <c r="H102" s="530"/>
      <c r="I102" s="530"/>
      <c r="J102" s="531"/>
      <c r="K102" s="530">
        <v>360.09913043478264</v>
      </c>
      <c r="L102" s="532">
        <v>8282.2800000000007</v>
      </c>
      <c r="M102" s="531"/>
      <c r="N102" s="532">
        <v>-21289.22</v>
      </c>
      <c r="O102" s="531"/>
      <c r="P102" s="530"/>
      <c r="Q102" s="532">
        <v>18972.05</v>
      </c>
      <c r="R102" s="531">
        <v>-360.09913043478264</v>
      </c>
      <c r="S102" s="532">
        <v>-10689.769999999999</v>
      </c>
      <c r="T102" s="509"/>
      <c r="U102" s="509"/>
      <c r="V102" s="509"/>
      <c r="W102" s="509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09"/>
      <c r="AK102" s="509"/>
      <c r="AL102" s="509"/>
      <c r="AM102" s="509"/>
      <c r="AN102" s="509"/>
    </row>
    <row r="103" spans="1:40" ht="15.75" customHeight="1">
      <c r="A103" s="494" t="s">
        <v>291</v>
      </c>
      <c r="B103" s="509" t="s">
        <v>73</v>
      </c>
      <c r="C103" s="529" t="s">
        <v>26</v>
      </c>
      <c r="D103" s="530">
        <v>0</v>
      </c>
      <c r="E103" s="530">
        <v>0</v>
      </c>
      <c r="F103" s="532">
        <v>61255.249999999993</v>
      </c>
      <c r="G103" s="531"/>
      <c r="H103" s="530"/>
      <c r="I103" s="530"/>
      <c r="J103" s="531"/>
      <c r="K103" s="530">
        <v>1173.4047826086955</v>
      </c>
      <c r="L103" s="532">
        <v>26988.309999999998</v>
      </c>
      <c r="M103" s="531"/>
      <c r="N103" s="532">
        <v>-34266.939999999995</v>
      </c>
      <c r="O103" s="531"/>
      <c r="P103" s="530"/>
      <c r="Q103" s="532">
        <v>40333.22</v>
      </c>
      <c r="R103" s="531">
        <v>-1173.4047826086955</v>
      </c>
      <c r="S103" s="532">
        <v>-13344.910000000003</v>
      </c>
      <c r="T103" s="509"/>
      <c r="U103" s="509"/>
      <c r="V103" s="509"/>
      <c r="W103" s="509"/>
      <c r="X103" s="509"/>
      <c r="Y103" s="509"/>
      <c r="Z103" s="509"/>
      <c r="AA103" s="509"/>
      <c r="AB103" s="509"/>
      <c r="AC103" s="509"/>
      <c r="AD103" s="509"/>
      <c r="AE103" s="509"/>
      <c r="AF103" s="509"/>
      <c r="AG103" s="509"/>
      <c r="AH103" s="509"/>
      <c r="AI103" s="509"/>
      <c r="AJ103" s="509"/>
      <c r="AK103" s="509"/>
      <c r="AL103" s="509"/>
      <c r="AM103" s="509"/>
      <c r="AN103" s="509"/>
    </row>
    <row r="104" spans="1:40" ht="15.75" customHeight="1">
      <c r="A104" s="494" t="s">
        <v>292</v>
      </c>
      <c r="B104" s="509" t="s">
        <v>73</v>
      </c>
      <c r="C104" s="529" t="s">
        <v>27</v>
      </c>
      <c r="D104" s="530">
        <v>0</v>
      </c>
      <c r="E104" s="526">
        <v>0</v>
      </c>
      <c r="F104" s="532">
        <v>2112.25</v>
      </c>
      <c r="G104" s="531"/>
      <c r="H104" s="526"/>
      <c r="I104" s="530"/>
      <c r="J104" s="531"/>
      <c r="K104" s="526">
        <v>28.495217391304347</v>
      </c>
      <c r="L104" s="532">
        <v>655.39</v>
      </c>
      <c r="M104" s="543"/>
      <c r="N104" s="532">
        <v>-1456.8600000000001</v>
      </c>
      <c r="O104" s="531"/>
      <c r="P104" s="526"/>
      <c r="Q104" s="532">
        <v>0</v>
      </c>
      <c r="R104" s="531">
        <v>-28.495217391304347</v>
      </c>
      <c r="S104" s="532">
        <v>655.39</v>
      </c>
      <c r="T104" s="509"/>
      <c r="U104" s="509"/>
      <c r="V104" s="509"/>
      <c r="W104" s="509"/>
      <c r="X104" s="509"/>
      <c r="Y104" s="509"/>
      <c r="Z104" s="509"/>
      <c r="AA104" s="509"/>
      <c r="AB104" s="509"/>
      <c r="AC104" s="509"/>
      <c r="AD104" s="509"/>
      <c r="AE104" s="509"/>
      <c r="AF104" s="509"/>
      <c r="AG104" s="509"/>
      <c r="AH104" s="509"/>
      <c r="AI104" s="509"/>
      <c r="AJ104" s="509"/>
      <c r="AK104" s="509"/>
      <c r="AL104" s="509"/>
      <c r="AM104" s="509"/>
      <c r="AN104" s="509"/>
    </row>
    <row r="105" spans="1:40" ht="15.75" customHeight="1">
      <c r="A105" s="494" t="s">
        <v>293</v>
      </c>
      <c r="B105" s="509" t="s">
        <v>73</v>
      </c>
      <c r="C105" s="535" t="s">
        <v>28</v>
      </c>
      <c r="D105" s="536">
        <v>42.244999999999997</v>
      </c>
      <c r="E105" s="530">
        <v>2200</v>
      </c>
      <c r="F105" s="537">
        <v>92939</v>
      </c>
      <c r="G105" s="538"/>
      <c r="H105" s="536"/>
      <c r="I105" s="537"/>
      <c r="J105" s="538">
        <v>23</v>
      </c>
      <c r="K105" s="536">
        <v>1561.9991304347825</v>
      </c>
      <c r="L105" s="537">
        <v>35925.979999999996</v>
      </c>
      <c r="M105" s="531">
        <v>-19.244999999999997</v>
      </c>
      <c r="N105" s="537">
        <v>-57013.020000000004</v>
      </c>
      <c r="O105" s="538">
        <v>20</v>
      </c>
      <c r="P105" s="536">
        <v>2965.2635</v>
      </c>
      <c r="Q105" s="537">
        <v>59305.270000000004</v>
      </c>
      <c r="R105" s="552"/>
      <c r="S105" s="537">
        <v>-23379.290000000008</v>
      </c>
      <c r="T105" s="509"/>
      <c r="U105" s="509"/>
      <c r="V105" s="509"/>
      <c r="W105" s="509"/>
      <c r="X105" s="509"/>
      <c r="Y105" s="509"/>
      <c r="Z105" s="509"/>
      <c r="AA105" s="509"/>
      <c r="AB105" s="509"/>
      <c r="AC105" s="509"/>
      <c r="AD105" s="509"/>
      <c r="AE105" s="509"/>
      <c r="AF105" s="509"/>
      <c r="AG105" s="509"/>
      <c r="AH105" s="509"/>
      <c r="AI105" s="509"/>
      <c r="AJ105" s="509"/>
      <c r="AK105" s="509"/>
      <c r="AL105" s="509"/>
      <c r="AM105" s="509"/>
      <c r="AN105" s="509"/>
    </row>
    <row r="106" spans="1:40" ht="15.75" customHeight="1">
      <c r="A106" s="494" t="s">
        <v>73</v>
      </c>
      <c r="B106" s="509" t="s">
        <v>73</v>
      </c>
      <c r="C106" s="529"/>
      <c r="D106" s="509"/>
      <c r="E106" s="509"/>
      <c r="F106" s="555"/>
      <c r="G106" s="529"/>
      <c r="H106" s="640"/>
      <c r="I106" s="555"/>
      <c r="J106" s="529"/>
      <c r="K106" s="509"/>
      <c r="L106" s="555"/>
      <c r="M106" s="546"/>
      <c r="N106" s="547">
        <v>-0.61344559334617332</v>
      </c>
      <c r="O106" s="529"/>
      <c r="P106" s="509"/>
      <c r="Q106" s="555"/>
      <c r="R106" s="556"/>
      <c r="S106" s="547">
        <v>-0.39421943446172669</v>
      </c>
      <c r="T106" s="509"/>
      <c r="U106" s="509"/>
      <c r="V106" s="509"/>
      <c r="W106" s="509"/>
      <c r="X106" s="509"/>
      <c r="Y106" s="509"/>
      <c r="Z106" s="509"/>
      <c r="AA106" s="509"/>
      <c r="AB106" s="509"/>
      <c r="AC106" s="509"/>
      <c r="AD106" s="509"/>
      <c r="AE106" s="509"/>
      <c r="AF106" s="509"/>
      <c r="AG106" s="509"/>
      <c r="AH106" s="509"/>
      <c r="AI106" s="509"/>
      <c r="AJ106" s="509"/>
      <c r="AK106" s="509"/>
      <c r="AL106" s="509"/>
      <c r="AM106" s="509"/>
      <c r="AN106" s="509"/>
    </row>
    <row r="107" spans="1:40" ht="15.75" customHeight="1" thickBot="1">
      <c r="A107" s="494" t="s">
        <v>73</v>
      </c>
      <c r="B107" s="509" t="s">
        <v>73</v>
      </c>
      <c r="C107" s="529"/>
      <c r="D107" s="509"/>
      <c r="E107" s="509"/>
      <c r="F107" s="555"/>
      <c r="G107" s="529"/>
      <c r="H107" s="640"/>
      <c r="I107" s="555"/>
      <c r="J107" s="529"/>
      <c r="K107" s="509"/>
      <c r="L107" s="555"/>
      <c r="M107" s="546"/>
      <c r="N107" s="547"/>
      <c r="O107" s="529"/>
      <c r="P107" s="509"/>
      <c r="Q107" s="555"/>
      <c r="R107" s="556"/>
      <c r="S107" s="547"/>
      <c r="T107" s="509"/>
      <c r="U107" s="509"/>
      <c r="V107" s="509"/>
      <c r="W107" s="509"/>
      <c r="X107" s="509"/>
      <c r="Y107" s="509"/>
      <c r="Z107" s="509"/>
      <c r="AA107" s="509"/>
      <c r="AB107" s="509"/>
      <c r="AC107" s="509"/>
      <c r="AD107" s="509"/>
      <c r="AE107" s="509"/>
      <c r="AF107" s="509"/>
      <c r="AG107" s="509"/>
      <c r="AH107" s="509"/>
      <c r="AI107" s="509"/>
      <c r="AJ107" s="509"/>
      <c r="AK107" s="509"/>
      <c r="AL107" s="509"/>
      <c r="AM107" s="509"/>
      <c r="AN107" s="509"/>
    </row>
    <row r="108" spans="1:40" ht="23.25" customHeight="1" thickTop="1">
      <c r="A108" s="494" t="s">
        <v>294</v>
      </c>
      <c r="B108" s="509" t="s">
        <v>73</v>
      </c>
      <c r="C108" s="557" t="s">
        <v>79</v>
      </c>
      <c r="D108" s="558">
        <v>85.484000000000009</v>
      </c>
      <c r="E108" s="559">
        <v>2179.0697674418602</v>
      </c>
      <c r="F108" s="560">
        <v>186275.6</v>
      </c>
      <c r="G108" s="561"/>
      <c r="H108" s="641"/>
      <c r="I108" s="560"/>
      <c r="J108" s="561">
        <v>54</v>
      </c>
      <c r="K108" s="559">
        <v>1157.6933333333322</v>
      </c>
      <c r="L108" s="560">
        <v>62515.439999999944</v>
      </c>
      <c r="M108" s="561">
        <v>-31.484000000000009</v>
      </c>
      <c r="N108" s="560">
        <v>-123760.16000000006</v>
      </c>
      <c r="O108" s="561">
        <v>30</v>
      </c>
      <c r="P108" s="559">
        <v>4005.9083333333265</v>
      </c>
      <c r="Q108" s="560">
        <v>120177.2499999998</v>
      </c>
      <c r="R108" s="561">
        <v>24</v>
      </c>
      <c r="S108" s="560">
        <v>-57661.809999999852</v>
      </c>
      <c r="T108" s="509"/>
      <c r="U108" s="509"/>
      <c r="V108" s="509"/>
      <c r="W108" s="509"/>
      <c r="X108" s="509"/>
      <c r="Y108" s="509"/>
      <c r="Z108" s="509"/>
      <c r="AA108" s="509"/>
      <c r="AB108" s="509"/>
      <c r="AC108" s="509"/>
      <c r="AD108" s="509"/>
      <c r="AE108" s="509"/>
      <c r="AF108" s="509"/>
      <c r="AG108" s="509"/>
      <c r="AH108" s="509"/>
      <c r="AI108" s="509"/>
      <c r="AJ108" s="509"/>
      <c r="AK108" s="509"/>
      <c r="AL108" s="509"/>
      <c r="AM108" s="509"/>
      <c r="AN108" s="509"/>
    </row>
    <row r="109" spans="1:40" ht="19.5" customHeight="1" thickBot="1">
      <c r="A109" s="494" t="s">
        <v>73</v>
      </c>
      <c r="B109" s="509" t="s">
        <v>73</v>
      </c>
      <c r="C109" s="562"/>
      <c r="D109" s="563"/>
      <c r="E109" s="563"/>
      <c r="F109" s="564"/>
      <c r="G109" s="562"/>
      <c r="H109" s="563"/>
      <c r="I109" s="564"/>
      <c r="J109" s="562"/>
      <c r="K109" s="563"/>
      <c r="L109" s="565">
        <v>0.33560724002499492</v>
      </c>
      <c r="M109" s="566">
        <v>-0.36830284029759963</v>
      </c>
      <c r="N109" s="567">
        <v>-0.66439275997500513</v>
      </c>
      <c r="O109" s="562"/>
      <c r="P109" s="563"/>
      <c r="Q109" s="564"/>
      <c r="R109" s="642">
        <v>1.25</v>
      </c>
      <c r="S109" s="643">
        <v>-0.47980636934195076</v>
      </c>
      <c r="T109" s="509"/>
      <c r="U109" s="509"/>
      <c r="V109" s="509"/>
      <c r="W109" s="509"/>
      <c r="X109" s="509"/>
      <c r="Y109" s="509"/>
      <c r="Z109" s="509"/>
      <c r="AA109" s="509"/>
      <c r="AB109" s="509"/>
      <c r="AC109" s="509"/>
      <c r="AD109" s="509"/>
      <c r="AE109" s="509"/>
      <c r="AF109" s="509"/>
      <c r="AG109" s="509"/>
      <c r="AH109" s="509"/>
      <c r="AI109" s="509"/>
      <c r="AJ109" s="509"/>
      <c r="AK109" s="509"/>
      <c r="AL109" s="509"/>
      <c r="AM109" s="509"/>
      <c r="AN109" s="509"/>
    </row>
    <row r="110" spans="1:40" ht="15.75" customHeight="1" thickTop="1">
      <c r="A110" s="494" t="s">
        <v>73</v>
      </c>
      <c r="B110" s="509" t="s">
        <v>73</v>
      </c>
      <c r="C110" s="548"/>
      <c r="D110" s="568"/>
      <c r="E110" s="568"/>
      <c r="F110" s="569"/>
      <c r="G110" s="548"/>
      <c r="H110" s="568"/>
      <c r="I110" s="569"/>
      <c r="J110" s="548"/>
      <c r="K110" s="568"/>
      <c r="L110" s="569"/>
      <c r="M110" s="546"/>
      <c r="N110" s="547"/>
      <c r="O110" s="548"/>
      <c r="P110" s="568"/>
      <c r="Q110" s="569"/>
      <c r="R110" s="546"/>
      <c r="S110" s="547"/>
      <c r="T110" s="509"/>
      <c r="U110" s="509"/>
      <c r="V110" s="509"/>
      <c r="W110" s="509"/>
      <c r="X110" s="509"/>
      <c r="Y110" s="509"/>
      <c r="Z110" s="509"/>
      <c r="AA110" s="509"/>
      <c r="AB110" s="509"/>
      <c r="AC110" s="509"/>
      <c r="AD110" s="509"/>
      <c r="AE110" s="509"/>
      <c r="AF110" s="509"/>
      <c r="AG110" s="509"/>
      <c r="AH110" s="509"/>
      <c r="AI110" s="509"/>
      <c r="AJ110" s="509"/>
      <c r="AK110" s="509"/>
      <c r="AL110" s="509"/>
      <c r="AM110" s="509"/>
      <c r="AN110" s="509"/>
    </row>
    <row r="111" spans="1:40" ht="15.75" customHeight="1">
      <c r="A111" s="494" t="s">
        <v>295</v>
      </c>
      <c r="B111" s="509" t="s">
        <v>73</v>
      </c>
      <c r="C111" s="571" t="s">
        <v>30</v>
      </c>
      <c r="D111" s="509"/>
      <c r="E111" s="572"/>
      <c r="F111" s="555"/>
      <c r="G111" s="529"/>
      <c r="H111" s="572"/>
      <c r="I111" s="555"/>
      <c r="J111" s="529"/>
      <c r="K111" s="572"/>
      <c r="L111" s="539"/>
      <c r="M111" s="529"/>
      <c r="N111" s="539"/>
      <c r="O111" s="529"/>
      <c r="P111" s="572"/>
      <c r="Q111" s="539"/>
      <c r="R111" s="529"/>
      <c r="S111" s="539"/>
      <c r="T111" s="509"/>
      <c r="U111" s="509"/>
      <c r="V111" s="509"/>
      <c r="W111" s="509"/>
      <c r="X111" s="509"/>
      <c r="Y111" s="509"/>
      <c r="Z111" s="509"/>
      <c r="AA111" s="509"/>
      <c r="AB111" s="509"/>
      <c r="AC111" s="509"/>
      <c r="AD111" s="509"/>
      <c r="AE111" s="509"/>
      <c r="AF111" s="509"/>
      <c r="AG111" s="509"/>
      <c r="AH111" s="509"/>
      <c r="AI111" s="509"/>
      <c r="AJ111" s="509"/>
      <c r="AK111" s="509"/>
      <c r="AL111" s="509"/>
      <c r="AM111" s="509"/>
      <c r="AN111" s="509"/>
    </row>
    <row r="112" spans="1:40" ht="15.75" customHeight="1">
      <c r="A112" s="494" t="s">
        <v>296</v>
      </c>
      <c r="B112" s="509" t="s">
        <v>73</v>
      </c>
      <c r="C112" s="529" t="s">
        <v>31</v>
      </c>
      <c r="D112" s="644">
        <v>0.14850000000000005</v>
      </c>
      <c r="E112" s="570">
        <v>594.00000000000023</v>
      </c>
      <c r="F112" s="530">
        <v>25093.530000000006</v>
      </c>
      <c r="G112" s="574"/>
      <c r="H112" s="570"/>
      <c r="I112" s="530"/>
      <c r="J112" s="574">
        <v>0.33860624750009716</v>
      </c>
      <c r="K112" s="570">
        <v>559.09</v>
      </c>
      <c r="L112" s="532">
        <v>12859.07</v>
      </c>
      <c r="M112" s="529"/>
      <c r="N112" s="555">
        <v>-12234.460000000006</v>
      </c>
      <c r="O112" s="575">
        <v>0.43717508534390037</v>
      </c>
      <c r="P112" s="570">
        <v>933.19349999999997</v>
      </c>
      <c r="Q112" s="532">
        <v>18663.87</v>
      </c>
      <c r="R112" s="529"/>
      <c r="S112" s="555">
        <v>-5804.7999999999993</v>
      </c>
      <c r="T112" s="509"/>
      <c r="U112" s="509"/>
      <c r="V112" s="509"/>
      <c r="W112" s="509"/>
      <c r="X112" s="509"/>
      <c r="Y112" s="509"/>
      <c r="Z112" s="509"/>
      <c r="AA112" s="509"/>
      <c r="AB112" s="509"/>
      <c r="AC112" s="509"/>
      <c r="AD112" s="509"/>
      <c r="AE112" s="509"/>
      <c r="AF112" s="509"/>
      <c r="AG112" s="509"/>
      <c r="AH112" s="509"/>
      <c r="AI112" s="509"/>
      <c r="AJ112" s="509"/>
      <c r="AK112" s="509"/>
      <c r="AL112" s="509"/>
      <c r="AM112" s="509"/>
      <c r="AN112" s="509"/>
    </row>
    <row r="113" spans="1:40" ht="15.75" customHeight="1">
      <c r="A113" s="494" t="s">
        <v>297</v>
      </c>
      <c r="B113" s="509" t="s">
        <v>73</v>
      </c>
      <c r="C113" s="522" t="s">
        <v>32</v>
      </c>
      <c r="D113" s="645">
        <v>0.27486173956762194</v>
      </c>
      <c r="E113" s="577">
        <v>660.00000000000011</v>
      </c>
      <c r="F113" s="524">
        <v>27881.7</v>
      </c>
      <c r="G113" s="578"/>
      <c r="H113" s="577"/>
      <c r="I113" s="524"/>
      <c r="J113" s="578">
        <v>0.25687267839075617</v>
      </c>
      <c r="K113" s="577">
        <v>468.58434782608697</v>
      </c>
      <c r="L113" s="532">
        <v>10777.44</v>
      </c>
      <c r="M113" s="522"/>
      <c r="N113" s="579">
        <v>-17104.260000000002</v>
      </c>
      <c r="O113" s="580">
        <v>0.26674250697457286</v>
      </c>
      <c r="P113" s="577">
        <v>887.37950000000001</v>
      </c>
      <c r="Q113" s="532">
        <v>17747.59</v>
      </c>
      <c r="R113" s="522"/>
      <c r="S113" s="579">
        <v>-6970.15</v>
      </c>
      <c r="T113" s="509"/>
      <c r="U113" s="509"/>
      <c r="V113" s="509"/>
      <c r="W113" s="509"/>
      <c r="X113" s="509"/>
      <c r="Y113" s="509"/>
      <c r="Z113" s="509"/>
      <c r="AA113" s="509"/>
      <c r="AB113" s="509"/>
      <c r="AC113" s="509"/>
      <c r="AD113" s="509"/>
      <c r="AE113" s="509"/>
      <c r="AF113" s="509"/>
      <c r="AG113" s="509"/>
      <c r="AH113" s="509"/>
      <c r="AI113" s="509"/>
      <c r="AJ113" s="509"/>
      <c r="AK113" s="509"/>
      <c r="AL113" s="509"/>
      <c r="AM113" s="509"/>
      <c r="AN113" s="509"/>
    </row>
    <row r="114" spans="1:40" ht="15.75" customHeight="1">
      <c r="A114" s="494" t="s">
        <v>298</v>
      </c>
      <c r="B114" s="509" t="s">
        <v>73</v>
      </c>
      <c r="C114" s="529" t="s">
        <v>33</v>
      </c>
      <c r="D114" s="581"/>
      <c r="E114" s="570">
        <v>10</v>
      </c>
      <c r="F114" s="530">
        <v>422.45</v>
      </c>
      <c r="G114" s="582"/>
      <c r="H114" s="570"/>
      <c r="I114" s="530"/>
      <c r="J114" s="529"/>
      <c r="K114" s="570">
        <v>82.301739130434783</v>
      </c>
      <c r="L114" s="551">
        <v>1892.94</v>
      </c>
      <c r="M114" s="529"/>
      <c r="N114" s="555">
        <v>1470.49</v>
      </c>
      <c r="O114" s="529"/>
      <c r="P114" s="570">
        <v>-57.813499999999998</v>
      </c>
      <c r="Q114" s="551">
        <v>-1156.27</v>
      </c>
      <c r="R114" s="529"/>
      <c r="S114" s="555">
        <v>3049.21</v>
      </c>
      <c r="T114" s="509"/>
      <c r="U114" s="509"/>
      <c r="V114" s="509"/>
      <c r="W114" s="530"/>
      <c r="X114" s="509"/>
      <c r="Y114" s="509"/>
      <c r="Z114" s="509"/>
      <c r="AA114" s="509"/>
      <c r="AB114" s="509"/>
      <c r="AC114" s="509"/>
      <c r="AD114" s="509"/>
      <c r="AE114" s="509"/>
      <c r="AF114" s="509"/>
      <c r="AG114" s="509"/>
      <c r="AH114" s="509"/>
      <c r="AI114" s="509"/>
      <c r="AJ114" s="509"/>
      <c r="AK114" s="509"/>
      <c r="AL114" s="509"/>
      <c r="AM114" s="509"/>
      <c r="AN114" s="509"/>
    </row>
    <row r="115" spans="1:40" ht="15.75" customHeight="1">
      <c r="A115" s="494" t="s">
        <v>299</v>
      </c>
      <c r="B115" s="509" t="s">
        <v>73</v>
      </c>
      <c r="C115" s="529" t="s">
        <v>34</v>
      </c>
      <c r="D115" s="581"/>
      <c r="E115" s="570">
        <v>7</v>
      </c>
      <c r="F115" s="530">
        <v>295.71499999999997</v>
      </c>
      <c r="G115" s="582"/>
      <c r="H115" s="570"/>
      <c r="I115" s="530"/>
      <c r="J115" s="529"/>
      <c r="K115" s="570">
        <v>125.55652173913045</v>
      </c>
      <c r="L115" s="532">
        <v>2887.8</v>
      </c>
      <c r="M115" s="529"/>
      <c r="N115" s="555">
        <v>2592.085</v>
      </c>
      <c r="O115" s="529"/>
      <c r="P115" s="570">
        <v>6.5</v>
      </c>
      <c r="Q115" s="532">
        <v>130</v>
      </c>
      <c r="R115" s="529"/>
      <c r="S115" s="555">
        <v>2757.8</v>
      </c>
      <c r="T115" s="509"/>
      <c r="U115" s="509"/>
      <c r="V115" s="509"/>
      <c r="W115" s="530"/>
      <c r="X115" s="509"/>
      <c r="Y115" s="509"/>
      <c r="Z115" s="509"/>
      <c r="AA115" s="509"/>
      <c r="AB115" s="509"/>
      <c r="AC115" s="509"/>
      <c r="AD115" s="509"/>
      <c r="AE115" s="509"/>
      <c r="AF115" s="509"/>
      <c r="AG115" s="509"/>
      <c r="AH115" s="509"/>
      <c r="AI115" s="509"/>
      <c r="AJ115" s="509"/>
      <c r="AK115" s="509"/>
      <c r="AL115" s="509"/>
      <c r="AM115" s="509"/>
      <c r="AN115" s="509"/>
    </row>
    <row r="116" spans="1:40" ht="15.75" customHeight="1">
      <c r="A116" s="494" t="s">
        <v>300</v>
      </c>
      <c r="B116" s="509" t="s">
        <v>73</v>
      </c>
      <c r="C116" s="522" t="s">
        <v>35</v>
      </c>
      <c r="D116" s="583"/>
      <c r="E116" s="577">
        <v>162</v>
      </c>
      <c r="F116" s="524">
        <v>6843.69</v>
      </c>
      <c r="G116" s="584"/>
      <c r="H116" s="577"/>
      <c r="I116" s="524"/>
      <c r="J116" s="522"/>
      <c r="K116" s="577">
        <v>178.62695652173915</v>
      </c>
      <c r="L116" s="524">
        <v>4108.42</v>
      </c>
      <c r="M116" s="522"/>
      <c r="N116" s="579">
        <v>-2735.2699999999995</v>
      </c>
      <c r="O116" s="522"/>
      <c r="P116" s="577">
        <v>237.09800000000001</v>
      </c>
      <c r="Q116" s="524">
        <v>4741.96</v>
      </c>
      <c r="R116" s="522"/>
      <c r="S116" s="579">
        <v>-633.54</v>
      </c>
      <c r="T116" s="509"/>
      <c r="U116" s="570"/>
      <c r="V116" s="509"/>
      <c r="W116" s="530"/>
      <c r="X116" s="509"/>
      <c r="Y116" s="509"/>
      <c r="Z116" s="509"/>
      <c r="AA116" s="509"/>
      <c r="AB116" s="509"/>
      <c r="AC116" s="509"/>
      <c r="AD116" s="509"/>
      <c r="AE116" s="509"/>
      <c r="AF116" s="509"/>
      <c r="AG116" s="509"/>
      <c r="AH116" s="509"/>
      <c r="AI116" s="509"/>
      <c r="AJ116" s="509"/>
      <c r="AK116" s="509"/>
      <c r="AL116" s="509"/>
      <c r="AM116" s="509"/>
      <c r="AN116" s="509"/>
    </row>
    <row r="117" spans="1:40" ht="19.5" customHeight="1">
      <c r="A117" s="494" t="s">
        <v>301</v>
      </c>
      <c r="B117" s="509" t="s">
        <v>73</v>
      </c>
      <c r="C117" s="529" t="s">
        <v>36</v>
      </c>
      <c r="D117" s="581"/>
      <c r="E117" s="570">
        <v>258.66966504911824</v>
      </c>
      <c r="F117" s="530">
        <v>10927.5</v>
      </c>
      <c r="G117" s="582"/>
      <c r="H117" s="570"/>
      <c r="I117" s="530"/>
      <c r="J117" s="529"/>
      <c r="K117" s="570">
        <v>499.74913043478261</v>
      </c>
      <c r="L117" s="532">
        <v>11494.23</v>
      </c>
      <c r="M117" s="529"/>
      <c r="N117" s="555">
        <v>566.72999999999956</v>
      </c>
      <c r="O117" s="529"/>
      <c r="P117" s="570">
        <v>612.85599999999999</v>
      </c>
      <c r="Q117" s="532">
        <v>12257.12</v>
      </c>
      <c r="R117" s="529"/>
      <c r="S117" s="555">
        <v>-762.89000000000124</v>
      </c>
      <c r="T117" s="509"/>
      <c r="U117" s="509"/>
      <c r="V117" s="509"/>
      <c r="W117" s="530"/>
      <c r="Z117" s="509"/>
      <c r="AA117" s="509"/>
      <c r="AB117" s="509"/>
      <c r="AC117" s="509"/>
      <c r="AD117" s="509"/>
      <c r="AE117" s="509"/>
      <c r="AF117" s="509"/>
      <c r="AG117" s="509"/>
      <c r="AH117" s="509"/>
      <c r="AI117" s="509"/>
      <c r="AJ117" s="509"/>
      <c r="AK117" s="509"/>
      <c r="AL117" s="509"/>
      <c r="AM117" s="509"/>
      <c r="AN117" s="509"/>
    </row>
    <row r="118" spans="1:40" ht="15.75" customHeight="1">
      <c r="A118" s="494" t="s">
        <v>302</v>
      </c>
      <c r="B118" s="509" t="s">
        <v>73</v>
      </c>
      <c r="C118" s="529" t="s">
        <v>37</v>
      </c>
      <c r="D118" s="581"/>
      <c r="E118" s="570">
        <v>205.14225461864567</v>
      </c>
      <c r="F118" s="530">
        <v>8666.2345463646852</v>
      </c>
      <c r="G118" s="582"/>
      <c r="H118" s="570"/>
      <c r="I118" s="530"/>
      <c r="J118" s="529"/>
      <c r="K118" s="570">
        <v>379.10826086956519</v>
      </c>
      <c r="L118" s="532">
        <v>8719.49</v>
      </c>
      <c r="M118" s="529"/>
      <c r="N118" s="555">
        <v>53.255453635314552</v>
      </c>
      <c r="O118" s="529"/>
      <c r="P118" s="570">
        <v>101.116</v>
      </c>
      <c r="Q118" s="532">
        <v>2022.32</v>
      </c>
      <c r="R118" s="529"/>
      <c r="S118" s="555">
        <v>6697.17</v>
      </c>
      <c r="T118" s="509"/>
      <c r="U118" s="509"/>
      <c r="V118" s="509"/>
      <c r="W118" s="530"/>
      <c r="X118" s="509"/>
      <c r="Y118" s="509"/>
      <c r="Z118" s="509"/>
      <c r="AA118" s="509"/>
      <c r="AB118" s="509"/>
      <c r="AC118" s="509"/>
      <c r="AD118" s="509"/>
      <c r="AE118" s="509"/>
      <c r="AF118" s="509"/>
      <c r="AG118" s="509"/>
      <c r="AH118" s="509"/>
      <c r="AI118" s="509"/>
      <c r="AJ118" s="509"/>
      <c r="AK118" s="509"/>
      <c r="AL118" s="509"/>
      <c r="AM118" s="509"/>
      <c r="AN118" s="509"/>
    </row>
    <row r="119" spans="1:40" ht="15.75" hidden="1" customHeight="1">
      <c r="A119" s="494" t="s">
        <v>303</v>
      </c>
      <c r="B119" s="509" t="s">
        <v>73</v>
      </c>
      <c r="C119" s="529" t="s">
        <v>20</v>
      </c>
      <c r="D119" s="581"/>
      <c r="E119" s="570">
        <v>0</v>
      </c>
      <c r="F119" s="530">
        <v>0</v>
      </c>
      <c r="G119" s="582"/>
      <c r="H119" s="570"/>
      <c r="I119" s="530"/>
      <c r="J119" s="529"/>
      <c r="K119" s="570">
        <v>0</v>
      </c>
      <c r="L119" s="532">
        <v>0</v>
      </c>
      <c r="M119" s="529"/>
      <c r="N119" s="555">
        <v>0</v>
      </c>
      <c r="O119" s="529"/>
      <c r="P119" s="570">
        <v>0</v>
      </c>
      <c r="Q119" s="532">
        <v>0</v>
      </c>
      <c r="R119" s="529"/>
      <c r="S119" s="555">
        <v>0</v>
      </c>
      <c r="T119" s="509"/>
      <c r="U119" s="509"/>
      <c r="V119" s="509"/>
      <c r="W119" s="509"/>
      <c r="X119" s="509"/>
      <c r="Y119" s="509"/>
      <c r="Z119" s="509"/>
      <c r="AA119" s="509"/>
      <c r="AB119" s="509"/>
      <c r="AC119" s="509"/>
      <c r="AD119" s="509"/>
      <c r="AE119" s="509"/>
      <c r="AF119" s="509"/>
      <c r="AG119" s="509"/>
      <c r="AH119" s="509"/>
      <c r="AI119" s="509"/>
      <c r="AJ119" s="509"/>
      <c r="AK119" s="509"/>
      <c r="AL119" s="509"/>
      <c r="AM119" s="509"/>
      <c r="AN119" s="509"/>
    </row>
    <row r="120" spans="1:40" ht="15.75" hidden="1" customHeight="1">
      <c r="A120" s="494" t="s">
        <v>303</v>
      </c>
      <c r="B120" s="509" t="s">
        <v>73</v>
      </c>
      <c r="C120" s="529" t="s">
        <v>20</v>
      </c>
      <c r="D120" s="581"/>
      <c r="E120" s="570">
        <v>0</v>
      </c>
      <c r="F120" s="530">
        <v>0</v>
      </c>
      <c r="G120" s="582"/>
      <c r="H120" s="570"/>
      <c r="I120" s="530"/>
      <c r="J120" s="529"/>
      <c r="K120" s="570">
        <v>0</v>
      </c>
      <c r="L120" s="532">
        <v>0</v>
      </c>
      <c r="M120" s="529"/>
      <c r="N120" s="555">
        <v>0</v>
      </c>
      <c r="O120" s="529"/>
      <c r="P120" s="570">
        <v>0</v>
      </c>
      <c r="Q120" s="532">
        <v>0</v>
      </c>
      <c r="R120" s="529"/>
      <c r="S120" s="555">
        <v>0</v>
      </c>
      <c r="T120" s="509"/>
      <c r="U120" s="509"/>
      <c r="V120" s="509"/>
      <c r="W120" s="509"/>
      <c r="X120" s="509"/>
      <c r="Y120" s="509"/>
      <c r="Z120" s="509"/>
      <c r="AA120" s="509"/>
      <c r="AB120" s="509"/>
      <c r="AC120" s="509"/>
      <c r="AD120" s="509"/>
      <c r="AE120" s="509"/>
      <c r="AF120" s="509"/>
      <c r="AG120" s="509"/>
      <c r="AH120" s="509"/>
      <c r="AI120" s="509"/>
      <c r="AJ120" s="509"/>
      <c r="AK120" s="509"/>
      <c r="AL120" s="509"/>
      <c r="AM120" s="509"/>
      <c r="AN120" s="509"/>
    </row>
    <row r="121" spans="1:40" ht="15.75" hidden="1" customHeight="1">
      <c r="A121" s="494" t="s">
        <v>303</v>
      </c>
      <c r="B121" s="509" t="s">
        <v>73</v>
      </c>
      <c r="C121" s="529" t="s">
        <v>20</v>
      </c>
      <c r="D121" s="581"/>
      <c r="E121" s="570">
        <v>0</v>
      </c>
      <c r="F121" s="530">
        <v>0</v>
      </c>
      <c r="G121" s="582"/>
      <c r="H121" s="570"/>
      <c r="I121" s="530"/>
      <c r="J121" s="529"/>
      <c r="K121" s="570">
        <v>0</v>
      </c>
      <c r="L121" s="532">
        <v>0</v>
      </c>
      <c r="M121" s="529"/>
      <c r="N121" s="555">
        <v>0</v>
      </c>
      <c r="O121" s="529"/>
      <c r="P121" s="570">
        <v>0</v>
      </c>
      <c r="Q121" s="532">
        <v>0</v>
      </c>
      <c r="R121" s="529"/>
      <c r="S121" s="555">
        <v>0</v>
      </c>
      <c r="T121" s="509"/>
      <c r="U121" s="509"/>
      <c r="V121" s="509"/>
      <c r="W121" s="509"/>
      <c r="X121" s="509"/>
      <c r="Y121" s="509"/>
      <c r="Z121" s="509"/>
      <c r="AA121" s="509"/>
      <c r="AB121" s="509"/>
      <c r="AC121" s="509"/>
      <c r="AD121" s="509"/>
      <c r="AE121" s="509"/>
      <c r="AF121" s="509"/>
      <c r="AG121" s="509"/>
      <c r="AH121" s="509"/>
      <c r="AI121" s="509"/>
      <c r="AJ121" s="509"/>
      <c r="AK121" s="509"/>
      <c r="AL121" s="509"/>
      <c r="AM121" s="509"/>
      <c r="AN121" s="509"/>
    </row>
    <row r="122" spans="1:40" ht="15.75" customHeight="1">
      <c r="A122" s="494" t="s">
        <v>304</v>
      </c>
      <c r="B122" s="509" t="s">
        <v>73</v>
      </c>
      <c r="C122" s="588" t="s">
        <v>38</v>
      </c>
      <c r="D122" s="589" t="s">
        <v>39</v>
      </c>
      <c r="E122" s="590">
        <v>0.4301734609705441</v>
      </c>
      <c r="F122" s="591">
        <v>80130.819546364684</v>
      </c>
      <c r="G122" s="592"/>
      <c r="H122" s="590"/>
      <c r="I122" s="591"/>
      <c r="J122" s="592" t="s">
        <v>39</v>
      </c>
      <c r="K122" s="590">
        <v>0.84362183166270666</v>
      </c>
      <c r="L122" s="591">
        <v>52739.389999999992</v>
      </c>
      <c r="M122" s="595"/>
      <c r="N122" s="591">
        <v>-27391.429546364692</v>
      </c>
      <c r="O122" s="592" t="s">
        <v>39</v>
      </c>
      <c r="P122" s="590">
        <v>0.45271954550466165</v>
      </c>
      <c r="Q122" s="591">
        <v>54406.590000000004</v>
      </c>
      <c r="R122" s="595"/>
      <c r="S122" s="591">
        <v>-1667.2000000000116</v>
      </c>
      <c r="T122" s="509"/>
      <c r="U122" s="509"/>
      <c r="X122" s="509"/>
      <c r="Y122" s="509"/>
      <c r="Z122" s="509"/>
      <c r="AA122" s="509"/>
      <c r="AB122" s="509"/>
      <c r="AC122" s="509"/>
      <c r="AD122" s="509"/>
      <c r="AE122" s="509"/>
      <c r="AF122" s="509"/>
      <c r="AG122" s="509"/>
      <c r="AH122" s="509"/>
      <c r="AI122" s="509"/>
      <c r="AJ122" s="509"/>
      <c r="AK122" s="509"/>
      <c r="AL122" s="509"/>
      <c r="AM122" s="509"/>
      <c r="AN122" s="509"/>
    </row>
    <row r="123" spans="1:40" ht="15.75" customHeight="1">
      <c r="A123" s="494" t="s">
        <v>305</v>
      </c>
      <c r="B123" s="509" t="s">
        <v>73</v>
      </c>
      <c r="C123" s="596" t="s">
        <v>41</v>
      </c>
      <c r="D123" s="509"/>
      <c r="E123" s="509"/>
      <c r="F123" s="530">
        <v>12590.7</v>
      </c>
      <c r="G123" s="529"/>
      <c r="H123" s="509"/>
      <c r="I123" s="530"/>
      <c r="J123" s="529"/>
      <c r="K123" s="509"/>
      <c r="L123" s="532">
        <v>9398.39</v>
      </c>
      <c r="M123" s="529"/>
      <c r="N123" s="555">
        <v>-3192.3100000000013</v>
      </c>
      <c r="O123" s="529"/>
      <c r="P123" s="509"/>
      <c r="Q123" s="532">
        <v>6562.1</v>
      </c>
      <c r="R123" s="529"/>
      <c r="S123" s="555">
        <v>2836.2899999999991</v>
      </c>
      <c r="T123" s="509"/>
      <c r="U123" s="509"/>
      <c r="V123" s="509"/>
      <c r="W123" s="509"/>
      <c r="X123" s="509"/>
      <c r="Y123" s="509"/>
      <c r="Z123" s="509"/>
      <c r="AA123" s="509"/>
      <c r="AB123" s="509"/>
      <c r="AC123" s="509"/>
      <c r="AD123" s="509"/>
      <c r="AE123" s="509"/>
      <c r="AF123" s="509"/>
      <c r="AG123" s="509"/>
      <c r="AH123" s="509"/>
      <c r="AI123" s="509"/>
      <c r="AJ123" s="509"/>
      <c r="AK123" s="509"/>
      <c r="AL123" s="509"/>
      <c r="AM123" s="509"/>
      <c r="AN123" s="509"/>
    </row>
    <row r="124" spans="1:40" ht="15.75" customHeight="1">
      <c r="A124" s="494" t="s">
        <v>306</v>
      </c>
      <c r="B124" s="509" t="s">
        <v>73</v>
      </c>
      <c r="C124" s="598" t="s">
        <v>42</v>
      </c>
      <c r="D124" s="581"/>
      <c r="E124" s="509"/>
      <c r="F124" s="524">
        <v>4255.0024615384618</v>
      </c>
      <c r="G124" s="582"/>
      <c r="H124" s="509"/>
      <c r="I124" s="524"/>
      <c r="J124" s="529"/>
      <c r="K124" s="509"/>
      <c r="L124" s="524">
        <v>1810.72</v>
      </c>
      <c r="M124" s="529"/>
      <c r="N124" s="555">
        <v>-2444.2824615384616</v>
      </c>
      <c r="O124" s="529"/>
      <c r="P124" s="509"/>
      <c r="Q124" s="524">
        <v>3582.4</v>
      </c>
      <c r="R124" s="529"/>
      <c r="S124" s="555">
        <v>-1771.68</v>
      </c>
      <c r="T124" s="509"/>
      <c r="U124" s="509"/>
      <c r="V124" s="509"/>
      <c r="W124" s="509"/>
      <c r="X124" s="509"/>
      <c r="Y124" s="509"/>
      <c r="Z124" s="509"/>
      <c r="AA124" s="509"/>
      <c r="AB124" s="509"/>
      <c r="AC124" s="509"/>
      <c r="AD124" s="509"/>
      <c r="AE124" s="509"/>
      <c r="AF124" s="509"/>
      <c r="AG124" s="509"/>
      <c r="AH124" s="509"/>
      <c r="AI124" s="509"/>
      <c r="AJ124" s="509"/>
      <c r="AK124" s="509"/>
      <c r="AL124" s="509"/>
      <c r="AM124" s="509"/>
      <c r="AN124" s="509"/>
    </row>
    <row r="125" spans="1:40" ht="15.75" customHeight="1">
      <c r="A125" s="494" t="s">
        <v>307</v>
      </c>
      <c r="B125" s="509" t="s">
        <v>73</v>
      </c>
      <c r="C125" s="596" t="s">
        <v>43</v>
      </c>
      <c r="D125" s="599"/>
      <c r="E125" s="600"/>
      <c r="F125" s="530">
        <v>5693.6923076923076</v>
      </c>
      <c r="G125" s="601"/>
      <c r="H125" s="600"/>
      <c r="I125" s="530"/>
      <c r="J125" s="517"/>
      <c r="K125" s="600"/>
      <c r="L125" s="532">
        <v>7173.33</v>
      </c>
      <c r="M125" s="517"/>
      <c r="N125" s="602">
        <v>1479.6376923076923</v>
      </c>
      <c r="O125" s="517"/>
      <c r="P125" s="600"/>
      <c r="Q125" s="532">
        <v>13048.16</v>
      </c>
      <c r="R125" s="517"/>
      <c r="S125" s="602">
        <v>-5874.83</v>
      </c>
      <c r="T125" s="509"/>
      <c r="U125" s="509"/>
      <c r="V125" s="509"/>
      <c r="W125" s="509"/>
      <c r="X125" s="509"/>
      <c r="Y125" s="509"/>
      <c r="Z125" s="509"/>
      <c r="AA125" s="509"/>
      <c r="AB125" s="509"/>
      <c r="AC125" s="509"/>
      <c r="AD125" s="509"/>
      <c r="AE125" s="509"/>
      <c r="AF125" s="509"/>
      <c r="AG125" s="509"/>
      <c r="AH125" s="509"/>
      <c r="AI125" s="509"/>
      <c r="AJ125" s="509"/>
      <c r="AK125" s="509"/>
      <c r="AL125" s="509"/>
      <c r="AM125" s="509"/>
      <c r="AN125" s="509"/>
    </row>
    <row r="126" spans="1:40" ht="15.75" customHeight="1">
      <c r="A126" s="494" t="s">
        <v>308</v>
      </c>
      <c r="B126" s="509" t="s">
        <v>73</v>
      </c>
      <c r="C126" s="596" t="s">
        <v>44</v>
      </c>
      <c r="D126" s="581"/>
      <c r="E126" s="509"/>
      <c r="F126" s="530">
        <v>0</v>
      </c>
      <c r="G126" s="582"/>
      <c r="H126" s="509"/>
      <c r="I126" s="530"/>
      <c r="J126" s="529"/>
      <c r="K126" s="509"/>
      <c r="L126" s="532">
        <v>0</v>
      </c>
      <c r="M126" s="529"/>
      <c r="N126" s="555">
        <v>0</v>
      </c>
      <c r="O126" s="529"/>
      <c r="P126" s="509"/>
      <c r="Q126" s="532">
        <v>0</v>
      </c>
      <c r="R126" s="529"/>
      <c r="S126" s="555">
        <v>0</v>
      </c>
      <c r="T126" s="509"/>
      <c r="U126" s="509"/>
      <c r="V126" s="509"/>
      <c r="W126" s="509"/>
      <c r="X126" s="509"/>
      <c r="Y126" s="509"/>
      <c r="Z126" s="509"/>
      <c r="AA126" s="509"/>
      <c r="AB126" s="509"/>
      <c r="AC126" s="509"/>
      <c r="AD126" s="509"/>
      <c r="AE126" s="509"/>
      <c r="AF126" s="509"/>
      <c r="AG126" s="509"/>
      <c r="AH126" s="509"/>
      <c r="AI126" s="509"/>
      <c r="AJ126" s="509"/>
      <c r="AK126" s="509"/>
      <c r="AL126" s="509"/>
      <c r="AM126" s="509"/>
      <c r="AN126" s="509"/>
    </row>
    <row r="127" spans="1:40" ht="15.75" hidden="1" customHeight="1">
      <c r="A127" s="494" t="s">
        <v>303</v>
      </c>
      <c r="B127" s="509" t="s">
        <v>73</v>
      </c>
      <c r="C127" s="596" t="s">
        <v>20</v>
      </c>
      <c r="D127" s="581"/>
      <c r="E127" s="509"/>
      <c r="F127" s="530">
        <v>0</v>
      </c>
      <c r="G127" s="582"/>
      <c r="H127" s="509"/>
      <c r="I127" s="530"/>
      <c r="J127" s="529"/>
      <c r="K127" s="509"/>
      <c r="L127" s="532">
        <v>0</v>
      </c>
      <c r="M127" s="529"/>
      <c r="N127" s="555">
        <v>0</v>
      </c>
      <c r="O127" s="529"/>
      <c r="P127" s="509"/>
      <c r="Q127" s="532">
        <v>0</v>
      </c>
      <c r="R127" s="529"/>
      <c r="S127" s="555">
        <v>0</v>
      </c>
      <c r="T127" s="509"/>
      <c r="U127" s="509"/>
      <c r="V127" s="509"/>
      <c r="W127" s="509"/>
      <c r="X127" s="509"/>
      <c r="Y127" s="509"/>
      <c r="Z127" s="509"/>
      <c r="AA127" s="509"/>
      <c r="AB127" s="509"/>
      <c r="AC127" s="509"/>
      <c r="AD127" s="509"/>
      <c r="AE127" s="509"/>
      <c r="AF127" s="509"/>
      <c r="AG127" s="509"/>
      <c r="AH127" s="509"/>
      <c r="AI127" s="509"/>
      <c r="AJ127" s="509"/>
      <c r="AK127" s="509"/>
      <c r="AL127" s="509"/>
      <c r="AM127" s="509"/>
      <c r="AN127" s="509"/>
    </row>
    <row r="128" spans="1:40" ht="15.75" hidden="1" customHeight="1">
      <c r="A128" s="494" t="s">
        <v>303</v>
      </c>
      <c r="B128" s="509" t="s">
        <v>73</v>
      </c>
      <c r="C128" s="596" t="s">
        <v>20</v>
      </c>
      <c r="D128" s="581"/>
      <c r="E128" s="509"/>
      <c r="F128" s="530">
        <v>0</v>
      </c>
      <c r="G128" s="582"/>
      <c r="H128" s="509"/>
      <c r="I128" s="530"/>
      <c r="J128" s="529"/>
      <c r="K128" s="509"/>
      <c r="L128" s="532">
        <v>0</v>
      </c>
      <c r="M128" s="529"/>
      <c r="N128" s="555">
        <v>0</v>
      </c>
      <c r="O128" s="529"/>
      <c r="P128" s="509"/>
      <c r="Q128" s="532">
        <v>0</v>
      </c>
      <c r="R128" s="529"/>
      <c r="S128" s="555">
        <v>0</v>
      </c>
      <c r="T128" s="509"/>
      <c r="U128" s="509"/>
      <c r="V128" s="509"/>
      <c r="W128" s="509"/>
      <c r="X128" s="509"/>
      <c r="Y128" s="509"/>
      <c r="Z128" s="509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</row>
    <row r="129" spans="1:40" ht="15.75" hidden="1" customHeight="1">
      <c r="A129" s="494" t="s">
        <v>303</v>
      </c>
      <c r="B129" s="509" t="s">
        <v>73</v>
      </c>
      <c r="C129" s="596" t="s">
        <v>20</v>
      </c>
      <c r="D129" s="581"/>
      <c r="E129" s="509"/>
      <c r="F129" s="530">
        <v>0</v>
      </c>
      <c r="G129" s="582"/>
      <c r="H129" s="509"/>
      <c r="I129" s="530"/>
      <c r="J129" s="529"/>
      <c r="K129" s="509"/>
      <c r="L129" s="532">
        <v>0</v>
      </c>
      <c r="M129" s="529"/>
      <c r="N129" s="555">
        <v>0</v>
      </c>
      <c r="O129" s="529"/>
      <c r="P129" s="509"/>
      <c r="Q129" s="532">
        <v>0</v>
      </c>
      <c r="R129" s="529"/>
      <c r="S129" s="555">
        <v>0</v>
      </c>
      <c r="T129" s="509"/>
      <c r="U129" s="509"/>
      <c r="V129" s="509"/>
      <c r="W129" s="509"/>
      <c r="X129" s="509"/>
      <c r="Y129" s="509"/>
      <c r="Z129" s="509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</row>
    <row r="130" spans="1:40" ht="15.75" customHeight="1">
      <c r="A130" s="494" t="s">
        <v>309</v>
      </c>
      <c r="B130" s="509" t="s">
        <v>73</v>
      </c>
      <c r="C130" s="598" t="s">
        <v>45</v>
      </c>
      <c r="D130" s="581"/>
      <c r="E130" s="509"/>
      <c r="F130" s="530">
        <v>9665.1978396410268</v>
      </c>
      <c r="G130" s="582"/>
      <c r="H130" s="509"/>
      <c r="I130" s="530"/>
      <c r="J130" s="529"/>
      <c r="K130" s="509"/>
      <c r="L130" s="532">
        <v>6719.86</v>
      </c>
      <c r="M130" s="529"/>
      <c r="N130" s="555">
        <v>-2945.3378396410271</v>
      </c>
      <c r="O130" s="529"/>
      <c r="P130" s="509"/>
      <c r="Q130" s="532">
        <v>4042.86</v>
      </c>
      <c r="R130" s="529"/>
      <c r="S130" s="555">
        <v>2676.9999999999995</v>
      </c>
      <c r="T130" s="509"/>
      <c r="U130" s="509"/>
      <c r="V130" s="509"/>
      <c r="W130" s="509"/>
      <c r="X130" s="509"/>
      <c r="Y130" s="509"/>
      <c r="Z130" s="509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</row>
    <row r="131" spans="1:40" ht="15.75" customHeight="1">
      <c r="A131" s="494" t="s">
        <v>310</v>
      </c>
      <c r="B131" s="509" t="s">
        <v>73</v>
      </c>
      <c r="C131" s="596" t="s">
        <v>46</v>
      </c>
      <c r="D131" s="599"/>
      <c r="E131" s="600"/>
      <c r="F131" s="550">
        <v>11751.518078153847</v>
      </c>
      <c r="G131" s="601"/>
      <c r="H131" s="600"/>
      <c r="I131" s="550"/>
      <c r="J131" s="517"/>
      <c r="K131" s="600"/>
      <c r="L131" s="551">
        <v>6401.3</v>
      </c>
      <c r="M131" s="517"/>
      <c r="N131" s="602">
        <v>-5350.2180781538473</v>
      </c>
      <c r="O131" s="517"/>
      <c r="P131" s="600"/>
      <c r="Q131" s="551">
        <v>8576.25</v>
      </c>
      <c r="R131" s="517"/>
      <c r="S131" s="602">
        <v>-2174.9499999999998</v>
      </c>
      <c r="T131" s="509"/>
      <c r="U131" s="509"/>
      <c r="V131" s="509"/>
      <c r="W131" s="509"/>
      <c r="X131" s="509"/>
      <c r="Y131" s="509"/>
      <c r="Z131" s="509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</row>
    <row r="132" spans="1:40" ht="15.75" customHeight="1">
      <c r="A132" s="494" t="s">
        <v>311</v>
      </c>
      <c r="B132" s="509" t="s">
        <v>73</v>
      </c>
      <c r="C132" s="596" t="s">
        <v>47</v>
      </c>
      <c r="D132" s="581"/>
      <c r="E132" s="509"/>
      <c r="F132" s="530">
        <v>6054.5864880923082</v>
      </c>
      <c r="G132" s="582"/>
      <c r="H132" s="509"/>
      <c r="I132" s="530"/>
      <c r="J132" s="529"/>
      <c r="K132" s="509"/>
      <c r="L132" s="532">
        <v>999.32999999999993</v>
      </c>
      <c r="M132" s="529"/>
      <c r="N132" s="555">
        <v>-5055.2564880923082</v>
      </c>
      <c r="O132" s="529"/>
      <c r="P132" s="509"/>
      <c r="Q132" s="532">
        <v>2346.83</v>
      </c>
      <c r="R132" s="529"/>
      <c r="S132" s="555">
        <v>-1347.5</v>
      </c>
      <c r="T132" s="509"/>
      <c r="U132" s="509"/>
      <c r="V132" s="509"/>
      <c r="W132" s="509"/>
      <c r="X132" s="509"/>
      <c r="Y132" s="509"/>
      <c r="Z132" s="509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</row>
    <row r="133" spans="1:40" ht="15.75" customHeight="1">
      <c r="A133" s="494" t="s">
        <v>312</v>
      </c>
      <c r="B133" s="509" t="s">
        <v>73</v>
      </c>
      <c r="C133" s="596" t="s">
        <v>48</v>
      </c>
      <c r="D133" s="581"/>
      <c r="E133" s="509"/>
      <c r="F133" s="530">
        <v>2639.8337711794875</v>
      </c>
      <c r="G133" s="582"/>
      <c r="H133" s="509"/>
      <c r="I133" s="530"/>
      <c r="J133" s="529"/>
      <c r="K133" s="509"/>
      <c r="L133" s="532">
        <v>1212.53</v>
      </c>
      <c r="M133" s="529"/>
      <c r="N133" s="555">
        <v>-1427.3037711794875</v>
      </c>
      <c r="O133" s="529"/>
      <c r="P133" s="509"/>
      <c r="Q133" s="532">
        <v>1442.59</v>
      </c>
      <c r="R133" s="529"/>
      <c r="S133" s="555">
        <v>-230.05999999999995</v>
      </c>
      <c r="T133" s="509"/>
      <c r="U133" s="509"/>
      <c r="V133" s="509"/>
      <c r="W133" s="509"/>
      <c r="X133" s="509"/>
      <c r="Y133" s="509"/>
      <c r="Z133" s="509"/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</row>
    <row r="134" spans="1:40" ht="15.75" hidden="1" customHeight="1">
      <c r="A134" s="494" t="s">
        <v>303</v>
      </c>
      <c r="B134" s="509" t="s">
        <v>73</v>
      </c>
      <c r="C134" s="529" t="s">
        <v>20</v>
      </c>
      <c r="D134" s="583"/>
      <c r="E134" s="603"/>
      <c r="F134" s="530">
        <v>0</v>
      </c>
      <c r="G134" s="584"/>
      <c r="H134" s="603"/>
      <c r="I134" s="530"/>
      <c r="J134" s="522"/>
      <c r="K134" s="603"/>
      <c r="L134" s="532">
        <v>0</v>
      </c>
      <c r="M134" s="522"/>
      <c r="N134" s="579">
        <v>0</v>
      </c>
      <c r="O134" s="522"/>
      <c r="P134" s="603"/>
      <c r="Q134" s="532">
        <v>0</v>
      </c>
      <c r="R134" s="522"/>
      <c r="S134" s="579">
        <v>0</v>
      </c>
      <c r="T134" s="509"/>
      <c r="U134" s="509"/>
      <c r="V134" s="509"/>
      <c r="W134" s="509"/>
      <c r="X134" s="509"/>
      <c r="Y134" s="509"/>
      <c r="Z134" s="509"/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</row>
    <row r="135" spans="1:40" ht="15.75" customHeight="1">
      <c r="A135" s="494" t="s">
        <v>313</v>
      </c>
      <c r="B135" s="509" t="s">
        <v>73</v>
      </c>
      <c r="C135" s="588" t="s">
        <v>49</v>
      </c>
      <c r="D135" s="589" t="s">
        <v>39</v>
      </c>
      <c r="E135" s="590">
        <v>0.28264856452641918</v>
      </c>
      <c r="F135" s="591">
        <v>52650.530946297447</v>
      </c>
      <c r="G135" s="592"/>
      <c r="H135" s="590"/>
      <c r="I135" s="591"/>
      <c r="J135" s="592" t="s">
        <v>39</v>
      </c>
      <c r="K135" s="590">
        <v>0.53931412783785937</v>
      </c>
      <c r="L135" s="591">
        <v>33715.46</v>
      </c>
      <c r="M135" s="646"/>
      <c r="N135" s="605">
        <v>-18935.070946297448</v>
      </c>
      <c r="O135" s="592" t="s">
        <v>39</v>
      </c>
      <c r="P135" s="590">
        <v>0.329523183464425</v>
      </c>
      <c r="Q135" s="591">
        <v>39601.19</v>
      </c>
      <c r="R135" s="646"/>
      <c r="S135" s="605">
        <v>-5885.7300000000032</v>
      </c>
      <c r="T135" s="509"/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</row>
    <row r="136" spans="1:40" ht="15.75" hidden="1" customHeight="1">
      <c r="A136" s="494" t="s">
        <v>314</v>
      </c>
      <c r="B136" s="509" t="s">
        <v>73</v>
      </c>
      <c r="C136" s="529" t="s">
        <v>50</v>
      </c>
      <c r="D136" s="581"/>
      <c r="E136" s="509"/>
      <c r="F136" s="530">
        <v>0</v>
      </c>
      <c r="G136" s="582"/>
      <c r="H136" s="509"/>
      <c r="I136" s="530"/>
      <c r="J136" s="529"/>
      <c r="K136" s="509"/>
      <c r="L136" s="532">
        <v>0</v>
      </c>
      <c r="M136" s="529"/>
      <c r="N136" s="555">
        <v>0</v>
      </c>
      <c r="O136" s="529"/>
      <c r="P136" s="509"/>
      <c r="Q136" s="532">
        <v>0</v>
      </c>
      <c r="R136" s="529"/>
      <c r="S136" s="555">
        <v>0</v>
      </c>
      <c r="T136" s="509"/>
      <c r="U136" s="509"/>
      <c r="V136" s="509"/>
      <c r="W136" s="509"/>
      <c r="X136" s="509"/>
      <c r="Y136" s="509"/>
      <c r="Z136" s="509"/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</row>
    <row r="137" spans="1:40" ht="15.75" hidden="1" customHeight="1">
      <c r="A137" s="494" t="s">
        <v>315</v>
      </c>
      <c r="B137" s="509" t="s">
        <v>73</v>
      </c>
      <c r="C137" s="529" t="s">
        <v>51</v>
      </c>
      <c r="D137" s="581"/>
      <c r="E137" s="509"/>
      <c r="F137" s="530">
        <v>0</v>
      </c>
      <c r="G137" s="582"/>
      <c r="H137" s="509"/>
      <c r="I137" s="530"/>
      <c r="J137" s="529"/>
      <c r="K137" s="509"/>
      <c r="L137" s="532">
        <v>0</v>
      </c>
      <c r="M137" s="529"/>
      <c r="N137" s="555">
        <v>0</v>
      </c>
      <c r="O137" s="529"/>
      <c r="P137" s="509"/>
      <c r="Q137" s="532">
        <v>0</v>
      </c>
      <c r="R137" s="529"/>
      <c r="S137" s="555">
        <v>0</v>
      </c>
      <c r="T137" s="509"/>
      <c r="U137" s="509"/>
      <c r="V137" s="509"/>
      <c r="W137" s="509"/>
      <c r="X137" s="509"/>
      <c r="Y137" s="509"/>
      <c r="Z137" s="509"/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</row>
    <row r="138" spans="1:40" ht="15.75" customHeight="1">
      <c r="A138" s="494" t="s">
        <v>316</v>
      </c>
      <c r="B138" s="509" t="s">
        <v>73</v>
      </c>
      <c r="C138" s="522" t="s">
        <v>52</v>
      </c>
      <c r="D138" s="583"/>
      <c r="E138" s="603"/>
      <c r="F138" s="524">
        <v>2458.3333333333335</v>
      </c>
      <c r="G138" s="584"/>
      <c r="H138" s="603"/>
      <c r="I138" s="524"/>
      <c r="J138" s="522"/>
      <c r="K138" s="603"/>
      <c r="L138" s="524">
        <v>625</v>
      </c>
      <c r="M138" s="522"/>
      <c r="N138" s="579">
        <v>-1833.3333333333335</v>
      </c>
      <c r="O138" s="522"/>
      <c r="P138" s="603"/>
      <c r="Q138" s="524">
        <v>1353.95</v>
      </c>
      <c r="R138" s="522"/>
      <c r="S138" s="579">
        <v>-728.95</v>
      </c>
      <c r="T138" s="509"/>
      <c r="U138" s="509"/>
      <c r="V138" s="509"/>
      <c r="W138" s="509"/>
      <c r="X138" s="509"/>
      <c r="Y138" s="509"/>
      <c r="Z138" s="509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</row>
    <row r="139" spans="1:40" ht="15.75" customHeight="1">
      <c r="A139" s="494" t="s">
        <v>317</v>
      </c>
      <c r="B139" s="509" t="s">
        <v>73</v>
      </c>
      <c r="C139" s="529" t="s">
        <v>53</v>
      </c>
      <c r="D139" s="581"/>
      <c r="E139" s="509"/>
      <c r="F139" s="530">
        <v>3627.0415373333331</v>
      </c>
      <c r="G139" s="582"/>
      <c r="H139" s="509"/>
      <c r="I139" s="530"/>
      <c r="J139" s="529"/>
      <c r="K139" s="509"/>
      <c r="L139" s="532">
        <v>3778.28</v>
      </c>
      <c r="M139" s="529"/>
      <c r="N139" s="555">
        <v>151.23846266666715</v>
      </c>
      <c r="O139" s="529"/>
      <c r="P139" s="509"/>
      <c r="Q139" s="532">
        <v>2787.21</v>
      </c>
      <c r="R139" s="529"/>
      <c r="S139" s="555">
        <v>991.07000000000016</v>
      </c>
      <c r="T139" s="509"/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</row>
    <row r="140" spans="1:40" ht="15.75" customHeight="1">
      <c r="A140" s="494" t="s">
        <v>318</v>
      </c>
      <c r="B140" s="509" t="s">
        <v>73</v>
      </c>
      <c r="C140" s="529" t="s">
        <v>54</v>
      </c>
      <c r="D140" s="581"/>
      <c r="E140" s="509"/>
      <c r="F140" s="530">
        <v>521.10924639426287</v>
      </c>
      <c r="G140" s="582"/>
      <c r="H140" s="509"/>
      <c r="I140" s="530"/>
      <c r="J140" s="529"/>
      <c r="K140" s="509"/>
      <c r="L140" s="532">
        <v>874.21</v>
      </c>
      <c r="M140" s="529"/>
      <c r="N140" s="555">
        <v>353.10075360573717</v>
      </c>
      <c r="O140" s="529"/>
      <c r="P140" s="509"/>
      <c r="Q140" s="532">
        <v>347.09</v>
      </c>
      <c r="R140" s="529"/>
      <c r="S140" s="555">
        <v>527.12000000000012</v>
      </c>
      <c r="T140" s="644"/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</row>
    <row r="141" spans="1:40" ht="15.75" customHeight="1">
      <c r="A141" s="494" t="s">
        <v>319</v>
      </c>
      <c r="B141" s="509" t="s">
        <v>73</v>
      </c>
      <c r="C141" s="522" t="s">
        <v>55</v>
      </c>
      <c r="D141" s="583"/>
      <c r="E141" s="603"/>
      <c r="F141" s="524">
        <v>1489.5910533277777</v>
      </c>
      <c r="G141" s="584"/>
      <c r="H141" s="603"/>
      <c r="I141" s="524"/>
      <c r="J141" s="522"/>
      <c r="K141" s="603"/>
      <c r="L141" s="524">
        <v>1058.31</v>
      </c>
      <c r="M141" s="522"/>
      <c r="N141" s="579">
        <v>-431.28105332777773</v>
      </c>
      <c r="O141" s="522"/>
      <c r="P141" s="603"/>
      <c r="Q141" s="524">
        <v>2040.21</v>
      </c>
      <c r="R141" s="522"/>
      <c r="S141" s="579">
        <v>-981.90000000000009</v>
      </c>
      <c r="T141" s="509"/>
      <c r="U141" s="509"/>
      <c r="V141" s="509"/>
      <c r="W141" s="509"/>
      <c r="X141" s="509"/>
      <c r="Y141" s="509"/>
      <c r="Z141" s="509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</row>
    <row r="142" spans="1:40" ht="15.75" customHeight="1">
      <c r="A142" s="494" t="s">
        <v>320</v>
      </c>
      <c r="B142" s="509" t="s">
        <v>73</v>
      </c>
      <c r="C142" s="529" t="s">
        <v>56</v>
      </c>
      <c r="D142" s="581"/>
      <c r="E142" s="509"/>
      <c r="F142" s="530">
        <v>125</v>
      </c>
      <c r="G142" s="582"/>
      <c r="H142" s="509"/>
      <c r="I142" s="530"/>
      <c r="J142" s="529"/>
      <c r="K142" s="509"/>
      <c r="L142" s="532">
        <v>13.6</v>
      </c>
      <c r="M142" s="529"/>
      <c r="N142" s="555">
        <v>-111.4</v>
      </c>
      <c r="O142" s="529"/>
      <c r="P142" s="509"/>
      <c r="Q142" s="532">
        <v>0</v>
      </c>
      <c r="R142" s="529"/>
      <c r="S142" s="555">
        <v>13.6</v>
      </c>
      <c r="T142" s="509"/>
      <c r="U142" s="509"/>
      <c r="V142" s="509"/>
      <c r="W142" s="509"/>
      <c r="X142" s="509"/>
      <c r="Y142" s="509"/>
      <c r="Z142" s="509"/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</row>
    <row r="143" spans="1:40" ht="15.75" customHeight="1">
      <c r="A143" s="494" t="s">
        <v>321</v>
      </c>
      <c r="B143" s="509" t="s">
        <v>73</v>
      </c>
      <c r="C143" s="529" t="s">
        <v>57</v>
      </c>
      <c r="D143" s="581"/>
      <c r="E143" s="509"/>
      <c r="F143" s="530">
        <v>83.333333333333329</v>
      </c>
      <c r="G143" s="582"/>
      <c r="H143" s="509"/>
      <c r="I143" s="530"/>
      <c r="J143" s="529"/>
      <c r="K143" s="509"/>
      <c r="L143" s="532">
        <v>0</v>
      </c>
      <c r="M143" s="529"/>
      <c r="N143" s="555">
        <v>-83.333333333333329</v>
      </c>
      <c r="O143" s="529"/>
      <c r="P143" s="509"/>
      <c r="Q143" s="532">
        <v>0</v>
      </c>
      <c r="R143" s="529"/>
      <c r="S143" s="555">
        <v>0</v>
      </c>
      <c r="T143" s="509"/>
      <c r="U143" s="509"/>
      <c r="V143" s="509"/>
      <c r="W143" s="509"/>
      <c r="X143" s="509"/>
      <c r="Y143" s="509"/>
      <c r="Z143" s="509"/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</row>
    <row r="144" spans="1:40" ht="15.75" customHeight="1">
      <c r="A144" s="494" t="s">
        <v>322</v>
      </c>
      <c r="B144" s="509" t="s">
        <v>73</v>
      </c>
      <c r="C144" s="529" t="s">
        <v>58</v>
      </c>
      <c r="D144" s="581"/>
      <c r="E144" s="509"/>
      <c r="F144" s="530">
        <v>306.78425698799998</v>
      </c>
      <c r="G144" s="582"/>
      <c r="H144" s="509"/>
      <c r="I144" s="530"/>
      <c r="J144" s="529"/>
      <c r="K144" s="509"/>
      <c r="L144" s="532">
        <v>142.91</v>
      </c>
      <c r="M144" s="529"/>
      <c r="N144" s="555">
        <v>-163.87425698799998</v>
      </c>
      <c r="O144" s="529"/>
      <c r="P144" s="509"/>
      <c r="Q144" s="532">
        <v>293.77</v>
      </c>
      <c r="R144" s="529"/>
      <c r="S144" s="555">
        <v>-150.85999999999999</v>
      </c>
      <c r="T144" s="509"/>
      <c r="U144" s="509"/>
      <c r="V144" s="509"/>
      <c r="W144" s="509"/>
      <c r="X144" s="509"/>
      <c r="Y144" s="509"/>
      <c r="Z144" s="509"/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</row>
    <row r="145" spans="1:40" ht="15.75" customHeight="1">
      <c r="A145" s="494" t="s">
        <v>323</v>
      </c>
      <c r="B145" s="509" t="s">
        <v>73</v>
      </c>
      <c r="C145" s="529" t="s">
        <v>59</v>
      </c>
      <c r="D145" s="581"/>
      <c r="E145" s="509"/>
      <c r="F145" s="530">
        <v>84.486631894833309</v>
      </c>
      <c r="G145" s="582"/>
      <c r="H145" s="509"/>
      <c r="I145" s="530"/>
      <c r="J145" s="529"/>
      <c r="K145" s="509"/>
      <c r="L145" s="532">
        <v>40.54</v>
      </c>
      <c r="M145" s="529"/>
      <c r="N145" s="555">
        <v>-43.94663189483331</v>
      </c>
      <c r="O145" s="529"/>
      <c r="P145" s="509"/>
      <c r="Q145" s="532">
        <v>36.03</v>
      </c>
      <c r="R145" s="529"/>
      <c r="S145" s="555">
        <v>4.509999999999998</v>
      </c>
      <c r="T145" s="509"/>
      <c r="U145" s="509"/>
      <c r="V145" s="509"/>
      <c r="W145" s="509"/>
      <c r="X145" s="509"/>
      <c r="Y145" s="509"/>
      <c r="Z145" s="509"/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</row>
    <row r="146" spans="1:40" ht="15.75" customHeight="1">
      <c r="A146" s="494" t="s">
        <v>324</v>
      </c>
      <c r="B146" s="509" t="s">
        <v>73</v>
      </c>
      <c r="C146" s="529" t="s">
        <v>60</v>
      </c>
      <c r="D146" s="581"/>
      <c r="E146" s="509"/>
      <c r="F146" s="530">
        <v>60.326747465166655</v>
      </c>
      <c r="G146" s="582"/>
      <c r="H146" s="509"/>
      <c r="I146" s="530"/>
      <c r="J146" s="529"/>
      <c r="K146" s="509"/>
      <c r="L146" s="532">
        <v>3.96</v>
      </c>
      <c r="M146" s="529"/>
      <c r="N146" s="555">
        <v>-56.366747465166654</v>
      </c>
      <c r="O146" s="529"/>
      <c r="P146" s="509"/>
      <c r="Q146" s="532">
        <v>48.41</v>
      </c>
      <c r="R146" s="529"/>
      <c r="S146" s="555">
        <v>-44.449999999999996</v>
      </c>
      <c r="T146" s="509"/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</row>
    <row r="147" spans="1:40" ht="15.75" customHeight="1">
      <c r="A147" s="494" t="s">
        <v>325</v>
      </c>
      <c r="B147" s="509" t="s">
        <v>73</v>
      </c>
      <c r="C147" s="529" t="s">
        <v>61</v>
      </c>
      <c r="D147" s="581"/>
      <c r="E147" s="509"/>
      <c r="F147" s="530">
        <v>199.78005128816665</v>
      </c>
      <c r="G147" s="582"/>
      <c r="H147" s="509"/>
      <c r="I147" s="530"/>
      <c r="J147" s="529"/>
      <c r="K147" s="509"/>
      <c r="L147" s="532">
        <v>75.75</v>
      </c>
      <c r="M147" s="529"/>
      <c r="N147" s="555">
        <v>-124.03005128816665</v>
      </c>
      <c r="O147" s="529"/>
      <c r="P147" s="509"/>
      <c r="Q147" s="532">
        <v>43.83</v>
      </c>
      <c r="R147" s="529"/>
      <c r="S147" s="555">
        <v>31.92</v>
      </c>
      <c r="T147" s="509"/>
      <c r="U147" s="509"/>
      <c r="V147" s="509"/>
      <c r="W147" s="509"/>
      <c r="X147" s="509"/>
      <c r="Y147" s="509"/>
      <c r="Z147" s="509"/>
      <c r="AA147" s="509"/>
      <c r="AB147" s="509"/>
      <c r="AC147" s="509"/>
      <c r="AD147" s="509"/>
      <c r="AE147" s="509"/>
      <c r="AF147" s="509"/>
      <c r="AG147" s="509"/>
      <c r="AH147" s="509"/>
      <c r="AI147" s="509"/>
      <c r="AJ147" s="509"/>
      <c r="AK147" s="509"/>
      <c r="AL147" s="509"/>
      <c r="AM147" s="509"/>
      <c r="AN147" s="509"/>
    </row>
    <row r="148" spans="1:40" ht="15.75" customHeight="1">
      <c r="A148" s="494" t="s">
        <v>326</v>
      </c>
      <c r="B148" s="509" t="s">
        <v>73</v>
      </c>
      <c r="C148" s="529" t="s">
        <v>62</v>
      </c>
      <c r="D148" s="581"/>
      <c r="E148" s="509"/>
      <c r="F148" s="530">
        <v>502.23226969701432</v>
      </c>
      <c r="G148" s="582"/>
      <c r="H148" s="509"/>
      <c r="I148" s="530"/>
      <c r="J148" s="529"/>
      <c r="K148" s="509"/>
      <c r="L148" s="532">
        <v>38.28</v>
      </c>
      <c r="M148" s="529"/>
      <c r="N148" s="555">
        <v>-463.95226969701434</v>
      </c>
      <c r="O148" s="529"/>
      <c r="P148" s="509"/>
      <c r="Q148" s="532">
        <v>1259.51</v>
      </c>
      <c r="R148" s="529"/>
      <c r="S148" s="555">
        <v>-1221.23</v>
      </c>
      <c r="T148" s="509"/>
      <c r="X148" s="509"/>
      <c r="Y148" s="509"/>
      <c r="Z148" s="509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</row>
    <row r="149" spans="1:40" ht="15.75" customHeight="1">
      <c r="A149" s="494" t="s">
        <v>327</v>
      </c>
      <c r="B149" s="509" t="s">
        <v>73</v>
      </c>
      <c r="C149" s="529" t="s">
        <v>63</v>
      </c>
      <c r="D149" s="581"/>
      <c r="E149" s="509"/>
      <c r="F149" s="530">
        <v>782.17457105829214</v>
      </c>
      <c r="G149" s="582"/>
      <c r="H149" s="509"/>
      <c r="I149" s="530"/>
      <c r="J149" s="529"/>
      <c r="K149" s="509"/>
      <c r="L149" s="532">
        <v>950.46</v>
      </c>
      <c r="M149" s="529"/>
      <c r="N149" s="555">
        <v>168.28542894170789</v>
      </c>
      <c r="O149" s="529"/>
      <c r="P149" s="509"/>
      <c r="Q149" s="532">
        <v>672.36</v>
      </c>
      <c r="R149" s="529"/>
      <c r="S149" s="555">
        <v>278.10000000000002</v>
      </c>
      <c r="T149" s="570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</row>
    <row r="150" spans="1:40" ht="15.75" hidden="1" customHeight="1">
      <c r="A150" s="494" t="s">
        <v>303</v>
      </c>
      <c r="B150" s="509" t="s">
        <v>73</v>
      </c>
      <c r="C150" s="529" t="s">
        <v>20</v>
      </c>
      <c r="D150" s="581"/>
      <c r="E150" s="509"/>
      <c r="F150" s="530">
        <v>0</v>
      </c>
      <c r="G150" s="582"/>
      <c r="H150" s="509"/>
      <c r="I150" s="530"/>
      <c r="J150" s="529"/>
      <c r="K150" s="509"/>
      <c r="L150" s="532">
        <v>0</v>
      </c>
      <c r="M150" s="529"/>
      <c r="N150" s="555">
        <v>0</v>
      </c>
      <c r="O150" s="529"/>
      <c r="P150" s="509"/>
      <c r="Q150" s="532">
        <v>0</v>
      </c>
      <c r="R150" s="529"/>
      <c r="S150" s="555">
        <v>0</v>
      </c>
      <c r="T150" s="509"/>
      <c r="X150" s="509"/>
      <c r="Y150" s="509"/>
      <c r="Z150" s="509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</row>
    <row r="151" spans="1:40" ht="15.75" hidden="1" customHeight="1">
      <c r="A151" s="494" t="s">
        <v>303</v>
      </c>
      <c r="B151" s="509" t="s">
        <v>73</v>
      </c>
      <c r="C151" s="529" t="s">
        <v>20</v>
      </c>
      <c r="D151" s="581"/>
      <c r="E151" s="509"/>
      <c r="F151" s="530">
        <v>0</v>
      </c>
      <c r="G151" s="582"/>
      <c r="H151" s="509"/>
      <c r="I151" s="530"/>
      <c r="J151" s="529"/>
      <c r="K151" s="509"/>
      <c r="L151" s="532">
        <v>0</v>
      </c>
      <c r="M151" s="529"/>
      <c r="N151" s="555">
        <v>0</v>
      </c>
      <c r="O151" s="529"/>
      <c r="P151" s="509"/>
      <c r="Q151" s="532">
        <v>0</v>
      </c>
      <c r="R151" s="529"/>
      <c r="S151" s="555">
        <v>0</v>
      </c>
      <c r="T151" s="509"/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</row>
    <row r="152" spans="1:40" ht="15.75" hidden="1" customHeight="1">
      <c r="A152" s="494" t="s">
        <v>303</v>
      </c>
      <c r="B152" s="509" t="s">
        <v>73</v>
      </c>
      <c r="C152" s="529" t="s">
        <v>20</v>
      </c>
      <c r="D152" s="581"/>
      <c r="E152" s="509"/>
      <c r="F152" s="530">
        <v>0</v>
      </c>
      <c r="G152" s="582"/>
      <c r="H152" s="509"/>
      <c r="I152" s="530"/>
      <c r="J152" s="529"/>
      <c r="K152" s="509"/>
      <c r="L152" s="532">
        <v>0</v>
      </c>
      <c r="M152" s="529"/>
      <c r="N152" s="555">
        <v>0</v>
      </c>
      <c r="O152" s="529"/>
      <c r="P152" s="509"/>
      <c r="Q152" s="532">
        <v>0</v>
      </c>
      <c r="R152" s="529"/>
      <c r="S152" s="555">
        <v>0</v>
      </c>
      <c r="T152" s="570"/>
      <c r="X152" s="509"/>
      <c r="Y152" s="509"/>
      <c r="Z152" s="509"/>
      <c r="AA152" s="509"/>
      <c r="AB152" s="509"/>
      <c r="AC152" s="509"/>
      <c r="AD152" s="509"/>
      <c r="AE152" s="509"/>
      <c r="AF152" s="509"/>
      <c r="AG152" s="509"/>
      <c r="AH152" s="509"/>
      <c r="AI152" s="509"/>
      <c r="AJ152" s="509"/>
      <c r="AK152" s="509"/>
      <c r="AL152" s="509"/>
      <c r="AM152" s="509"/>
      <c r="AN152" s="509"/>
    </row>
    <row r="153" spans="1:40" ht="15.75" customHeight="1">
      <c r="A153" s="494" t="s">
        <v>328</v>
      </c>
      <c r="B153" s="509" t="s">
        <v>73</v>
      </c>
      <c r="C153" s="588" t="s">
        <v>64</v>
      </c>
      <c r="D153" s="589" t="s">
        <v>39</v>
      </c>
      <c r="E153" s="590">
        <v>5.4973346117867902E-2</v>
      </c>
      <c r="F153" s="591">
        <v>10240.193032113515</v>
      </c>
      <c r="G153" s="592"/>
      <c r="H153" s="590"/>
      <c r="I153" s="591"/>
      <c r="J153" s="592" t="s">
        <v>39</v>
      </c>
      <c r="K153" s="590">
        <v>0.12159076221810176</v>
      </c>
      <c r="L153" s="591">
        <v>7601.3000000000011</v>
      </c>
      <c r="M153" s="595"/>
      <c r="N153" s="591">
        <v>-2638.893032113514</v>
      </c>
      <c r="O153" s="592" t="s">
        <v>39</v>
      </c>
      <c r="P153" s="590">
        <v>7.3910577917201584E-2</v>
      </c>
      <c r="Q153" s="591">
        <v>8882.369999999999</v>
      </c>
      <c r="R153" s="595"/>
      <c r="S153" s="591">
        <v>-1281.0699999999979</v>
      </c>
      <c r="T153" s="604"/>
      <c r="X153" s="509"/>
      <c r="Y153" s="509"/>
      <c r="Z153" s="509"/>
      <c r="AA153" s="509"/>
      <c r="AB153" s="509"/>
      <c r="AC153" s="509"/>
      <c r="AD153" s="509"/>
      <c r="AE153" s="509"/>
      <c r="AF153" s="509"/>
      <c r="AG153" s="509"/>
      <c r="AH153" s="509"/>
      <c r="AI153" s="509"/>
      <c r="AJ153" s="509"/>
      <c r="AK153" s="509"/>
      <c r="AL153" s="509"/>
      <c r="AM153" s="509"/>
      <c r="AN153" s="509"/>
    </row>
    <row r="154" spans="1:40" ht="15.75" customHeight="1">
      <c r="A154" s="494" t="s">
        <v>73</v>
      </c>
      <c r="B154" s="509" t="s">
        <v>73</v>
      </c>
      <c r="C154" s="522"/>
      <c r="D154" s="583"/>
      <c r="E154" s="603"/>
      <c r="F154" s="555"/>
      <c r="G154" s="584"/>
      <c r="H154" s="603"/>
      <c r="I154" s="555"/>
      <c r="J154" s="522"/>
      <c r="K154" s="603"/>
      <c r="L154" s="579"/>
      <c r="M154" s="522"/>
      <c r="N154" s="579"/>
      <c r="O154" s="522"/>
      <c r="P154" s="603"/>
      <c r="Q154" s="579"/>
      <c r="R154" s="522"/>
      <c r="S154" s="579"/>
      <c r="T154" s="604"/>
      <c r="U154" s="509"/>
      <c r="V154" s="509"/>
      <c r="W154" s="509"/>
      <c r="X154" s="509"/>
      <c r="Y154" s="509"/>
      <c r="Z154" s="509"/>
      <c r="AA154" s="509"/>
      <c r="AB154" s="509"/>
      <c r="AC154" s="509"/>
      <c r="AD154" s="509"/>
      <c r="AE154" s="509"/>
      <c r="AF154" s="509"/>
      <c r="AG154" s="509"/>
      <c r="AH154" s="509"/>
      <c r="AI154" s="509"/>
      <c r="AJ154" s="509"/>
      <c r="AK154" s="509"/>
      <c r="AL154" s="509"/>
      <c r="AM154" s="509"/>
      <c r="AN154" s="509"/>
    </row>
    <row r="155" spans="1:40" ht="15.75" customHeight="1">
      <c r="A155" s="494" t="s">
        <v>329</v>
      </c>
      <c r="B155" s="509" t="s">
        <v>73</v>
      </c>
      <c r="C155" s="588" t="s">
        <v>65</v>
      </c>
      <c r="D155" s="589" t="s">
        <v>39</v>
      </c>
      <c r="E155" s="590">
        <v>0.76779537161483125</v>
      </c>
      <c r="F155" s="591">
        <v>143021.54352477565</v>
      </c>
      <c r="G155" s="592"/>
      <c r="H155" s="590"/>
      <c r="I155" s="591"/>
      <c r="J155" s="592" t="s">
        <v>39</v>
      </c>
      <c r="K155" s="590">
        <v>1.504526721718668</v>
      </c>
      <c r="L155" s="591">
        <v>94056.15</v>
      </c>
      <c r="M155" s="595"/>
      <c r="N155" s="605">
        <v>-48965.39352477566</v>
      </c>
      <c r="O155" s="592" t="s">
        <v>39</v>
      </c>
      <c r="P155" s="590">
        <v>0.8561533068862881</v>
      </c>
      <c r="Q155" s="591">
        <v>102890.15</v>
      </c>
      <c r="R155" s="595"/>
      <c r="S155" s="605">
        <v>-8834</v>
      </c>
      <c r="T155" s="604"/>
      <c r="U155" s="509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</row>
    <row r="156" spans="1:40" ht="15.75" customHeight="1">
      <c r="A156" s="494" t="s">
        <v>330</v>
      </c>
      <c r="B156" s="509" t="s">
        <v>73</v>
      </c>
      <c r="C156" s="529" t="s">
        <v>331</v>
      </c>
      <c r="D156" s="647"/>
      <c r="E156" s="648"/>
      <c r="F156" s="530">
        <v>0</v>
      </c>
      <c r="G156" s="649"/>
      <c r="H156" s="648"/>
      <c r="I156" s="530"/>
      <c r="J156" s="649"/>
      <c r="K156" s="648"/>
      <c r="L156" s="532">
        <v>0</v>
      </c>
      <c r="M156" s="529"/>
      <c r="N156" s="555">
        <v>0</v>
      </c>
      <c r="O156" s="649"/>
      <c r="P156" s="648"/>
      <c r="Q156" s="532">
        <v>0</v>
      </c>
      <c r="R156" s="529"/>
      <c r="S156" s="555">
        <v>0</v>
      </c>
      <c r="T156" s="604"/>
      <c r="U156" s="509"/>
      <c r="V156" s="509"/>
      <c r="W156" s="509"/>
      <c r="X156" s="509"/>
      <c r="Y156" s="509"/>
      <c r="Z156" s="509"/>
      <c r="AA156" s="509"/>
      <c r="AB156" s="509"/>
      <c r="AC156" s="509"/>
      <c r="AD156" s="509"/>
      <c r="AE156" s="509"/>
      <c r="AF156" s="509"/>
      <c r="AG156" s="509"/>
      <c r="AH156" s="509"/>
      <c r="AI156" s="509"/>
      <c r="AJ156" s="509"/>
      <c r="AK156" s="509"/>
      <c r="AL156" s="509"/>
      <c r="AM156" s="509"/>
      <c r="AN156" s="509"/>
    </row>
    <row r="157" spans="1:40" ht="15.75" customHeight="1">
      <c r="A157" s="494" t="s">
        <v>332</v>
      </c>
      <c r="B157" s="509" t="s">
        <v>73</v>
      </c>
      <c r="C157" s="529" t="s">
        <v>81</v>
      </c>
      <c r="D157" s="647"/>
      <c r="E157" s="648"/>
      <c r="F157" s="530">
        <v>0</v>
      </c>
      <c r="G157" s="649"/>
      <c r="H157" s="648"/>
      <c r="I157" s="530"/>
      <c r="J157" s="649"/>
      <c r="K157" s="648"/>
      <c r="L157" s="532">
        <v>0</v>
      </c>
      <c r="M157" s="529"/>
      <c r="N157" s="555">
        <v>0</v>
      </c>
      <c r="O157" s="649"/>
      <c r="P157" s="648"/>
      <c r="Q157" s="532">
        <v>0</v>
      </c>
      <c r="R157" s="529"/>
      <c r="S157" s="555">
        <v>0</v>
      </c>
      <c r="T157" s="604"/>
      <c r="U157" s="509"/>
      <c r="V157" s="509"/>
      <c r="W157" s="509"/>
      <c r="X157" s="509"/>
      <c r="Y157" s="509"/>
      <c r="Z157" s="509"/>
      <c r="AA157" s="509"/>
      <c r="AB157" s="509"/>
      <c r="AC157" s="509"/>
      <c r="AD157" s="509"/>
      <c r="AE157" s="509"/>
      <c r="AF157" s="509"/>
      <c r="AG157" s="509"/>
      <c r="AH157" s="509"/>
      <c r="AI157" s="509"/>
      <c r="AJ157" s="509"/>
      <c r="AK157" s="509"/>
      <c r="AL157" s="509"/>
      <c r="AM157" s="509"/>
      <c r="AN157" s="509"/>
    </row>
    <row r="158" spans="1:40" ht="15.75" customHeight="1">
      <c r="A158" s="494" t="s">
        <v>333</v>
      </c>
      <c r="B158" s="509" t="s">
        <v>73</v>
      </c>
      <c r="C158" s="529" t="s">
        <v>82</v>
      </c>
      <c r="D158" s="581"/>
      <c r="E158" s="509"/>
      <c r="F158" s="530">
        <v>0</v>
      </c>
      <c r="G158" s="582"/>
      <c r="H158" s="509"/>
      <c r="I158" s="530"/>
      <c r="J158" s="529"/>
      <c r="K158" s="509"/>
      <c r="L158" s="532">
        <v>0</v>
      </c>
      <c r="M158" s="529"/>
      <c r="N158" s="555">
        <v>0</v>
      </c>
      <c r="O158" s="529"/>
      <c r="P158" s="509"/>
      <c r="Q158" s="532">
        <v>0</v>
      </c>
      <c r="R158" s="529"/>
      <c r="S158" s="555">
        <v>0</v>
      </c>
      <c r="T158" s="604"/>
      <c r="U158" s="509"/>
      <c r="V158" s="509"/>
      <c r="W158" s="509"/>
      <c r="X158" s="509"/>
      <c r="Y158" s="509"/>
      <c r="Z158" s="509"/>
      <c r="AA158" s="509"/>
      <c r="AB158" s="509"/>
      <c r="AC158" s="509"/>
      <c r="AD158" s="509"/>
      <c r="AE158" s="509"/>
      <c r="AF158" s="509"/>
      <c r="AG158" s="509"/>
      <c r="AH158" s="509"/>
      <c r="AI158" s="509"/>
      <c r="AJ158" s="509"/>
      <c r="AK158" s="509"/>
      <c r="AL158" s="509"/>
      <c r="AM158" s="509"/>
      <c r="AN158" s="509"/>
    </row>
    <row r="159" spans="1:40" ht="15.75" customHeight="1">
      <c r="A159" s="494" t="s">
        <v>334</v>
      </c>
      <c r="B159" s="509" t="s">
        <v>73</v>
      </c>
      <c r="C159" s="529" t="s">
        <v>70</v>
      </c>
      <c r="D159" s="650">
        <v>0.95</v>
      </c>
      <c r="E159" s="611">
        <v>474.04999999999995</v>
      </c>
      <c r="F159" s="530">
        <v>20026.242249999996</v>
      </c>
      <c r="G159" s="582"/>
      <c r="H159" s="509"/>
      <c r="I159" s="530"/>
      <c r="J159" s="612">
        <v>0.9347099025737966</v>
      </c>
      <c r="K159" s="611">
        <v>279.47826086956519</v>
      </c>
      <c r="L159" s="532">
        <v>6428</v>
      </c>
      <c r="M159" s="529"/>
      <c r="N159" s="555">
        <v>-13598.242249999996</v>
      </c>
      <c r="O159" s="529"/>
      <c r="P159" s="509"/>
      <c r="Q159" s="532">
        <v>7645</v>
      </c>
      <c r="R159" s="529"/>
      <c r="S159" s="555">
        <v>-1217</v>
      </c>
      <c r="T159" s="604"/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09"/>
      <c r="AJ159" s="509"/>
      <c r="AK159" s="509"/>
      <c r="AL159" s="509"/>
      <c r="AM159" s="509"/>
      <c r="AN159" s="509"/>
    </row>
    <row r="160" spans="1:40" ht="15.75" hidden="1" customHeight="1">
      <c r="A160" s="494" t="s">
        <v>303</v>
      </c>
      <c r="B160" s="509" t="s">
        <v>73</v>
      </c>
      <c r="C160" s="529" t="s">
        <v>20</v>
      </c>
      <c r="D160" s="581"/>
      <c r="E160" s="509"/>
      <c r="F160" s="530">
        <v>0</v>
      </c>
      <c r="G160" s="582"/>
      <c r="H160" s="509"/>
      <c r="I160" s="530"/>
      <c r="J160" s="529"/>
      <c r="K160" s="509"/>
      <c r="L160" s="532">
        <v>0</v>
      </c>
      <c r="M160" s="529"/>
      <c r="N160" s="555">
        <v>0</v>
      </c>
      <c r="O160" s="529"/>
      <c r="P160" s="509"/>
      <c r="Q160" s="532">
        <v>0</v>
      </c>
      <c r="R160" s="529"/>
      <c r="S160" s="555">
        <v>0</v>
      </c>
      <c r="T160" s="604"/>
      <c r="U160" s="509"/>
      <c r="V160" s="509"/>
      <c r="W160" s="509"/>
      <c r="X160" s="509"/>
      <c r="Y160" s="509"/>
      <c r="Z160" s="509"/>
      <c r="AA160" s="509"/>
      <c r="AB160" s="509"/>
      <c r="AC160" s="509"/>
      <c r="AD160" s="509"/>
      <c r="AE160" s="509"/>
      <c r="AF160" s="509"/>
      <c r="AG160" s="509"/>
      <c r="AH160" s="509"/>
      <c r="AI160" s="509"/>
      <c r="AJ160" s="509"/>
      <c r="AK160" s="509"/>
      <c r="AL160" s="509"/>
      <c r="AM160" s="509"/>
      <c r="AN160" s="509"/>
    </row>
    <row r="161" spans="1:40" ht="15.75" hidden="1" customHeight="1">
      <c r="A161" s="494" t="s">
        <v>303</v>
      </c>
      <c r="B161" s="509" t="s">
        <v>73</v>
      </c>
      <c r="C161" s="529" t="s">
        <v>20</v>
      </c>
      <c r="D161" s="581"/>
      <c r="E161" s="509"/>
      <c r="F161" s="530">
        <v>0</v>
      </c>
      <c r="G161" s="582"/>
      <c r="H161" s="509"/>
      <c r="I161" s="530"/>
      <c r="J161" s="529"/>
      <c r="K161" s="509"/>
      <c r="L161" s="532">
        <v>0</v>
      </c>
      <c r="M161" s="529"/>
      <c r="N161" s="555">
        <v>0</v>
      </c>
      <c r="O161" s="529"/>
      <c r="P161" s="509"/>
      <c r="Q161" s="532">
        <v>0</v>
      </c>
      <c r="R161" s="529"/>
      <c r="S161" s="555">
        <v>0</v>
      </c>
      <c r="T161" s="604"/>
      <c r="U161" s="509"/>
      <c r="V161" s="509"/>
      <c r="W161" s="509"/>
      <c r="X161" s="509"/>
      <c r="Y161" s="509"/>
      <c r="Z161" s="509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</row>
    <row r="162" spans="1:40" ht="15.75" hidden="1" customHeight="1">
      <c r="A162" s="494" t="s">
        <v>303</v>
      </c>
      <c r="B162" s="509" t="s">
        <v>73</v>
      </c>
      <c r="C162" s="522" t="s">
        <v>20</v>
      </c>
      <c r="D162" s="583"/>
      <c r="E162" s="603"/>
      <c r="F162" s="530">
        <v>0</v>
      </c>
      <c r="G162" s="582"/>
      <c r="H162" s="509"/>
      <c r="I162" s="530"/>
      <c r="J162" s="529"/>
      <c r="K162" s="509"/>
      <c r="L162" s="532">
        <v>0</v>
      </c>
      <c r="M162" s="529"/>
      <c r="N162" s="555">
        <v>0</v>
      </c>
      <c r="O162" s="529"/>
      <c r="P162" s="509"/>
      <c r="Q162" s="532">
        <v>0</v>
      </c>
      <c r="R162" s="529"/>
      <c r="S162" s="555">
        <v>0</v>
      </c>
      <c r="T162" s="604"/>
      <c r="U162" s="509"/>
      <c r="V162" s="509"/>
      <c r="W162" s="509"/>
      <c r="X162" s="509"/>
      <c r="Y162" s="509"/>
      <c r="Z162" s="509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</row>
    <row r="163" spans="1:40" ht="15.75" customHeight="1">
      <c r="B163" s="509"/>
      <c r="C163" s="588" t="s">
        <v>71</v>
      </c>
      <c r="D163" s="589"/>
      <c r="E163" s="590"/>
      <c r="F163" s="591">
        <v>20026.242249999996</v>
      </c>
      <c r="G163" s="592"/>
      <c r="H163" s="590"/>
      <c r="I163" s="591"/>
      <c r="J163" s="592"/>
      <c r="K163" s="590"/>
      <c r="L163" s="591">
        <v>6428</v>
      </c>
      <c r="M163" s="595"/>
      <c r="N163" s="591">
        <v>-13598.242249999996</v>
      </c>
      <c r="O163" s="592"/>
      <c r="P163" s="590"/>
      <c r="Q163" s="591">
        <v>7645</v>
      </c>
      <c r="R163" s="595"/>
      <c r="S163" s="591">
        <v>-1217</v>
      </c>
      <c r="T163" s="604"/>
      <c r="U163" s="509"/>
      <c r="V163" s="509"/>
      <c r="W163" s="509"/>
      <c r="X163" s="509"/>
      <c r="Y163" s="509"/>
      <c r="Z163" s="509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</row>
    <row r="164" spans="1:40" ht="15.75" customHeight="1">
      <c r="B164" s="509"/>
      <c r="C164" s="529"/>
      <c r="D164" s="581"/>
      <c r="E164" s="509"/>
      <c r="F164" s="555"/>
      <c r="G164" s="582"/>
      <c r="H164" s="509"/>
      <c r="I164" s="555"/>
      <c r="J164" s="529"/>
      <c r="K164" s="509"/>
      <c r="L164" s="555"/>
      <c r="M164" s="529"/>
      <c r="N164" s="555"/>
      <c r="O164" s="529"/>
      <c r="P164" s="509"/>
      <c r="Q164" s="555"/>
      <c r="R164" s="529"/>
      <c r="S164" s="555"/>
      <c r="T164" s="648"/>
      <c r="U164" s="509"/>
      <c r="V164" s="509"/>
      <c r="W164" s="509"/>
      <c r="X164" s="509"/>
      <c r="Y164" s="509"/>
      <c r="Z164" s="509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</row>
    <row r="165" spans="1:40" ht="15.75" customHeight="1" thickBot="1">
      <c r="B165" s="509"/>
      <c r="C165" s="621" t="s">
        <v>72</v>
      </c>
      <c r="D165" s="651"/>
      <c r="E165" s="622"/>
      <c r="F165" s="624">
        <v>63280.298725224347</v>
      </c>
      <c r="G165" s="652"/>
      <c r="H165" s="622"/>
      <c r="I165" s="624"/>
      <c r="J165" s="621"/>
      <c r="K165" s="623"/>
      <c r="L165" s="624">
        <v>-25112.71000000005</v>
      </c>
      <c r="M165" s="621"/>
      <c r="N165" s="624">
        <v>-88393.008725224397</v>
      </c>
      <c r="O165" s="621"/>
      <c r="P165" s="626">
        <v>3.3738934176025422E-2</v>
      </c>
      <c r="Q165" s="624">
        <v>24932.099999999802</v>
      </c>
      <c r="R165" s="621"/>
      <c r="S165" s="624">
        <v>-50044.809999999852</v>
      </c>
      <c r="T165" s="570"/>
      <c r="U165" s="509"/>
      <c r="V165" s="509"/>
      <c r="W165" s="509"/>
      <c r="X165" s="509"/>
      <c r="Y165" s="509"/>
      <c r="Z165" s="509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</row>
    <row r="166" spans="1:40" ht="15.75" customHeight="1" thickTop="1">
      <c r="B166" s="509"/>
      <c r="C166" s="506"/>
      <c r="D166" s="506"/>
      <c r="E166" s="506"/>
      <c r="F166" s="653"/>
      <c r="G166" s="506"/>
      <c r="H166" s="506"/>
      <c r="I166" s="506"/>
      <c r="J166" s="506"/>
      <c r="K166" s="506"/>
      <c r="L166" s="653"/>
      <c r="M166" s="506"/>
      <c r="N166" s="506"/>
      <c r="O166" s="506"/>
      <c r="P166" s="506"/>
      <c r="Q166" s="506"/>
      <c r="R166" s="506"/>
      <c r="S166" s="506"/>
      <c r="T166" s="653"/>
      <c r="U166" s="506"/>
      <c r="V166" s="509"/>
      <c r="W166" s="509"/>
      <c r="X166" s="509"/>
      <c r="Y166" s="509"/>
      <c r="Z166" s="509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</row>
    <row r="167" spans="1:40" ht="8.25" customHeight="1">
      <c r="B167" s="509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653"/>
      <c r="U167" s="506"/>
      <c r="V167" s="506"/>
      <c r="W167" s="506"/>
      <c r="X167" s="506"/>
      <c r="Y167" s="506"/>
      <c r="Z167" s="506"/>
      <c r="AA167" s="506"/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6"/>
      <c r="AL167" s="506"/>
      <c r="AM167" s="506"/>
      <c r="AN167" s="506"/>
    </row>
    <row r="168" spans="1:40" ht="33.75" customHeight="1">
      <c r="B168" s="509"/>
      <c r="C168" s="631" t="s">
        <v>477</v>
      </c>
      <c r="D168" s="497"/>
      <c r="E168" s="497"/>
      <c r="F168" s="497"/>
      <c r="G168" s="497"/>
      <c r="H168" s="495"/>
      <c r="I168" s="495"/>
      <c r="J168" s="495"/>
      <c r="K168" s="499" t="s">
        <v>83</v>
      </c>
      <c r="L168" s="497"/>
      <c r="M168" s="497"/>
      <c r="N168" s="495"/>
      <c r="O168" s="495"/>
      <c r="P168" s="497"/>
      <c r="Q168" s="495"/>
      <c r="R168" s="497"/>
      <c r="S168" s="632" t="s">
        <v>481</v>
      </c>
      <c r="T168" s="497"/>
      <c r="U168" s="495"/>
      <c r="V168" s="506"/>
      <c r="W168" s="506"/>
      <c r="X168" s="506"/>
      <c r="Y168" s="506"/>
      <c r="Z168" s="506"/>
      <c r="AA168" s="506"/>
      <c r="AB168" s="506"/>
      <c r="AC168" s="506"/>
      <c r="AD168" s="506"/>
      <c r="AE168" s="506"/>
      <c r="AF168" s="506"/>
      <c r="AG168" s="506"/>
      <c r="AH168" s="506"/>
      <c r="AI168" s="506"/>
      <c r="AJ168" s="506"/>
      <c r="AK168" s="506"/>
      <c r="AL168" s="506"/>
      <c r="AM168" s="506"/>
      <c r="AN168" s="506"/>
    </row>
    <row r="169" spans="1:40" ht="15.75" customHeight="1" thickBot="1">
      <c r="B169" s="509"/>
      <c r="C169" s="504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</row>
    <row r="170" spans="1:40" ht="15.75" customHeight="1" thickTop="1">
      <c r="B170" s="509"/>
      <c r="C170" s="510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221</v>
      </c>
      <c r="N170" s="513"/>
      <c r="O170" s="511" t="s">
        <v>8</v>
      </c>
      <c r="P170" s="512"/>
      <c r="Q170" s="513"/>
      <c r="R170" s="514" t="s">
        <v>222</v>
      </c>
      <c r="S170" s="513"/>
      <c r="T170" s="647"/>
      <c r="AA170" s="506"/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</row>
    <row r="171" spans="1:40" ht="15.75" customHeight="1">
      <c r="A171" s="494" t="s">
        <v>83</v>
      </c>
      <c r="B171" s="509" t="s">
        <v>83</v>
      </c>
      <c r="C171" s="529"/>
      <c r="D171" s="572" t="s">
        <v>40</v>
      </c>
      <c r="E171" s="572" t="s">
        <v>84</v>
      </c>
      <c r="F171" s="654" t="s">
        <v>12</v>
      </c>
      <c r="G171" s="655"/>
      <c r="H171" s="572"/>
      <c r="I171" s="654"/>
      <c r="J171" s="655" t="s">
        <v>40</v>
      </c>
      <c r="K171" s="572" t="s">
        <v>84</v>
      </c>
      <c r="L171" s="654" t="s">
        <v>12</v>
      </c>
      <c r="M171" s="655" t="s">
        <v>335</v>
      </c>
      <c r="N171" s="654" t="s">
        <v>336</v>
      </c>
      <c r="O171" s="572" t="s">
        <v>40</v>
      </c>
      <c r="P171" s="572" t="s">
        <v>84</v>
      </c>
      <c r="Q171" s="654" t="s">
        <v>12</v>
      </c>
      <c r="R171" s="655" t="s">
        <v>85</v>
      </c>
      <c r="S171" s="654" t="s">
        <v>12</v>
      </c>
      <c r="T171" s="572"/>
      <c r="AA171" s="509"/>
      <c r="AB171" s="509"/>
      <c r="AC171" s="509"/>
      <c r="AD171" s="509"/>
      <c r="AE171" s="509"/>
      <c r="AF171" s="509"/>
      <c r="AG171" s="509"/>
      <c r="AH171" s="509"/>
      <c r="AI171" s="509"/>
      <c r="AJ171" s="509"/>
      <c r="AK171" s="509"/>
      <c r="AL171" s="509"/>
      <c r="AM171" s="509"/>
      <c r="AN171" s="509"/>
    </row>
    <row r="172" spans="1:40" ht="15.75" customHeight="1">
      <c r="A172" s="494" t="s">
        <v>337</v>
      </c>
      <c r="B172" s="509" t="s">
        <v>83</v>
      </c>
      <c r="C172" s="529" t="s">
        <v>86</v>
      </c>
      <c r="D172" s="570">
        <v>779.19719999999995</v>
      </c>
      <c r="E172" s="570">
        <v>257135.07599999997</v>
      </c>
      <c r="F172" s="570">
        <v>195422.65775999997</v>
      </c>
      <c r="G172" s="556"/>
      <c r="H172" s="570"/>
      <c r="I172" s="570"/>
      <c r="J172" s="556">
        <v>724</v>
      </c>
      <c r="K172" s="530">
        <v>213462.55</v>
      </c>
      <c r="L172" s="532">
        <v>161811.37</v>
      </c>
      <c r="M172" s="574">
        <v>-0.16984274055244017</v>
      </c>
      <c r="N172" s="555">
        <v>-33611.287759999977</v>
      </c>
      <c r="O172" s="556">
        <v>649</v>
      </c>
      <c r="P172" s="530">
        <v>206618.41</v>
      </c>
      <c r="Q172" s="532">
        <v>159399.99</v>
      </c>
      <c r="R172" s="574">
        <v>1.115562403697997</v>
      </c>
      <c r="S172" s="555">
        <v>2411.3800000000047</v>
      </c>
      <c r="T172" s="570"/>
      <c r="AA172" s="509"/>
      <c r="AB172" s="509"/>
      <c r="AC172" s="509"/>
      <c r="AD172" s="509"/>
      <c r="AE172" s="509"/>
      <c r="AF172" s="509"/>
      <c r="AG172" s="509"/>
      <c r="AH172" s="509"/>
      <c r="AI172" s="509"/>
      <c r="AJ172" s="509"/>
      <c r="AK172" s="509"/>
      <c r="AL172" s="509"/>
      <c r="AM172" s="509"/>
      <c r="AN172" s="509"/>
    </row>
    <row r="173" spans="1:40" ht="15.75" customHeight="1">
      <c r="A173" s="494" t="s">
        <v>338</v>
      </c>
      <c r="B173" s="509" t="s">
        <v>83</v>
      </c>
      <c r="C173" s="529" t="s">
        <v>87</v>
      </c>
      <c r="D173" s="570"/>
      <c r="E173" s="640"/>
      <c r="F173" s="656">
        <v>0.76</v>
      </c>
      <c r="G173" s="556"/>
      <c r="H173" s="640"/>
      <c r="I173" s="656"/>
      <c r="J173" s="556"/>
      <c r="K173" s="509"/>
      <c r="L173" s="656">
        <v>0.75803165473287937</v>
      </c>
      <c r="M173" s="574"/>
      <c r="N173" s="555"/>
      <c r="O173" s="556"/>
      <c r="P173" s="509"/>
      <c r="Q173" s="656">
        <v>0.77147041253487525</v>
      </c>
      <c r="R173" s="556"/>
      <c r="S173" s="555"/>
      <c r="T173" s="570"/>
      <c r="AA173" s="509"/>
      <c r="AB173" s="509"/>
      <c r="AC173" s="509"/>
      <c r="AD173" s="509"/>
      <c r="AE173" s="509"/>
      <c r="AF173" s="509"/>
      <c r="AG173" s="509"/>
      <c r="AH173" s="509"/>
      <c r="AI173" s="509"/>
      <c r="AJ173" s="509"/>
      <c r="AK173" s="509"/>
      <c r="AL173" s="509"/>
      <c r="AM173" s="509"/>
      <c r="AN173" s="509"/>
    </row>
    <row r="174" spans="1:40" ht="15.75" customHeight="1">
      <c r="A174" s="494" t="s">
        <v>83</v>
      </c>
      <c r="B174" s="509" t="s">
        <v>83</v>
      </c>
      <c r="C174" s="522"/>
      <c r="D174" s="577"/>
      <c r="E174" s="657">
        <v>330</v>
      </c>
      <c r="F174" s="658"/>
      <c r="G174" s="659"/>
      <c r="H174" s="657"/>
      <c r="I174" s="658"/>
      <c r="J174" s="659"/>
      <c r="K174" s="657">
        <v>294.83777624309391</v>
      </c>
      <c r="L174" s="658"/>
      <c r="M174" s="578"/>
      <c r="N174" s="579"/>
      <c r="O174" s="659"/>
      <c r="P174" s="657">
        <v>318.36426810477656</v>
      </c>
      <c r="Q174" s="658"/>
      <c r="R174" s="659"/>
      <c r="S174" s="579"/>
      <c r="T174" s="570"/>
      <c r="AA174" s="509"/>
      <c r="AB174" s="509"/>
      <c r="AC174" s="509"/>
      <c r="AD174" s="509"/>
      <c r="AE174" s="509"/>
      <c r="AF174" s="509"/>
      <c r="AG174" s="509"/>
      <c r="AH174" s="509"/>
      <c r="AI174" s="509"/>
      <c r="AJ174" s="509"/>
      <c r="AK174" s="509"/>
      <c r="AL174" s="509"/>
      <c r="AM174" s="509"/>
      <c r="AN174" s="509"/>
    </row>
    <row r="175" spans="1:40" ht="18" customHeight="1">
      <c r="A175" s="494" t="s">
        <v>339</v>
      </c>
      <c r="B175" s="509" t="s">
        <v>83</v>
      </c>
      <c r="C175" s="517" t="s">
        <v>88</v>
      </c>
      <c r="D175" s="660">
        <v>165.02539999999999</v>
      </c>
      <c r="E175" s="570">
        <v>44556.858</v>
      </c>
      <c r="F175" s="570">
        <v>28516.38912</v>
      </c>
      <c r="G175" s="661"/>
      <c r="H175" s="570"/>
      <c r="I175" s="570"/>
      <c r="J175" s="661">
        <v>99</v>
      </c>
      <c r="K175" s="550">
        <v>23543.040000000001</v>
      </c>
      <c r="L175" s="532">
        <v>13888.54</v>
      </c>
      <c r="M175" s="574">
        <v>-0.4716180391355243</v>
      </c>
      <c r="N175" s="602">
        <v>-14627.849119999999</v>
      </c>
      <c r="O175" s="661">
        <v>76</v>
      </c>
      <c r="P175" s="550">
        <v>19537.28</v>
      </c>
      <c r="Q175" s="532">
        <v>11548.07</v>
      </c>
      <c r="R175" s="574">
        <v>1.3026315789473684</v>
      </c>
      <c r="S175" s="555">
        <v>2340.4700000000012</v>
      </c>
      <c r="T175" s="570"/>
      <c r="U175" s="509"/>
      <c r="V175" s="530"/>
      <c r="W175" s="509"/>
      <c r="AA175" s="509"/>
      <c r="AB175" s="509"/>
      <c r="AC175" s="509"/>
      <c r="AD175" s="509"/>
      <c r="AE175" s="509"/>
      <c r="AF175" s="509"/>
      <c r="AG175" s="509"/>
      <c r="AH175" s="509"/>
      <c r="AI175" s="509"/>
      <c r="AJ175" s="509"/>
      <c r="AK175" s="509"/>
      <c r="AL175" s="509"/>
      <c r="AM175" s="509"/>
      <c r="AN175" s="509"/>
    </row>
    <row r="176" spans="1:40" ht="15.75" customHeight="1">
      <c r="A176" s="494" t="s">
        <v>338</v>
      </c>
      <c r="B176" s="509" t="s">
        <v>83</v>
      </c>
      <c r="C176" s="529" t="s">
        <v>87</v>
      </c>
      <c r="D176" s="509"/>
      <c r="E176" s="509"/>
      <c r="F176" s="656">
        <v>0.64</v>
      </c>
      <c r="G176" s="529"/>
      <c r="H176" s="509"/>
      <c r="I176" s="656"/>
      <c r="J176" s="529"/>
      <c r="K176" s="509"/>
      <c r="L176" s="656">
        <v>0.58992126760180508</v>
      </c>
      <c r="M176" s="546"/>
      <c r="N176" s="547"/>
      <c r="O176" s="529"/>
      <c r="P176" s="509"/>
      <c r="Q176" s="656">
        <v>0.59107869672748714</v>
      </c>
      <c r="R176" s="546"/>
      <c r="S176" s="547"/>
      <c r="T176" s="509"/>
      <c r="U176" s="509"/>
      <c r="V176" s="530"/>
      <c r="W176" s="662"/>
      <c r="AA176" s="509"/>
      <c r="AB176" s="509"/>
      <c r="AC176" s="509"/>
      <c r="AD176" s="509"/>
      <c r="AE176" s="509"/>
      <c r="AF176" s="509"/>
      <c r="AG176" s="509"/>
      <c r="AH176" s="509"/>
      <c r="AI176" s="509"/>
      <c r="AJ176" s="509"/>
      <c r="AK176" s="509"/>
      <c r="AL176" s="509"/>
      <c r="AM176" s="509"/>
      <c r="AN176" s="509"/>
    </row>
    <row r="177" spans="1:40" ht="15.75" customHeight="1">
      <c r="A177" s="494" t="s">
        <v>83</v>
      </c>
      <c r="B177" s="509" t="s">
        <v>83</v>
      </c>
      <c r="C177" s="522"/>
      <c r="D177" s="603"/>
      <c r="E177" s="657">
        <v>270</v>
      </c>
      <c r="F177" s="658"/>
      <c r="G177" s="659"/>
      <c r="H177" s="657"/>
      <c r="I177" s="658"/>
      <c r="J177" s="659"/>
      <c r="K177" s="657">
        <v>237.80848484848485</v>
      </c>
      <c r="L177" s="658"/>
      <c r="M177" s="578"/>
      <c r="N177" s="579"/>
      <c r="O177" s="659"/>
      <c r="P177" s="657">
        <v>257.06947368421049</v>
      </c>
      <c r="Q177" s="658"/>
      <c r="R177" s="663"/>
      <c r="S177" s="664"/>
      <c r="T177" s="509"/>
      <c r="AA177" s="509"/>
      <c r="AB177" s="509"/>
      <c r="AC177" s="509"/>
      <c r="AD177" s="509"/>
      <c r="AE177" s="509"/>
      <c r="AF177" s="509"/>
      <c r="AG177" s="509"/>
      <c r="AH177" s="509"/>
      <c r="AI177" s="509"/>
      <c r="AJ177" s="509"/>
      <c r="AK177" s="509"/>
      <c r="AL177" s="509"/>
      <c r="AM177" s="509"/>
      <c r="AN177" s="509"/>
    </row>
    <row r="178" spans="1:40" ht="15.75" customHeight="1">
      <c r="A178" s="494" t="s">
        <v>340</v>
      </c>
      <c r="B178" s="509" t="s">
        <v>83</v>
      </c>
      <c r="C178" s="529" t="s">
        <v>89</v>
      </c>
      <c r="D178" s="570">
        <v>262.5</v>
      </c>
      <c r="E178" s="570">
        <v>77175</v>
      </c>
      <c r="F178" s="570">
        <v>57109.5</v>
      </c>
      <c r="G178" s="556"/>
      <c r="H178" s="570"/>
      <c r="I178" s="570"/>
      <c r="J178" s="556">
        <v>232</v>
      </c>
      <c r="K178" s="550">
        <v>68576.179999999993</v>
      </c>
      <c r="L178" s="532">
        <v>51620.109999999993</v>
      </c>
      <c r="M178" s="574">
        <v>-0.1114197602850665</v>
      </c>
      <c r="N178" s="555">
        <v>-5489.3900000000067</v>
      </c>
      <c r="O178" s="556">
        <v>141</v>
      </c>
      <c r="P178" s="550">
        <v>39589.24</v>
      </c>
      <c r="Q178" s="532">
        <v>28469.120000000003</v>
      </c>
      <c r="R178" s="574">
        <v>1.6453900709219857</v>
      </c>
      <c r="S178" s="555">
        <v>23150.989999999991</v>
      </c>
      <c r="T178" s="570"/>
      <c r="AA178" s="509"/>
      <c r="AB178" s="509"/>
      <c r="AC178" s="509"/>
      <c r="AD178" s="509"/>
      <c r="AE178" s="509"/>
      <c r="AF178" s="509"/>
      <c r="AG178" s="509"/>
      <c r="AH178" s="509"/>
      <c r="AI178" s="509"/>
      <c r="AJ178" s="509"/>
      <c r="AK178" s="509"/>
      <c r="AL178" s="509"/>
      <c r="AM178" s="509"/>
      <c r="AN178" s="509"/>
    </row>
    <row r="179" spans="1:40" ht="15.75" customHeight="1">
      <c r="A179" s="494" t="s">
        <v>338</v>
      </c>
      <c r="B179" s="509" t="s">
        <v>83</v>
      </c>
      <c r="C179" s="529" t="s">
        <v>87</v>
      </c>
      <c r="D179" s="570"/>
      <c r="E179" s="640"/>
      <c r="F179" s="656">
        <v>0.74</v>
      </c>
      <c r="G179" s="556"/>
      <c r="H179" s="640"/>
      <c r="I179" s="656"/>
      <c r="J179" s="556"/>
      <c r="K179" s="640"/>
      <c r="L179" s="656">
        <v>0.75274111214710415</v>
      </c>
      <c r="M179" s="574"/>
      <c r="N179" s="555">
        <v>1.2741112147104161E-2</v>
      </c>
      <c r="O179" s="556"/>
      <c r="P179" s="640"/>
      <c r="Q179" s="656">
        <v>0.7191125669500098</v>
      </c>
      <c r="R179" s="556">
        <v>0</v>
      </c>
      <c r="S179" s="555"/>
      <c r="T179" s="570"/>
      <c r="AA179" s="509"/>
      <c r="AB179" s="509"/>
      <c r="AC179" s="509"/>
      <c r="AD179" s="509"/>
      <c r="AE179" s="509"/>
      <c r="AF179" s="509"/>
      <c r="AG179" s="509"/>
      <c r="AH179" s="509"/>
      <c r="AI179" s="509"/>
      <c r="AJ179" s="509"/>
      <c r="AK179" s="509"/>
      <c r="AL179" s="509"/>
      <c r="AM179" s="509"/>
      <c r="AN179" s="509"/>
    </row>
    <row r="180" spans="1:40" ht="15.75" customHeight="1">
      <c r="A180" s="494" t="s">
        <v>83</v>
      </c>
      <c r="B180" s="509" t="s">
        <v>83</v>
      </c>
      <c r="C180" s="529"/>
      <c r="D180" s="570"/>
      <c r="E180" s="657">
        <v>294</v>
      </c>
      <c r="F180" s="658"/>
      <c r="G180" s="659"/>
      <c r="H180" s="657"/>
      <c r="I180" s="658"/>
      <c r="J180" s="659"/>
      <c r="K180" s="657">
        <v>295.58698275862065</v>
      </c>
      <c r="L180" s="658"/>
      <c r="M180" s="578"/>
      <c r="N180" s="579"/>
      <c r="O180" s="659"/>
      <c r="P180" s="657">
        <v>280.77475177304962</v>
      </c>
      <c r="Q180" s="656"/>
      <c r="R180" s="659"/>
      <c r="S180" s="555"/>
      <c r="T180" s="570"/>
      <c r="U180" s="549"/>
      <c r="AA180" s="509"/>
      <c r="AB180" s="509"/>
      <c r="AC180" s="509"/>
      <c r="AD180" s="509"/>
      <c r="AE180" s="509"/>
      <c r="AF180" s="509"/>
      <c r="AG180" s="509"/>
      <c r="AH180" s="509"/>
      <c r="AI180" s="509"/>
      <c r="AJ180" s="509"/>
      <c r="AK180" s="509"/>
      <c r="AL180" s="509"/>
      <c r="AM180" s="509"/>
      <c r="AN180" s="509"/>
    </row>
    <row r="181" spans="1:40" ht="15.75" customHeight="1">
      <c r="A181" s="494" t="s">
        <v>341</v>
      </c>
      <c r="B181" s="509" t="s">
        <v>83</v>
      </c>
      <c r="C181" s="517" t="s">
        <v>90</v>
      </c>
      <c r="D181" s="660">
        <v>151.73371672679087</v>
      </c>
      <c r="E181" s="570">
        <v>15173.371672679088</v>
      </c>
      <c r="F181" s="570">
        <v>11531.762471236107</v>
      </c>
      <c r="G181" s="661"/>
      <c r="H181" s="570"/>
      <c r="I181" s="570"/>
      <c r="J181" s="661">
        <v>0</v>
      </c>
      <c r="K181" s="550">
        <v>31075.29</v>
      </c>
      <c r="L181" s="551">
        <v>24885.31</v>
      </c>
      <c r="M181" s="665">
        <v>1.0480148163742429</v>
      </c>
      <c r="N181" s="602">
        <v>13353.547528763895</v>
      </c>
      <c r="O181" s="661">
        <v>0</v>
      </c>
      <c r="P181" s="550">
        <v>4257.78</v>
      </c>
      <c r="Q181" s="551">
        <v>3429.3799999999901</v>
      </c>
      <c r="R181" s="574">
        <v>0</v>
      </c>
      <c r="S181" s="602">
        <v>21455.930000000011</v>
      </c>
      <c r="T181" s="570"/>
      <c r="U181" s="549"/>
      <c r="AA181" s="509"/>
      <c r="AB181" s="509"/>
      <c r="AC181" s="509"/>
      <c r="AD181" s="509"/>
      <c r="AE181" s="509"/>
      <c r="AF181" s="509"/>
      <c r="AG181" s="509"/>
      <c r="AH181" s="509"/>
      <c r="AI181" s="509"/>
      <c r="AJ181" s="509"/>
      <c r="AK181" s="509"/>
      <c r="AL181" s="509"/>
      <c r="AM181" s="509"/>
      <c r="AN181" s="509"/>
    </row>
    <row r="182" spans="1:40" ht="15.75" customHeight="1">
      <c r="A182" s="494" t="s">
        <v>338</v>
      </c>
      <c r="B182" s="509" t="s">
        <v>83</v>
      </c>
      <c r="C182" s="529" t="s">
        <v>87</v>
      </c>
      <c r="D182" s="568"/>
      <c r="E182" s="666"/>
      <c r="F182" s="656">
        <v>0.76</v>
      </c>
      <c r="G182" s="548"/>
      <c r="H182" s="666"/>
      <c r="I182" s="656"/>
      <c r="J182" s="667"/>
      <c r="K182" s="666">
        <v>0</v>
      </c>
      <c r="L182" s="656">
        <v>0.80080700775439262</v>
      </c>
      <c r="M182" s="556">
        <v>0</v>
      </c>
      <c r="N182" s="668"/>
      <c r="O182" s="667"/>
      <c r="P182" s="666"/>
      <c r="Q182" s="656">
        <v>0.80543851490682705</v>
      </c>
      <c r="R182" s="529"/>
      <c r="S182" s="668"/>
      <c r="T182" s="604"/>
      <c r="U182" s="549"/>
      <c r="AA182" s="509"/>
      <c r="AB182" s="509"/>
      <c r="AC182" s="509"/>
      <c r="AD182" s="509"/>
      <c r="AE182" s="509"/>
      <c r="AF182" s="509"/>
      <c r="AG182" s="509"/>
      <c r="AH182" s="509"/>
      <c r="AI182" s="509"/>
      <c r="AJ182" s="509"/>
      <c r="AK182" s="509"/>
      <c r="AL182" s="509"/>
      <c r="AM182" s="509"/>
      <c r="AN182" s="509"/>
    </row>
    <row r="183" spans="1:40" ht="15.75" customHeight="1">
      <c r="A183" s="494" t="s">
        <v>83</v>
      </c>
      <c r="B183" s="509" t="s">
        <v>83</v>
      </c>
      <c r="C183" s="522"/>
      <c r="D183" s="669"/>
      <c r="E183" s="670"/>
      <c r="F183" s="658"/>
      <c r="G183" s="542"/>
      <c r="H183" s="670"/>
      <c r="I183" s="658"/>
      <c r="J183" s="671"/>
      <c r="K183" s="526"/>
      <c r="L183" s="658"/>
      <c r="M183" s="659"/>
      <c r="N183" s="672"/>
      <c r="O183" s="671"/>
      <c r="P183" s="526">
        <v>0</v>
      </c>
      <c r="Q183" s="658"/>
      <c r="R183" s="522"/>
      <c r="S183" s="672"/>
      <c r="T183" s="604"/>
      <c r="AA183" s="509"/>
      <c r="AB183" s="509"/>
      <c r="AC183" s="509"/>
      <c r="AD183" s="509"/>
      <c r="AE183" s="509"/>
      <c r="AF183" s="509"/>
      <c r="AG183" s="509"/>
      <c r="AH183" s="509"/>
      <c r="AI183" s="509"/>
      <c r="AJ183" s="509"/>
      <c r="AK183" s="509"/>
      <c r="AL183" s="509"/>
      <c r="AM183" s="509"/>
      <c r="AN183" s="509"/>
    </row>
    <row r="184" spans="1:40" ht="26.25" customHeight="1" thickBot="1">
      <c r="A184" s="494" t="s">
        <v>342</v>
      </c>
      <c r="B184" s="509" t="s">
        <v>83</v>
      </c>
      <c r="C184" s="529" t="s">
        <v>91</v>
      </c>
      <c r="D184" s="509"/>
      <c r="E184" s="509"/>
      <c r="F184" s="555">
        <v>-4558.590378992194</v>
      </c>
      <c r="G184" s="529"/>
      <c r="H184" s="570"/>
      <c r="I184" s="570"/>
      <c r="J184" s="556"/>
      <c r="K184" s="570"/>
      <c r="L184" s="570">
        <v>-3446.54</v>
      </c>
      <c r="M184" s="667"/>
      <c r="N184" s="555">
        <v>1112.0503789921941</v>
      </c>
      <c r="O184" s="556"/>
      <c r="P184" s="570"/>
      <c r="Q184" s="532">
        <v>-3057.78</v>
      </c>
      <c r="R184" s="673"/>
      <c r="S184" s="555">
        <v>-388.75999999999976</v>
      </c>
      <c r="T184" s="509"/>
      <c r="U184" s="509"/>
      <c r="V184" s="509"/>
      <c r="W184" s="509"/>
      <c r="X184" s="509"/>
      <c r="Y184" s="509"/>
      <c r="Z184" s="509"/>
      <c r="AA184" s="509"/>
      <c r="AB184" s="509"/>
      <c r="AC184" s="509"/>
      <c r="AD184" s="509"/>
      <c r="AE184" s="509"/>
      <c r="AF184" s="509"/>
      <c r="AG184" s="509"/>
      <c r="AH184" s="509"/>
      <c r="AI184" s="509"/>
      <c r="AJ184" s="509"/>
      <c r="AK184" s="509"/>
      <c r="AL184" s="509"/>
      <c r="AM184" s="509"/>
      <c r="AN184" s="509"/>
    </row>
    <row r="185" spans="1:40" ht="15.75" customHeight="1" thickTop="1">
      <c r="A185" s="494" t="s">
        <v>343</v>
      </c>
      <c r="B185" s="509" t="s">
        <v>83</v>
      </c>
      <c r="C185" s="674" t="s">
        <v>92</v>
      </c>
      <c r="D185" s="675">
        <v>1358.4563167267909</v>
      </c>
      <c r="E185" s="675">
        <v>394040.30567267904</v>
      </c>
      <c r="F185" s="676">
        <v>288021.71897224389</v>
      </c>
      <c r="G185" s="677"/>
      <c r="H185" s="675"/>
      <c r="I185" s="676"/>
      <c r="J185" s="677">
        <v>1055</v>
      </c>
      <c r="K185" s="675">
        <v>336657.06</v>
      </c>
      <c r="L185" s="676">
        <v>248758.78999999998</v>
      </c>
      <c r="M185" s="678">
        <v>-0.14562785797944763</v>
      </c>
      <c r="N185" s="676">
        <v>-39262.928972243913</v>
      </c>
      <c r="O185" s="677">
        <v>866</v>
      </c>
      <c r="P185" s="675">
        <v>270002.71000000002</v>
      </c>
      <c r="Q185" s="676">
        <v>199788.78</v>
      </c>
      <c r="R185" s="546">
        <v>1.2182448036951501</v>
      </c>
      <c r="S185" s="676">
        <v>48970.00999999998</v>
      </c>
      <c r="T185" s="604"/>
      <c r="U185" s="509"/>
      <c r="V185" s="509"/>
      <c r="W185" s="509"/>
      <c r="X185" s="509"/>
      <c r="Y185" s="509"/>
      <c r="Z185" s="509"/>
      <c r="AA185" s="509"/>
      <c r="AB185" s="509"/>
      <c r="AC185" s="509"/>
      <c r="AD185" s="509"/>
      <c r="AE185" s="509"/>
      <c r="AF185" s="509"/>
      <c r="AG185" s="509"/>
      <c r="AH185" s="509"/>
      <c r="AI185" s="509"/>
      <c r="AJ185" s="509"/>
      <c r="AK185" s="509"/>
      <c r="AL185" s="509"/>
      <c r="AM185" s="509"/>
      <c r="AN185" s="509"/>
    </row>
    <row r="186" spans="1:40" ht="15.75" customHeight="1">
      <c r="A186" s="494" t="s">
        <v>344</v>
      </c>
      <c r="B186" s="509" t="s">
        <v>83</v>
      </c>
      <c r="C186" s="679" t="s">
        <v>93</v>
      </c>
      <c r="D186" s="680"/>
      <c r="E186" s="681"/>
      <c r="F186" s="682">
        <v>0.73094481662365129</v>
      </c>
      <c r="G186" s="683"/>
      <c r="H186" s="681"/>
      <c r="I186" s="547"/>
      <c r="J186" s="683"/>
      <c r="K186" s="681">
        <v>319.10621800947865</v>
      </c>
      <c r="L186" s="547">
        <v>0.73890857954976497</v>
      </c>
      <c r="M186" s="683"/>
      <c r="N186" s="682">
        <v>-0.13631933422363751</v>
      </c>
      <c r="O186" s="683"/>
      <c r="P186" s="681">
        <v>311.78142032332568</v>
      </c>
      <c r="Q186" s="547">
        <v>0.73995101752867587</v>
      </c>
      <c r="R186" s="683"/>
      <c r="S186" s="547">
        <v>0.24510890951934328</v>
      </c>
      <c r="T186" s="604"/>
      <c r="U186" s="509"/>
      <c r="V186" s="509"/>
      <c r="W186" s="509"/>
      <c r="X186" s="509"/>
      <c r="Y186" s="509"/>
      <c r="Z186" s="509"/>
      <c r="AA186" s="509"/>
      <c r="AB186" s="509"/>
      <c r="AC186" s="509"/>
      <c r="AD186" s="509"/>
      <c r="AE186" s="509"/>
      <c r="AF186" s="509"/>
      <c r="AG186" s="509"/>
      <c r="AH186" s="509"/>
      <c r="AI186" s="509"/>
      <c r="AJ186" s="509"/>
      <c r="AK186" s="509"/>
      <c r="AL186" s="509"/>
      <c r="AM186" s="509"/>
      <c r="AN186" s="509"/>
    </row>
    <row r="187" spans="1:40" ht="15.75" customHeight="1">
      <c r="A187" s="494" t="s">
        <v>83</v>
      </c>
      <c r="B187" s="509" t="s">
        <v>83</v>
      </c>
      <c r="C187" s="535"/>
      <c r="D187" s="684"/>
      <c r="E187" s="685"/>
      <c r="F187" s="686"/>
      <c r="G187" s="687"/>
      <c r="H187" s="685"/>
      <c r="I187" s="686"/>
      <c r="J187" s="687"/>
      <c r="K187" s="685"/>
      <c r="L187" s="686"/>
      <c r="M187" s="687"/>
      <c r="N187" s="686"/>
      <c r="O187" s="687"/>
      <c r="P187" s="685"/>
      <c r="Q187" s="686"/>
      <c r="R187" s="687"/>
      <c r="S187" s="686"/>
      <c r="T187" s="604"/>
      <c r="U187" s="509"/>
      <c r="V187" s="509"/>
      <c r="W187" s="509"/>
      <c r="X187" s="509"/>
      <c r="Y187" s="509"/>
      <c r="Z187" s="509"/>
      <c r="AA187" s="509"/>
      <c r="AB187" s="509"/>
      <c r="AC187" s="509"/>
      <c r="AD187" s="509"/>
      <c r="AE187" s="509"/>
      <c r="AF187" s="509"/>
      <c r="AG187" s="509"/>
      <c r="AH187" s="509"/>
      <c r="AI187" s="509"/>
      <c r="AJ187" s="509"/>
      <c r="AK187" s="509"/>
      <c r="AL187" s="509"/>
      <c r="AM187" s="509"/>
      <c r="AN187" s="509"/>
    </row>
    <row r="188" spans="1:40" ht="19.5" customHeight="1">
      <c r="A188" s="494" t="s">
        <v>345</v>
      </c>
      <c r="B188" s="509" t="s">
        <v>83</v>
      </c>
      <c r="C188" s="529" t="s">
        <v>94</v>
      </c>
      <c r="D188" s="570"/>
      <c r="E188" s="570">
        <v>18570</v>
      </c>
      <c r="F188" s="570">
        <v>4085.4</v>
      </c>
      <c r="G188" s="556"/>
      <c r="H188" s="570"/>
      <c r="I188" s="570"/>
      <c r="J188" s="556"/>
      <c r="K188" s="530">
        <v>21634.6</v>
      </c>
      <c r="L188" s="532">
        <v>4449.5999999999985</v>
      </c>
      <c r="M188" s="574">
        <v>0.16502961766289706</v>
      </c>
      <c r="N188" s="555">
        <v>364.19999999999845</v>
      </c>
      <c r="O188" s="556"/>
      <c r="P188" s="530">
        <v>10677.2</v>
      </c>
      <c r="Q188" s="532">
        <v>345.05000000000098</v>
      </c>
      <c r="R188" s="574">
        <v>0</v>
      </c>
      <c r="S188" s="555">
        <v>4104.5499999999975</v>
      </c>
      <c r="T188" s="604"/>
      <c r="U188" s="509"/>
      <c r="V188" s="509"/>
      <c r="W188" s="509"/>
      <c r="X188" s="509"/>
      <c r="Y188" s="509"/>
      <c r="Z188" s="509"/>
      <c r="AA188" s="509"/>
      <c r="AB188" s="509"/>
      <c r="AC188" s="509"/>
      <c r="AD188" s="509"/>
      <c r="AE188" s="509"/>
      <c r="AF188" s="509"/>
      <c r="AG188" s="509"/>
      <c r="AH188" s="509"/>
      <c r="AI188" s="509"/>
      <c r="AJ188" s="509"/>
      <c r="AK188" s="509"/>
      <c r="AL188" s="509"/>
      <c r="AM188" s="509"/>
      <c r="AN188" s="509"/>
    </row>
    <row r="189" spans="1:40" ht="21" customHeight="1">
      <c r="A189" s="494" t="s">
        <v>338</v>
      </c>
      <c r="B189" s="509" t="s">
        <v>83</v>
      </c>
      <c r="C189" s="529" t="s">
        <v>87</v>
      </c>
      <c r="D189" s="509"/>
      <c r="E189" s="640"/>
      <c r="F189" s="656">
        <v>0.22</v>
      </c>
      <c r="G189" s="529"/>
      <c r="H189" s="640"/>
      <c r="I189" s="656"/>
      <c r="J189" s="667"/>
      <c r="K189" s="666"/>
      <c r="L189" s="656">
        <v>0.20567054625461062</v>
      </c>
      <c r="M189" s="667"/>
      <c r="N189" s="668"/>
      <c r="O189" s="667"/>
      <c r="P189" s="666"/>
      <c r="Q189" s="656">
        <v>3.2316524931630106E-2</v>
      </c>
      <c r="R189" s="667"/>
      <c r="S189" s="668"/>
      <c r="T189" s="604"/>
      <c r="U189" s="509"/>
      <c r="V189" s="509"/>
      <c r="W189" s="509"/>
      <c r="X189" s="509"/>
      <c r="Y189" s="509"/>
      <c r="Z189" s="509"/>
      <c r="AA189" s="509"/>
      <c r="AB189" s="509"/>
      <c r="AC189" s="509"/>
      <c r="AD189" s="509"/>
      <c r="AE189" s="509"/>
      <c r="AF189" s="509"/>
      <c r="AG189" s="509"/>
      <c r="AH189" s="509"/>
      <c r="AI189" s="509"/>
      <c r="AJ189" s="509"/>
      <c r="AK189" s="509"/>
      <c r="AL189" s="509"/>
      <c r="AM189" s="509"/>
      <c r="AN189" s="509"/>
    </row>
    <row r="190" spans="1:40" ht="15.75" customHeight="1">
      <c r="A190" s="494" t="s">
        <v>83</v>
      </c>
      <c r="B190" s="509" t="s">
        <v>83</v>
      </c>
      <c r="C190" s="529"/>
      <c r="D190" s="509"/>
      <c r="E190" s="640"/>
      <c r="F190" s="656"/>
      <c r="G190" s="529"/>
      <c r="H190" s="640"/>
      <c r="I190" s="656"/>
      <c r="J190" s="667"/>
      <c r="K190" s="666"/>
      <c r="L190" s="656"/>
      <c r="M190" s="667"/>
      <c r="N190" s="668"/>
      <c r="O190" s="667"/>
      <c r="P190" s="666"/>
      <c r="Q190" s="656"/>
      <c r="R190" s="667"/>
      <c r="S190" s="668"/>
      <c r="T190" s="604"/>
      <c r="U190" s="509"/>
      <c r="V190" s="509"/>
      <c r="W190" s="509"/>
      <c r="X190" s="509"/>
      <c r="Y190" s="509"/>
      <c r="Z190" s="509"/>
      <c r="AA190" s="509"/>
      <c r="AB190" s="509"/>
      <c r="AC190" s="509"/>
      <c r="AD190" s="509"/>
      <c r="AE190" s="509"/>
      <c r="AF190" s="509"/>
      <c r="AG190" s="509"/>
      <c r="AH190" s="509"/>
      <c r="AI190" s="509"/>
      <c r="AJ190" s="509"/>
      <c r="AK190" s="509"/>
      <c r="AL190" s="509"/>
      <c r="AM190" s="509"/>
      <c r="AN190" s="509"/>
    </row>
    <row r="191" spans="1:40" ht="15.75" customHeight="1">
      <c r="A191" s="494" t="s">
        <v>346</v>
      </c>
      <c r="B191" s="509" t="s">
        <v>83</v>
      </c>
      <c r="C191" s="529" t="s">
        <v>95</v>
      </c>
      <c r="D191" s="509"/>
      <c r="E191" s="570">
        <v>15173.371672679088</v>
      </c>
      <c r="F191" s="570">
        <v>10621.360170875361</v>
      </c>
      <c r="G191" s="529"/>
      <c r="H191" s="570"/>
      <c r="I191" s="570"/>
      <c r="J191" s="556">
        <v>42</v>
      </c>
      <c r="K191" s="530">
        <v>8946.15</v>
      </c>
      <c r="L191" s="532">
        <v>7163.79</v>
      </c>
      <c r="M191" s="667"/>
      <c r="N191" s="668"/>
      <c r="O191" s="667"/>
      <c r="P191" s="530">
        <v>0</v>
      </c>
      <c r="Q191" s="656">
        <v>0</v>
      </c>
      <c r="R191" s="667"/>
      <c r="S191" s="668"/>
      <c r="T191" s="604"/>
      <c r="U191" s="509"/>
      <c r="V191" s="509"/>
      <c r="W191" s="509"/>
      <c r="X191" s="509"/>
      <c r="Y191" s="509"/>
      <c r="Z191" s="509"/>
      <c r="AA191" s="509"/>
      <c r="AB191" s="509"/>
      <c r="AC191" s="509"/>
      <c r="AD191" s="509"/>
      <c r="AE191" s="509"/>
      <c r="AF191" s="509"/>
      <c r="AG191" s="509"/>
      <c r="AH191" s="509"/>
      <c r="AI191" s="509"/>
      <c r="AJ191" s="509"/>
      <c r="AK191" s="509"/>
      <c r="AL191" s="509"/>
      <c r="AM191" s="509"/>
      <c r="AN191" s="509"/>
    </row>
    <row r="192" spans="1:40" ht="15.75" customHeight="1">
      <c r="A192" s="494" t="s">
        <v>338</v>
      </c>
      <c r="B192" s="509" t="s">
        <v>83</v>
      </c>
      <c r="C192" s="529" t="s">
        <v>87</v>
      </c>
      <c r="D192" s="509"/>
      <c r="E192" s="640"/>
      <c r="F192" s="656">
        <v>0.7</v>
      </c>
      <c r="G192" s="529"/>
      <c r="H192" s="640"/>
      <c r="I192" s="656"/>
      <c r="J192" s="667"/>
      <c r="K192" s="666"/>
      <c r="L192" s="656">
        <v>0.80076792810315056</v>
      </c>
      <c r="M192" s="667"/>
      <c r="N192" s="668"/>
      <c r="O192" s="667"/>
      <c r="P192" s="666"/>
      <c r="Q192" s="656">
        <v>0</v>
      </c>
      <c r="R192" s="667"/>
      <c r="S192" s="668"/>
      <c r="T192" s="604"/>
      <c r="U192" s="530"/>
      <c r="V192" s="509"/>
      <c r="W192" s="509"/>
      <c r="X192" s="509"/>
      <c r="Y192" s="509"/>
      <c r="Z192" s="509"/>
      <c r="AA192" s="509"/>
      <c r="AB192" s="509"/>
      <c r="AC192" s="509"/>
      <c r="AD192" s="509"/>
      <c r="AE192" s="509"/>
      <c r="AF192" s="509"/>
      <c r="AG192" s="509"/>
      <c r="AH192" s="509"/>
      <c r="AI192" s="509"/>
      <c r="AJ192" s="509"/>
      <c r="AK192" s="509"/>
      <c r="AL192" s="509"/>
      <c r="AM192" s="509"/>
      <c r="AN192" s="509"/>
    </row>
    <row r="193" spans="1:40" ht="15.75" customHeight="1" thickBot="1">
      <c r="A193" s="494" t="s">
        <v>83</v>
      </c>
      <c r="B193" s="509" t="s">
        <v>83</v>
      </c>
      <c r="C193" s="688"/>
      <c r="D193" s="689"/>
      <c r="E193" s="690"/>
      <c r="F193" s="691"/>
      <c r="G193" s="692"/>
      <c r="H193" s="690"/>
      <c r="I193" s="691"/>
      <c r="J193" s="692"/>
      <c r="K193" s="690"/>
      <c r="L193" s="691"/>
      <c r="M193" s="692"/>
      <c r="N193" s="691"/>
      <c r="O193" s="692"/>
      <c r="P193" s="690"/>
      <c r="Q193" s="691"/>
      <c r="R193" s="692"/>
      <c r="S193" s="691"/>
      <c r="T193" s="604"/>
      <c r="U193" s="509"/>
      <c r="V193" s="509"/>
      <c r="W193" s="509"/>
      <c r="X193" s="509"/>
      <c r="Y193" s="509"/>
      <c r="Z193" s="509"/>
      <c r="AA193" s="509"/>
      <c r="AB193" s="509"/>
      <c r="AC193" s="509"/>
      <c r="AD193" s="509"/>
      <c r="AE193" s="509"/>
      <c r="AF193" s="509"/>
      <c r="AG193" s="509"/>
      <c r="AH193" s="509"/>
      <c r="AI193" s="509"/>
      <c r="AJ193" s="509"/>
      <c r="AK193" s="509"/>
      <c r="AL193" s="509"/>
      <c r="AM193" s="509"/>
      <c r="AN193" s="509"/>
    </row>
    <row r="194" spans="1:40" ht="24.75" customHeight="1" thickTop="1">
      <c r="A194" s="494" t="s">
        <v>347</v>
      </c>
      <c r="B194" s="509" t="s">
        <v>83</v>
      </c>
      <c r="C194" s="557" t="s">
        <v>96</v>
      </c>
      <c r="D194" s="558"/>
      <c r="E194" s="558">
        <v>427783.67734535813</v>
      </c>
      <c r="F194" s="560">
        <v>302728.4791431193</v>
      </c>
      <c r="G194" s="561"/>
      <c r="H194" s="558"/>
      <c r="I194" s="560"/>
      <c r="J194" s="561"/>
      <c r="K194" s="558">
        <v>367237.81</v>
      </c>
      <c r="L194" s="560">
        <v>260372.18</v>
      </c>
      <c r="M194" s="693">
        <v>1.3343548542956718E-3</v>
      </c>
      <c r="N194" s="560">
        <v>-42356.299143119308</v>
      </c>
      <c r="O194" s="561"/>
      <c r="P194" s="558">
        <v>280679.91000000003</v>
      </c>
      <c r="Q194" s="560">
        <v>200133.83</v>
      </c>
      <c r="R194" s="693"/>
      <c r="S194" s="560">
        <v>60238.350000000006</v>
      </c>
      <c r="T194" s="604"/>
      <c r="U194" s="509"/>
      <c r="V194" s="509"/>
      <c r="W194" s="509"/>
      <c r="X194" s="509"/>
      <c r="Y194" s="509"/>
      <c r="Z194" s="509"/>
      <c r="AA194" s="509"/>
      <c r="AB194" s="509"/>
      <c r="AC194" s="509"/>
      <c r="AD194" s="509"/>
      <c r="AE194" s="509"/>
      <c r="AF194" s="509"/>
      <c r="AG194" s="509"/>
      <c r="AH194" s="509"/>
      <c r="AI194" s="509"/>
      <c r="AJ194" s="509"/>
      <c r="AK194" s="509"/>
      <c r="AL194" s="509"/>
      <c r="AM194" s="509"/>
      <c r="AN194" s="509"/>
    </row>
    <row r="195" spans="1:40" ht="24" customHeight="1" thickBot="1">
      <c r="A195" s="494" t="s">
        <v>83</v>
      </c>
      <c r="B195" s="509" t="s">
        <v>83</v>
      </c>
      <c r="C195" s="562"/>
      <c r="D195" s="563"/>
      <c r="E195" s="563"/>
      <c r="F195" s="567">
        <v>0.70766720465288036</v>
      </c>
      <c r="G195" s="562"/>
      <c r="H195" s="563"/>
      <c r="I195" s="567"/>
      <c r="J195" s="562"/>
      <c r="K195" s="563"/>
      <c r="L195" s="567">
        <v>0.70900155950717603</v>
      </c>
      <c r="M195" s="566"/>
      <c r="N195" s="567">
        <v>-0.1399151452912851</v>
      </c>
      <c r="O195" s="562"/>
      <c r="P195" s="563"/>
      <c r="Q195" s="567">
        <v>0.71303225799096193</v>
      </c>
      <c r="R195" s="566"/>
      <c r="S195" s="567">
        <v>4.3223657354492602</v>
      </c>
      <c r="T195" s="568"/>
      <c r="U195" s="509"/>
      <c r="V195" s="509"/>
      <c r="W195" s="509"/>
      <c r="X195" s="509"/>
      <c r="Y195" s="509"/>
      <c r="Z195" s="509"/>
      <c r="AA195" s="509"/>
      <c r="AB195" s="509"/>
      <c r="AC195" s="509"/>
      <c r="AD195" s="509"/>
      <c r="AE195" s="509"/>
      <c r="AF195" s="509"/>
      <c r="AG195" s="509"/>
      <c r="AH195" s="509"/>
      <c r="AI195" s="509"/>
      <c r="AJ195" s="509"/>
      <c r="AK195" s="509"/>
      <c r="AL195" s="509"/>
      <c r="AM195" s="509"/>
      <c r="AN195" s="509"/>
    </row>
    <row r="196" spans="1:40" ht="15.75" customHeight="1" thickTop="1">
      <c r="A196" s="494" t="s">
        <v>83</v>
      </c>
      <c r="B196" s="509" t="s">
        <v>83</v>
      </c>
      <c r="C196" s="548"/>
      <c r="D196" s="568"/>
      <c r="E196" s="568"/>
      <c r="F196" s="547"/>
      <c r="G196" s="548"/>
      <c r="H196" s="568"/>
      <c r="I196" s="547"/>
      <c r="J196" s="548"/>
      <c r="K196" s="604"/>
      <c r="L196" s="547"/>
      <c r="M196" s="546"/>
      <c r="N196" s="547"/>
      <c r="O196" s="548"/>
      <c r="P196" s="568"/>
      <c r="Q196" s="547"/>
      <c r="R196" s="546"/>
      <c r="S196" s="547"/>
      <c r="T196" s="568"/>
      <c r="U196" s="509"/>
      <c r="V196" s="509"/>
      <c r="W196" s="509"/>
      <c r="X196" s="509"/>
      <c r="Y196" s="509"/>
      <c r="Z196" s="509"/>
      <c r="AA196" s="509"/>
      <c r="AB196" s="509"/>
      <c r="AC196" s="509"/>
      <c r="AD196" s="509"/>
      <c r="AE196" s="509"/>
      <c r="AF196" s="509"/>
      <c r="AG196" s="509"/>
      <c r="AH196" s="509"/>
      <c r="AI196" s="509"/>
      <c r="AJ196" s="509"/>
      <c r="AK196" s="509"/>
      <c r="AL196" s="509"/>
      <c r="AM196" s="509"/>
      <c r="AN196" s="509"/>
    </row>
    <row r="197" spans="1:40" ht="15.75" customHeight="1">
      <c r="A197" s="494" t="s">
        <v>348</v>
      </c>
      <c r="B197" s="509" t="s">
        <v>83</v>
      </c>
      <c r="C197" s="571" t="s">
        <v>30</v>
      </c>
      <c r="D197" s="509"/>
      <c r="E197" s="509"/>
      <c r="F197" s="555"/>
      <c r="G197" s="529"/>
      <c r="H197" s="509"/>
      <c r="I197" s="555"/>
      <c r="J197" s="529"/>
      <c r="K197" s="509"/>
      <c r="L197" s="539"/>
      <c r="M197" s="529"/>
      <c r="N197" s="539"/>
      <c r="O197" s="529"/>
      <c r="P197" s="509"/>
      <c r="Q197" s="539"/>
      <c r="R197" s="529"/>
      <c r="S197" s="539"/>
      <c r="T197" s="509"/>
      <c r="U197" s="509"/>
      <c r="V197" s="509"/>
      <c r="W197" s="509"/>
      <c r="X197" s="509"/>
      <c r="Y197" s="509"/>
      <c r="Z197" s="509"/>
      <c r="AA197" s="509"/>
      <c r="AB197" s="509"/>
      <c r="AC197" s="509"/>
      <c r="AD197" s="509"/>
      <c r="AE197" s="509"/>
      <c r="AF197" s="509"/>
      <c r="AG197" s="509"/>
      <c r="AH197" s="509"/>
      <c r="AI197" s="509"/>
      <c r="AJ197" s="509"/>
      <c r="AK197" s="509"/>
      <c r="AL197" s="509"/>
      <c r="AM197" s="509"/>
      <c r="AN197" s="509"/>
    </row>
    <row r="198" spans="1:40" ht="15.75" customHeight="1">
      <c r="A198" s="494" t="s">
        <v>349</v>
      </c>
      <c r="B198" s="509" t="s">
        <v>83</v>
      </c>
      <c r="C198" s="596" t="s">
        <v>41</v>
      </c>
      <c r="D198" s="509"/>
      <c r="E198" s="509"/>
      <c r="F198" s="530">
        <v>15728.762179487177</v>
      </c>
      <c r="G198" s="529"/>
      <c r="H198" s="509"/>
      <c r="I198" s="530"/>
      <c r="J198" s="529"/>
      <c r="K198" s="509"/>
      <c r="L198" s="532">
        <v>9367.5400000000009</v>
      </c>
      <c r="M198" s="529"/>
      <c r="N198" s="532">
        <v>-6361.2221794871766</v>
      </c>
      <c r="O198" s="529"/>
      <c r="P198" s="509"/>
      <c r="Q198" s="532">
        <v>6865.75</v>
      </c>
      <c r="R198" s="529"/>
      <c r="S198" s="532">
        <v>2501.7900000000009</v>
      </c>
      <c r="T198" s="509"/>
      <c r="U198" s="509"/>
      <c r="V198" s="509"/>
      <c r="W198" s="509"/>
      <c r="X198" s="509"/>
      <c r="Y198" s="509"/>
      <c r="Z198" s="509"/>
      <c r="AA198" s="509"/>
      <c r="AB198" s="509"/>
      <c r="AC198" s="509"/>
      <c r="AD198" s="509"/>
      <c r="AE198" s="509"/>
      <c r="AF198" s="509"/>
      <c r="AG198" s="509"/>
      <c r="AH198" s="509"/>
      <c r="AI198" s="509"/>
      <c r="AJ198" s="509"/>
      <c r="AK198" s="509"/>
      <c r="AL198" s="509"/>
      <c r="AM198" s="509"/>
      <c r="AN198" s="509"/>
    </row>
    <row r="199" spans="1:40" ht="15.75" customHeight="1">
      <c r="A199" s="494" t="s">
        <v>350</v>
      </c>
      <c r="B199" s="509" t="s">
        <v>83</v>
      </c>
      <c r="C199" s="598" t="s">
        <v>42</v>
      </c>
      <c r="D199" s="581"/>
      <c r="E199" s="509"/>
      <c r="F199" s="524">
        <v>8540.9555384615378</v>
      </c>
      <c r="G199" s="582"/>
      <c r="H199" s="509"/>
      <c r="I199" s="524"/>
      <c r="J199" s="529"/>
      <c r="K199" s="509"/>
      <c r="L199" s="532">
        <v>8321.08</v>
      </c>
      <c r="M199" s="529"/>
      <c r="N199" s="532">
        <v>-219.87553846153787</v>
      </c>
      <c r="O199" s="529"/>
      <c r="P199" s="509"/>
      <c r="Q199" s="532">
        <v>6119.29</v>
      </c>
      <c r="R199" s="529"/>
      <c r="S199" s="555">
        <v>2201.79</v>
      </c>
      <c r="T199" s="509"/>
      <c r="U199" s="509"/>
      <c r="V199" s="509"/>
      <c r="W199" s="509"/>
      <c r="X199" s="509"/>
      <c r="Y199" s="509"/>
      <c r="Z199" s="509"/>
      <c r="AA199" s="509"/>
      <c r="AB199" s="509"/>
      <c r="AC199" s="509"/>
      <c r="AD199" s="509"/>
      <c r="AE199" s="509"/>
      <c r="AF199" s="509"/>
      <c r="AG199" s="509"/>
      <c r="AH199" s="509"/>
      <c r="AI199" s="509"/>
      <c r="AJ199" s="509"/>
      <c r="AK199" s="509"/>
      <c r="AL199" s="509"/>
      <c r="AM199" s="509"/>
      <c r="AN199" s="509"/>
    </row>
    <row r="200" spans="1:40" ht="20.399999999999999">
      <c r="A200" s="494" t="s">
        <v>351</v>
      </c>
      <c r="B200" s="509" t="s">
        <v>83</v>
      </c>
      <c r="C200" s="596" t="s">
        <v>43</v>
      </c>
      <c r="D200" s="599"/>
      <c r="E200" s="600"/>
      <c r="F200" s="530">
        <v>17386.576923076926</v>
      </c>
      <c r="G200" s="601"/>
      <c r="H200" s="600"/>
      <c r="I200" s="530"/>
      <c r="J200" s="517"/>
      <c r="K200" s="600"/>
      <c r="L200" s="551">
        <v>20320.27</v>
      </c>
      <c r="M200" s="517"/>
      <c r="N200" s="551">
        <v>2933.6930769230748</v>
      </c>
      <c r="O200" s="517"/>
      <c r="P200" s="600"/>
      <c r="Q200" s="551">
        <v>10219.44</v>
      </c>
      <c r="R200" s="517"/>
      <c r="S200" s="602">
        <v>10100.83</v>
      </c>
      <c r="T200" s="509"/>
      <c r="U200" s="509"/>
      <c r="V200" s="509"/>
      <c r="W200" s="509"/>
      <c r="X200" s="509"/>
      <c r="Y200" s="509"/>
      <c r="Z200" s="509"/>
      <c r="AA200" s="509"/>
      <c r="AB200" s="509"/>
      <c r="AC200" s="509"/>
      <c r="AD200" s="509"/>
      <c r="AE200" s="509"/>
      <c r="AF200" s="509"/>
      <c r="AG200" s="509"/>
      <c r="AH200" s="509"/>
      <c r="AI200" s="509"/>
      <c r="AJ200" s="509"/>
      <c r="AK200" s="509"/>
      <c r="AL200" s="509"/>
      <c r="AM200" s="509"/>
      <c r="AN200" s="509"/>
    </row>
    <row r="201" spans="1:40" ht="21.75" customHeight="1">
      <c r="A201" s="494" t="s">
        <v>352</v>
      </c>
      <c r="B201" s="509" t="s">
        <v>83</v>
      </c>
      <c r="C201" s="596" t="s">
        <v>44</v>
      </c>
      <c r="D201" s="581"/>
      <c r="E201" s="597">
        <v>0.14487266262188206</v>
      </c>
      <c r="F201" s="530">
        <v>37251.8431136</v>
      </c>
      <c r="G201" s="582"/>
      <c r="H201" s="509"/>
      <c r="I201" s="530"/>
      <c r="J201" s="529"/>
      <c r="K201" s="694">
        <v>0.20588585679314708</v>
      </c>
      <c r="L201" s="532">
        <v>43948.92</v>
      </c>
      <c r="M201" s="529"/>
      <c r="N201" s="532">
        <v>6697.0768863999983</v>
      </c>
      <c r="O201" s="529"/>
      <c r="P201" s="509"/>
      <c r="Q201" s="532">
        <v>30326</v>
      </c>
      <c r="R201" s="529"/>
      <c r="S201" s="555">
        <v>13622.919999999998</v>
      </c>
      <c r="T201" s="509"/>
      <c r="U201" s="509"/>
      <c r="V201" s="509"/>
      <c r="W201" s="509"/>
      <c r="X201" s="509"/>
      <c r="Y201" s="509"/>
      <c r="Z201" s="509"/>
      <c r="AA201" s="509"/>
      <c r="AB201" s="509"/>
      <c r="AC201" s="509"/>
      <c r="AD201" s="509"/>
      <c r="AE201" s="509"/>
      <c r="AF201" s="509"/>
      <c r="AG201" s="509"/>
      <c r="AH201" s="509"/>
      <c r="AI201" s="509"/>
      <c r="AJ201" s="509"/>
      <c r="AK201" s="509"/>
      <c r="AL201" s="509"/>
      <c r="AM201" s="509"/>
      <c r="AN201" s="509"/>
    </row>
    <row r="202" spans="1:40" ht="15.75" hidden="1" customHeight="1">
      <c r="A202" s="494" t="s">
        <v>353</v>
      </c>
      <c r="B202" s="509" t="s">
        <v>83</v>
      </c>
      <c r="C202" s="529" t="s">
        <v>20</v>
      </c>
      <c r="D202" s="581"/>
      <c r="E202" s="509"/>
      <c r="F202" s="530">
        <v>0</v>
      </c>
      <c r="G202" s="582"/>
      <c r="H202" s="509"/>
      <c r="I202" s="530"/>
      <c r="J202" s="529"/>
      <c r="K202" s="509"/>
      <c r="L202" s="532">
        <v>0</v>
      </c>
      <c r="M202" s="529"/>
      <c r="N202" s="532">
        <v>0</v>
      </c>
      <c r="O202" s="529"/>
      <c r="P202" s="509"/>
      <c r="Q202" s="532">
        <v>0</v>
      </c>
      <c r="R202" s="529"/>
      <c r="S202" s="555">
        <v>0</v>
      </c>
      <c r="T202" s="509"/>
      <c r="U202" s="509"/>
      <c r="V202" s="509"/>
      <c r="W202" s="509"/>
      <c r="X202" s="509"/>
      <c r="Y202" s="509"/>
      <c r="Z202" s="509"/>
      <c r="AA202" s="509"/>
      <c r="AB202" s="509"/>
      <c r="AC202" s="509"/>
      <c r="AD202" s="509"/>
      <c r="AE202" s="509"/>
      <c r="AF202" s="509"/>
      <c r="AG202" s="509"/>
      <c r="AH202" s="509"/>
      <c r="AI202" s="509"/>
      <c r="AJ202" s="509"/>
      <c r="AK202" s="509"/>
      <c r="AL202" s="509"/>
      <c r="AM202" s="509"/>
      <c r="AN202" s="509"/>
    </row>
    <row r="203" spans="1:40" ht="15.75" hidden="1" customHeight="1">
      <c r="A203" s="494" t="s">
        <v>353</v>
      </c>
      <c r="B203" s="509" t="s">
        <v>83</v>
      </c>
      <c r="C203" s="529" t="s">
        <v>20</v>
      </c>
      <c r="D203" s="581"/>
      <c r="E203" s="509"/>
      <c r="F203" s="530">
        <v>0</v>
      </c>
      <c r="G203" s="582"/>
      <c r="H203" s="509"/>
      <c r="I203" s="530"/>
      <c r="J203" s="529"/>
      <c r="K203" s="509"/>
      <c r="L203" s="532">
        <v>0</v>
      </c>
      <c r="M203" s="529"/>
      <c r="N203" s="532">
        <v>0</v>
      </c>
      <c r="O203" s="529"/>
      <c r="P203" s="509"/>
      <c r="Q203" s="532">
        <v>0</v>
      </c>
      <c r="R203" s="529"/>
      <c r="S203" s="555">
        <v>0</v>
      </c>
      <c r="T203" s="509"/>
      <c r="U203" s="509"/>
      <c r="V203" s="509"/>
      <c r="W203" s="509"/>
      <c r="X203" s="509"/>
      <c r="Y203" s="509"/>
      <c r="Z203" s="509"/>
      <c r="AA203" s="509"/>
      <c r="AB203" s="509"/>
      <c r="AC203" s="509"/>
      <c r="AD203" s="509"/>
      <c r="AE203" s="509"/>
      <c r="AF203" s="509"/>
      <c r="AG203" s="509"/>
      <c r="AH203" s="509"/>
      <c r="AI203" s="509"/>
      <c r="AJ203" s="509"/>
      <c r="AK203" s="509"/>
      <c r="AL203" s="509"/>
      <c r="AM203" s="509"/>
      <c r="AN203" s="509"/>
    </row>
    <row r="204" spans="1:40" ht="15.75" hidden="1" customHeight="1">
      <c r="A204" s="494" t="s">
        <v>353</v>
      </c>
      <c r="B204" s="509" t="s">
        <v>83</v>
      </c>
      <c r="C204" s="529" t="s">
        <v>20</v>
      </c>
      <c r="D204" s="581"/>
      <c r="E204" s="509"/>
      <c r="F204" s="530">
        <v>0</v>
      </c>
      <c r="G204" s="582"/>
      <c r="H204" s="509"/>
      <c r="I204" s="530"/>
      <c r="J204" s="529"/>
      <c r="K204" s="509"/>
      <c r="L204" s="532">
        <v>0</v>
      </c>
      <c r="M204" s="529"/>
      <c r="N204" s="532">
        <v>0</v>
      </c>
      <c r="O204" s="529"/>
      <c r="P204" s="509"/>
      <c r="Q204" s="532">
        <v>0</v>
      </c>
      <c r="R204" s="529"/>
      <c r="S204" s="555">
        <v>0</v>
      </c>
      <c r="T204" s="509"/>
      <c r="U204" s="509"/>
      <c r="V204" s="509"/>
      <c r="W204" s="509"/>
      <c r="X204" s="509"/>
      <c r="Y204" s="509"/>
      <c r="Z204" s="509"/>
      <c r="AA204" s="509"/>
      <c r="AB204" s="509"/>
      <c r="AC204" s="509"/>
      <c r="AD204" s="509"/>
      <c r="AE204" s="509"/>
      <c r="AF204" s="509"/>
      <c r="AG204" s="509"/>
      <c r="AH204" s="509"/>
      <c r="AI204" s="509"/>
      <c r="AJ204" s="509"/>
      <c r="AK204" s="509"/>
      <c r="AL204" s="509"/>
      <c r="AM204" s="509"/>
      <c r="AN204" s="509"/>
    </row>
    <row r="205" spans="1:40" ht="20.399999999999999">
      <c r="A205" s="494" t="s">
        <v>354</v>
      </c>
      <c r="B205" s="509" t="s">
        <v>83</v>
      </c>
      <c r="C205" s="598" t="s">
        <v>45</v>
      </c>
      <c r="D205" s="581"/>
      <c r="E205" s="509"/>
      <c r="F205" s="530">
        <v>21337.650925649403</v>
      </c>
      <c r="G205" s="582"/>
      <c r="H205" s="509"/>
      <c r="I205" s="530"/>
      <c r="J205" s="529"/>
      <c r="K205" s="509"/>
      <c r="L205" s="532">
        <v>20422.400000000001</v>
      </c>
      <c r="M205" s="529"/>
      <c r="N205" s="532">
        <v>-915.25092564940132</v>
      </c>
      <c r="O205" s="529"/>
      <c r="P205" s="509"/>
      <c r="Q205" s="532">
        <v>15596.8</v>
      </c>
      <c r="R205" s="529"/>
      <c r="S205" s="555">
        <v>4825.6000000000022</v>
      </c>
      <c r="T205" s="509"/>
      <c r="U205" s="509"/>
      <c r="V205" s="509"/>
      <c r="W205" s="509"/>
      <c r="X205" s="509"/>
      <c r="Y205" s="509"/>
      <c r="Z205" s="509"/>
      <c r="AA205" s="509"/>
      <c r="AB205" s="509"/>
      <c r="AC205" s="509"/>
      <c r="AD205" s="509"/>
      <c r="AE205" s="509"/>
      <c r="AF205" s="509"/>
      <c r="AG205" s="509"/>
      <c r="AH205" s="509"/>
      <c r="AI205" s="509"/>
      <c r="AJ205" s="509"/>
      <c r="AK205" s="509"/>
      <c r="AL205" s="509"/>
      <c r="AM205" s="509"/>
      <c r="AN205" s="509"/>
    </row>
    <row r="206" spans="1:40" ht="15.75" customHeight="1">
      <c r="A206" s="494" t="s">
        <v>355</v>
      </c>
      <c r="B206" s="509" t="s">
        <v>83</v>
      </c>
      <c r="C206" s="596" t="s">
        <v>46</v>
      </c>
      <c r="D206" s="599"/>
      <c r="E206" s="600"/>
      <c r="F206" s="551">
        <v>25943.575574798393</v>
      </c>
      <c r="G206" s="601"/>
      <c r="H206" s="600"/>
      <c r="I206" s="551"/>
      <c r="J206" s="517"/>
      <c r="K206" s="600"/>
      <c r="L206" s="551">
        <v>22408.44</v>
      </c>
      <c r="M206" s="517"/>
      <c r="N206" s="551">
        <v>-3535.1355747983944</v>
      </c>
      <c r="O206" s="517"/>
      <c r="P206" s="600"/>
      <c r="Q206" s="551">
        <v>19500.03</v>
      </c>
      <c r="R206" s="517"/>
      <c r="S206" s="602">
        <v>2908.41</v>
      </c>
      <c r="T206" s="509"/>
      <c r="U206" s="509"/>
      <c r="V206" s="509"/>
      <c r="W206" s="509"/>
      <c r="X206" s="509"/>
      <c r="Y206" s="509"/>
      <c r="Z206" s="509"/>
      <c r="AA206" s="509"/>
      <c r="AB206" s="509"/>
      <c r="AC206" s="509"/>
      <c r="AD206" s="509"/>
      <c r="AE206" s="509"/>
      <c r="AF206" s="509"/>
      <c r="AG206" s="509"/>
      <c r="AH206" s="509"/>
      <c r="AI206" s="509"/>
      <c r="AJ206" s="509"/>
      <c r="AK206" s="509"/>
      <c r="AL206" s="509"/>
      <c r="AM206" s="509"/>
      <c r="AN206" s="509"/>
    </row>
    <row r="207" spans="1:40" ht="15.75" customHeight="1">
      <c r="A207" s="494" t="s">
        <v>356</v>
      </c>
      <c r="B207" s="509" t="s">
        <v>83</v>
      </c>
      <c r="C207" s="596" t="s">
        <v>47</v>
      </c>
      <c r="D207" s="581"/>
      <c r="E207" s="509"/>
      <c r="F207" s="530">
        <v>13366.581328754823</v>
      </c>
      <c r="G207" s="582"/>
      <c r="H207" s="509"/>
      <c r="I207" s="530"/>
      <c r="J207" s="529"/>
      <c r="K207" s="509"/>
      <c r="L207" s="532">
        <v>11244.77</v>
      </c>
      <c r="M207" s="529"/>
      <c r="N207" s="532">
        <v>-2121.8113287548222</v>
      </c>
      <c r="O207" s="529"/>
      <c r="P207" s="509"/>
      <c r="Q207" s="532">
        <v>10358.59</v>
      </c>
      <c r="R207" s="529"/>
      <c r="S207" s="555">
        <v>886.18000000000029</v>
      </c>
      <c r="T207" s="509"/>
      <c r="U207" s="509"/>
      <c r="V207" s="509"/>
      <c r="W207" s="509"/>
      <c r="X207" s="509"/>
      <c r="Y207" s="509"/>
      <c r="Z207" s="509"/>
      <c r="AA207" s="509"/>
      <c r="AB207" s="509"/>
      <c r="AC207" s="509"/>
      <c r="AD207" s="509"/>
      <c r="AE207" s="509"/>
      <c r="AF207" s="509"/>
      <c r="AG207" s="509"/>
      <c r="AH207" s="509"/>
      <c r="AI207" s="509"/>
      <c r="AJ207" s="509"/>
      <c r="AK207" s="509"/>
      <c r="AL207" s="509"/>
      <c r="AM207" s="509"/>
      <c r="AN207" s="509"/>
    </row>
    <row r="208" spans="1:40" ht="15.75" customHeight="1">
      <c r="A208" s="494" t="s">
        <v>357</v>
      </c>
      <c r="B208" s="509" t="s">
        <v>83</v>
      </c>
      <c r="C208" s="596" t="s">
        <v>48</v>
      </c>
      <c r="D208" s="581"/>
      <c r="E208" s="509"/>
      <c r="F208" s="530">
        <v>5827.9046581068851</v>
      </c>
      <c r="G208" s="582"/>
      <c r="H208" s="509"/>
      <c r="I208" s="530"/>
      <c r="J208" s="529"/>
      <c r="K208" s="509"/>
      <c r="L208" s="532">
        <v>4370.88</v>
      </c>
      <c r="M208" s="529"/>
      <c r="N208" s="532">
        <v>-1457.024658106885</v>
      </c>
      <c r="O208" s="529"/>
      <c r="P208" s="509"/>
      <c r="Q208" s="532">
        <v>3311.66</v>
      </c>
      <c r="R208" s="529"/>
      <c r="S208" s="555">
        <v>1059.2200000000003</v>
      </c>
      <c r="T208" s="509"/>
      <c r="U208" s="509"/>
      <c r="V208" s="509"/>
      <c r="W208" s="509"/>
      <c r="X208" s="509"/>
      <c r="Y208" s="509"/>
      <c r="Z208" s="509"/>
      <c r="AA208" s="509"/>
      <c r="AB208" s="509"/>
      <c r="AC208" s="509"/>
      <c r="AD208" s="509"/>
      <c r="AE208" s="509"/>
      <c r="AF208" s="509"/>
      <c r="AG208" s="509"/>
      <c r="AH208" s="509"/>
      <c r="AI208" s="509"/>
      <c r="AJ208" s="509"/>
      <c r="AK208" s="509"/>
      <c r="AL208" s="509"/>
      <c r="AM208" s="509"/>
      <c r="AN208" s="509"/>
    </row>
    <row r="209" spans="1:40" ht="15.75" hidden="1" customHeight="1">
      <c r="A209" s="494" t="s">
        <v>353</v>
      </c>
      <c r="B209" s="509" t="s">
        <v>83</v>
      </c>
      <c r="C209" s="529" t="s">
        <v>20</v>
      </c>
      <c r="D209" s="583"/>
      <c r="E209" s="603"/>
      <c r="F209" s="530">
        <v>0</v>
      </c>
      <c r="G209" s="584"/>
      <c r="H209" s="603"/>
      <c r="I209" s="530"/>
      <c r="J209" s="522"/>
      <c r="K209" s="603"/>
      <c r="L209" s="532">
        <v>0</v>
      </c>
      <c r="M209" s="522"/>
      <c r="N209" s="532">
        <v>0</v>
      </c>
      <c r="O209" s="522"/>
      <c r="P209" s="603"/>
      <c r="Q209" s="532">
        <v>0</v>
      </c>
      <c r="R209" s="522"/>
      <c r="S209" s="579">
        <v>0</v>
      </c>
      <c r="T209" s="509"/>
      <c r="U209" s="509"/>
      <c r="V209" s="509"/>
      <c r="W209" s="509"/>
      <c r="X209" s="509"/>
      <c r="Y209" s="509"/>
      <c r="Z209" s="509"/>
      <c r="AA209" s="509"/>
      <c r="AB209" s="509"/>
      <c r="AC209" s="509"/>
      <c r="AD209" s="509"/>
      <c r="AE209" s="509"/>
      <c r="AF209" s="509"/>
      <c r="AG209" s="509"/>
      <c r="AH209" s="509"/>
      <c r="AI209" s="509"/>
      <c r="AJ209" s="509"/>
      <c r="AK209" s="509"/>
      <c r="AL209" s="509"/>
      <c r="AM209" s="509"/>
      <c r="AN209" s="509"/>
    </row>
    <row r="210" spans="1:40" ht="15.75" customHeight="1">
      <c r="A210" s="494" t="s">
        <v>358</v>
      </c>
      <c r="B210" s="509" t="s">
        <v>83</v>
      </c>
      <c r="C210" s="588" t="s">
        <v>49</v>
      </c>
      <c r="D210" s="589" t="s">
        <v>97</v>
      </c>
      <c r="E210" s="590">
        <v>0.48024503889904196</v>
      </c>
      <c r="F210" s="591">
        <v>145383.85024193514</v>
      </c>
      <c r="G210" s="592"/>
      <c r="H210" s="590"/>
      <c r="I210" s="591"/>
      <c r="J210" s="592" t="s">
        <v>97</v>
      </c>
      <c r="K210" s="590">
        <v>0.53924463051313698</v>
      </c>
      <c r="L210" s="591">
        <v>140404.29999999999</v>
      </c>
      <c r="M210" s="646"/>
      <c r="N210" s="591">
        <v>-4979.5502419351542</v>
      </c>
      <c r="O210" s="592" t="s">
        <v>97</v>
      </c>
      <c r="P210" s="590">
        <v>0.51114576681013901</v>
      </c>
      <c r="Q210" s="591">
        <v>102297.56</v>
      </c>
      <c r="R210" s="646"/>
      <c r="S210" s="605">
        <v>38106.739999999991</v>
      </c>
      <c r="T210" s="509"/>
      <c r="U210" s="509"/>
      <c r="V210" s="509"/>
      <c r="W210" s="509"/>
      <c r="X210" s="509"/>
      <c r="Y210" s="509"/>
      <c r="Z210" s="509"/>
      <c r="AA210" s="509"/>
      <c r="AB210" s="509"/>
      <c r="AC210" s="509"/>
      <c r="AD210" s="509"/>
      <c r="AE210" s="509"/>
      <c r="AF210" s="509"/>
      <c r="AG210" s="509"/>
      <c r="AH210" s="509"/>
      <c r="AI210" s="509"/>
      <c r="AJ210" s="509"/>
      <c r="AK210" s="509"/>
      <c r="AL210" s="509"/>
      <c r="AM210" s="509"/>
      <c r="AN210" s="509"/>
    </row>
    <row r="211" spans="1:40" ht="15.75" customHeight="1">
      <c r="A211" s="494" t="s">
        <v>359</v>
      </c>
      <c r="B211" s="509" t="s">
        <v>83</v>
      </c>
      <c r="C211" s="529" t="s">
        <v>50</v>
      </c>
      <c r="D211" s="581"/>
      <c r="E211" s="509"/>
      <c r="F211" s="530">
        <v>10386.992319131941</v>
      </c>
      <c r="G211" s="582"/>
      <c r="H211" s="509"/>
      <c r="I211" s="530"/>
      <c r="J211" s="529"/>
      <c r="K211" s="509"/>
      <c r="L211" s="532">
        <v>11076.5</v>
      </c>
      <c r="M211" s="529"/>
      <c r="N211" s="555">
        <v>689.50768086805874</v>
      </c>
      <c r="O211" s="529"/>
      <c r="P211" s="509"/>
      <c r="Q211" s="532">
        <v>11679.54</v>
      </c>
      <c r="R211" s="529"/>
      <c r="S211" s="555">
        <v>-603.04000000000087</v>
      </c>
      <c r="T211" s="509"/>
      <c r="U211" s="509"/>
      <c r="V211" s="509"/>
      <c r="W211" s="509"/>
      <c r="X211" s="509"/>
      <c r="Y211" s="509"/>
      <c r="Z211" s="509"/>
      <c r="AA211" s="509"/>
      <c r="AB211" s="509"/>
      <c r="AC211" s="509"/>
      <c r="AD211" s="509"/>
      <c r="AE211" s="509"/>
      <c r="AF211" s="509"/>
      <c r="AG211" s="509"/>
      <c r="AH211" s="509"/>
      <c r="AI211" s="509"/>
      <c r="AJ211" s="509"/>
      <c r="AK211" s="509"/>
      <c r="AL211" s="509"/>
      <c r="AM211" s="509"/>
      <c r="AN211" s="509"/>
    </row>
    <row r="212" spans="1:40" ht="15.75" customHeight="1">
      <c r="A212" s="494" t="s">
        <v>360</v>
      </c>
      <c r="B212" s="509" t="s">
        <v>83</v>
      </c>
      <c r="C212" s="529" t="s">
        <v>51</v>
      </c>
      <c r="D212" s="581"/>
      <c r="E212" s="509"/>
      <c r="F212" s="530">
        <v>3860.3926568344446</v>
      </c>
      <c r="G212" s="582"/>
      <c r="H212" s="509"/>
      <c r="I212" s="530"/>
      <c r="J212" s="529"/>
      <c r="K212" s="509"/>
      <c r="L212" s="532">
        <v>2109.5300000000002</v>
      </c>
      <c r="M212" s="529"/>
      <c r="N212" s="555">
        <v>-1750.8626568344444</v>
      </c>
      <c r="O212" s="529"/>
      <c r="P212" s="509"/>
      <c r="Q212" s="532">
        <v>4362.38</v>
      </c>
      <c r="R212" s="529"/>
      <c r="S212" s="555">
        <v>-2252.85</v>
      </c>
      <c r="T212" s="509"/>
      <c r="U212" s="509"/>
      <c r="V212" s="509"/>
      <c r="W212" s="509"/>
      <c r="X212" s="509"/>
      <c r="Y212" s="509"/>
      <c r="Z212" s="509"/>
      <c r="AA212" s="509"/>
      <c r="AB212" s="509"/>
      <c r="AC212" s="509"/>
      <c r="AD212" s="509"/>
      <c r="AE212" s="509"/>
      <c r="AF212" s="509"/>
      <c r="AG212" s="509"/>
      <c r="AH212" s="509"/>
      <c r="AI212" s="509"/>
      <c r="AJ212" s="509"/>
      <c r="AK212" s="509"/>
      <c r="AL212" s="509"/>
      <c r="AM212" s="509"/>
      <c r="AN212" s="509"/>
    </row>
    <row r="213" spans="1:40" ht="15.75" customHeight="1">
      <c r="A213" s="494" t="s">
        <v>361</v>
      </c>
      <c r="B213" s="509" t="s">
        <v>83</v>
      </c>
      <c r="C213" s="522" t="s">
        <v>52</v>
      </c>
      <c r="D213" s="583"/>
      <c r="E213" s="603"/>
      <c r="F213" s="524">
        <v>13333.333333333334</v>
      </c>
      <c r="G213" s="584"/>
      <c r="H213" s="603"/>
      <c r="I213" s="524"/>
      <c r="J213" s="522"/>
      <c r="K213" s="603"/>
      <c r="L213" s="532">
        <v>13105.98</v>
      </c>
      <c r="M213" s="522"/>
      <c r="N213" s="579">
        <v>-227.35333333333438</v>
      </c>
      <c r="O213" s="522"/>
      <c r="P213" s="603"/>
      <c r="Q213" s="532">
        <v>12465.7</v>
      </c>
      <c r="R213" s="522"/>
      <c r="S213" s="579">
        <v>640.27999999999884</v>
      </c>
      <c r="T213" s="509"/>
      <c r="U213" s="509"/>
      <c r="V213" s="509"/>
      <c r="W213" s="509"/>
      <c r="X213" s="509"/>
      <c r="Y213" s="509"/>
      <c r="Z213" s="509"/>
      <c r="AA213" s="509"/>
      <c r="AB213" s="509"/>
      <c r="AC213" s="509"/>
      <c r="AD213" s="509"/>
      <c r="AE213" s="509"/>
      <c r="AF213" s="509"/>
      <c r="AG213" s="509"/>
      <c r="AH213" s="509"/>
      <c r="AI213" s="509"/>
      <c r="AJ213" s="509"/>
      <c r="AK213" s="509"/>
      <c r="AL213" s="509"/>
      <c r="AM213" s="509"/>
      <c r="AN213" s="509"/>
    </row>
    <row r="214" spans="1:40" ht="15.75" customHeight="1">
      <c r="A214" s="494" t="s">
        <v>362</v>
      </c>
      <c r="B214" s="509" t="s">
        <v>83</v>
      </c>
      <c r="C214" s="529" t="s">
        <v>53</v>
      </c>
      <c r="D214" s="581"/>
      <c r="E214" s="509"/>
      <c r="F214" s="530">
        <v>4360.8818746666657</v>
      </c>
      <c r="G214" s="582"/>
      <c r="H214" s="509"/>
      <c r="I214" s="530"/>
      <c r="J214" s="529"/>
      <c r="K214" s="509"/>
      <c r="L214" s="551">
        <v>4927.17</v>
      </c>
      <c r="M214" s="529"/>
      <c r="N214" s="555">
        <v>566.28812533333439</v>
      </c>
      <c r="O214" s="529"/>
      <c r="P214" s="509"/>
      <c r="Q214" s="551">
        <v>4576.83</v>
      </c>
      <c r="R214" s="529"/>
      <c r="S214" s="555">
        <v>350.34000000000015</v>
      </c>
      <c r="T214" s="509"/>
      <c r="U214" s="509"/>
      <c r="V214" s="509"/>
      <c r="W214" s="509"/>
      <c r="X214" s="509"/>
      <c r="Y214" s="509"/>
      <c r="Z214" s="509"/>
      <c r="AA214" s="509"/>
      <c r="AB214" s="509"/>
      <c r="AC214" s="509"/>
      <c r="AD214" s="509"/>
      <c r="AE214" s="509"/>
      <c r="AF214" s="509"/>
      <c r="AG214" s="509"/>
      <c r="AH214" s="509"/>
      <c r="AI214" s="509"/>
      <c r="AJ214" s="509"/>
      <c r="AK214" s="509"/>
      <c r="AL214" s="509"/>
      <c r="AM214" s="509"/>
      <c r="AN214" s="509"/>
    </row>
    <row r="215" spans="1:40" ht="15.75" customHeight="1">
      <c r="A215" s="494" t="s">
        <v>363</v>
      </c>
      <c r="B215" s="509" t="s">
        <v>83</v>
      </c>
      <c r="C215" s="529" t="s">
        <v>54</v>
      </c>
      <c r="D215" s="581"/>
      <c r="E215" s="509"/>
      <c r="F215" s="530">
        <v>1099.3818546873238</v>
      </c>
      <c r="G215" s="582"/>
      <c r="H215" s="509"/>
      <c r="I215" s="530"/>
      <c r="J215" s="529"/>
      <c r="K215" s="509"/>
      <c r="L215" s="532">
        <v>1797.78</v>
      </c>
      <c r="M215" s="529"/>
      <c r="N215" s="555">
        <v>698.39814531267621</v>
      </c>
      <c r="O215" s="529"/>
      <c r="P215" s="509"/>
      <c r="Q215" s="532">
        <v>1653.06</v>
      </c>
      <c r="R215" s="529"/>
      <c r="S215" s="555">
        <v>144.72000000000003</v>
      </c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509"/>
      <c r="AI215" s="509"/>
      <c r="AJ215" s="509"/>
      <c r="AK215" s="509"/>
      <c r="AL215" s="509"/>
      <c r="AM215" s="509"/>
      <c r="AN215" s="509"/>
    </row>
    <row r="216" spans="1:40" ht="15.75" customHeight="1">
      <c r="A216" s="494" t="s">
        <v>364</v>
      </c>
      <c r="B216" s="509" t="s">
        <v>83</v>
      </c>
      <c r="C216" s="522" t="s">
        <v>55</v>
      </c>
      <c r="D216" s="583"/>
      <c r="E216" s="603"/>
      <c r="F216" s="524">
        <v>5141.7720024888895</v>
      </c>
      <c r="G216" s="584"/>
      <c r="H216" s="603"/>
      <c r="I216" s="524"/>
      <c r="J216" s="522"/>
      <c r="K216" s="603"/>
      <c r="L216" s="532">
        <v>11142.48</v>
      </c>
      <c r="M216" s="522"/>
      <c r="N216" s="695">
        <v>6000.7079975111101</v>
      </c>
      <c r="O216" s="522"/>
      <c r="P216" s="603"/>
      <c r="Q216" s="532">
        <v>4098.16</v>
      </c>
      <c r="R216" s="522"/>
      <c r="S216" s="579">
        <v>7044.32</v>
      </c>
      <c r="T216" s="509"/>
      <c r="U216" s="509"/>
      <c r="V216" s="509"/>
      <c r="W216" s="509"/>
      <c r="X216" s="509"/>
      <c r="Y216" s="509"/>
      <c r="Z216" s="509"/>
      <c r="AA216" s="509"/>
      <c r="AB216" s="509"/>
      <c r="AC216" s="509"/>
      <c r="AD216" s="509"/>
      <c r="AE216" s="509"/>
      <c r="AF216" s="509"/>
      <c r="AG216" s="509"/>
      <c r="AH216" s="509"/>
      <c r="AI216" s="509"/>
      <c r="AJ216" s="509"/>
      <c r="AK216" s="509"/>
      <c r="AL216" s="509"/>
      <c r="AM216" s="509"/>
      <c r="AN216" s="509"/>
    </row>
    <row r="217" spans="1:40" ht="15.75" customHeight="1">
      <c r="A217" s="494" t="s">
        <v>365</v>
      </c>
      <c r="B217" s="509" t="s">
        <v>83</v>
      </c>
      <c r="C217" s="529" t="s">
        <v>98</v>
      </c>
      <c r="D217" s="581"/>
      <c r="E217" s="509"/>
      <c r="F217" s="530"/>
      <c r="G217" s="582"/>
      <c r="H217" s="509"/>
      <c r="I217" s="530"/>
      <c r="J217" s="529"/>
      <c r="K217" s="509"/>
      <c r="L217" s="551">
        <v>0</v>
      </c>
      <c r="M217" s="529"/>
      <c r="N217" s="555">
        <v>0</v>
      </c>
      <c r="O217" s="529"/>
      <c r="P217" s="509"/>
      <c r="Q217" s="551">
        <v>0</v>
      </c>
      <c r="R217" s="529"/>
      <c r="S217" s="555">
        <v>0</v>
      </c>
      <c r="T217" s="509"/>
      <c r="U217" s="509"/>
      <c r="V217" s="509"/>
      <c r="W217" s="509"/>
      <c r="X217" s="509"/>
      <c r="Y217" s="509"/>
      <c r="Z217" s="509"/>
      <c r="AA217" s="509"/>
      <c r="AB217" s="509"/>
      <c r="AC217" s="509"/>
      <c r="AD217" s="509"/>
      <c r="AE217" s="509"/>
      <c r="AF217" s="509"/>
      <c r="AG217" s="509"/>
      <c r="AH217" s="509"/>
      <c r="AI217" s="509"/>
      <c r="AJ217" s="509"/>
      <c r="AK217" s="509"/>
      <c r="AL217" s="509"/>
      <c r="AM217" s="509"/>
      <c r="AN217" s="509"/>
    </row>
    <row r="218" spans="1:40" ht="15.75" customHeight="1">
      <c r="A218" s="494" t="s">
        <v>366</v>
      </c>
      <c r="B218" s="509" t="s">
        <v>83</v>
      </c>
      <c r="C218" s="529" t="s">
        <v>56</v>
      </c>
      <c r="D218" s="581"/>
      <c r="E218" s="509"/>
      <c r="F218" s="530">
        <v>5583.333333333333</v>
      </c>
      <c r="G218" s="582"/>
      <c r="H218" s="509"/>
      <c r="I218" s="530"/>
      <c r="J218" s="529"/>
      <c r="K218" s="509"/>
      <c r="L218" s="532">
        <v>4529.47</v>
      </c>
      <c r="M218" s="529"/>
      <c r="N218" s="555">
        <v>-1053.8633333333328</v>
      </c>
      <c r="O218" s="529"/>
      <c r="P218" s="509"/>
      <c r="Q218" s="532">
        <v>8832.08</v>
      </c>
      <c r="R218" s="529"/>
      <c r="S218" s="555">
        <v>-4302.6099999999997</v>
      </c>
      <c r="T218" s="509"/>
      <c r="U218" s="509"/>
      <c r="V218" s="509"/>
      <c r="W218" s="509"/>
      <c r="X218" s="509"/>
      <c r="Y218" s="509"/>
      <c r="Z218" s="509"/>
      <c r="AA218" s="509"/>
      <c r="AB218" s="509"/>
      <c r="AC218" s="509"/>
      <c r="AD218" s="509"/>
      <c r="AE218" s="509"/>
      <c r="AF218" s="509"/>
      <c r="AG218" s="509"/>
      <c r="AH218" s="509"/>
      <c r="AI218" s="509"/>
      <c r="AJ218" s="509"/>
      <c r="AK218" s="509"/>
      <c r="AL218" s="509"/>
      <c r="AM218" s="509"/>
      <c r="AN218" s="509"/>
    </row>
    <row r="219" spans="1:40" ht="15.75" customHeight="1">
      <c r="A219" s="494" t="s">
        <v>367</v>
      </c>
      <c r="B219" s="509" t="s">
        <v>83</v>
      </c>
      <c r="C219" s="529" t="s">
        <v>57</v>
      </c>
      <c r="D219" s="581"/>
      <c r="E219" s="509"/>
      <c r="F219" s="530">
        <v>1221.9416376071097</v>
      </c>
      <c r="G219" s="582"/>
      <c r="H219" s="509"/>
      <c r="I219" s="530"/>
      <c r="J219" s="529"/>
      <c r="K219" s="509"/>
      <c r="L219" s="532">
        <v>893.35</v>
      </c>
      <c r="M219" s="529"/>
      <c r="N219" s="555">
        <v>-328.59163760710965</v>
      </c>
      <c r="O219" s="529"/>
      <c r="P219" s="509"/>
      <c r="Q219" s="532">
        <v>619.66999999999996</v>
      </c>
      <c r="R219" s="529"/>
      <c r="S219" s="555">
        <v>273.68000000000006</v>
      </c>
      <c r="T219" s="509"/>
      <c r="U219" s="509"/>
      <c r="V219" s="509"/>
      <c r="W219" s="509"/>
      <c r="X219" s="509"/>
      <c r="Y219" s="509"/>
      <c r="Z219" s="509"/>
      <c r="AA219" s="509"/>
      <c r="AB219" s="509"/>
      <c r="AC219" s="509"/>
      <c r="AD219" s="509"/>
      <c r="AE219" s="509"/>
      <c r="AF219" s="509"/>
      <c r="AG219" s="509"/>
      <c r="AH219" s="509"/>
      <c r="AI219" s="509"/>
      <c r="AJ219" s="509"/>
      <c r="AK219" s="509"/>
      <c r="AL219" s="509"/>
      <c r="AM219" s="509"/>
      <c r="AN219" s="509"/>
    </row>
    <row r="220" spans="1:40" ht="15.75" customHeight="1">
      <c r="A220" s="494" t="s">
        <v>368</v>
      </c>
      <c r="B220" s="509" t="s">
        <v>83</v>
      </c>
      <c r="C220" s="529" t="s">
        <v>58</v>
      </c>
      <c r="D220" s="581"/>
      <c r="E220" s="509"/>
      <c r="F220" s="530">
        <v>748.20426397599988</v>
      </c>
      <c r="G220" s="582"/>
      <c r="H220" s="509"/>
      <c r="I220" s="530"/>
      <c r="J220" s="529"/>
      <c r="K220" s="509"/>
      <c r="L220" s="532">
        <v>479.88</v>
      </c>
      <c r="M220" s="529"/>
      <c r="N220" s="555">
        <v>-268.32426397599988</v>
      </c>
      <c r="O220" s="529"/>
      <c r="P220" s="509"/>
      <c r="Q220" s="532">
        <v>587.58000000000004</v>
      </c>
      <c r="R220" s="529"/>
      <c r="S220" s="555">
        <v>-107.70000000000005</v>
      </c>
      <c r="T220" s="509"/>
      <c r="U220" s="509"/>
      <c r="V220" s="509"/>
      <c r="W220" s="509"/>
      <c r="X220" s="509"/>
      <c r="Y220" s="509"/>
      <c r="Z220" s="509"/>
      <c r="AA220" s="509"/>
      <c r="AB220" s="509"/>
      <c r="AC220" s="509"/>
      <c r="AD220" s="509"/>
      <c r="AE220" s="509"/>
      <c r="AF220" s="509"/>
      <c r="AG220" s="509"/>
      <c r="AH220" s="509"/>
      <c r="AI220" s="509"/>
      <c r="AJ220" s="509"/>
      <c r="AK220" s="509"/>
      <c r="AL220" s="509"/>
      <c r="AM220" s="509"/>
      <c r="AN220" s="509"/>
    </row>
    <row r="221" spans="1:40" ht="15.75" customHeight="1">
      <c r="A221" s="494" t="s">
        <v>369</v>
      </c>
      <c r="B221" s="509" t="s">
        <v>83</v>
      </c>
      <c r="C221" s="529" t="s">
        <v>59</v>
      </c>
      <c r="D221" s="581"/>
      <c r="E221" s="509"/>
      <c r="F221" s="530">
        <v>216.08706378966664</v>
      </c>
      <c r="G221" s="582"/>
      <c r="H221" s="509"/>
      <c r="I221" s="530"/>
      <c r="J221" s="529"/>
      <c r="K221" s="509"/>
      <c r="L221" s="532">
        <v>330.28</v>
      </c>
      <c r="M221" s="529"/>
      <c r="N221" s="555">
        <v>114.19293621033333</v>
      </c>
      <c r="O221" s="529"/>
      <c r="P221" s="509"/>
      <c r="Q221" s="532">
        <v>353.57</v>
      </c>
      <c r="R221" s="529"/>
      <c r="S221" s="555">
        <v>-23.29000000000002</v>
      </c>
      <c r="T221" s="509"/>
      <c r="U221" s="509"/>
      <c r="V221" s="509"/>
      <c r="W221" s="509"/>
      <c r="X221" s="509"/>
      <c r="Y221" s="509"/>
      <c r="Z221" s="509"/>
      <c r="AA221" s="509"/>
      <c r="AB221" s="509"/>
      <c r="AC221" s="509"/>
      <c r="AD221" s="509"/>
      <c r="AE221" s="509"/>
      <c r="AF221" s="509"/>
      <c r="AG221" s="509"/>
      <c r="AH221" s="509"/>
      <c r="AI221" s="509"/>
      <c r="AJ221" s="509"/>
      <c r="AK221" s="509"/>
      <c r="AL221" s="509"/>
      <c r="AM221" s="509"/>
      <c r="AN221" s="509"/>
    </row>
    <row r="222" spans="1:40" ht="15.75" customHeight="1">
      <c r="A222" s="494" t="s">
        <v>370</v>
      </c>
      <c r="B222" s="509" t="s">
        <v>83</v>
      </c>
      <c r="C222" s="529" t="s">
        <v>60</v>
      </c>
      <c r="D222" s="581"/>
      <c r="E222" s="509"/>
      <c r="F222" s="530">
        <v>103.77844493033332</v>
      </c>
      <c r="G222" s="582"/>
      <c r="H222" s="509"/>
      <c r="I222" s="530"/>
      <c r="J222" s="529"/>
      <c r="K222" s="509"/>
      <c r="L222" s="532">
        <v>7.92</v>
      </c>
      <c r="M222" s="529"/>
      <c r="N222" s="555">
        <v>-95.85844493033332</v>
      </c>
      <c r="O222" s="529"/>
      <c r="P222" s="509"/>
      <c r="Q222" s="532">
        <v>371.82</v>
      </c>
      <c r="R222" s="529"/>
      <c r="S222" s="555">
        <v>-363.9</v>
      </c>
      <c r="T222" s="509"/>
      <c r="U222" s="509"/>
      <c r="V222" s="509"/>
      <c r="W222" s="509"/>
      <c r="X222" s="509"/>
      <c r="Y222" s="509"/>
      <c r="Z222" s="509"/>
      <c r="AA222" s="509"/>
      <c r="AB222" s="509"/>
      <c r="AC222" s="509"/>
      <c r="AD222" s="509"/>
      <c r="AE222" s="509"/>
      <c r="AF222" s="509"/>
      <c r="AG222" s="509"/>
      <c r="AH222" s="509"/>
      <c r="AI222" s="509"/>
      <c r="AJ222" s="509"/>
      <c r="AK222" s="509"/>
      <c r="AL222" s="509"/>
      <c r="AM222" s="509"/>
      <c r="AN222" s="509"/>
    </row>
    <row r="223" spans="1:40" ht="15.75" customHeight="1">
      <c r="A223" s="494" t="s">
        <v>371</v>
      </c>
      <c r="B223" s="509" t="s">
        <v>83</v>
      </c>
      <c r="C223" s="529" t="s">
        <v>61</v>
      </c>
      <c r="D223" s="581"/>
      <c r="E223" s="509"/>
      <c r="F223" s="530">
        <v>216.4726525763333</v>
      </c>
      <c r="G223" s="582"/>
      <c r="H223" s="509"/>
      <c r="I223" s="530"/>
      <c r="J223" s="529"/>
      <c r="K223" s="509"/>
      <c r="L223" s="532">
        <v>151.44999999999999</v>
      </c>
      <c r="M223" s="529"/>
      <c r="N223" s="555">
        <v>-65.022652576333314</v>
      </c>
      <c r="O223" s="529"/>
      <c r="P223" s="509"/>
      <c r="Q223" s="532">
        <v>163.63</v>
      </c>
      <c r="R223" s="529"/>
      <c r="S223" s="555">
        <v>-12.180000000000007</v>
      </c>
      <c r="T223" s="509"/>
      <c r="U223" s="509"/>
      <c r="V223" s="509"/>
      <c r="W223" s="509"/>
      <c r="X223" s="509"/>
      <c r="Y223" s="509"/>
      <c r="Z223" s="509"/>
      <c r="AA223" s="509"/>
      <c r="AB223" s="509"/>
      <c r="AC223" s="509"/>
      <c r="AD223" s="509"/>
      <c r="AE223" s="509"/>
      <c r="AF223" s="509"/>
      <c r="AG223" s="509"/>
      <c r="AH223" s="509"/>
      <c r="AI223" s="509"/>
      <c r="AJ223" s="509"/>
      <c r="AK223" s="509"/>
      <c r="AL223" s="509"/>
      <c r="AM223" s="509"/>
      <c r="AN223" s="509"/>
    </row>
    <row r="224" spans="1:40" ht="15.75" customHeight="1">
      <c r="A224" s="494" t="s">
        <v>372</v>
      </c>
      <c r="B224" s="509" t="s">
        <v>83</v>
      </c>
      <c r="C224" s="529" t="s">
        <v>62</v>
      </c>
      <c r="D224" s="581"/>
      <c r="E224" s="509"/>
      <c r="F224" s="530">
        <v>3986.4545554484885</v>
      </c>
      <c r="G224" s="582"/>
      <c r="H224" s="509"/>
      <c r="I224" s="530"/>
      <c r="J224" s="529"/>
      <c r="K224" s="509"/>
      <c r="L224" s="532">
        <v>1114.8599999999999</v>
      </c>
      <c r="M224" s="529"/>
      <c r="N224" s="555">
        <v>-2871.5945554484888</v>
      </c>
      <c r="O224" s="529"/>
      <c r="P224" s="509"/>
      <c r="Q224" s="532">
        <v>5330.26</v>
      </c>
      <c r="R224" s="529"/>
      <c r="S224" s="555">
        <v>-4215.4000000000005</v>
      </c>
      <c r="T224" s="509"/>
      <c r="X224" s="509"/>
      <c r="Y224" s="509"/>
      <c r="Z224" s="509"/>
      <c r="AA224" s="509"/>
      <c r="AB224" s="509"/>
      <c r="AC224" s="509"/>
      <c r="AD224" s="509"/>
      <c r="AE224" s="509"/>
      <c r="AF224" s="509"/>
      <c r="AG224" s="509"/>
      <c r="AH224" s="509"/>
      <c r="AI224" s="509"/>
      <c r="AJ224" s="509"/>
      <c r="AK224" s="509"/>
      <c r="AL224" s="509"/>
      <c r="AM224" s="509"/>
      <c r="AN224" s="509"/>
    </row>
    <row r="225" spans="1:40" ht="15.75" customHeight="1">
      <c r="A225" s="494" t="s">
        <v>373</v>
      </c>
      <c r="B225" s="509" t="s">
        <v>83</v>
      </c>
      <c r="C225" s="529" t="s">
        <v>63</v>
      </c>
      <c r="D225" s="581"/>
      <c r="E225" s="509"/>
      <c r="F225" s="530">
        <v>1949.8633978543896</v>
      </c>
      <c r="G225" s="582"/>
      <c r="H225" s="509"/>
      <c r="I225" s="530"/>
      <c r="J225" s="529"/>
      <c r="K225" s="509"/>
      <c r="L225" s="532">
        <v>2138.54</v>
      </c>
      <c r="M225" s="529"/>
      <c r="N225" s="555">
        <v>188.67660214561033</v>
      </c>
      <c r="O225" s="529"/>
      <c r="P225" s="509"/>
      <c r="Q225" s="532">
        <v>1512.81</v>
      </c>
      <c r="R225" s="529"/>
      <c r="S225" s="555">
        <v>625.73</v>
      </c>
      <c r="T225" s="509"/>
      <c r="X225" s="509"/>
      <c r="Y225" s="509"/>
      <c r="Z225" s="509"/>
      <c r="AA225" s="509"/>
      <c r="AB225" s="509"/>
      <c r="AC225" s="509"/>
      <c r="AD225" s="509"/>
      <c r="AE225" s="509"/>
      <c r="AF225" s="509"/>
      <c r="AG225" s="509"/>
      <c r="AH225" s="509"/>
      <c r="AI225" s="509"/>
      <c r="AJ225" s="509"/>
      <c r="AK225" s="509"/>
      <c r="AL225" s="509"/>
      <c r="AM225" s="509"/>
      <c r="AN225" s="509"/>
    </row>
    <row r="226" spans="1:40" ht="15.75" hidden="1" customHeight="1">
      <c r="A226" s="494" t="s">
        <v>353</v>
      </c>
      <c r="B226" s="509" t="s">
        <v>83</v>
      </c>
      <c r="C226" s="529" t="s">
        <v>20</v>
      </c>
      <c r="D226" s="581"/>
      <c r="E226" s="509"/>
      <c r="F226" s="530">
        <v>0</v>
      </c>
      <c r="G226" s="582"/>
      <c r="H226" s="509"/>
      <c r="I226" s="530"/>
      <c r="J226" s="529"/>
      <c r="K226" s="509"/>
      <c r="L226" s="532">
        <v>0</v>
      </c>
      <c r="M226" s="529"/>
      <c r="N226" s="555">
        <v>0</v>
      </c>
      <c r="O226" s="529"/>
      <c r="P226" s="509"/>
      <c r="Q226" s="532">
        <v>0</v>
      </c>
      <c r="R226" s="529"/>
      <c r="S226" s="555">
        <v>0</v>
      </c>
      <c r="T226" s="509"/>
      <c r="U226" s="509"/>
      <c r="V226" s="509"/>
      <c r="W226" s="509"/>
      <c r="X226" s="509"/>
      <c r="Y226" s="509"/>
      <c r="Z226" s="509"/>
      <c r="AA226" s="509"/>
      <c r="AB226" s="509"/>
      <c r="AC226" s="509"/>
      <c r="AD226" s="509"/>
      <c r="AE226" s="509"/>
      <c r="AF226" s="509"/>
      <c r="AG226" s="509"/>
      <c r="AH226" s="509"/>
      <c r="AI226" s="509"/>
      <c r="AJ226" s="509"/>
      <c r="AK226" s="509"/>
      <c r="AL226" s="509"/>
      <c r="AM226" s="509"/>
      <c r="AN226" s="509"/>
    </row>
    <row r="227" spans="1:40" ht="15.75" hidden="1" customHeight="1">
      <c r="A227" s="494" t="s">
        <v>353</v>
      </c>
      <c r="B227" s="509" t="s">
        <v>83</v>
      </c>
      <c r="C227" s="529" t="s">
        <v>20</v>
      </c>
      <c r="D227" s="581"/>
      <c r="E227" s="509"/>
      <c r="F227" s="530">
        <v>0</v>
      </c>
      <c r="G227" s="582"/>
      <c r="H227" s="509"/>
      <c r="I227" s="530"/>
      <c r="J227" s="529"/>
      <c r="K227" s="509"/>
      <c r="L227" s="532">
        <v>0</v>
      </c>
      <c r="M227" s="529"/>
      <c r="N227" s="555">
        <v>0</v>
      </c>
      <c r="O227" s="529"/>
      <c r="P227" s="509"/>
      <c r="Q227" s="532">
        <v>0</v>
      </c>
      <c r="R227" s="529"/>
      <c r="S227" s="555">
        <v>0</v>
      </c>
      <c r="T227" s="509"/>
      <c r="U227" s="509"/>
      <c r="V227" s="509"/>
      <c r="W227" s="509"/>
      <c r="X227" s="509"/>
      <c r="Y227" s="509"/>
      <c r="Z227" s="509"/>
      <c r="AA227" s="509"/>
      <c r="AB227" s="509"/>
      <c r="AC227" s="509"/>
      <c r="AD227" s="509"/>
      <c r="AE227" s="509"/>
      <c r="AF227" s="509"/>
      <c r="AG227" s="509"/>
      <c r="AH227" s="509"/>
      <c r="AI227" s="509"/>
      <c r="AJ227" s="509"/>
      <c r="AK227" s="509"/>
      <c r="AL227" s="509"/>
      <c r="AM227" s="509"/>
      <c r="AN227" s="509"/>
    </row>
    <row r="228" spans="1:40" ht="15.75" hidden="1" customHeight="1">
      <c r="A228" s="494" t="s">
        <v>353</v>
      </c>
      <c r="B228" s="509" t="s">
        <v>83</v>
      </c>
      <c r="C228" s="529" t="s">
        <v>20</v>
      </c>
      <c r="D228" s="581"/>
      <c r="E228" s="509"/>
      <c r="F228" s="530">
        <v>0</v>
      </c>
      <c r="G228" s="582"/>
      <c r="H228" s="509"/>
      <c r="I228" s="530"/>
      <c r="J228" s="529"/>
      <c r="K228" s="509"/>
      <c r="L228" s="532">
        <v>0</v>
      </c>
      <c r="M228" s="529"/>
      <c r="N228" s="555">
        <v>0</v>
      </c>
      <c r="O228" s="529"/>
      <c r="P228" s="509"/>
      <c r="Q228" s="532">
        <v>0</v>
      </c>
      <c r="R228" s="529"/>
      <c r="S228" s="555">
        <v>0</v>
      </c>
      <c r="T228" s="509"/>
      <c r="U228" s="509"/>
      <c r="V228" s="509"/>
      <c r="W228" s="509"/>
      <c r="X228" s="509"/>
      <c r="Y228" s="509"/>
      <c r="Z228" s="509"/>
      <c r="AA228" s="509"/>
      <c r="AB228" s="509"/>
      <c r="AC228" s="509"/>
      <c r="AD228" s="509"/>
      <c r="AE228" s="509"/>
      <c r="AF228" s="509"/>
      <c r="AG228" s="509"/>
      <c r="AH228" s="509"/>
      <c r="AI228" s="509"/>
      <c r="AJ228" s="509"/>
      <c r="AK228" s="509"/>
      <c r="AL228" s="509"/>
      <c r="AM228" s="509"/>
      <c r="AN228" s="509"/>
    </row>
    <row r="229" spans="1:40" ht="15.75" customHeight="1">
      <c r="B229" s="509"/>
      <c r="C229" s="588" t="s">
        <v>64</v>
      </c>
      <c r="D229" s="589" t="s">
        <v>97</v>
      </c>
      <c r="E229" s="590">
        <v>0.17246110950128263</v>
      </c>
      <c r="F229" s="591">
        <v>52208.889390658253</v>
      </c>
      <c r="G229" s="592"/>
      <c r="H229" s="590"/>
      <c r="I229" s="591"/>
      <c r="J229" s="592" t="s">
        <v>97</v>
      </c>
      <c r="K229" s="590">
        <v>0.2066472308984777</v>
      </c>
      <c r="L229" s="591">
        <v>53805.189999999995</v>
      </c>
      <c r="M229" s="595"/>
      <c r="N229" s="591">
        <v>1596.3006093417425</v>
      </c>
      <c r="O229" s="592" t="s">
        <v>97</v>
      </c>
      <c r="P229" s="590">
        <v>0.28284618347632684</v>
      </c>
      <c r="Q229" s="591">
        <v>56607.09</v>
      </c>
      <c r="R229" s="595"/>
      <c r="S229" s="591">
        <v>-2801.9000000000015</v>
      </c>
      <c r="T229" s="509"/>
      <c r="U229" s="509"/>
      <c r="V229" s="509"/>
      <c r="W229" s="509"/>
      <c r="X229" s="509"/>
      <c r="Y229" s="509"/>
      <c r="Z229" s="509"/>
      <c r="AA229" s="509"/>
      <c r="AB229" s="509"/>
      <c r="AC229" s="509"/>
      <c r="AD229" s="509"/>
      <c r="AE229" s="509"/>
      <c r="AF229" s="509"/>
      <c r="AG229" s="509"/>
      <c r="AH229" s="509"/>
      <c r="AI229" s="509"/>
      <c r="AJ229" s="509"/>
      <c r="AK229" s="509"/>
      <c r="AL229" s="509"/>
      <c r="AM229" s="509"/>
      <c r="AN229" s="509"/>
    </row>
    <row r="230" spans="1:40" ht="15.75" customHeight="1">
      <c r="B230" s="509"/>
      <c r="C230" s="522"/>
      <c r="D230" s="583"/>
      <c r="E230" s="603"/>
      <c r="F230" s="555"/>
      <c r="G230" s="584"/>
      <c r="H230" s="603"/>
      <c r="I230" s="555"/>
      <c r="J230" s="522"/>
      <c r="K230" s="603"/>
      <c r="L230" s="579"/>
      <c r="M230" s="522"/>
      <c r="N230" s="579"/>
      <c r="O230" s="522"/>
      <c r="P230" s="603"/>
      <c r="Q230" s="579"/>
      <c r="R230" s="522"/>
      <c r="S230" s="579"/>
      <c r="T230" s="509"/>
      <c r="U230" s="509"/>
      <c r="V230" s="509"/>
      <c r="W230" s="509"/>
      <c r="X230" s="509"/>
      <c r="Y230" s="509"/>
      <c r="Z230" s="509"/>
      <c r="AA230" s="509"/>
      <c r="AB230" s="509"/>
      <c r="AC230" s="509"/>
      <c r="AD230" s="509"/>
      <c r="AE230" s="509"/>
      <c r="AF230" s="509"/>
      <c r="AG230" s="509"/>
      <c r="AH230" s="509"/>
      <c r="AI230" s="509"/>
      <c r="AJ230" s="509"/>
      <c r="AK230" s="509"/>
      <c r="AL230" s="509"/>
      <c r="AM230" s="509"/>
      <c r="AN230" s="509"/>
    </row>
    <row r="231" spans="1:40" ht="15.75" customHeight="1">
      <c r="B231" s="509"/>
      <c r="C231" s="588" t="s">
        <v>65</v>
      </c>
      <c r="D231" s="589" t="s">
        <v>39</v>
      </c>
      <c r="E231" s="590">
        <v>0.65270614840032459</v>
      </c>
      <c r="F231" s="591">
        <v>197592.73963259341</v>
      </c>
      <c r="G231" s="592"/>
      <c r="H231" s="590"/>
      <c r="I231" s="591"/>
      <c r="J231" s="592" t="s">
        <v>39</v>
      </c>
      <c r="K231" s="590">
        <v>0.74589186141161468</v>
      </c>
      <c r="L231" s="591">
        <v>194209.49</v>
      </c>
      <c r="M231" s="595"/>
      <c r="N231" s="605">
        <v>-3383.2496325934189</v>
      </c>
      <c r="O231" s="592" t="s">
        <v>39</v>
      </c>
      <c r="P231" s="590">
        <v>0.79399195028646585</v>
      </c>
      <c r="Q231" s="591">
        <v>158904.65</v>
      </c>
      <c r="R231" s="595"/>
      <c r="S231" s="605">
        <v>35304.839999999997</v>
      </c>
      <c r="T231" s="509"/>
      <c r="U231" s="509"/>
      <c r="V231" s="509"/>
      <c r="W231" s="509"/>
      <c r="X231" s="509"/>
      <c r="Y231" s="509"/>
      <c r="Z231" s="509"/>
      <c r="AA231" s="509"/>
      <c r="AB231" s="509"/>
      <c r="AC231" s="509"/>
      <c r="AD231" s="509"/>
      <c r="AE231" s="509"/>
      <c r="AF231" s="509"/>
      <c r="AG231" s="509"/>
      <c r="AH231" s="509"/>
      <c r="AI231" s="509"/>
      <c r="AJ231" s="509"/>
      <c r="AK231" s="509"/>
      <c r="AL231" s="509"/>
      <c r="AM231" s="509"/>
      <c r="AN231" s="509"/>
    </row>
    <row r="232" spans="1:40" ht="15.75" customHeight="1">
      <c r="B232" s="509"/>
      <c r="C232" s="529"/>
      <c r="D232" s="581"/>
      <c r="E232" s="509"/>
      <c r="F232" s="555"/>
      <c r="G232" s="582"/>
      <c r="H232" s="509"/>
      <c r="I232" s="555"/>
      <c r="J232" s="529"/>
      <c r="K232" s="509"/>
      <c r="L232" s="555"/>
      <c r="M232" s="529"/>
      <c r="N232" s="555">
        <v>0</v>
      </c>
      <c r="O232" s="529"/>
      <c r="P232" s="509"/>
      <c r="Q232" s="555"/>
      <c r="R232" s="529"/>
      <c r="S232" s="555"/>
      <c r="T232" s="509"/>
      <c r="U232" s="509"/>
      <c r="V232" s="509"/>
      <c r="W232" s="509"/>
      <c r="X232" s="509"/>
      <c r="Y232" s="509"/>
      <c r="Z232" s="509"/>
      <c r="AA232" s="509"/>
      <c r="AB232" s="509"/>
      <c r="AC232" s="509"/>
      <c r="AD232" s="509"/>
      <c r="AE232" s="509"/>
      <c r="AF232" s="509"/>
      <c r="AG232" s="509"/>
      <c r="AH232" s="509"/>
      <c r="AI232" s="509"/>
      <c r="AJ232" s="509"/>
      <c r="AK232" s="509"/>
      <c r="AL232" s="509"/>
      <c r="AM232" s="509"/>
      <c r="AN232" s="509"/>
    </row>
    <row r="233" spans="1:40" ht="15.75" customHeight="1" thickBot="1">
      <c r="B233" s="509"/>
      <c r="C233" s="621" t="s">
        <v>72</v>
      </c>
      <c r="D233" s="651"/>
      <c r="E233" s="622"/>
      <c r="F233" s="624">
        <v>105135.73951052589</v>
      </c>
      <c r="G233" s="652"/>
      <c r="H233" s="622"/>
      <c r="I233" s="624"/>
      <c r="J233" s="621"/>
      <c r="K233" s="623"/>
      <c r="L233" s="624">
        <v>66162.69</v>
      </c>
      <c r="M233" s="621"/>
      <c r="N233" s="624">
        <v>-38973.049510525889</v>
      </c>
      <c r="O233" s="621"/>
      <c r="P233" s="626">
        <v>0.14689038485155559</v>
      </c>
      <c r="Q233" s="624">
        <v>41229.179999999993</v>
      </c>
      <c r="R233" s="621"/>
      <c r="S233" s="624">
        <v>24933.510000000009</v>
      </c>
      <c r="T233" s="509"/>
      <c r="U233" s="509"/>
      <c r="V233" s="509"/>
      <c r="W233" s="509"/>
      <c r="X233" s="509"/>
      <c r="Y233" s="509"/>
      <c r="Z233" s="509"/>
      <c r="AA233" s="509"/>
      <c r="AB233" s="509"/>
      <c r="AC233" s="509"/>
      <c r="AD233" s="509"/>
      <c r="AE233" s="509"/>
      <c r="AF233" s="509"/>
      <c r="AG233" s="509"/>
      <c r="AH233" s="509"/>
      <c r="AI233" s="509"/>
      <c r="AJ233" s="509"/>
      <c r="AK233" s="509"/>
      <c r="AL233" s="509"/>
      <c r="AM233" s="509"/>
      <c r="AN233" s="509"/>
    </row>
    <row r="234" spans="1:40" ht="15.75" customHeight="1" thickTop="1"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70"/>
      <c r="M234" s="570"/>
      <c r="N234" s="509"/>
      <c r="O234" s="570"/>
      <c r="P234" s="509"/>
      <c r="Q234" s="570"/>
      <c r="R234" s="509"/>
      <c r="S234" s="509"/>
      <c r="T234" s="509"/>
      <c r="U234" s="509"/>
      <c r="V234" s="509"/>
      <c r="W234" s="509"/>
      <c r="X234" s="509"/>
      <c r="Y234" s="509"/>
      <c r="Z234" s="509"/>
      <c r="AA234" s="509"/>
      <c r="AB234" s="509"/>
      <c r="AC234" s="509"/>
      <c r="AD234" s="509"/>
      <c r="AE234" s="509"/>
      <c r="AF234" s="509"/>
      <c r="AG234" s="509"/>
      <c r="AH234" s="509"/>
      <c r="AI234" s="509"/>
      <c r="AJ234" s="509"/>
      <c r="AK234" s="509"/>
      <c r="AL234" s="509"/>
      <c r="AM234" s="509"/>
      <c r="AN234" s="509"/>
    </row>
    <row r="235" spans="1:40" ht="15.75" customHeight="1">
      <c r="B235" s="509"/>
      <c r="C235" s="506"/>
      <c r="D235" s="506"/>
      <c r="E235" s="506"/>
      <c r="F235" s="506"/>
      <c r="G235" s="506"/>
      <c r="H235" s="506"/>
      <c r="I235" s="506"/>
      <c r="J235" s="506"/>
      <c r="K235" s="506"/>
      <c r="L235" s="653"/>
      <c r="M235" s="653"/>
      <c r="N235" s="506"/>
      <c r="O235" s="653"/>
      <c r="P235" s="506"/>
      <c r="Q235" s="653"/>
      <c r="R235" s="506"/>
      <c r="S235" s="506"/>
      <c r="T235" s="506"/>
      <c r="U235" s="506"/>
      <c r="V235" s="509"/>
      <c r="W235" s="509"/>
      <c r="X235" s="509"/>
      <c r="Y235" s="509"/>
      <c r="Z235" s="509"/>
      <c r="AA235" s="509"/>
      <c r="AB235" s="509"/>
      <c r="AC235" s="509"/>
      <c r="AD235" s="509"/>
      <c r="AE235" s="509"/>
      <c r="AF235" s="509"/>
      <c r="AG235" s="509"/>
      <c r="AH235" s="509"/>
      <c r="AI235" s="509"/>
      <c r="AJ235" s="509"/>
      <c r="AK235" s="509"/>
      <c r="AL235" s="509"/>
      <c r="AM235" s="509"/>
      <c r="AN235" s="509"/>
    </row>
    <row r="236" spans="1:40" ht="33" customHeight="1">
      <c r="B236" s="509"/>
      <c r="C236" s="631" t="s">
        <v>477</v>
      </c>
      <c r="D236" s="497"/>
      <c r="E236" s="497"/>
      <c r="F236" s="497"/>
      <c r="G236" s="497"/>
      <c r="H236" s="495"/>
      <c r="I236" s="495"/>
      <c r="J236" s="495"/>
      <c r="K236" s="499" t="s">
        <v>99</v>
      </c>
      <c r="L236" s="497"/>
      <c r="M236" s="497"/>
      <c r="N236" s="495"/>
      <c r="O236" s="495"/>
      <c r="P236" s="497"/>
      <c r="Q236" s="495"/>
      <c r="R236" s="497"/>
      <c r="S236" s="632" t="s">
        <v>481</v>
      </c>
      <c r="T236" s="497"/>
      <c r="U236" s="495"/>
      <c r="V236" s="506"/>
      <c r="W236" s="506"/>
      <c r="X236" s="506"/>
      <c r="Y236" s="506"/>
      <c r="Z236" s="506"/>
      <c r="AA236" s="506"/>
      <c r="AB236" s="506"/>
      <c r="AC236" s="506"/>
      <c r="AD236" s="506"/>
      <c r="AE236" s="506"/>
      <c r="AF236" s="506"/>
      <c r="AG236" s="506"/>
      <c r="AH236" s="506"/>
      <c r="AI236" s="506"/>
      <c r="AJ236" s="506"/>
      <c r="AK236" s="506"/>
      <c r="AL236" s="506"/>
      <c r="AM236" s="506"/>
      <c r="AN236" s="506"/>
    </row>
    <row r="237" spans="1:40" ht="24" customHeight="1" thickBot="1">
      <c r="B237" s="509"/>
      <c r="C237" s="504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</row>
    <row r="238" spans="1:40" ht="15.75" customHeight="1" thickTop="1">
      <c r="B238" s="509"/>
      <c r="C238" s="510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221</v>
      </c>
      <c r="N238" s="513"/>
      <c r="O238" s="511" t="s">
        <v>8</v>
      </c>
      <c r="P238" s="512"/>
      <c r="Q238" s="513"/>
      <c r="R238" s="514" t="s">
        <v>222</v>
      </c>
      <c r="S238" s="513"/>
      <c r="T238" s="647"/>
      <c r="U238" s="509"/>
      <c r="V238" s="506"/>
      <c r="W238" s="506"/>
      <c r="X238" s="506"/>
      <c r="Y238" s="506"/>
      <c r="Z238" s="506"/>
      <c r="AA238" s="506"/>
      <c r="AB238" s="506"/>
      <c r="AC238" s="506"/>
      <c r="AD238" s="506"/>
      <c r="AE238" s="506"/>
      <c r="AF238" s="506"/>
      <c r="AG238" s="506"/>
      <c r="AH238" s="506"/>
      <c r="AI238" s="506"/>
      <c r="AJ238" s="506"/>
      <c r="AK238" s="506"/>
      <c r="AL238" s="506"/>
      <c r="AM238" s="506"/>
      <c r="AN238" s="506"/>
    </row>
    <row r="239" spans="1:40" ht="15.75" customHeight="1">
      <c r="A239" s="494" t="s">
        <v>99</v>
      </c>
      <c r="B239" s="509" t="s">
        <v>99</v>
      </c>
      <c r="C239" s="529"/>
      <c r="D239" s="572" t="s">
        <v>40</v>
      </c>
      <c r="E239" s="572" t="s">
        <v>84</v>
      </c>
      <c r="F239" s="654" t="s">
        <v>12</v>
      </c>
      <c r="G239" s="655"/>
      <c r="H239" s="572"/>
      <c r="I239" s="654"/>
      <c r="J239" s="655" t="s">
        <v>40</v>
      </c>
      <c r="K239" s="572" t="s">
        <v>84</v>
      </c>
      <c r="L239" s="654" t="s">
        <v>12</v>
      </c>
      <c r="M239" s="655" t="s">
        <v>40</v>
      </c>
      <c r="N239" s="654" t="s">
        <v>336</v>
      </c>
      <c r="O239" s="572" t="s">
        <v>40</v>
      </c>
      <c r="P239" s="572" t="s">
        <v>84</v>
      </c>
      <c r="Q239" s="654" t="s">
        <v>12</v>
      </c>
      <c r="R239" s="655" t="s">
        <v>85</v>
      </c>
      <c r="S239" s="654" t="s">
        <v>12</v>
      </c>
      <c r="T239" s="572"/>
      <c r="U239" s="509"/>
      <c r="V239" s="509"/>
      <c r="W239" s="509"/>
      <c r="X239" s="509"/>
      <c r="Y239" s="509"/>
      <c r="Z239" s="509"/>
      <c r="AA239" s="509"/>
      <c r="AB239" s="509"/>
      <c r="AC239" s="509"/>
      <c r="AD239" s="509"/>
      <c r="AE239" s="509"/>
      <c r="AF239" s="509"/>
      <c r="AG239" s="509"/>
      <c r="AH239" s="509"/>
      <c r="AI239" s="509"/>
      <c r="AJ239" s="509"/>
      <c r="AK239" s="509"/>
      <c r="AL239" s="509"/>
      <c r="AM239" s="509"/>
      <c r="AN239" s="509"/>
    </row>
    <row r="240" spans="1:40" ht="15.75" customHeight="1">
      <c r="A240" s="494" t="s">
        <v>99</v>
      </c>
      <c r="B240" s="509" t="s">
        <v>99</v>
      </c>
      <c r="C240" s="529"/>
      <c r="D240" s="572"/>
      <c r="E240" s="572"/>
      <c r="F240" s="654"/>
      <c r="G240" s="655"/>
      <c r="H240" s="572"/>
      <c r="I240" s="654"/>
      <c r="J240" s="655"/>
      <c r="K240" s="530"/>
      <c r="L240" s="532"/>
      <c r="M240" s="655"/>
      <c r="N240" s="654"/>
      <c r="O240" s="572"/>
      <c r="P240" s="572"/>
      <c r="Q240" s="654"/>
      <c r="R240" s="655"/>
      <c r="S240" s="654"/>
      <c r="T240" s="572"/>
      <c r="U240" s="509"/>
      <c r="V240" s="509"/>
      <c r="W240" s="509"/>
      <c r="X240" s="509"/>
      <c r="Y240" s="509"/>
      <c r="Z240" s="509"/>
      <c r="AA240" s="509"/>
      <c r="AB240" s="509"/>
      <c r="AC240" s="509"/>
      <c r="AD240" s="509"/>
      <c r="AE240" s="509"/>
      <c r="AF240" s="509"/>
      <c r="AG240" s="509"/>
      <c r="AH240" s="509"/>
      <c r="AI240" s="509"/>
      <c r="AJ240" s="509"/>
      <c r="AK240" s="509"/>
      <c r="AL240" s="509"/>
      <c r="AM240" s="509"/>
      <c r="AN240" s="509"/>
    </row>
    <row r="241" spans="1:40" ht="15.75" customHeight="1">
      <c r="A241" s="494" t="s">
        <v>374</v>
      </c>
      <c r="B241" s="509" t="s">
        <v>99</v>
      </c>
      <c r="C241" s="529" t="s">
        <v>100</v>
      </c>
      <c r="D241" s="696">
        <v>0</v>
      </c>
      <c r="E241" s="570">
        <v>111937.99023890575</v>
      </c>
      <c r="F241" s="570">
        <v>16790.698535835862</v>
      </c>
      <c r="G241" s="697"/>
      <c r="H241" s="570"/>
      <c r="I241" s="570"/>
      <c r="J241" s="556">
        <v>22</v>
      </c>
      <c r="K241" s="530">
        <v>71665.97</v>
      </c>
      <c r="L241" s="532">
        <v>17236.259999999995</v>
      </c>
      <c r="M241" s="574">
        <v>-0.35977079946633345</v>
      </c>
      <c r="N241" s="555">
        <v>445.56146416413321</v>
      </c>
      <c r="O241" s="556">
        <v>21</v>
      </c>
      <c r="P241" s="530">
        <v>20068.84</v>
      </c>
      <c r="Q241" s="532">
        <v>6932.34</v>
      </c>
      <c r="R241" s="574">
        <v>1.0476190476190477</v>
      </c>
      <c r="S241" s="555">
        <v>10303.919999999995</v>
      </c>
      <c r="T241" s="572"/>
      <c r="U241" s="509"/>
      <c r="V241" s="509"/>
      <c r="W241" s="509"/>
      <c r="X241" s="509"/>
      <c r="Y241" s="509"/>
      <c r="Z241" s="509"/>
      <c r="AA241" s="509"/>
      <c r="AB241" s="509"/>
      <c r="AC241" s="509"/>
      <c r="AD241" s="509"/>
      <c r="AE241" s="509"/>
      <c r="AF241" s="509"/>
      <c r="AG241" s="509"/>
      <c r="AH241" s="509"/>
      <c r="AI241" s="509"/>
      <c r="AJ241" s="509"/>
      <c r="AK241" s="509"/>
      <c r="AL241" s="509"/>
      <c r="AM241" s="509"/>
      <c r="AN241" s="509"/>
    </row>
    <row r="242" spans="1:40" ht="15.75" customHeight="1">
      <c r="A242" s="494" t="s">
        <v>375</v>
      </c>
      <c r="B242" s="509" t="s">
        <v>99</v>
      </c>
      <c r="C242" s="529" t="s">
        <v>87</v>
      </c>
      <c r="D242" s="572"/>
      <c r="E242" s="640"/>
      <c r="F242" s="656">
        <v>0.15</v>
      </c>
      <c r="G242" s="529"/>
      <c r="H242" s="640"/>
      <c r="I242" s="656"/>
      <c r="J242" s="556"/>
      <c r="K242" s="509"/>
      <c r="L242" s="656">
        <v>0.24050829145269359</v>
      </c>
      <c r="M242" s="574"/>
      <c r="N242" s="555">
        <v>-1238.4592213294061</v>
      </c>
      <c r="O242" s="556"/>
      <c r="P242" s="509"/>
      <c r="Q242" s="656">
        <v>0.34542803669768657</v>
      </c>
      <c r="R242" s="556"/>
      <c r="S242" s="555">
        <v>9835.559999999994</v>
      </c>
      <c r="T242" s="572"/>
      <c r="U242" s="509"/>
      <c r="V242" s="509"/>
      <c r="W242" s="509"/>
      <c r="X242" s="509"/>
      <c r="Y242" s="509"/>
      <c r="Z242" s="509"/>
      <c r="AA242" s="509"/>
      <c r="AB242" s="509"/>
      <c r="AC242" s="509"/>
      <c r="AD242" s="509"/>
      <c r="AE242" s="509"/>
      <c r="AF242" s="509"/>
      <c r="AG242" s="509"/>
      <c r="AH242" s="509"/>
      <c r="AI242" s="509"/>
      <c r="AJ242" s="509"/>
      <c r="AK242" s="509"/>
      <c r="AL242" s="509"/>
      <c r="AM242" s="509"/>
      <c r="AN242" s="509"/>
    </row>
    <row r="243" spans="1:40" ht="15.75" customHeight="1">
      <c r="A243" s="494" t="s">
        <v>99</v>
      </c>
      <c r="B243" s="509" t="s">
        <v>99</v>
      </c>
      <c r="C243" s="529"/>
      <c r="D243" s="572"/>
      <c r="E243" s="698"/>
      <c r="F243" s="634"/>
      <c r="G243" s="655"/>
      <c r="H243" s="698"/>
      <c r="I243" s="634"/>
      <c r="J243" s="655"/>
      <c r="K243" s="572"/>
      <c r="L243" s="654"/>
      <c r="M243" s="655"/>
      <c r="N243" s="654"/>
      <c r="O243" s="655"/>
      <c r="P243" s="572"/>
      <c r="Q243" s="654"/>
      <c r="R243" s="633"/>
      <c r="S243" s="654"/>
      <c r="T243" s="572"/>
      <c r="U243" s="509"/>
      <c r="V243" s="509"/>
      <c r="W243" s="509"/>
      <c r="X243" s="509"/>
      <c r="Y243" s="509"/>
      <c r="Z243" s="509"/>
      <c r="AA243" s="509"/>
      <c r="AB243" s="509"/>
      <c r="AC243" s="509"/>
      <c r="AD243" s="509"/>
      <c r="AE243" s="509"/>
      <c r="AF243" s="509"/>
      <c r="AG243" s="509"/>
      <c r="AH243" s="509"/>
      <c r="AI243" s="509"/>
      <c r="AJ243" s="509"/>
      <c r="AK243" s="509"/>
      <c r="AL243" s="509"/>
      <c r="AM243" s="509"/>
      <c r="AN243" s="509"/>
    </row>
    <row r="244" spans="1:40" ht="15.75" customHeight="1">
      <c r="A244" s="494" t="s">
        <v>376</v>
      </c>
      <c r="B244" s="509" t="s">
        <v>99</v>
      </c>
      <c r="C244" s="517" t="s">
        <v>101</v>
      </c>
      <c r="D244" s="660">
        <v>0</v>
      </c>
      <c r="E244" s="570">
        <v>0</v>
      </c>
      <c r="F244" s="570">
        <v>0</v>
      </c>
      <c r="G244" s="699"/>
      <c r="H244" s="570"/>
      <c r="I244" s="570"/>
      <c r="J244" s="661">
        <v>0</v>
      </c>
      <c r="K244" s="550">
        <v>0</v>
      </c>
      <c r="L244" s="551">
        <v>0</v>
      </c>
      <c r="M244" s="665">
        <v>0</v>
      </c>
      <c r="N244" s="602">
        <v>0</v>
      </c>
      <c r="O244" s="661">
        <v>0</v>
      </c>
      <c r="P244" s="550">
        <v>0</v>
      </c>
      <c r="Q244" s="551">
        <v>0</v>
      </c>
      <c r="R244" s="574">
        <v>0</v>
      </c>
      <c r="S244" s="602">
        <v>0</v>
      </c>
      <c r="T244" s="644"/>
      <c r="U244" s="509"/>
      <c r="V244" s="509"/>
      <c r="W244" s="509"/>
      <c r="X244" s="509"/>
      <c r="Y244" s="509"/>
      <c r="Z244" s="509"/>
      <c r="AA244" s="509"/>
      <c r="AB244" s="509"/>
      <c r="AC244" s="509"/>
      <c r="AD244" s="509"/>
      <c r="AE244" s="509"/>
      <c r="AF244" s="509"/>
      <c r="AG244" s="509"/>
      <c r="AH244" s="509"/>
      <c r="AI244" s="509"/>
      <c r="AJ244" s="509"/>
      <c r="AK244" s="509"/>
      <c r="AL244" s="509"/>
      <c r="AM244" s="509"/>
      <c r="AN244" s="509"/>
    </row>
    <row r="245" spans="1:40" ht="15.75" customHeight="1">
      <c r="A245" s="494" t="s">
        <v>375</v>
      </c>
      <c r="B245" s="509" t="s">
        <v>99</v>
      </c>
      <c r="C245" s="529" t="s">
        <v>87</v>
      </c>
      <c r="D245" s="509"/>
      <c r="E245" s="640"/>
      <c r="F245" s="656" t="e">
        <v>#DIV/0!</v>
      </c>
      <c r="G245" s="529"/>
      <c r="H245" s="640"/>
      <c r="I245" s="656"/>
      <c r="J245" s="556"/>
      <c r="K245" s="509"/>
      <c r="L245" s="656">
        <v>0</v>
      </c>
      <c r="M245" s="574"/>
      <c r="N245" s="555">
        <v>0</v>
      </c>
      <c r="O245" s="556"/>
      <c r="P245" s="509"/>
      <c r="Q245" s="656">
        <v>0</v>
      </c>
      <c r="R245" s="556"/>
      <c r="S245" s="555">
        <v>0</v>
      </c>
      <c r="T245" s="644"/>
      <c r="U245" s="509"/>
      <c r="V245" s="509"/>
      <c r="W245" s="509"/>
      <c r="X245" s="509"/>
      <c r="Y245" s="509"/>
      <c r="Z245" s="509"/>
      <c r="AA245" s="509"/>
      <c r="AB245" s="509"/>
      <c r="AC245" s="509"/>
      <c r="AD245" s="509"/>
      <c r="AE245" s="509"/>
      <c r="AF245" s="509"/>
      <c r="AG245" s="509"/>
      <c r="AH245" s="509"/>
      <c r="AI245" s="509"/>
      <c r="AJ245" s="509"/>
      <c r="AK245" s="509"/>
      <c r="AL245" s="509"/>
      <c r="AM245" s="509"/>
      <c r="AN245" s="509"/>
    </row>
    <row r="246" spans="1:40" ht="15.75" customHeight="1">
      <c r="A246" s="494" t="s">
        <v>99</v>
      </c>
      <c r="B246" s="509" t="s">
        <v>99</v>
      </c>
      <c r="C246" s="522"/>
      <c r="D246" s="603"/>
      <c r="E246" s="700"/>
      <c r="F246" s="658"/>
      <c r="G246" s="522"/>
      <c r="H246" s="700"/>
      <c r="I246" s="658"/>
      <c r="J246" s="659"/>
      <c r="K246" s="701"/>
      <c r="L246" s="658"/>
      <c r="M246" s="578"/>
      <c r="N246" s="579"/>
      <c r="O246" s="659"/>
      <c r="P246" s="701"/>
      <c r="Q246" s="658"/>
      <c r="R246" s="659"/>
      <c r="S246" s="579"/>
      <c r="T246" s="644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509"/>
      <c r="AE246" s="509"/>
      <c r="AF246" s="509"/>
      <c r="AG246" s="509"/>
      <c r="AH246" s="509"/>
      <c r="AI246" s="509"/>
      <c r="AJ246" s="509"/>
      <c r="AK246" s="509"/>
      <c r="AL246" s="509"/>
      <c r="AM246" s="509"/>
      <c r="AN246" s="509"/>
    </row>
    <row r="247" spans="1:40" ht="15.75" customHeight="1">
      <c r="A247" s="494" t="s">
        <v>377</v>
      </c>
      <c r="B247" s="509" t="s">
        <v>99</v>
      </c>
      <c r="C247" s="517" t="s">
        <v>102</v>
      </c>
      <c r="D247" s="660">
        <v>0</v>
      </c>
      <c r="E247" s="570">
        <v>0</v>
      </c>
      <c r="F247" s="570">
        <v>0</v>
      </c>
      <c r="G247" s="661"/>
      <c r="H247" s="570"/>
      <c r="I247" s="570"/>
      <c r="J247" s="661">
        <v>0</v>
      </c>
      <c r="K247" s="530">
        <v>0</v>
      </c>
      <c r="L247" s="532">
        <v>0</v>
      </c>
      <c r="M247" s="574">
        <v>0</v>
      </c>
      <c r="N247" s="602">
        <v>0</v>
      </c>
      <c r="O247" s="661">
        <v>0</v>
      </c>
      <c r="P247" s="530">
        <v>0</v>
      </c>
      <c r="Q247" s="532">
        <v>0</v>
      </c>
      <c r="R247" s="574">
        <v>0</v>
      </c>
      <c r="S247" s="555">
        <v>0</v>
      </c>
      <c r="T247" s="644"/>
      <c r="U247" s="509"/>
      <c r="V247" s="509"/>
      <c r="W247" s="509"/>
      <c r="X247" s="509"/>
      <c r="Y247" s="509"/>
      <c r="Z247" s="509"/>
      <c r="AA247" s="509"/>
      <c r="AB247" s="509"/>
      <c r="AC247" s="509"/>
      <c r="AD247" s="509"/>
      <c r="AE247" s="509"/>
      <c r="AF247" s="509"/>
      <c r="AG247" s="509"/>
      <c r="AH247" s="509"/>
      <c r="AI247" s="509"/>
      <c r="AJ247" s="509"/>
      <c r="AK247" s="509"/>
      <c r="AL247" s="509"/>
      <c r="AM247" s="509"/>
      <c r="AN247" s="509"/>
    </row>
    <row r="248" spans="1:40" ht="15.75" customHeight="1">
      <c r="A248" s="494" t="s">
        <v>375</v>
      </c>
      <c r="B248" s="509" t="s">
        <v>99</v>
      </c>
      <c r="C248" s="529" t="s">
        <v>87</v>
      </c>
      <c r="D248" s="509"/>
      <c r="E248" s="509"/>
      <c r="F248" s="656" t="e">
        <v>#DIV/0!</v>
      </c>
      <c r="G248" s="529"/>
      <c r="H248" s="509"/>
      <c r="I248" s="656"/>
      <c r="J248" s="529"/>
      <c r="K248" s="509"/>
      <c r="L248" s="656">
        <v>0</v>
      </c>
      <c r="M248" s="546"/>
      <c r="N248" s="547">
        <v>0</v>
      </c>
      <c r="O248" s="529"/>
      <c r="P248" s="509"/>
      <c r="Q248" s="656">
        <v>0</v>
      </c>
      <c r="R248" s="546"/>
      <c r="S248" s="547">
        <v>0</v>
      </c>
      <c r="T248" s="644"/>
      <c r="U248" s="509"/>
      <c r="V248" s="509"/>
      <c r="W248" s="509"/>
      <c r="X248" s="509"/>
      <c r="Y248" s="509"/>
      <c r="Z248" s="509"/>
      <c r="AA248" s="509"/>
      <c r="AB248" s="509"/>
      <c r="AC248" s="509"/>
      <c r="AD248" s="509"/>
      <c r="AE248" s="509"/>
      <c r="AF248" s="509"/>
      <c r="AG248" s="509"/>
      <c r="AH248" s="509"/>
      <c r="AI248" s="509"/>
      <c r="AJ248" s="509"/>
      <c r="AK248" s="509"/>
      <c r="AL248" s="509"/>
      <c r="AM248" s="509"/>
      <c r="AN248" s="509"/>
    </row>
    <row r="249" spans="1:40" ht="15.75" customHeight="1" thickBot="1">
      <c r="A249" s="494" t="s">
        <v>99</v>
      </c>
      <c r="B249" s="509" t="s">
        <v>99</v>
      </c>
      <c r="C249" s="529"/>
      <c r="D249" s="509"/>
      <c r="E249" s="509"/>
      <c r="F249" s="656"/>
      <c r="G249" s="529"/>
      <c r="H249" s="509"/>
      <c r="I249" s="656"/>
      <c r="J249" s="529"/>
      <c r="K249" s="509"/>
      <c r="L249" s="656"/>
      <c r="M249" s="546"/>
      <c r="N249" s="547"/>
      <c r="O249" s="529"/>
      <c r="P249" s="509"/>
      <c r="Q249" s="656"/>
      <c r="R249" s="546"/>
      <c r="S249" s="547"/>
      <c r="T249" s="644"/>
      <c r="U249" s="509"/>
      <c r="V249" s="509"/>
      <c r="W249" s="509"/>
      <c r="X249" s="509"/>
      <c r="Y249" s="509"/>
      <c r="Z249" s="509"/>
      <c r="AA249" s="509"/>
      <c r="AB249" s="509"/>
      <c r="AC249" s="509"/>
      <c r="AD249" s="509"/>
      <c r="AE249" s="509"/>
      <c r="AF249" s="509"/>
      <c r="AG249" s="509"/>
      <c r="AH249" s="509"/>
      <c r="AI249" s="509"/>
      <c r="AJ249" s="509"/>
      <c r="AK249" s="509"/>
      <c r="AL249" s="509"/>
      <c r="AM249" s="509"/>
      <c r="AN249" s="509"/>
    </row>
    <row r="250" spans="1:40" ht="15.75" customHeight="1" thickTop="1">
      <c r="A250" s="494" t="s">
        <v>378</v>
      </c>
      <c r="B250" s="509" t="s">
        <v>99</v>
      </c>
      <c r="C250" s="557" t="s">
        <v>96</v>
      </c>
      <c r="D250" s="558"/>
      <c r="E250" s="558">
        <v>111937.99023890575</v>
      </c>
      <c r="F250" s="560">
        <v>16790.698535835862</v>
      </c>
      <c r="G250" s="561"/>
      <c r="H250" s="558"/>
      <c r="I250" s="560"/>
      <c r="J250" s="561"/>
      <c r="K250" s="558">
        <v>71665.97</v>
      </c>
      <c r="L250" s="560">
        <v>17236.259999999995</v>
      </c>
      <c r="M250" s="693">
        <v>9.0508291452693596E-2</v>
      </c>
      <c r="N250" s="560">
        <v>445.56146416413321</v>
      </c>
      <c r="O250" s="561"/>
      <c r="P250" s="558">
        <v>20068.84</v>
      </c>
      <c r="Q250" s="560">
        <v>6932.34</v>
      </c>
      <c r="R250" s="702">
        <v>-0.10491974524499298</v>
      </c>
      <c r="S250" s="560">
        <v>10303.919999999995</v>
      </c>
      <c r="T250" s="644"/>
      <c r="U250" s="509"/>
      <c r="V250" s="509"/>
      <c r="W250" s="509"/>
      <c r="X250" s="509"/>
      <c r="Y250" s="509"/>
      <c r="Z250" s="509"/>
      <c r="AA250" s="509"/>
      <c r="AB250" s="509"/>
      <c r="AC250" s="509"/>
      <c r="AD250" s="509"/>
      <c r="AE250" s="509"/>
      <c r="AF250" s="509"/>
      <c r="AG250" s="509"/>
      <c r="AH250" s="509"/>
      <c r="AI250" s="509"/>
      <c r="AJ250" s="509"/>
      <c r="AK250" s="509"/>
      <c r="AL250" s="509"/>
      <c r="AM250" s="509"/>
      <c r="AN250" s="509"/>
    </row>
    <row r="251" spans="1:40" ht="23.25" customHeight="1" thickBot="1">
      <c r="A251" s="494" t="s">
        <v>99</v>
      </c>
      <c r="B251" s="509" t="s">
        <v>99</v>
      </c>
      <c r="C251" s="562"/>
      <c r="D251" s="563"/>
      <c r="E251" s="563"/>
      <c r="F251" s="567">
        <v>0.15</v>
      </c>
      <c r="G251" s="562"/>
      <c r="H251" s="563"/>
      <c r="I251" s="567"/>
      <c r="J251" s="562"/>
      <c r="K251" s="563"/>
      <c r="L251" s="567">
        <v>0.24050829145269359</v>
      </c>
      <c r="M251" s="566"/>
      <c r="N251" s="567">
        <v>2.6536207723173954E-2</v>
      </c>
      <c r="O251" s="562"/>
      <c r="P251" s="563"/>
      <c r="Q251" s="567">
        <v>0.34542803669768657</v>
      </c>
      <c r="R251" s="566"/>
      <c r="S251" s="567">
        <v>1.4863552566665794</v>
      </c>
      <c r="T251" s="644"/>
      <c r="U251" s="509"/>
      <c r="V251" s="509"/>
      <c r="W251" s="509"/>
      <c r="X251" s="509"/>
      <c r="Y251" s="509"/>
      <c r="Z251" s="509"/>
      <c r="AA251" s="509"/>
      <c r="AB251" s="509"/>
      <c r="AC251" s="509"/>
      <c r="AD251" s="509"/>
      <c r="AE251" s="509"/>
      <c r="AF251" s="509"/>
      <c r="AG251" s="509"/>
      <c r="AH251" s="509"/>
      <c r="AI251" s="509"/>
      <c r="AJ251" s="509"/>
      <c r="AK251" s="509"/>
      <c r="AL251" s="509"/>
      <c r="AM251" s="509"/>
      <c r="AN251" s="509"/>
    </row>
    <row r="252" spans="1:40" ht="15.75" customHeight="1" thickTop="1">
      <c r="A252" s="494" t="s">
        <v>99</v>
      </c>
      <c r="B252" s="509" t="s">
        <v>99</v>
      </c>
      <c r="C252" s="529"/>
      <c r="D252" s="509"/>
      <c r="E252" s="509"/>
      <c r="F252" s="555"/>
      <c r="G252" s="529"/>
      <c r="H252" s="509"/>
      <c r="I252" s="555"/>
      <c r="J252" s="529"/>
      <c r="K252" s="509"/>
      <c r="L252" s="539"/>
      <c r="M252" s="529"/>
      <c r="N252" s="539"/>
      <c r="O252" s="529"/>
      <c r="P252" s="509"/>
      <c r="Q252" s="539"/>
      <c r="R252" s="529"/>
      <c r="S252" s="539"/>
      <c r="T252" s="509"/>
      <c r="U252" s="509"/>
      <c r="V252" s="509"/>
      <c r="W252" s="509"/>
      <c r="X252" s="509"/>
      <c r="Y252" s="509"/>
      <c r="Z252" s="509"/>
      <c r="AA252" s="509"/>
      <c r="AB252" s="509"/>
      <c r="AC252" s="509"/>
      <c r="AD252" s="509"/>
      <c r="AE252" s="509"/>
      <c r="AF252" s="509"/>
      <c r="AG252" s="509"/>
      <c r="AH252" s="509"/>
      <c r="AI252" s="509"/>
      <c r="AJ252" s="509"/>
      <c r="AK252" s="509"/>
      <c r="AL252" s="509"/>
      <c r="AM252" s="509"/>
      <c r="AN252" s="509"/>
    </row>
    <row r="253" spans="1:40" ht="15.75" customHeight="1">
      <c r="A253" s="494" t="s">
        <v>379</v>
      </c>
      <c r="B253" s="509" t="s">
        <v>99</v>
      </c>
      <c r="C253" s="571" t="s">
        <v>30</v>
      </c>
      <c r="D253" s="509"/>
      <c r="E253" s="509"/>
      <c r="F253" s="555"/>
      <c r="G253" s="529"/>
      <c r="H253" s="509"/>
      <c r="I253" s="555"/>
      <c r="J253" s="529"/>
      <c r="K253" s="509"/>
      <c r="L253" s="539"/>
      <c r="M253" s="529"/>
      <c r="N253" s="539"/>
      <c r="O253" s="529"/>
      <c r="P253" s="509"/>
      <c r="Q253" s="539"/>
      <c r="R253" s="529"/>
      <c r="S253" s="539"/>
      <c r="T253" s="509"/>
      <c r="U253" s="509"/>
      <c r="V253" s="509"/>
      <c r="W253" s="509"/>
      <c r="X253" s="509"/>
      <c r="Y253" s="509"/>
      <c r="Z253" s="509"/>
      <c r="AA253" s="509"/>
      <c r="AB253" s="509"/>
      <c r="AC253" s="509"/>
      <c r="AD253" s="509"/>
      <c r="AE253" s="509"/>
      <c r="AF253" s="509"/>
      <c r="AG253" s="509"/>
      <c r="AH253" s="509"/>
      <c r="AI253" s="509"/>
      <c r="AJ253" s="509"/>
      <c r="AK253" s="509"/>
      <c r="AL253" s="509"/>
      <c r="AM253" s="509"/>
      <c r="AN253" s="509"/>
    </row>
    <row r="254" spans="1:40" ht="15.75" customHeight="1">
      <c r="A254" s="494" t="s">
        <v>380</v>
      </c>
      <c r="B254" s="509" t="s">
        <v>99</v>
      </c>
      <c r="C254" s="596" t="s">
        <v>41</v>
      </c>
      <c r="D254" s="509"/>
      <c r="E254" s="509"/>
      <c r="F254" s="530">
        <v>297.32500000000005</v>
      </c>
      <c r="G254" s="529"/>
      <c r="H254" s="509"/>
      <c r="I254" s="530"/>
      <c r="J254" s="529"/>
      <c r="K254" s="509"/>
      <c r="L254" s="532">
        <v>901.88</v>
      </c>
      <c r="M254" s="529"/>
      <c r="N254" s="555">
        <v>604.55499999999995</v>
      </c>
      <c r="O254" s="529"/>
      <c r="P254" s="509"/>
      <c r="Q254" s="532">
        <v>901.88</v>
      </c>
      <c r="R254" s="529"/>
      <c r="S254" s="532">
        <v>0</v>
      </c>
      <c r="T254" s="509"/>
      <c r="U254" s="509"/>
      <c r="V254" s="509"/>
      <c r="W254" s="509"/>
      <c r="X254" s="509"/>
      <c r="Y254" s="509"/>
      <c r="Z254" s="509"/>
      <c r="AA254" s="509"/>
      <c r="AB254" s="509"/>
      <c r="AC254" s="509"/>
      <c r="AD254" s="509"/>
      <c r="AE254" s="509"/>
      <c r="AF254" s="509"/>
      <c r="AG254" s="509"/>
      <c r="AH254" s="509"/>
      <c r="AI254" s="509"/>
      <c r="AJ254" s="509"/>
      <c r="AK254" s="509"/>
      <c r="AL254" s="509"/>
      <c r="AM254" s="509"/>
      <c r="AN254" s="509"/>
    </row>
    <row r="255" spans="1:40" ht="15.75" customHeight="1">
      <c r="A255" s="494" t="s">
        <v>381</v>
      </c>
      <c r="B255" s="509" t="s">
        <v>99</v>
      </c>
      <c r="C255" s="598" t="s">
        <v>42</v>
      </c>
      <c r="D255" s="581"/>
      <c r="E255" s="509"/>
      <c r="F255" s="524">
        <v>4703.7506153846152</v>
      </c>
      <c r="G255" s="582"/>
      <c r="H255" s="509"/>
      <c r="I255" s="524"/>
      <c r="J255" s="529"/>
      <c r="K255" s="509"/>
      <c r="L255" s="532">
        <v>452.67</v>
      </c>
      <c r="M255" s="529"/>
      <c r="N255" s="555">
        <v>-4251.0806153846152</v>
      </c>
      <c r="O255" s="529"/>
      <c r="P255" s="509"/>
      <c r="Q255" s="532">
        <v>0</v>
      </c>
      <c r="R255" s="529"/>
      <c r="S255" s="555">
        <v>452.67</v>
      </c>
      <c r="T255" s="509"/>
      <c r="U255" s="509"/>
      <c r="V255" s="509"/>
      <c r="W255" s="509"/>
      <c r="X255" s="509"/>
      <c r="Y255" s="509"/>
      <c r="Z255" s="509"/>
      <c r="AA255" s="509"/>
      <c r="AB255" s="509"/>
      <c r="AC255" s="509"/>
      <c r="AD255" s="509"/>
      <c r="AE255" s="509"/>
      <c r="AF255" s="509"/>
      <c r="AG255" s="509"/>
      <c r="AH255" s="509"/>
      <c r="AI255" s="509"/>
      <c r="AJ255" s="509"/>
      <c r="AK255" s="509"/>
      <c r="AL255" s="509"/>
      <c r="AM255" s="509"/>
      <c r="AN255" s="509"/>
    </row>
    <row r="256" spans="1:40" ht="15.75" customHeight="1">
      <c r="A256" s="494" t="s">
        <v>382</v>
      </c>
      <c r="B256" s="509" t="s">
        <v>99</v>
      </c>
      <c r="C256" s="596" t="s">
        <v>43</v>
      </c>
      <c r="D256" s="599"/>
      <c r="E256" s="600"/>
      <c r="F256" s="530">
        <v>17.530769230769231</v>
      </c>
      <c r="G256" s="601"/>
      <c r="H256" s="600"/>
      <c r="I256" s="530"/>
      <c r="J256" s="517"/>
      <c r="K256" s="600"/>
      <c r="L256" s="551">
        <v>0.13</v>
      </c>
      <c r="M256" s="517"/>
      <c r="N256" s="602">
        <v>-17.400769230769232</v>
      </c>
      <c r="O256" s="517"/>
      <c r="P256" s="600"/>
      <c r="Q256" s="551">
        <v>0.08</v>
      </c>
      <c r="R256" s="517"/>
      <c r="S256" s="602">
        <v>0.05</v>
      </c>
      <c r="T256" s="509"/>
      <c r="U256" s="509"/>
      <c r="V256" s="509"/>
      <c r="W256" s="509"/>
      <c r="X256" s="509"/>
      <c r="Y256" s="509"/>
      <c r="Z256" s="509"/>
      <c r="AA256" s="509"/>
      <c r="AB256" s="509"/>
      <c r="AC256" s="509"/>
      <c r="AD256" s="509"/>
      <c r="AE256" s="509"/>
      <c r="AF256" s="509"/>
      <c r="AG256" s="509"/>
      <c r="AH256" s="509"/>
      <c r="AI256" s="509"/>
      <c r="AJ256" s="509"/>
      <c r="AK256" s="509"/>
      <c r="AL256" s="509"/>
      <c r="AM256" s="509"/>
      <c r="AN256" s="509"/>
    </row>
    <row r="257" spans="1:40" ht="15.75" customHeight="1">
      <c r="A257" s="494" t="s">
        <v>383</v>
      </c>
      <c r="B257" s="509" t="s">
        <v>99</v>
      </c>
      <c r="C257" s="596" t="s">
        <v>44</v>
      </c>
      <c r="D257" s="581"/>
      <c r="E257" s="509"/>
      <c r="F257" s="530">
        <v>0</v>
      </c>
      <c r="G257" s="582"/>
      <c r="H257" s="509"/>
      <c r="I257" s="530"/>
      <c r="J257" s="529"/>
      <c r="K257" s="509"/>
      <c r="L257" s="532">
        <v>0</v>
      </c>
      <c r="M257" s="529"/>
      <c r="N257" s="555">
        <v>0</v>
      </c>
      <c r="O257" s="529"/>
      <c r="P257" s="509"/>
      <c r="Q257" s="532">
        <v>1862.6</v>
      </c>
      <c r="R257" s="529"/>
      <c r="S257" s="555">
        <v>-1862.6</v>
      </c>
      <c r="T257" s="509"/>
      <c r="U257" s="509"/>
      <c r="V257" s="509"/>
      <c r="W257" s="509"/>
      <c r="X257" s="509"/>
      <c r="Y257" s="509"/>
      <c r="Z257" s="509"/>
      <c r="AA257" s="509"/>
      <c r="AB257" s="509"/>
      <c r="AC257" s="509"/>
      <c r="AD257" s="509"/>
      <c r="AE257" s="509"/>
      <c r="AF257" s="509"/>
      <c r="AG257" s="509"/>
      <c r="AH257" s="509"/>
      <c r="AI257" s="509"/>
      <c r="AJ257" s="509"/>
      <c r="AK257" s="509"/>
      <c r="AL257" s="509"/>
      <c r="AM257" s="509"/>
      <c r="AN257" s="509"/>
    </row>
    <row r="258" spans="1:40" ht="15.75" hidden="1" customHeight="1">
      <c r="A258" s="494" t="s">
        <v>384</v>
      </c>
      <c r="B258" s="509" t="s">
        <v>99</v>
      </c>
      <c r="C258" s="529" t="s">
        <v>20</v>
      </c>
      <c r="D258" s="581"/>
      <c r="E258" s="509"/>
      <c r="F258" s="530">
        <v>0</v>
      </c>
      <c r="G258" s="582"/>
      <c r="H258" s="509"/>
      <c r="I258" s="530"/>
      <c r="J258" s="529"/>
      <c r="K258" s="509"/>
      <c r="L258" s="532">
        <v>0</v>
      </c>
      <c r="M258" s="529"/>
      <c r="N258" s="555">
        <v>0</v>
      </c>
      <c r="O258" s="529"/>
      <c r="P258" s="509"/>
      <c r="Q258" s="532">
        <v>0</v>
      </c>
      <c r="R258" s="529"/>
      <c r="S258" s="555">
        <v>0</v>
      </c>
      <c r="T258" s="509"/>
      <c r="U258" s="509"/>
      <c r="V258" s="509"/>
      <c r="W258" s="509"/>
      <c r="X258" s="509"/>
      <c r="Y258" s="509"/>
      <c r="Z258" s="509"/>
      <c r="AA258" s="509"/>
      <c r="AB258" s="509"/>
      <c r="AC258" s="509"/>
      <c r="AD258" s="509"/>
      <c r="AE258" s="509"/>
      <c r="AF258" s="509"/>
      <c r="AG258" s="509"/>
      <c r="AH258" s="509"/>
      <c r="AI258" s="509"/>
      <c r="AJ258" s="509"/>
      <c r="AK258" s="509"/>
      <c r="AL258" s="509"/>
      <c r="AM258" s="509"/>
      <c r="AN258" s="509"/>
    </row>
    <row r="259" spans="1:40" ht="15.75" hidden="1" customHeight="1">
      <c r="A259" s="494" t="s">
        <v>384</v>
      </c>
      <c r="B259" s="509" t="s">
        <v>99</v>
      </c>
      <c r="C259" s="529" t="s">
        <v>20</v>
      </c>
      <c r="D259" s="581"/>
      <c r="E259" s="509"/>
      <c r="F259" s="530">
        <v>0</v>
      </c>
      <c r="G259" s="582"/>
      <c r="H259" s="509"/>
      <c r="I259" s="530"/>
      <c r="J259" s="529"/>
      <c r="K259" s="509"/>
      <c r="L259" s="532">
        <v>0</v>
      </c>
      <c r="M259" s="529"/>
      <c r="N259" s="555">
        <v>0</v>
      </c>
      <c r="O259" s="529"/>
      <c r="P259" s="509"/>
      <c r="Q259" s="532">
        <v>0</v>
      </c>
      <c r="R259" s="529"/>
      <c r="S259" s="555">
        <v>0</v>
      </c>
      <c r="T259" s="509"/>
      <c r="U259" s="509"/>
      <c r="V259" s="509"/>
      <c r="W259" s="509"/>
      <c r="X259" s="509"/>
      <c r="Y259" s="509"/>
      <c r="Z259" s="509"/>
      <c r="AA259" s="509"/>
      <c r="AB259" s="509"/>
      <c r="AC259" s="509"/>
      <c r="AD259" s="509"/>
      <c r="AE259" s="509"/>
      <c r="AF259" s="509"/>
      <c r="AG259" s="509"/>
      <c r="AH259" s="509"/>
      <c r="AI259" s="509"/>
      <c r="AJ259" s="509"/>
      <c r="AK259" s="509"/>
      <c r="AL259" s="509"/>
      <c r="AM259" s="509"/>
      <c r="AN259" s="509"/>
    </row>
    <row r="260" spans="1:40" ht="15.75" hidden="1" customHeight="1">
      <c r="A260" s="494" t="s">
        <v>384</v>
      </c>
      <c r="B260" s="509" t="s">
        <v>99</v>
      </c>
      <c r="C260" s="529" t="s">
        <v>20</v>
      </c>
      <c r="D260" s="581"/>
      <c r="E260" s="509"/>
      <c r="F260" s="530">
        <v>0</v>
      </c>
      <c r="G260" s="582"/>
      <c r="H260" s="509"/>
      <c r="I260" s="530"/>
      <c r="J260" s="529"/>
      <c r="K260" s="509"/>
      <c r="L260" s="532">
        <v>0</v>
      </c>
      <c r="M260" s="529"/>
      <c r="N260" s="555">
        <v>0</v>
      </c>
      <c r="O260" s="529"/>
      <c r="P260" s="509"/>
      <c r="Q260" s="532">
        <v>0</v>
      </c>
      <c r="R260" s="529"/>
      <c r="S260" s="555">
        <v>0</v>
      </c>
      <c r="T260" s="509"/>
      <c r="U260" s="509"/>
      <c r="V260" s="509"/>
      <c r="W260" s="509"/>
      <c r="X260" s="509"/>
      <c r="Y260" s="509"/>
      <c r="Z260" s="509"/>
      <c r="AA260" s="509"/>
      <c r="AB260" s="509"/>
      <c r="AC260" s="509"/>
      <c r="AD260" s="509"/>
      <c r="AE260" s="509"/>
      <c r="AF260" s="509"/>
      <c r="AG260" s="509"/>
      <c r="AH260" s="509"/>
      <c r="AI260" s="509"/>
      <c r="AJ260" s="509"/>
      <c r="AK260" s="509"/>
      <c r="AL260" s="509"/>
      <c r="AM260" s="509"/>
      <c r="AN260" s="509"/>
    </row>
    <row r="261" spans="1:40" ht="15.75" customHeight="1">
      <c r="A261" s="494" t="s">
        <v>385</v>
      </c>
      <c r="B261" s="509" t="s">
        <v>99</v>
      </c>
      <c r="C261" s="598" t="s">
        <v>45</v>
      </c>
      <c r="D261" s="581"/>
      <c r="E261" s="509"/>
      <c r="F261" s="524">
        <v>596.62482465384608</v>
      </c>
      <c r="G261" s="582"/>
      <c r="H261" s="509"/>
      <c r="I261" s="524"/>
      <c r="J261" s="529"/>
      <c r="K261" s="509"/>
      <c r="L261" s="532">
        <v>148.47</v>
      </c>
      <c r="M261" s="529"/>
      <c r="N261" s="555">
        <v>-448.15482465384605</v>
      </c>
      <c r="O261" s="529"/>
      <c r="P261" s="509"/>
      <c r="Q261" s="532">
        <v>331.33</v>
      </c>
      <c r="R261" s="529"/>
      <c r="S261" s="555">
        <v>-182.85999999999999</v>
      </c>
      <c r="T261" s="509"/>
      <c r="U261" s="509"/>
      <c r="V261" s="509"/>
      <c r="W261" s="509"/>
      <c r="X261" s="509"/>
      <c r="Y261" s="509"/>
      <c r="Z261" s="509"/>
      <c r="AA261" s="509"/>
      <c r="AB261" s="509"/>
      <c r="AC261" s="509"/>
      <c r="AD261" s="509"/>
      <c r="AE261" s="509"/>
      <c r="AF261" s="509"/>
      <c r="AG261" s="509"/>
      <c r="AH261" s="509"/>
      <c r="AI261" s="509"/>
      <c r="AJ261" s="509"/>
      <c r="AK261" s="509"/>
      <c r="AL261" s="509"/>
      <c r="AM261" s="509"/>
      <c r="AN261" s="509"/>
    </row>
    <row r="262" spans="1:40" ht="15.75" customHeight="1">
      <c r="A262" s="494" t="s">
        <v>386</v>
      </c>
      <c r="B262" s="509" t="s">
        <v>99</v>
      </c>
      <c r="C262" s="596" t="s">
        <v>46</v>
      </c>
      <c r="D262" s="599"/>
      <c r="E262" s="600"/>
      <c r="F262" s="530">
        <v>725.41168107692306</v>
      </c>
      <c r="G262" s="601"/>
      <c r="H262" s="600"/>
      <c r="I262" s="530"/>
      <c r="J262" s="517"/>
      <c r="K262" s="600"/>
      <c r="L262" s="551">
        <v>830.33</v>
      </c>
      <c r="M262" s="517"/>
      <c r="N262" s="602">
        <v>104.91831892307698</v>
      </c>
      <c r="O262" s="517"/>
      <c r="P262" s="600"/>
      <c r="Q262" s="551">
        <v>946.77</v>
      </c>
      <c r="R262" s="517"/>
      <c r="S262" s="602">
        <v>-116.43999999999994</v>
      </c>
      <c r="T262" s="509"/>
      <c r="U262" s="509"/>
      <c r="V262" s="509"/>
      <c r="W262" s="509"/>
      <c r="X262" s="509"/>
      <c r="Y262" s="509"/>
      <c r="Z262" s="509"/>
      <c r="AA262" s="509"/>
      <c r="AB262" s="509"/>
      <c r="AC262" s="509"/>
      <c r="AD262" s="509"/>
      <c r="AE262" s="509"/>
      <c r="AF262" s="509"/>
      <c r="AG262" s="509"/>
      <c r="AH262" s="509"/>
      <c r="AI262" s="509"/>
      <c r="AJ262" s="509"/>
      <c r="AK262" s="509"/>
      <c r="AL262" s="509"/>
      <c r="AM262" s="509"/>
      <c r="AN262" s="509"/>
    </row>
    <row r="263" spans="1:40" ht="15.75" customHeight="1">
      <c r="A263" s="494" t="s">
        <v>387</v>
      </c>
      <c r="B263" s="509" t="s">
        <v>99</v>
      </c>
      <c r="C263" s="596" t="s">
        <v>47</v>
      </c>
      <c r="D263" s="581"/>
      <c r="E263" s="509"/>
      <c r="F263" s="530">
        <v>373.74471394615375</v>
      </c>
      <c r="G263" s="582"/>
      <c r="H263" s="509"/>
      <c r="I263" s="530"/>
      <c r="J263" s="529"/>
      <c r="K263" s="509"/>
      <c r="L263" s="532">
        <v>325.86</v>
      </c>
      <c r="M263" s="529"/>
      <c r="N263" s="555">
        <v>-47.884713946153738</v>
      </c>
      <c r="O263" s="529"/>
      <c r="P263" s="509"/>
      <c r="Q263" s="532">
        <v>34.520000000000003</v>
      </c>
      <c r="R263" s="529"/>
      <c r="S263" s="555">
        <v>291.34000000000003</v>
      </c>
      <c r="T263" s="509"/>
      <c r="U263" s="509"/>
      <c r="V263" s="509"/>
      <c r="W263" s="509"/>
      <c r="X263" s="509"/>
      <c r="Y263" s="509"/>
      <c r="Z263" s="509"/>
      <c r="AA263" s="509"/>
      <c r="AB263" s="509"/>
      <c r="AC263" s="509"/>
      <c r="AD263" s="509"/>
      <c r="AE263" s="509"/>
      <c r="AF263" s="509"/>
      <c r="AG263" s="509"/>
      <c r="AH263" s="509"/>
      <c r="AI263" s="509"/>
      <c r="AJ263" s="509"/>
      <c r="AK263" s="509"/>
      <c r="AL263" s="509"/>
      <c r="AM263" s="509"/>
      <c r="AN263" s="509"/>
    </row>
    <row r="264" spans="1:40" ht="15.75" customHeight="1">
      <c r="A264" s="494" t="s">
        <v>388</v>
      </c>
      <c r="B264" s="509" t="s">
        <v>99</v>
      </c>
      <c r="C264" s="596" t="s">
        <v>48</v>
      </c>
      <c r="D264" s="581"/>
      <c r="E264" s="509"/>
      <c r="F264" s="530">
        <v>162.95479792307691</v>
      </c>
      <c r="G264" s="582"/>
      <c r="H264" s="509"/>
      <c r="I264" s="530"/>
      <c r="J264" s="529"/>
      <c r="K264" s="509"/>
      <c r="L264" s="532">
        <v>127.2</v>
      </c>
      <c r="M264" s="529"/>
      <c r="N264" s="555">
        <v>-35.754797923076907</v>
      </c>
      <c r="O264" s="529"/>
      <c r="P264" s="509"/>
      <c r="Q264" s="532">
        <v>49.08</v>
      </c>
      <c r="R264" s="529"/>
      <c r="S264" s="555">
        <v>78.12</v>
      </c>
      <c r="T264" s="509"/>
      <c r="U264" s="509"/>
      <c r="V264" s="509"/>
      <c r="W264" s="509"/>
      <c r="X264" s="509"/>
      <c r="Y264" s="509"/>
      <c r="Z264" s="509"/>
      <c r="AA264" s="509"/>
      <c r="AB264" s="509"/>
      <c r="AC264" s="509"/>
      <c r="AD264" s="509"/>
      <c r="AE264" s="509"/>
      <c r="AF264" s="509"/>
      <c r="AG264" s="509"/>
      <c r="AH264" s="509"/>
      <c r="AI264" s="509"/>
      <c r="AJ264" s="509"/>
      <c r="AK264" s="509"/>
      <c r="AL264" s="509"/>
      <c r="AM264" s="509"/>
      <c r="AN264" s="509"/>
    </row>
    <row r="265" spans="1:40" ht="15.75" hidden="1" customHeight="1">
      <c r="A265" s="494" t="s">
        <v>384</v>
      </c>
      <c r="B265" s="509" t="s">
        <v>99</v>
      </c>
      <c r="C265" s="529" t="s">
        <v>20</v>
      </c>
      <c r="D265" s="583"/>
      <c r="E265" s="603"/>
      <c r="F265" s="530">
        <v>0</v>
      </c>
      <c r="G265" s="584"/>
      <c r="H265" s="603"/>
      <c r="I265" s="530"/>
      <c r="J265" s="522"/>
      <c r="K265" s="603"/>
      <c r="L265" s="532">
        <v>0</v>
      </c>
      <c r="M265" s="522"/>
      <c r="N265" s="579">
        <v>0</v>
      </c>
      <c r="O265" s="522"/>
      <c r="P265" s="603"/>
      <c r="Q265" s="532">
        <v>0</v>
      </c>
      <c r="R265" s="522"/>
      <c r="S265" s="579">
        <v>0</v>
      </c>
      <c r="T265" s="509"/>
      <c r="U265" s="509"/>
      <c r="V265" s="509"/>
      <c r="W265" s="509"/>
      <c r="X265" s="509"/>
      <c r="Y265" s="509"/>
      <c r="Z265" s="509"/>
      <c r="AA265" s="509"/>
      <c r="AB265" s="509"/>
      <c r="AC265" s="509"/>
      <c r="AD265" s="509"/>
      <c r="AE265" s="509"/>
      <c r="AF265" s="509"/>
      <c r="AG265" s="509"/>
      <c r="AH265" s="509"/>
      <c r="AI265" s="509"/>
      <c r="AJ265" s="509"/>
      <c r="AK265" s="509"/>
      <c r="AL265" s="509"/>
      <c r="AM265" s="509"/>
      <c r="AN265" s="509"/>
    </row>
    <row r="266" spans="1:40" ht="15.75" customHeight="1">
      <c r="A266" s="494" t="s">
        <v>389</v>
      </c>
      <c r="B266" s="509" t="s">
        <v>99</v>
      </c>
      <c r="C266" s="588" t="s">
        <v>49</v>
      </c>
      <c r="D266" s="589" t="s">
        <v>39</v>
      </c>
      <c r="E266" s="590">
        <v>0.40959239352295479</v>
      </c>
      <c r="F266" s="591">
        <v>6877.3424022153831</v>
      </c>
      <c r="G266" s="592"/>
      <c r="H266" s="590"/>
      <c r="I266" s="591"/>
      <c r="J266" s="592" t="s">
        <v>39</v>
      </c>
      <c r="K266" s="590">
        <v>0.16166732226132588</v>
      </c>
      <c r="L266" s="591">
        <v>2786.54</v>
      </c>
      <c r="M266" s="646"/>
      <c r="N266" s="605">
        <v>-4090.8024022153832</v>
      </c>
      <c r="O266" s="592" t="s">
        <v>39</v>
      </c>
      <c r="P266" s="590">
        <v>0</v>
      </c>
      <c r="Q266" s="591">
        <v>4126.26</v>
      </c>
      <c r="R266" s="646"/>
      <c r="S266" s="605">
        <v>-1339.7200000000003</v>
      </c>
      <c r="T266" s="509"/>
      <c r="U266" s="509"/>
      <c r="V266" s="509"/>
      <c r="W266" s="509"/>
      <c r="X266" s="509"/>
      <c r="Y266" s="509"/>
      <c r="Z266" s="509"/>
      <c r="AA266" s="509"/>
      <c r="AB266" s="509"/>
      <c r="AC266" s="509"/>
      <c r="AD266" s="509"/>
      <c r="AE266" s="509"/>
      <c r="AF266" s="509"/>
      <c r="AG266" s="509"/>
      <c r="AH266" s="509"/>
      <c r="AI266" s="509"/>
      <c r="AJ266" s="509"/>
      <c r="AK266" s="509"/>
      <c r="AL266" s="509"/>
      <c r="AM266" s="509"/>
      <c r="AN266" s="509"/>
    </row>
    <row r="267" spans="1:40" ht="15.75" customHeight="1">
      <c r="A267" s="494" t="s">
        <v>390</v>
      </c>
      <c r="B267" s="509" t="s">
        <v>99</v>
      </c>
      <c r="C267" s="703" t="s">
        <v>50</v>
      </c>
      <c r="D267" s="581"/>
      <c r="E267" s="509"/>
      <c r="F267" s="530">
        <v>0</v>
      </c>
      <c r="G267" s="582"/>
      <c r="H267" s="509"/>
      <c r="I267" s="530"/>
      <c r="J267" s="529"/>
      <c r="K267" s="509"/>
      <c r="L267" s="532">
        <v>57.6</v>
      </c>
      <c r="M267" s="529"/>
      <c r="N267" s="555">
        <v>57.6</v>
      </c>
      <c r="O267" s="529"/>
      <c r="P267" s="509"/>
      <c r="Q267" s="555">
        <v>24.52</v>
      </c>
      <c r="R267" s="529"/>
      <c r="S267" s="555">
        <v>33.08</v>
      </c>
      <c r="T267" s="509"/>
      <c r="U267" s="509"/>
      <c r="V267" s="509"/>
      <c r="W267" s="509"/>
      <c r="X267" s="509"/>
      <c r="Y267" s="509"/>
      <c r="Z267" s="509"/>
      <c r="AA267" s="509"/>
      <c r="AB267" s="509"/>
      <c r="AC267" s="509"/>
      <c r="AD267" s="509"/>
      <c r="AE267" s="509"/>
      <c r="AF267" s="509"/>
      <c r="AG267" s="509"/>
      <c r="AH267" s="509"/>
      <c r="AI267" s="509"/>
      <c r="AJ267" s="509"/>
      <c r="AK267" s="509"/>
      <c r="AL267" s="509"/>
      <c r="AM267" s="509"/>
      <c r="AN267" s="509"/>
    </row>
    <row r="268" spans="1:40" ht="15.75" customHeight="1">
      <c r="A268" s="494" t="s">
        <v>391</v>
      </c>
      <c r="B268" s="509" t="s">
        <v>99</v>
      </c>
      <c r="C268" s="596" t="s">
        <v>51</v>
      </c>
      <c r="D268" s="581"/>
      <c r="E268" s="509"/>
      <c r="F268" s="530">
        <v>593.90656258991453</v>
      </c>
      <c r="G268" s="582"/>
      <c r="H268" s="509"/>
      <c r="I268" s="530"/>
      <c r="J268" s="529"/>
      <c r="K268" s="509"/>
      <c r="L268" s="532">
        <v>966.44</v>
      </c>
      <c r="M268" s="529"/>
      <c r="N268" s="555">
        <v>372.53343741008553</v>
      </c>
      <c r="O268" s="529"/>
      <c r="P268" s="509"/>
      <c r="Q268" s="555">
        <v>453.76</v>
      </c>
      <c r="R268" s="529"/>
      <c r="S268" s="555">
        <v>512.68000000000006</v>
      </c>
      <c r="T268" s="509"/>
      <c r="U268" s="509"/>
      <c r="V268" s="509"/>
      <c r="W268" s="509"/>
      <c r="X268" s="509"/>
      <c r="Y268" s="509"/>
      <c r="Z268" s="509"/>
      <c r="AA268" s="509"/>
      <c r="AB268" s="509"/>
      <c r="AC268" s="509"/>
      <c r="AD268" s="509"/>
      <c r="AE268" s="509"/>
      <c r="AF268" s="509"/>
      <c r="AG268" s="509"/>
      <c r="AH268" s="509"/>
      <c r="AI268" s="509"/>
      <c r="AJ268" s="509"/>
      <c r="AK268" s="509"/>
      <c r="AL268" s="509"/>
      <c r="AM268" s="509"/>
      <c r="AN268" s="509"/>
    </row>
    <row r="269" spans="1:40" ht="15.75" customHeight="1">
      <c r="A269" s="494" t="s">
        <v>392</v>
      </c>
      <c r="B269" s="509" t="s">
        <v>99</v>
      </c>
      <c r="C269" s="598" t="s">
        <v>52</v>
      </c>
      <c r="D269" s="583"/>
      <c r="E269" s="603"/>
      <c r="F269" s="524">
        <v>0</v>
      </c>
      <c r="G269" s="584"/>
      <c r="H269" s="603"/>
      <c r="I269" s="524"/>
      <c r="J269" s="522"/>
      <c r="K269" s="603"/>
      <c r="L269" s="532">
        <v>157.77000000000001</v>
      </c>
      <c r="M269" s="522"/>
      <c r="N269" s="579">
        <v>157.77000000000001</v>
      </c>
      <c r="O269" s="522"/>
      <c r="P269" s="603"/>
      <c r="Q269" s="579">
        <v>1298.76</v>
      </c>
      <c r="R269" s="522"/>
      <c r="S269" s="579">
        <v>-1140.99</v>
      </c>
      <c r="T269" s="509"/>
      <c r="U269" s="509"/>
      <c r="V269" s="509"/>
      <c r="W269" s="509"/>
      <c r="X269" s="509"/>
      <c r="Y269" s="509"/>
      <c r="Z269" s="509"/>
      <c r="AA269" s="509"/>
      <c r="AB269" s="509"/>
      <c r="AC269" s="509"/>
      <c r="AD269" s="509"/>
      <c r="AE269" s="509"/>
      <c r="AF269" s="509"/>
      <c r="AG269" s="509"/>
      <c r="AH269" s="509"/>
      <c r="AI269" s="509"/>
      <c r="AJ269" s="509"/>
      <c r="AK269" s="509"/>
      <c r="AL269" s="509"/>
      <c r="AM269" s="509"/>
      <c r="AN269" s="509"/>
    </row>
    <row r="270" spans="1:40" ht="15.75" customHeight="1">
      <c r="A270" s="494" t="s">
        <v>393</v>
      </c>
      <c r="B270" s="509" t="s">
        <v>99</v>
      </c>
      <c r="C270" s="596" t="s">
        <v>53</v>
      </c>
      <c r="D270" s="581"/>
      <c r="E270" s="509"/>
      <c r="F270" s="530">
        <v>1434.1339301111113</v>
      </c>
      <c r="G270" s="582"/>
      <c r="H270" s="509"/>
      <c r="I270" s="530"/>
      <c r="J270" s="529"/>
      <c r="K270" s="509"/>
      <c r="L270" s="551">
        <v>1612.47</v>
      </c>
      <c r="M270" s="529"/>
      <c r="N270" s="555">
        <v>178.33606988888869</v>
      </c>
      <c r="O270" s="529"/>
      <c r="P270" s="509"/>
      <c r="Q270" s="555">
        <v>1645.4</v>
      </c>
      <c r="R270" s="529"/>
      <c r="S270" s="555">
        <v>-32.930000000000064</v>
      </c>
      <c r="T270" s="509"/>
      <c r="U270" s="509"/>
      <c r="V270" s="509"/>
      <c r="W270" s="509"/>
      <c r="X270" s="509"/>
      <c r="Y270" s="509"/>
      <c r="Z270" s="509"/>
      <c r="AA270" s="509"/>
      <c r="AB270" s="509"/>
      <c r="AC270" s="509"/>
      <c r="AD270" s="509"/>
      <c r="AE270" s="509"/>
      <c r="AF270" s="509"/>
      <c r="AG270" s="509"/>
      <c r="AH270" s="509"/>
      <c r="AI270" s="509"/>
      <c r="AJ270" s="509"/>
      <c r="AK270" s="509"/>
      <c r="AL270" s="509"/>
      <c r="AM270" s="509"/>
      <c r="AN270" s="509"/>
    </row>
    <row r="271" spans="1:40" ht="15.75" customHeight="1">
      <c r="A271" s="494" t="s">
        <v>394</v>
      </c>
      <c r="B271" s="509" t="s">
        <v>99</v>
      </c>
      <c r="C271" s="596" t="s">
        <v>54</v>
      </c>
      <c r="D271" s="581"/>
      <c r="E271" s="509"/>
      <c r="F271" s="530">
        <v>178.43173052524097</v>
      </c>
      <c r="G271" s="582"/>
      <c r="H271" s="509"/>
      <c r="I271" s="530"/>
      <c r="J271" s="529"/>
      <c r="K271" s="509"/>
      <c r="L271" s="532">
        <v>509.97</v>
      </c>
      <c r="M271" s="529"/>
      <c r="N271" s="555">
        <v>331.53826947475909</v>
      </c>
      <c r="O271" s="529"/>
      <c r="P271" s="509"/>
      <c r="Q271" s="555">
        <v>202.46</v>
      </c>
      <c r="R271" s="529"/>
      <c r="S271" s="555">
        <v>307.51</v>
      </c>
      <c r="T271" s="509"/>
      <c r="U271" s="509"/>
      <c r="V271" s="509"/>
      <c r="W271" s="509"/>
      <c r="X271" s="509"/>
      <c r="Y271" s="509"/>
      <c r="Z271" s="509"/>
      <c r="AA271" s="509"/>
      <c r="AB271" s="509"/>
      <c r="AC271" s="509"/>
      <c r="AD271" s="509"/>
      <c r="AE271" s="509"/>
      <c r="AF271" s="509"/>
      <c r="AG271" s="509"/>
      <c r="AH271" s="509"/>
      <c r="AI271" s="509"/>
      <c r="AJ271" s="509"/>
      <c r="AK271" s="509"/>
      <c r="AL271" s="509"/>
      <c r="AM271" s="509"/>
      <c r="AN271" s="509"/>
    </row>
    <row r="272" spans="1:40" ht="15.75" customHeight="1">
      <c r="A272" s="494" t="s">
        <v>395</v>
      </c>
      <c r="B272" s="509" t="s">
        <v>99</v>
      </c>
      <c r="C272" s="596" t="s">
        <v>55</v>
      </c>
      <c r="D272" s="583"/>
      <c r="E272" s="603"/>
      <c r="F272" s="524">
        <v>676.55120298287022</v>
      </c>
      <c r="G272" s="584"/>
      <c r="H272" s="603"/>
      <c r="I272" s="524"/>
      <c r="J272" s="522"/>
      <c r="K272" s="603"/>
      <c r="L272" s="532">
        <v>617.34</v>
      </c>
      <c r="M272" s="522"/>
      <c r="N272" s="579">
        <v>-59.211202982870191</v>
      </c>
      <c r="O272" s="522"/>
      <c r="P272" s="603"/>
      <c r="Q272" s="579">
        <v>369.39</v>
      </c>
      <c r="R272" s="522"/>
      <c r="S272" s="579">
        <v>247.95000000000005</v>
      </c>
      <c r="T272" s="509"/>
      <c r="U272" s="509"/>
      <c r="V272" s="509"/>
      <c r="W272" s="509"/>
      <c r="X272" s="509"/>
      <c r="Y272" s="509"/>
      <c r="Z272" s="509"/>
      <c r="AA272" s="509"/>
      <c r="AB272" s="509"/>
      <c r="AC272" s="509"/>
      <c r="AD272" s="509"/>
      <c r="AE272" s="509"/>
      <c r="AF272" s="509"/>
      <c r="AG272" s="509"/>
      <c r="AH272" s="509"/>
      <c r="AI272" s="509"/>
      <c r="AJ272" s="509"/>
      <c r="AK272" s="509"/>
      <c r="AL272" s="509"/>
      <c r="AM272" s="509"/>
      <c r="AN272" s="509"/>
    </row>
    <row r="273" spans="1:40" ht="15.75" customHeight="1">
      <c r="A273" s="494" t="s">
        <v>396</v>
      </c>
      <c r="B273" s="509" t="s">
        <v>99</v>
      </c>
      <c r="C273" s="703" t="s">
        <v>98</v>
      </c>
      <c r="D273" s="581"/>
      <c r="E273" s="509"/>
      <c r="F273" s="530"/>
      <c r="G273" s="582"/>
      <c r="H273" s="509"/>
      <c r="I273" s="530"/>
      <c r="J273" s="529"/>
      <c r="K273" s="509"/>
      <c r="L273" s="551">
        <v>0</v>
      </c>
      <c r="M273" s="529"/>
      <c r="N273" s="555">
        <v>0</v>
      </c>
      <c r="O273" s="529"/>
      <c r="P273" s="509"/>
      <c r="Q273" s="555">
        <v>0</v>
      </c>
      <c r="R273" s="529"/>
      <c r="S273" s="555">
        <v>0</v>
      </c>
      <c r="T273" s="509"/>
      <c r="U273" s="509"/>
      <c r="V273" s="509"/>
      <c r="W273" s="509"/>
      <c r="X273" s="509"/>
      <c r="Y273" s="509"/>
      <c r="Z273" s="509"/>
      <c r="AA273" s="509"/>
      <c r="AB273" s="509"/>
      <c r="AC273" s="509"/>
      <c r="AD273" s="509"/>
      <c r="AE273" s="509"/>
      <c r="AF273" s="509"/>
      <c r="AG273" s="509"/>
      <c r="AH273" s="509"/>
      <c r="AI273" s="509"/>
      <c r="AJ273" s="509"/>
      <c r="AK273" s="509"/>
      <c r="AL273" s="509"/>
      <c r="AM273" s="509"/>
      <c r="AN273" s="509"/>
    </row>
    <row r="274" spans="1:40" ht="15.75" customHeight="1">
      <c r="A274" s="494" t="s">
        <v>397</v>
      </c>
      <c r="B274" s="509" t="s">
        <v>99</v>
      </c>
      <c r="C274" s="596" t="s">
        <v>56</v>
      </c>
      <c r="D274" s="581"/>
      <c r="E274" s="509"/>
      <c r="F274" s="530">
        <v>125</v>
      </c>
      <c r="G274" s="582"/>
      <c r="H274" s="509"/>
      <c r="I274" s="530"/>
      <c r="J274" s="529"/>
      <c r="K274" s="509"/>
      <c r="L274" s="532">
        <v>7.93</v>
      </c>
      <c r="M274" s="529"/>
      <c r="N274" s="555">
        <v>-117.07</v>
      </c>
      <c r="O274" s="529"/>
      <c r="P274" s="509"/>
      <c r="Q274" s="555">
        <v>0</v>
      </c>
      <c r="R274" s="529"/>
      <c r="S274" s="555">
        <v>7.93</v>
      </c>
      <c r="T274" s="509"/>
      <c r="U274" s="509"/>
      <c r="V274" s="509"/>
      <c r="W274" s="509"/>
      <c r="X274" s="509"/>
      <c r="Y274" s="509"/>
      <c r="Z274" s="509"/>
      <c r="AA274" s="509"/>
      <c r="AB274" s="509"/>
      <c r="AC274" s="509"/>
      <c r="AD274" s="509"/>
      <c r="AE274" s="509"/>
      <c r="AF274" s="509"/>
      <c r="AG274" s="509"/>
      <c r="AH274" s="509"/>
      <c r="AI274" s="509"/>
      <c r="AJ274" s="509"/>
      <c r="AK274" s="509"/>
      <c r="AL274" s="509"/>
      <c r="AM274" s="509"/>
      <c r="AN274" s="509"/>
    </row>
    <row r="275" spans="1:40" ht="15.75" customHeight="1">
      <c r="A275" s="494" t="s">
        <v>398</v>
      </c>
      <c r="B275" s="509" t="s">
        <v>99</v>
      </c>
      <c r="C275" s="596" t="s">
        <v>57</v>
      </c>
      <c r="D275" s="581"/>
      <c r="E275" s="509"/>
      <c r="F275" s="530">
        <v>83.333333333333329</v>
      </c>
      <c r="G275" s="582"/>
      <c r="H275" s="509"/>
      <c r="I275" s="530"/>
      <c r="J275" s="529"/>
      <c r="K275" s="509"/>
      <c r="L275" s="532">
        <v>0</v>
      </c>
      <c r="M275" s="529"/>
      <c r="N275" s="555">
        <v>-83.333333333333329</v>
      </c>
      <c r="O275" s="529"/>
      <c r="P275" s="509"/>
      <c r="Q275" s="555">
        <v>0</v>
      </c>
      <c r="R275" s="529"/>
      <c r="S275" s="555">
        <v>0</v>
      </c>
      <c r="T275" s="509"/>
      <c r="U275" s="509"/>
      <c r="V275" s="509"/>
      <c r="W275" s="509"/>
      <c r="X275" s="509"/>
      <c r="Y275" s="509"/>
      <c r="Z275" s="509"/>
      <c r="AA275" s="509"/>
      <c r="AB275" s="509"/>
      <c r="AC275" s="509"/>
      <c r="AD275" s="509"/>
      <c r="AE275" s="509"/>
      <c r="AF275" s="509"/>
      <c r="AG275" s="509"/>
      <c r="AH275" s="509"/>
      <c r="AI275" s="509"/>
      <c r="AJ275" s="509"/>
      <c r="AK275" s="509"/>
      <c r="AL275" s="509"/>
      <c r="AM275" s="509"/>
      <c r="AN275" s="509"/>
    </row>
    <row r="276" spans="1:40" ht="15.75" customHeight="1">
      <c r="A276" s="494" t="s">
        <v>399</v>
      </c>
      <c r="B276" s="509" t="s">
        <v>99</v>
      </c>
      <c r="C276" s="596" t="s">
        <v>58</v>
      </c>
      <c r="D276" s="581"/>
      <c r="E276" s="509"/>
      <c r="F276" s="530">
        <v>157.558520743</v>
      </c>
      <c r="G276" s="582"/>
      <c r="H276" s="509"/>
      <c r="I276" s="530"/>
      <c r="J276" s="529"/>
      <c r="K276" s="509"/>
      <c r="L276" s="532">
        <v>83.36</v>
      </c>
      <c r="M276" s="529"/>
      <c r="N276" s="555">
        <v>-74.198520743000003</v>
      </c>
      <c r="O276" s="529"/>
      <c r="P276" s="509"/>
      <c r="Q276" s="555">
        <v>171.37</v>
      </c>
      <c r="R276" s="529"/>
      <c r="S276" s="555">
        <v>-88.01</v>
      </c>
      <c r="T276" s="509"/>
      <c r="U276" s="509"/>
      <c r="V276" s="509"/>
      <c r="W276" s="509"/>
      <c r="X276" s="509"/>
      <c r="Y276" s="509"/>
      <c r="Z276" s="509"/>
      <c r="AA276" s="509"/>
      <c r="AB276" s="509"/>
      <c r="AC276" s="509"/>
      <c r="AD276" s="509"/>
      <c r="AE276" s="509"/>
      <c r="AF276" s="509"/>
      <c r="AG276" s="509"/>
      <c r="AH276" s="509"/>
      <c r="AI276" s="509"/>
      <c r="AJ276" s="509"/>
      <c r="AK276" s="509"/>
      <c r="AL276" s="509"/>
      <c r="AM276" s="509"/>
      <c r="AN276" s="509"/>
    </row>
    <row r="277" spans="1:40" ht="15.75" customHeight="1">
      <c r="A277" s="494" t="s">
        <v>400</v>
      </c>
      <c r="B277" s="509" t="s">
        <v>99</v>
      </c>
      <c r="C277" s="596" t="s">
        <v>59</v>
      </c>
      <c r="D277" s="581"/>
      <c r="E277" s="509"/>
      <c r="F277" s="530">
        <v>36.780368605319445</v>
      </c>
      <c r="G277" s="582"/>
      <c r="H277" s="509"/>
      <c r="I277" s="530"/>
      <c r="J277" s="529"/>
      <c r="K277" s="509"/>
      <c r="L277" s="532">
        <v>23.66</v>
      </c>
      <c r="M277" s="529"/>
      <c r="N277" s="555">
        <v>-13.120368605319445</v>
      </c>
      <c r="O277" s="529"/>
      <c r="P277" s="509"/>
      <c r="Q277" s="555">
        <v>21.02</v>
      </c>
      <c r="R277" s="529"/>
      <c r="S277" s="555">
        <v>2.6400000000000006</v>
      </c>
      <c r="T277" s="509"/>
      <c r="U277" s="509"/>
      <c r="V277" s="509"/>
      <c r="W277" s="509"/>
      <c r="X277" s="509"/>
      <c r="Y277" s="509"/>
      <c r="Z277" s="509"/>
      <c r="AA277" s="509"/>
      <c r="AB277" s="509"/>
      <c r="AC277" s="509"/>
      <c r="AD277" s="509"/>
      <c r="AE277" s="509"/>
      <c r="AF277" s="509"/>
      <c r="AG277" s="509"/>
      <c r="AH277" s="509"/>
      <c r="AI277" s="509"/>
      <c r="AJ277" s="509"/>
      <c r="AK277" s="509"/>
      <c r="AL277" s="509"/>
      <c r="AM277" s="509"/>
      <c r="AN277" s="509"/>
    </row>
    <row r="278" spans="1:40" ht="15.75" customHeight="1">
      <c r="A278" s="494" t="s">
        <v>401</v>
      </c>
      <c r="B278" s="509" t="s">
        <v>99</v>
      </c>
      <c r="C278" s="596" t="s">
        <v>60</v>
      </c>
      <c r="D278" s="581"/>
      <c r="E278" s="509"/>
      <c r="F278" s="530">
        <v>24.745731854680557</v>
      </c>
      <c r="G278" s="582"/>
      <c r="H278" s="509"/>
      <c r="I278" s="530"/>
      <c r="J278" s="529"/>
      <c r="K278" s="509"/>
      <c r="L278" s="532">
        <v>2.31</v>
      </c>
      <c r="M278" s="529"/>
      <c r="N278" s="555">
        <v>-22.435731854680558</v>
      </c>
      <c r="O278" s="529"/>
      <c r="P278" s="509"/>
      <c r="Q278" s="555">
        <v>28.24</v>
      </c>
      <c r="R278" s="529"/>
      <c r="S278" s="555">
        <v>-25.93</v>
      </c>
      <c r="T278" s="509"/>
      <c r="U278" s="509"/>
      <c r="V278" s="509"/>
      <c r="W278" s="509"/>
      <c r="X278" s="509"/>
      <c r="Y278" s="509"/>
      <c r="Z278" s="509"/>
      <c r="AA278" s="509"/>
      <c r="AB278" s="509"/>
      <c r="AC278" s="509"/>
      <c r="AD278" s="509"/>
      <c r="AE278" s="509"/>
      <c r="AF278" s="509"/>
      <c r="AG278" s="509"/>
      <c r="AH278" s="509"/>
      <c r="AI278" s="509"/>
      <c r="AJ278" s="509"/>
      <c r="AK278" s="509"/>
      <c r="AL278" s="509"/>
      <c r="AM278" s="509"/>
      <c r="AN278" s="509"/>
    </row>
    <row r="279" spans="1:40" ht="15.75" customHeight="1">
      <c r="A279" s="494" t="s">
        <v>402</v>
      </c>
      <c r="B279" s="509" t="s">
        <v>99</v>
      </c>
      <c r="C279" s="596" t="s">
        <v>61</v>
      </c>
      <c r="D279" s="581"/>
      <c r="E279" s="509"/>
      <c r="F279" s="530">
        <v>234.99946325143051</v>
      </c>
      <c r="G279" s="582"/>
      <c r="H279" s="509"/>
      <c r="I279" s="530"/>
      <c r="J279" s="529"/>
      <c r="K279" s="509"/>
      <c r="L279" s="532">
        <v>44.2</v>
      </c>
      <c r="M279" s="529"/>
      <c r="N279" s="555">
        <v>-190.7994632514305</v>
      </c>
      <c r="O279" s="529"/>
      <c r="P279" s="509"/>
      <c r="Q279" s="555">
        <v>25.57</v>
      </c>
      <c r="R279" s="529"/>
      <c r="S279" s="555">
        <v>18.630000000000003</v>
      </c>
      <c r="T279" s="509"/>
      <c r="U279" s="509"/>
      <c r="V279" s="509"/>
      <c r="W279" s="509"/>
      <c r="X279" s="509"/>
      <c r="Y279" s="509"/>
      <c r="Z279" s="509"/>
      <c r="AA279" s="509"/>
      <c r="AB279" s="509"/>
      <c r="AC279" s="509"/>
      <c r="AD279" s="509"/>
      <c r="AE279" s="509"/>
      <c r="AF279" s="509"/>
      <c r="AG279" s="509"/>
      <c r="AH279" s="509"/>
      <c r="AI279" s="509"/>
      <c r="AJ279" s="509"/>
      <c r="AK279" s="509"/>
      <c r="AL279" s="509"/>
      <c r="AM279" s="509"/>
      <c r="AN279" s="509"/>
    </row>
    <row r="280" spans="1:40" ht="15.75" customHeight="1">
      <c r="A280" s="494" t="s">
        <v>403</v>
      </c>
      <c r="B280" s="509" t="s">
        <v>99</v>
      </c>
      <c r="C280" s="596" t="s">
        <v>62</v>
      </c>
      <c r="D280" s="581"/>
      <c r="E280" s="509"/>
      <c r="F280" s="530">
        <v>434.32515231465453</v>
      </c>
      <c r="G280" s="582"/>
      <c r="H280" s="509"/>
      <c r="I280" s="530"/>
      <c r="J280" s="529"/>
      <c r="K280" s="509"/>
      <c r="L280" s="532">
        <v>22.33</v>
      </c>
      <c r="M280" s="529"/>
      <c r="N280" s="555">
        <v>-411.99515231465455</v>
      </c>
      <c r="O280" s="529"/>
      <c r="P280" s="509"/>
      <c r="Q280" s="555">
        <v>122.21</v>
      </c>
      <c r="R280" s="529"/>
      <c r="S280" s="555">
        <v>-99.88</v>
      </c>
      <c r="T280" s="509"/>
      <c r="X280" s="509"/>
      <c r="Y280" s="509"/>
      <c r="Z280" s="509"/>
      <c r="AA280" s="509"/>
      <c r="AB280" s="509"/>
      <c r="AC280" s="509"/>
      <c r="AD280" s="509"/>
      <c r="AE280" s="509"/>
      <c r="AF280" s="509"/>
      <c r="AG280" s="509"/>
      <c r="AH280" s="509"/>
      <c r="AI280" s="509"/>
      <c r="AJ280" s="509"/>
      <c r="AK280" s="509"/>
      <c r="AL280" s="509"/>
      <c r="AM280" s="509"/>
      <c r="AN280" s="509"/>
    </row>
    <row r="281" spans="1:40" ht="15.75" customHeight="1">
      <c r="A281" s="494" t="s">
        <v>404</v>
      </c>
      <c r="B281" s="509" t="s">
        <v>99</v>
      </c>
      <c r="C281" s="596" t="s">
        <v>63</v>
      </c>
      <c r="D281" s="581"/>
      <c r="E281" s="509"/>
      <c r="F281" s="530">
        <v>205.2815388471198</v>
      </c>
      <c r="G281" s="582"/>
      <c r="H281" s="509"/>
      <c r="I281" s="530"/>
      <c r="J281" s="529"/>
      <c r="K281" s="509"/>
      <c r="L281" s="532">
        <v>237.63</v>
      </c>
      <c r="M281" s="529"/>
      <c r="N281" s="555">
        <v>32.348461152880191</v>
      </c>
      <c r="O281" s="529"/>
      <c r="P281" s="509"/>
      <c r="Q281" s="555">
        <v>168.09</v>
      </c>
      <c r="R281" s="529"/>
      <c r="S281" s="555">
        <v>69.539999999999992</v>
      </c>
      <c r="T281" s="509"/>
      <c r="X281" s="509"/>
      <c r="Y281" s="509"/>
      <c r="Z281" s="509"/>
      <c r="AA281" s="509"/>
      <c r="AB281" s="509"/>
      <c r="AC281" s="509"/>
      <c r="AD281" s="509"/>
      <c r="AE281" s="509"/>
      <c r="AF281" s="509"/>
      <c r="AG281" s="509"/>
      <c r="AH281" s="509"/>
      <c r="AI281" s="509"/>
      <c r="AJ281" s="509"/>
      <c r="AK281" s="509"/>
      <c r="AL281" s="509"/>
      <c r="AM281" s="509"/>
      <c r="AN281" s="509"/>
    </row>
    <row r="282" spans="1:40" ht="15.75" hidden="1" customHeight="1">
      <c r="A282" s="494" t="s">
        <v>384</v>
      </c>
      <c r="B282" s="509" t="s">
        <v>99</v>
      </c>
      <c r="C282" s="596" t="s">
        <v>20</v>
      </c>
      <c r="D282" s="581"/>
      <c r="E282" s="509"/>
      <c r="F282" s="530">
        <v>0</v>
      </c>
      <c r="G282" s="582"/>
      <c r="H282" s="509"/>
      <c r="I282" s="530"/>
      <c r="J282" s="529"/>
      <c r="K282" s="509"/>
      <c r="L282" s="532">
        <v>0</v>
      </c>
      <c r="M282" s="529"/>
      <c r="N282" s="555">
        <v>0</v>
      </c>
      <c r="O282" s="529"/>
      <c r="P282" s="509"/>
      <c r="Q282" s="532">
        <v>0</v>
      </c>
      <c r="R282" s="529"/>
      <c r="S282" s="555">
        <v>0</v>
      </c>
      <c r="T282" s="509"/>
      <c r="X282" s="509"/>
      <c r="Y282" s="509"/>
      <c r="Z282" s="509"/>
      <c r="AA282" s="509"/>
      <c r="AB282" s="509"/>
      <c r="AC282" s="509"/>
      <c r="AD282" s="509"/>
      <c r="AE282" s="509"/>
      <c r="AF282" s="509"/>
      <c r="AG282" s="509"/>
      <c r="AH282" s="509"/>
      <c r="AI282" s="509"/>
      <c r="AJ282" s="509"/>
      <c r="AK282" s="509"/>
      <c r="AL282" s="509"/>
      <c r="AM282" s="509"/>
      <c r="AN282" s="509"/>
    </row>
    <row r="283" spans="1:40" ht="15.75" hidden="1" customHeight="1">
      <c r="A283" s="494" t="s">
        <v>384</v>
      </c>
      <c r="B283" s="509" t="s">
        <v>99</v>
      </c>
      <c r="C283" s="596" t="s">
        <v>20</v>
      </c>
      <c r="D283" s="581"/>
      <c r="E283" s="509"/>
      <c r="F283" s="530">
        <v>0</v>
      </c>
      <c r="G283" s="582"/>
      <c r="H283" s="509"/>
      <c r="I283" s="530"/>
      <c r="J283" s="529"/>
      <c r="K283" s="509"/>
      <c r="L283" s="532">
        <v>0</v>
      </c>
      <c r="M283" s="529"/>
      <c r="N283" s="555">
        <v>0</v>
      </c>
      <c r="O283" s="529"/>
      <c r="P283" s="509"/>
      <c r="Q283" s="532">
        <v>0</v>
      </c>
      <c r="R283" s="529"/>
      <c r="S283" s="555">
        <v>0</v>
      </c>
      <c r="T283" s="509"/>
      <c r="X283" s="509"/>
      <c r="Y283" s="509"/>
      <c r="Z283" s="509"/>
      <c r="AA283" s="509"/>
      <c r="AB283" s="509"/>
      <c r="AC283" s="509"/>
      <c r="AD283" s="509"/>
      <c r="AE283" s="509"/>
      <c r="AF283" s="509"/>
      <c r="AG283" s="509"/>
      <c r="AH283" s="509"/>
      <c r="AI283" s="509"/>
      <c r="AJ283" s="509"/>
      <c r="AK283" s="509"/>
      <c r="AL283" s="509"/>
      <c r="AM283" s="509"/>
      <c r="AN283" s="509"/>
    </row>
    <row r="284" spans="1:40" ht="15.75" hidden="1" customHeight="1">
      <c r="A284" s="494" t="s">
        <v>384</v>
      </c>
      <c r="B284" s="509" t="s">
        <v>99</v>
      </c>
      <c r="C284" s="596" t="s">
        <v>20</v>
      </c>
      <c r="D284" s="581"/>
      <c r="E284" s="509"/>
      <c r="F284" s="530">
        <v>0</v>
      </c>
      <c r="G284" s="582"/>
      <c r="H284" s="509"/>
      <c r="I284" s="530"/>
      <c r="J284" s="529"/>
      <c r="K284" s="509"/>
      <c r="L284" s="532">
        <v>0</v>
      </c>
      <c r="M284" s="529"/>
      <c r="N284" s="555">
        <v>0</v>
      </c>
      <c r="O284" s="529"/>
      <c r="P284" s="509"/>
      <c r="Q284" s="532">
        <v>0</v>
      </c>
      <c r="R284" s="529"/>
      <c r="S284" s="555">
        <v>0</v>
      </c>
      <c r="T284" s="509"/>
      <c r="X284" s="509"/>
      <c r="Y284" s="509"/>
      <c r="Z284" s="509"/>
      <c r="AA284" s="509"/>
      <c r="AB284" s="509"/>
      <c r="AC284" s="509"/>
      <c r="AD284" s="509"/>
      <c r="AE284" s="509"/>
      <c r="AF284" s="509"/>
      <c r="AG284" s="509"/>
      <c r="AH284" s="509"/>
      <c r="AI284" s="509"/>
      <c r="AJ284" s="509"/>
      <c r="AK284" s="509"/>
      <c r="AL284" s="509"/>
      <c r="AM284" s="509"/>
      <c r="AN284" s="509"/>
    </row>
    <row r="285" spans="1:40" ht="15.75" customHeight="1">
      <c r="B285" s="509"/>
      <c r="C285" s="588" t="s">
        <v>64</v>
      </c>
      <c r="D285" s="589" t="s">
        <v>39</v>
      </c>
      <c r="E285" s="590" t="e">
        <v>#DIV/0!</v>
      </c>
      <c r="F285" s="591">
        <v>4185.0475351586747</v>
      </c>
      <c r="G285" s="592"/>
      <c r="H285" s="590"/>
      <c r="I285" s="591"/>
      <c r="J285" s="592" t="s">
        <v>39</v>
      </c>
      <c r="K285" s="590">
        <v>0.25196939475269003</v>
      </c>
      <c r="L285" s="591">
        <v>4343.01</v>
      </c>
      <c r="M285" s="595"/>
      <c r="N285" s="591">
        <v>157.96246484132519</v>
      </c>
      <c r="O285" s="592" t="s">
        <v>39</v>
      </c>
      <c r="P285" s="590">
        <v>0</v>
      </c>
      <c r="Q285" s="591">
        <v>4530.79</v>
      </c>
      <c r="R285" s="595"/>
      <c r="S285" s="591">
        <v>-187.77999999999975</v>
      </c>
      <c r="T285" s="568"/>
      <c r="X285" s="509"/>
      <c r="Y285" s="509"/>
      <c r="Z285" s="509"/>
      <c r="AA285" s="509"/>
      <c r="AB285" s="509"/>
      <c r="AC285" s="509"/>
      <c r="AD285" s="509"/>
      <c r="AE285" s="509"/>
      <c r="AF285" s="509"/>
      <c r="AG285" s="509"/>
      <c r="AH285" s="509"/>
      <c r="AI285" s="509"/>
      <c r="AJ285" s="509"/>
      <c r="AK285" s="509"/>
      <c r="AL285" s="509"/>
      <c r="AM285" s="509"/>
      <c r="AN285" s="509"/>
    </row>
    <row r="286" spans="1:40" ht="15.75" customHeight="1">
      <c r="B286" s="509"/>
      <c r="C286" s="522"/>
      <c r="D286" s="583"/>
      <c r="E286" s="603"/>
      <c r="F286" s="555"/>
      <c r="G286" s="584"/>
      <c r="H286" s="603"/>
      <c r="I286" s="555"/>
      <c r="J286" s="522"/>
      <c r="K286" s="603"/>
      <c r="L286" s="579"/>
      <c r="M286" s="522"/>
      <c r="N286" s="579"/>
      <c r="O286" s="522"/>
      <c r="P286" s="603"/>
      <c r="Q286" s="579"/>
      <c r="R286" s="522"/>
      <c r="S286" s="579"/>
      <c r="T286" s="568"/>
      <c r="U286" s="509"/>
      <c r="V286" s="509"/>
      <c r="W286" s="509"/>
      <c r="X286" s="509"/>
      <c r="Y286" s="509"/>
      <c r="Z286" s="509"/>
      <c r="AA286" s="509"/>
      <c r="AB286" s="509"/>
      <c r="AC286" s="509"/>
      <c r="AD286" s="509"/>
      <c r="AE286" s="509"/>
      <c r="AF286" s="509"/>
      <c r="AG286" s="509"/>
      <c r="AH286" s="509"/>
      <c r="AI286" s="509"/>
      <c r="AJ286" s="509"/>
      <c r="AK286" s="509"/>
      <c r="AL286" s="509"/>
      <c r="AM286" s="509"/>
      <c r="AN286" s="509"/>
    </row>
    <row r="287" spans="1:40" ht="15.75" customHeight="1">
      <c r="B287" s="509"/>
      <c r="C287" s="588" t="s">
        <v>65</v>
      </c>
      <c r="D287" s="589" t="s">
        <v>39</v>
      </c>
      <c r="E287" s="590" t="e">
        <v>#DIV/0!</v>
      </c>
      <c r="F287" s="591">
        <v>11062.389937374057</v>
      </c>
      <c r="G287" s="592"/>
      <c r="H287" s="590"/>
      <c r="I287" s="591"/>
      <c r="J287" s="592" t="s">
        <v>39</v>
      </c>
      <c r="K287" s="590">
        <v>0.41363671701401594</v>
      </c>
      <c r="L287" s="591">
        <v>7129.55</v>
      </c>
      <c r="M287" s="595"/>
      <c r="N287" s="605">
        <v>-3932.8399373740567</v>
      </c>
      <c r="O287" s="592" t="s">
        <v>39</v>
      </c>
      <c r="P287" s="590">
        <v>0</v>
      </c>
      <c r="Q287" s="591">
        <v>8657.0499999999993</v>
      </c>
      <c r="R287" s="595"/>
      <c r="S287" s="605">
        <v>-1527.4999999999991</v>
      </c>
      <c r="T287" s="568"/>
      <c r="U287" s="509"/>
      <c r="V287" s="509"/>
      <c r="W287" s="509"/>
      <c r="X287" s="509"/>
      <c r="Y287" s="509"/>
      <c r="Z287" s="509"/>
      <c r="AA287" s="509"/>
      <c r="AB287" s="509"/>
      <c r="AC287" s="509"/>
      <c r="AD287" s="509"/>
      <c r="AE287" s="509"/>
      <c r="AF287" s="509"/>
      <c r="AG287" s="509"/>
      <c r="AH287" s="509"/>
      <c r="AI287" s="509"/>
      <c r="AJ287" s="509"/>
      <c r="AK287" s="509"/>
      <c r="AL287" s="509"/>
      <c r="AM287" s="509"/>
      <c r="AN287" s="509"/>
    </row>
    <row r="288" spans="1:40" ht="15.75" customHeight="1">
      <c r="B288" s="509"/>
      <c r="C288" s="529"/>
      <c r="D288" s="581"/>
      <c r="E288" s="509"/>
      <c r="F288" s="555"/>
      <c r="G288" s="582"/>
      <c r="H288" s="509"/>
      <c r="I288" s="555"/>
      <c r="J288" s="529"/>
      <c r="K288" s="509"/>
      <c r="L288" s="555"/>
      <c r="M288" s="529"/>
      <c r="N288" s="555">
        <v>0</v>
      </c>
      <c r="O288" s="529"/>
      <c r="P288" s="509"/>
      <c r="Q288" s="555"/>
      <c r="R288" s="529"/>
      <c r="S288" s="555"/>
      <c r="T288" s="509"/>
      <c r="U288" s="509"/>
      <c r="V288" s="509"/>
      <c r="W288" s="509"/>
      <c r="X288" s="509"/>
      <c r="Y288" s="509"/>
      <c r="Z288" s="509"/>
      <c r="AA288" s="509"/>
      <c r="AB288" s="509"/>
      <c r="AC288" s="509"/>
      <c r="AD288" s="509"/>
      <c r="AE288" s="509"/>
      <c r="AF288" s="509"/>
      <c r="AG288" s="509"/>
      <c r="AH288" s="509"/>
      <c r="AI288" s="509"/>
      <c r="AJ288" s="509"/>
      <c r="AK288" s="509"/>
      <c r="AL288" s="509"/>
      <c r="AM288" s="509"/>
      <c r="AN288" s="509"/>
    </row>
    <row r="289" spans="1:40" ht="29.25" customHeight="1" thickBot="1">
      <c r="B289" s="509"/>
      <c r="C289" s="621" t="s">
        <v>72</v>
      </c>
      <c r="D289" s="651"/>
      <c r="E289" s="622"/>
      <c r="F289" s="624">
        <v>5728.3085984618046</v>
      </c>
      <c r="G289" s="652"/>
      <c r="H289" s="622"/>
      <c r="I289" s="624"/>
      <c r="J289" s="621"/>
      <c r="K289" s="623"/>
      <c r="L289" s="624">
        <v>10106.709999999995</v>
      </c>
      <c r="M289" s="621"/>
      <c r="N289" s="624">
        <v>4378.4014015381908</v>
      </c>
      <c r="O289" s="621"/>
      <c r="P289" s="626">
        <v>-8.5939695567855398E-2</v>
      </c>
      <c r="Q289" s="624">
        <v>-1724.7099999999991</v>
      </c>
      <c r="R289" s="621"/>
      <c r="S289" s="624">
        <v>11831.419999999995</v>
      </c>
      <c r="T289" s="568"/>
      <c r="U289" s="509"/>
      <c r="V289" s="509"/>
      <c r="W289" s="509"/>
      <c r="X289" s="509"/>
      <c r="Y289" s="509"/>
      <c r="Z289" s="509"/>
      <c r="AA289" s="509"/>
      <c r="AB289" s="509"/>
      <c r="AC289" s="509"/>
      <c r="AD289" s="509"/>
      <c r="AE289" s="509"/>
      <c r="AF289" s="509"/>
      <c r="AG289" s="509"/>
      <c r="AH289" s="509"/>
      <c r="AI289" s="509"/>
      <c r="AJ289" s="509"/>
      <c r="AK289" s="509"/>
      <c r="AL289" s="509"/>
      <c r="AM289" s="509"/>
      <c r="AN289" s="509"/>
    </row>
    <row r="290" spans="1:40" ht="15.75" customHeight="1" thickTop="1"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70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  <c r="AA290" s="509"/>
      <c r="AB290" s="509"/>
      <c r="AC290" s="509"/>
      <c r="AD290" s="509"/>
      <c r="AE290" s="509"/>
      <c r="AF290" s="509"/>
      <c r="AG290" s="509"/>
      <c r="AH290" s="509"/>
      <c r="AI290" s="509"/>
      <c r="AJ290" s="509"/>
      <c r="AK290" s="509"/>
      <c r="AL290" s="509"/>
      <c r="AM290" s="509"/>
      <c r="AN290" s="509"/>
    </row>
    <row r="291" spans="1:40" ht="36" customHeight="1">
      <c r="B291" s="509"/>
      <c r="C291" s="631" t="s">
        <v>477</v>
      </c>
      <c r="D291" s="497"/>
      <c r="E291" s="497"/>
      <c r="F291" s="497"/>
      <c r="G291" s="497"/>
      <c r="H291" s="495"/>
      <c r="I291" s="495"/>
      <c r="J291" s="495"/>
      <c r="K291" s="499" t="s">
        <v>103</v>
      </c>
      <c r="L291" s="497"/>
      <c r="M291" s="497"/>
      <c r="N291" s="495"/>
      <c r="O291" s="495"/>
      <c r="P291" s="497"/>
      <c r="Q291" s="495"/>
      <c r="R291" s="497"/>
      <c r="S291" s="632" t="s">
        <v>481</v>
      </c>
      <c r="T291" s="509"/>
      <c r="U291" s="509"/>
      <c r="V291" s="509"/>
      <c r="W291" s="509"/>
      <c r="X291" s="509"/>
      <c r="Y291" s="509"/>
      <c r="Z291" s="509"/>
      <c r="AA291" s="509"/>
      <c r="AB291" s="509"/>
      <c r="AC291" s="509"/>
      <c r="AD291" s="509"/>
      <c r="AE291" s="509"/>
      <c r="AF291" s="509"/>
      <c r="AG291" s="509"/>
      <c r="AH291" s="509"/>
      <c r="AI291" s="509"/>
      <c r="AJ291" s="509"/>
      <c r="AK291" s="509"/>
      <c r="AL291" s="509"/>
      <c r="AM291" s="509"/>
      <c r="AN291" s="509"/>
    </row>
    <row r="292" spans="1:40" ht="15.75" customHeight="1" thickBot="1">
      <c r="B292" s="509"/>
      <c r="C292" s="504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9"/>
      <c r="U292" s="509"/>
      <c r="V292" s="509"/>
      <c r="W292" s="509"/>
      <c r="X292" s="509"/>
      <c r="Y292" s="509"/>
      <c r="Z292" s="509"/>
      <c r="AA292" s="509"/>
      <c r="AB292" s="509"/>
      <c r="AC292" s="509"/>
      <c r="AD292" s="509"/>
      <c r="AE292" s="509"/>
      <c r="AF292" s="509"/>
      <c r="AG292" s="509"/>
      <c r="AH292" s="509"/>
      <c r="AI292" s="509"/>
      <c r="AJ292" s="509"/>
      <c r="AK292" s="509"/>
      <c r="AL292" s="509"/>
      <c r="AM292" s="509"/>
      <c r="AN292" s="509"/>
    </row>
    <row r="293" spans="1:40" ht="15.75" customHeight="1" thickTop="1">
      <c r="B293" s="509"/>
      <c r="C293" s="510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221</v>
      </c>
      <c r="N293" s="513"/>
      <c r="O293" s="511" t="s">
        <v>8</v>
      </c>
      <c r="P293" s="512"/>
      <c r="Q293" s="513"/>
      <c r="R293" s="514" t="s">
        <v>222</v>
      </c>
      <c r="S293" s="513"/>
      <c r="T293" s="509"/>
      <c r="U293" s="509"/>
      <c r="V293" s="509"/>
      <c r="W293" s="509"/>
      <c r="X293" s="509"/>
      <c r="Y293" s="509"/>
      <c r="Z293" s="509"/>
      <c r="AA293" s="509"/>
      <c r="AB293" s="509"/>
      <c r="AC293" s="509"/>
      <c r="AD293" s="509"/>
      <c r="AE293" s="509"/>
      <c r="AF293" s="509"/>
      <c r="AG293" s="509"/>
      <c r="AH293" s="509"/>
      <c r="AI293" s="509"/>
      <c r="AJ293" s="509"/>
      <c r="AK293" s="509"/>
      <c r="AL293" s="509"/>
      <c r="AM293" s="509"/>
      <c r="AN293" s="509"/>
    </row>
    <row r="294" spans="1:40" ht="15.75" customHeight="1">
      <c r="A294" s="494" t="s">
        <v>103</v>
      </c>
      <c r="B294" s="509" t="s">
        <v>103</v>
      </c>
      <c r="C294" s="529"/>
      <c r="D294" s="572" t="s">
        <v>84</v>
      </c>
      <c r="E294" s="572" t="s">
        <v>104</v>
      </c>
      <c r="F294" s="654" t="s">
        <v>12</v>
      </c>
      <c r="G294" s="655"/>
      <c r="H294" s="572"/>
      <c r="I294" s="654"/>
      <c r="J294" s="655" t="s">
        <v>84</v>
      </c>
      <c r="K294" s="572" t="s">
        <v>104</v>
      </c>
      <c r="L294" s="654" t="s">
        <v>12</v>
      </c>
      <c r="M294" s="655" t="s">
        <v>40</v>
      </c>
      <c r="N294" s="654" t="s">
        <v>336</v>
      </c>
      <c r="O294" s="572" t="s">
        <v>84</v>
      </c>
      <c r="P294" s="572" t="s">
        <v>104</v>
      </c>
      <c r="Q294" s="654" t="s">
        <v>12</v>
      </c>
      <c r="R294" s="655" t="s">
        <v>85</v>
      </c>
      <c r="S294" s="654" t="s">
        <v>12</v>
      </c>
      <c r="T294" s="509"/>
      <c r="U294" s="509"/>
      <c r="V294" s="509"/>
      <c r="W294" s="509"/>
      <c r="X294" s="509"/>
      <c r="Y294" s="509"/>
      <c r="Z294" s="509"/>
      <c r="AA294" s="509"/>
      <c r="AB294" s="509"/>
      <c r="AC294" s="509"/>
      <c r="AD294" s="509"/>
      <c r="AE294" s="509"/>
      <c r="AF294" s="509"/>
      <c r="AG294" s="509"/>
      <c r="AH294" s="509"/>
      <c r="AI294" s="509"/>
      <c r="AJ294" s="509"/>
      <c r="AK294" s="509"/>
      <c r="AL294" s="509"/>
      <c r="AM294" s="509"/>
      <c r="AN294" s="509"/>
    </row>
    <row r="295" spans="1:40" ht="15.75" customHeight="1">
      <c r="A295" s="494" t="s">
        <v>405</v>
      </c>
      <c r="B295" s="509" t="s">
        <v>103</v>
      </c>
      <c r="C295" s="529" t="s">
        <v>105</v>
      </c>
      <c r="D295" s="570">
        <v>179994.55319999999</v>
      </c>
      <c r="E295" s="644">
        <v>0.34200000000000003</v>
      </c>
      <c r="F295" s="555">
        <v>61558.137194400006</v>
      </c>
      <c r="G295" s="570"/>
      <c r="H295" s="644"/>
      <c r="I295" s="555"/>
      <c r="J295" s="530">
        <v>94158.54</v>
      </c>
      <c r="K295" s="644">
        <v>0.39031595009863151</v>
      </c>
      <c r="L295" s="555">
        <v>36751.579999999994</v>
      </c>
      <c r="M295" s="574">
        <v>-0.47688117042421707</v>
      </c>
      <c r="N295" s="555">
        <v>-24806.557194400011</v>
      </c>
      <c r="O295" s="530">
        <v>103800.09</v>
      </c>
      <c r="P295" s="644">
        <v>0.31221562524656771</v>
      </c>
      <c r="Q295" s="555">
        <v>32408.01</v>
      </c>
      <c r="R295" s="574">
        <v>-9.2885757613504996E-2</v>
      </c>
      <c r="S295" s="555">
        <v>4343.5699999999961</v>
      </c>
      <c r="T295" s="509"/>
      <c r="U295" s="509"/>
      <c r="V295" s="509"/>
      <c r="W295" s="509"/>
      <c r="X295" s="509"/>
      <c r="Y295" s="509"/>
      <c r="Z295" s="509"/>
      <c r="AA295" s="509"/>
      <c r="AB295" s="509"/>
      <c r="AC295" s="509"/>
      <c r="AD295" s="509"/>
      <c r="AE295" s="509"/>
      <c r="AF295" s="509"/>
      <c r="AG295" s="509"/>
      <c r="AH295" s="509"/>
      <c r="AI295" s="509"/>
      <c r="AJ295" s="509"/>
      <c r="AK295" s="509"/>
      <c r="AL295" s="509"/>
      <c r="AM295" s="509"/>
      <c r="AN295" s="509"/>
    </row>
    <row r="296" spans="1:40" ht="15.75" customHeight="1">
      <c r="A296" s="494" t="s">
        <v>406</v>
      </c>
      <c r="B296" s="509" t="s">
        <v>103</v>
      </c>
      <c r="C296" s="529" t="s">
        <v>106</v>
      </c>
      <c r="D296" s="570">
        <v>67540.913915572368</v>
      </c>
      <c r="E296" s="644">
        <v>0.248</v>
      </c>
      <c r="F296" s="555">
        <v>16750.146651061947</v>
      </c>
      <c r="G296" s="570"/>
      <c r="H296" s="644"/>
      <c r="I296" s="555"/>
      <c r="J296" s="530">
        <v>39357.14</v>
      </c>
      <c r="K296" s="644">
        <v>0.23324890985473021</v>
      </c>
      <c r="L296" s="555">
        <v>9180.0099999999966</v>
      </c>
      <c r="M296" s="574">
        <v>-0.41728446184193935</v>
      </c>
      <c r="N296" s="555">
        <v>-7570.13665106195</v>
      </c>
      <c r="O296" s="530">
        <v>10030.48</v>
      </c>
      <c r="P296" s="644">
        <v>0.32753666823521804</v>
      </c>
      <c r="Q296" s="555">
        <v>3285.3499999999899</v>
      </c>
      <c r="R296" s="574">
        <v>2.9237543965991657</v>
      </c>
      <c r="S296" s="555">
        <v>5894.6600000000071</v>
      </c>
      <c r="T296" s="509"/>
      <c r="U296" s="509"/>
      <c r="V296" s="509"/>
      <c r="W296" s="509"/>
      <c r="X296" s="509"/>
      <c r="Y296" s="509"/>
      <c r="Z296" s="509"/>
      <c r="AA296" s="509"/>
      <c r="AB296" s="509"/>
      <c r="AC296" s="509"/>
      <c r="AD296" s="509"/>
      <c r="AE296" s="509"/>
      <c r="AF296" s="509"/>
      <c r="AG296" s="509"/>
      <c r="AH296" s="509"/>
      <c r="AI296" s="509"/>
      <c r="AJ296" s="509"/>
      <c r="AK296" s="509"/>
      <c r="AL296" s="509"/>
      <c r="AM296" s="509"/>
      <c r="AN296" s="509"/>
    </row>
    <row r="297" spans="1:40" ht="15.75" customHeight="1">
      <c r="A297" s="494" t="s">
        <v>407</v>
      </c>
      <c r="B297" s="509" t="s">
        <v>103</v>
      </c>
      <c r="C297" s="529" t="s">
        <v>107</v>
      </c>
      <c r="D297" s="570">
        <v>66852</v>
      </c>
      <c r="E297" s="644">
        <v>0.24299999999999999</v>
      </c>
      <c r="F297" s="555">
        <v>16245.036</v>
      </c>
      <c r="G297" s="570"/>
      <c r="H297" s="644"/>
      <c r="I297" s="555"/>
      <c r="J297" s="530">
        <v>30357.78</v>
      </c>
      <c r="K297" s="644">
        <v>0.24208786017949929</v>
      </c>
      <c r="L297" s="555">
        <v>7349.25</v>
      </c>
      <c r="M297" s="574">
        <v>-0.54589570992640457</v>
      </c>
      <c r="N297" s="555">
        <v>-8895.7860000000001</v>
      </c>
      <c r="O297" s="530">
        <v>50247.839999999997</v>
      </c>
      <c r="P297" s="644">
        <v>0.24430383475189979</v>
      </c>
      <c r="Q297" s="555">
        <v>12275.7399999999</v>
      </c>
      <c r="R297" s="574">
        <v>-0.39583910472569567</v>
      </c>
      <c r="S297" s="555">
        <v>-4926.4899999998997</v>
      </c>
      <c r="T297" s="509"/>
      <c r="U297" s="509"/>
      <c r="V297" s="509"/>
      <c r="W297" s="509"/>
      <c r="X297" s="509"/>
      <c r="Y297" s="509"/>
      <c r="Z297" s="509"/>
      <c r="AA297" s="509"/>
      <c r="AB297" s="509"/>
      <c r="AC297" s="509"/>
      <c r="AD297" s="509"/>
      <c r="AE297" s="509"/>
      <c r="AF297" s="509"/>
      <c r="AG297" s="509"/>
      <c r="AH297" s="509"/>
      <c r="AI297" s="509"/>
      <c r="AJ297" s="509"/>
      <c r="AK297" s="509"/>
      <c r="AL297" s="509"/>
      <c r="AM297" s="509"/>
      <c r="AN297" s="509"/>
    </row>
    <row r="298" spans="1:40" ht="15.75" customHeight="1">
      <c r="A298" s="494" t="s">
        <v>408</v>
      </c>
      <c r="B298" s="509" t="s">
        <v>103</v>
      </c>
      <c r="C298" s="529" t="s">
        <v>108</v>
      </c>
      <c r="D298" s="570">
        <v>46178.307044285575</v>
      </c>
      <c r="E298" s="644">
        <v>0.316</v>
      </c>
      <c r="F298" s="555">
        <v>14592.345025994242</v>
      </c>
      <c r="G298" s="570"/>
      <c r="H298" s="644"/>
      <c r="I298" s="555"/>
      <c r="J298" s="530">
        <v>42372.56</v>
      </c>
      <c r="K298" s="644">
        <v>0.28409588658320384</v>
      </c>
      <c r="L298" s="555">
        <v>12037.869999999999</v>
      </c>
      <c r="M298" s="574">
        <v>-8.2414174270958401E-2</v>
      </c>
      <c r="N298" s="555">
        <v>-2554.475025994243</v>
      </c>
      <c r="O298" s="530">
        <v>24960.95</v>
      </c>
      <c r="P298" s="644">
        <v>0.31938207480083891</v>
      </c>
      <c r="Q298" s="555">
        <v>7972.08</v>
      </c>
      <c r="R298" s="574">
        <v>0.69755397931569096</v>
      </c>
      <c r="S298" s="555">
        <v>4065.7899999999991</v>
      </c>
      <c r="T298" s="509"/>
      <c r="U298" s="509"/>
      <c r="V298" s="509"/>
      <c r="W298" s="509"/>
      <c r="X298" s="509"/>
      <c r="Y298" s="509"/>
      <c r="Z298" s="509"/>
      <c r="AA298" s="509"/>
      <c r="AB298" s="509"/>
      <c r="AC298" s="509"/>
      <c r="AD298" s="509"/>
      <c r="AE298" s="509"/>
      <c r="AF298" s="509"/>
      <c r="AG298" s="509"/>
      <c r="AH298" s="509"/>
      <c r="AI298" s="509"/>
      <c r="AJ298" s="509"/>
      <c r="AK298" s="509"/>
      <c r="AL298" s="509"/>
      <c r="AM298" s="509"/>
      <c r="AN298" s="509"/>
    </row>
    <row r="299" spans="1:40" ht="15.75" customHeight="1">
      <c r="A299" s="494" t="s">
        <v>409</v>
      </c>
      <c r="B299" s="509" t="s">
        <v>103</v>
      </c>
      <c r="C299" s="529" t="s">
        <v>109</v>
      </c>
      <c r="D299" s="570">
        <v>25563.600000000002</v>
      </c>
      <c r="E299" s="644">
        <v>0.26500000000000001</v>
      </c>
      <c r="F299" s="555">
        <v>6774.3540000000012</v>
      </c>
      <c r="G299" s="570"/>
      <c r="H299" s="644"/>
      <c r="I299" s="555"/>
      <c r="J299" s="530">
        <v>21891.26</v>
      </c>
      <c r="K299" s="644">
        <v>0.31894829260627294</v>
      </c>
      <c r="L299" s="555">
        <v>6982.1799999999985</v>
      </c>
      <c r="M299" s="574">
        <v>-0.14365504076108229</v>
      </c>
      <c r="N299" s="555">
        <v>207.82599999999729</v>
      </c>
      <c r="O299" s="530">
        <v>19409.09</v>
      </c>
      <c r="P299" s="644">
        <v>0.26700582046865673</v>
      </c>
      <c r="Q299" s="555">
        <v>5182.34</v>
      </c>
      <c r="R299" s="574">
        <v>0.12788698491273925</v>
      </c>
      <c r="S299" s="555">
        <v>1799.8399999999983</v>
      </c>
      <c r="T299" s="509"/>
      <c r="U299" s="509"/>
      <c r="V299" s="509"/>
      <c r="W299" s="509"/>
      <c r="X299" s="509"/>
      <c r="Y299" s="509"/>
      <c r="Z299" s="509"/>
      <c r="AA299" s="509"/>
      <c r="AB299" s="509"/>
      <c r="AC299" s="509"/>
      <c r="AD299" s="509"/>
      <c r="AE299" s="509"/>
      <c r="AF299" s="509"/>
      <c r="AG299" s="509"/>
      <c r="AH299" s="509"/>
      <c r="AI299" s="509"/>
      <c r="AJ299" s="509"/>
      <c r="AK299" s="509"/>
      <c r="AL299" s="509"/>
      <c r="AM299" s="509"/>
      <c r="AN299" s="509"/>
    </row>
    <row r="300" spans="1:40" ht="15.75" customHeight="1">
      <c r="A300" s="494" t="s">
        <v>410</v>
      </c>
      <c r="B300" s="509" t="s">
        <v>103</v>
      </c>
      <c r="C300" s="529" t="s">
        <v>110</v>
      </c>
      <c r="D300" s="570">
        <v>114574.82119492393</v>
      </c>
      <c r="E300" s="644">
        <v>0.14499999999999999</v>
      </c>
      <c r="F300" s="555">
        <v>16613.349073263969</v>
      </c>
      <c r="G300" s="570"/>
      <c r="H300" s="644"/>
      <c r="I300" s="555"/>
      <c r="J300" s="530">
        <v>169839.65</v>
      </c>
      <c r="K300" s="644">
        <v>0.13764453706775762</v>
      </c>
      <c r="L300" s="555">
        <v>23377.499999999978</v>
      </c>
      <c r="M300" s="574">
        <v>0.48234706568780128</v>
      </c>
      <c r="N300" s="555">
        <v>6764.1509267360088</v>
      </c>
      <c r="O300" s="530">
        <v>110639.22</v>
      </c>
      <c r="P300" s="644">
        <v>0.1786696435495469</v>
      </c>
      <c r="Q300" s="555">
        <v>19767.869999999901</v>
      </c>
      <c r="R300" s="574">
        <v>0.53507634995980624</v>
      </c>
      <c r="S300" s="555">
        <v>3609.6300000000774</v>
      </c>
      <c r="T300" s="509"/>
      <c r="U300" s="509"/>
      <c r="V300" s="509"/>
      <c r="W300" s="509"/>
      <c r="X300" s="509"/>
      <c r="Y300" s="509"/>
      <c r="Z300" s="509"/>
      <c r="AA300" s="509"/>
      <c r="AB300" s="509"/>
      <c r="AC300" s="509"/>
      <c r="AD300" s="509"/>
      <c r="AE300" s="509"/>
      <c r="AF300" s="509"/>
      <c r="AG300" s="509"/>
      <c r="AH300" s="509"/>
      <c r="AI300" s="509"/>
      <c r="AJ300" s="509"/>
      <c r="AK300" s="509"/>
      <c r="AL300" s="509"/>
      <c r="AM300" s="509"/>
      <c r="AN300" s="509"/>
    </row>
    <row r="301" spans="1:40" ht="15.75" hidden="1" customHeight="1">
      <c r="A301" s="494" t="s">
        <v>411</v>
      </c>
      <c r="B301" s="509" t="s">
        <v>103</v>
      </c>
      <c r="C301" s="529" t="s">
        <v>20</v>
      </c>
      <c r="D301" s="570">
        <v>0</v>
      </c>
      <c r="E301" s="644">
        <v>0</v>
      </c>
      <c r="F301" s="555">
        <v>0</v>
      </c>
      <c r="G301" s="570"/>
      <c r="H301" s="644"/>
      <c r="I301" s="555"/>
      <c r="J301" s="530">
        <v>0</v>
      </c>
      <c r="K301" s="644">
        <v>0</v>
      </c>
      <c r="L301" s="555">
        <v>0</v>
      </c>
      <c r="M301" s="574" t="e">
        <v>#DIV/0!</v>
      </c>
      <c r="N301" s="555">
        <v>0</v>
      </c>
      <c r="O301" s="530">
        <v>0</v>
      </c>
      <c r="P301" s="644">
        <v>0</v>
      </c>
      <c r="Q301" s="555">
        <v>0</v>
      </c>
      <c r="R301" s="574">
        <v>0</v>
      </c>
      <c r="S301" s="555">
        <v>0</v>
      </c>
      <c r="T301" s="509"/>
      <c r="U301" s="509"/>
      <c r="V301" s="509"/>
      <c r="W301" s="509"/>
      <c r="X301" s="509"/>
      <c r="Y301" s="509"/>
      <c r="Z301" s="509"/>
      <c r="AA301" s="509"/>
      <c r="AB301" s="509"/>
      <c r="AC301" s="509"/>
      <c r="AD301" s="509"/>
      <c r="AE301" s="509"/>
      <c r="AF301" s="509"/>
      <c r="AG301" s="509"/>
      <c r="AH301" s="509"/>
      <c r="AI301" s="509"/>
      <c r="AJ301" s="509"/>
      <c r="AK301" s="509"/>
      <c r="AL301" s="509"/>
      <c r="AM301" s="509"/>
      <c r="AN301" s="509"/>
    </row>
    <row r="302" spans="1:40" ht="15.75" customHeight="1">
      <c r="A302" s="494" t="s">
        <v>412</v>
      </c>
      <c r="B302" s="509" t="s">
        <v>103</v>
      </c>
      <c r="C302" s="529" t="s">
        <v>111</v>
      </c>
      <c r="D302" s="570">
        <v>0</v>
      </c>
      <c r="E302" s="644">
        <v>0</v>
      </c>
      <c r="F302" s="555">
        <v>9161.6554983934057</v>
      </c>
      <c r="G302" s="570"/>
      <c r="H302" s="644"/>
      <c r="I302" s="555"/>
      <c r="J302" s="530">
        <v>0</v>
      </c>
      <c r="K302" s="644">
        <v>0</v>
      </c>
      <c r="L302" s="555">
        <v>17862.830000000002</v>
      </c>
      <c r="M302" s="574"/>
      <c r="N302" s="555">
        <v>8701.1745016065961</v>
      </c>
      <c r="O302" s="530">
        <v>0</v>
      </c>
      <c r="P302" s="644">
        <v>0</v>
      </c>
      <c r="Q302" s="555">
        <v>13912.76</v>
      </c>
      <c r="R302" s="574">
        <v>0</v>
      </c>
      <c r="S302" s="555">
        <v>3950.0700000000015</v>
      </c>
      <c r="T302" s="509"/>
      <c r="U302" s="509"/>
      <c r="V302" s="509"/>
      <c r="W302" s="509"/>
      <c r="X302" s="509"/>
      <c r="Y302" s="509"/>
      <c r="Z302" s="509"/>
      <c r="AA302" s="509"/>
      <c r="AB302" s="509"/>
      <c r="AC302" s="509"/>
      <c r="AD302" s="509"/>
      <c r="AE302" s="509"/>
      <c r="AF302" s="509"/>
      <c r="AG302" s="509"/>
      <c r="AH302" s="509"/>
      <c r="AI302" s="509"/>
      <c r="AJ302" s="509"/>
      <c r="AK302" s="509"/>
      <c r="AL302" s="509"/>
      <c r="AM302" s="509"/>
      <c r="AN302" s="509"/>
    </row>
    <row r="303" spans="1:40" ht="15.75" customHeight="1">
      <c r="A303" s="494" t="s">
        <v>413</v>
      </c>
      <c r="B303" s="509" t="s">
        <v>103</v>
      </c>
      <c r="C303" s="522" t="s">
        <v>112</v>
      </c>
      <c r="D303" s="570">
        <v>0</v>
      </c>
      <c r="E303" s="644">
        <v>0</v>
      </c>
      <c r="F303" s="555">
        <v>0</v>
      </c>
      <c r="G303" s="570"/>
      <c r="H303" s="644"/>
      <c r="I303" s="555"/>
      <c r="J303" s="530">
        <v>0</v>
      </c>
      <c r="K303" s="644">
        <v>0</v>
      </c>
      <c r="L303" s="555">
        <v>0</v>
      </c>
      <c r="M303" s="574"/>
      <c r="N303" s="555">
        <v>0</v>
      </c>
      <c r="O303" s="530">
        <v>0</v>
      </c>
      <c r="P303" s="644">
        <v>0</v>
      </c>
      <c r="Q303" s="555">
        <v>0</v>
      </c>
      <c r="R303" s="574">
        <v>0</v>
      </c>
      <c r="S303" s="555">
        <v>0</v>
      </c>
      <c r="T303" s="509"/>
      <c r="U303" s="509"/>
      <c r="V303" s="509"/>
      <c r="W303" s="509"/>
      <c r="X303" s="509"/>
      <c r="Y303" s="509"/>
      <c r="Z303" s="509"/>
      <c r="AA303" s="509"/>
      <c r="AB303" s="509"/>
      <c r="AC303" s="509"/>
      <c r="AD303" s="509"/>
      <c r="AE303" s="509"/>
      <c r="AF303" s="509"/>
      <c r="AG303" s="509"/>
      <c r="AH303" s="509"/>
      <c r="AI303" s="509"/>
      <c r="AJ303" s="509"/>
      <c r="AK303" s="509"/>
      <c r="AL303" s="509"/>
      <c r="AM303" s="509"/>
      <c r="AN303" s="509"/>
    </row>
    <row r="304" spans="1:40" ht="15.75" customHeight="1">
      <c r="A304" s="494" t="s">
        <v>414</v>
      </c>
      <c r="B304" s="509" t="s">
        <v>103</v>
      </c>
      <c r="C304" s="548" t="s">
        <v>113</v>
      </c>
      <c r="D304" s="684">
        <v>500704.19535478187</v>
      </c>
      <c r="E304" s="704">
        <v>0.28299148430884091</v>
      </c>
      <c r="F304" s="686">
        <v>141695.02344311358</v>
      </c>
      <c r="G304" s="684"/>
      <c r="H304" s="704"/>
      <c r="I304" s="686"/>
      <c r="J304" s="684">
        <v>397976.93</v>
      </c>
      <c r="K304" s="704">
        <v>0.28529598436773701</v>
      </c>
      <c r="L304" s="686">
        <v>113541.21999999996</v>
      </c>
      <c r="M304" s="705">
        <v>-0.2051655774164082</v>
      </c>
      <c r="N304" s="686">
        <v>-28153.803443113618</v>
      </c>
      <c r="O304" s="684">
        <v>319087.67</v>
      </c>
      <c r="P304" s="704">
        <v>0.29711003875517905</v>
      </c>
      <c r="Q304" s="686">
        <v>94804.149999999776</v>
      </c>
      <c r="R304" s="705">
        <v>0.2472338088149881</v>
      </c>
      <c r="S304" s="686">
        <v>18737.070000000182</v>
      </c>
      <c r="T304" s="509"/>
      <c r="U304" s="509"/>
      <c r="V304" s="509"/>
      <c r="W304" s="509"/>
      <c r="X304" s="509"/>
      <c r="Y304" s="509"/>
      <c r="Z304" s="509"/>
      <c r="AA304" s="509"/>
      <c r="AB304" s="509"/>
      <c r="AC304" s="509"/>
      <c r="AD304" s="509"/>
      <c r="AE304" s="509"/>
      <c r="AF304" s="509"/>
      <c r="AG304" s="509"/>
      <c r="AH304" s="509"/>
      <c r="AI304" s="509"/>
      <c r="AJ304" s="509"/>
      <c r="AK304" s="509"/>
      <c r="AL304" s="509"/>
      <c r="AM304" s="509"/>
      <c r="AN304" s="509"/>
    </row>
    <row r="305" spans="1:40" ht="15.75" customHeight="1">
      <c r="A305" s="494" t="s">
        <v>103</v>
      </c>
      <c r="B305" s="509" t="s">
        <v>103</v>
      </c>
      <c r="C305" s="529"/>
      <c r="D305" s="509"/>
      <c r="E305" s="509"/>
      <c r="F305" s="539"/>
      <c r="G305" s="529"/>
      <c r="H305" s="509"/>
      <c r="I305" s="539"/>
      <c r="J305" s="529"/>
      <c r="K305" s="509"/>
      <c r="L305" s="539"/>
      <c r="M305" s="529"/>
      <c r="N305" s="547">
        <v>-0.19869295871507126</v>
      </c>
      <c r="O305" s="529"/>
      <c r="P305" s="509"/>
      <c r="Q305" s="539"/>
      <c r="R305" s="529"/>
      <c r="S305" s="547">
        <v>0.19763976576974981</v>
      </c>
      <c r="T305" s="509"/>
      <c r="U305" s="509"/>
      <c r="V305" s="509"/>
      <c r="W305" s="509"/>
      <c r="X305" s="509"/>
      <c r="Y305" s="509"/>
      <c r="Z305" s="509"/>
      <c r="AA305" s="509"/>
      <c r="AB305" s="509"/>
      <c r="AC305" s="509"/>
      <c r="AD305" s="509"/>
      <c r="AE305" s="509"/>
      <c r="AF305" s="509"/>
      <c r="AG305" s="509"/>
      <c r="AH305" s="509"/>
      <c r="AI305" s="509"/>
      <c r="AJ305" s="509"/>
      <c r="AK305" s="509"/>
      <c r="AL305" s="509"/>
      <c r="AM305" s="509"/>
      <c r="AN305" s="509"/>
    </row>
    <row r="306" spans="1:40" ht="15.75" customHeight="1">
      <c r="A306" s="494" t="s">
        <v>103</v>
      </c>
      <c r="B306" s="509" t="s">
        <v>103</v>
      </c>
      <c r="C306" s="522"/>
      <c r="D306" s="603"/>
      <c r="E306" s="603"/>
      <c r="F306" s="706"/>
      <c r="G306" s="522"/>
      <c r="H306" s="603"/>
      <c r="I306" s="706"/>
      <c r="J306" s="522"/>
      <c r="K306" s="603"/>
      <c r="L306" s="706"/>
      <c r="M306" s="522"/>
      <c r="N306" s="664"/>
      <c r="O306" s="522"/>
      <c r="P306" s="603"/>
      <c r="Q306" s="706"/>
      <c r="R306" s="522"/>
      <c r="S306" s="664"/>
      <c r="T306" s="509"/>
      <c r="U306" s="509"/>
      <c r="V306" s="509"/>
      <c r="W306" s="509"/>
      <c r="X306" s="509"/>
      <c r="Y306" s="509"/>
      <c r="Z306" s="509"/>
      <c r="AA306" s="509"/>
      <c r="AB306" s="509"/>
      <c r="AC306" s="509"/>
      <c r="AD306" s="509"/>
      <c r="AE306" s="509"/>
      <c r="AF306" s="509"/>
      <c r="AG306" s="509"/>
      <c r="AH306" s="509"/>
      <c r="AI306" s="509"/>
      <c r="AJ306" s="509"/>
      <c r="AK306" s="509"/>
      <c r="AL306" s="509"/>
      <c r="AM306" s="509"/>
      <c r="AN306" s="509"/>
    </row>
    <row r="307" spans="1:40" ht="15.75" customHeight="1">
      <c r="A307" s="494" t="s">
        <v>415</v>
      </c>
      <c r="B307" s="509" t="s">
        <v>103</v>
      </c>
      <c r="C307" s="529" t="s">
        <v>114</v>
      </c>
      <c r="D307" s="570">
        <v>56512.9</v>
      </c>
      <c r="E307" s="644">
        <v>0.18</v>
      </c>
      <c r="F307" s="602">
        <v>10172.322</v>
      </c>
      <c r="G307" s="570"/>
      <c r="H307" s="644"/>
      <c r="I307" s="602"/>
      <c r="J307" s="530">
        <v>33810.450000000004</v>
      </c>
      <c r="K307" s="644">
        <v>0.15712154082539578</v>
      </c>
      <c r="L307" s="602">
        <v>5312.350000000004</v>
      </c>
      <c r="M307" s="574">
        <v>-0.4017215538399197</v>
      </c>
      <c r="N307" s="555">
        <v>-4859.9719999999961</v>
      </c>
      <c r="O307" s="530">
        <v>30345.22</v>
      </c>
      <c r="P307" s="644">
        <v>0.16760069625463253</v>
      </c>
      <c r="Q307" s="602">
        <v>5085.88</v>
      </c>
      <c r="R307" s="574">
        <v>0.11419360281454552</v>
      </c>
      <c r="S307" s="555">
        <v>226.47000000000389</v>
      </c>
      <c r="T307" s="509"/>
      <c r="U307" s="509"/>
      <c r="V307" s="509"/>
      <c r="W307" s="509"/>
      <c r="X307" s="509"/>
      <c r="Y307" s="509"/>
      <c r="Z307" s="509"/>
      <c r="AA307" s="509"/>
      <c r="AB307" s="509"/>
      <c r="AC307" s="509"/>
      <c r="AD307" s="509"/>
      <c r="AE307" s="509"/>
      <c r="AF307" s="509"/>
      <c r="AG307" s="509"/>
      <c r="AH307" s="509"/>
      <c r="AI307" s="509"/>
      <c r="AJ307" s="509"/>
      <c r="AK307" s="509"/>
      <c r="AL307" s="509"/>
      <c r="AM307" s="509"/>
      <c r="AN307" s="509"/>
    </row>
    <row r="308" spans="1:40" ht="15.75" customHeight="1">
      <c r="A308" s="494" t="s">
        <v>416</v>
      </c>
      <c r="B308" s="509" t="s">
        <v>103</v>
      </c>
      <c r="C308" s="522" t="s">
        <v>115</v>
      </c>
      <c r="D308" s="570">
        <v>34834.224999999999</v>
      </c>
      <c r="E308" s="644">
        <v>0.26</v>
      </c>
      <c r="F308" s="579">
        <v>9056.8984999999993</v>
      </c>
      <c r="G308" s="570"/>
      <c r="H308" s="644"/>
      <c r="I308" s="579"/>
      <c r="J308" s="530">
        <v>27235.040000000001</v>
      </c>
      <c r="K308" s="644">
        <v>0.26812554708933783</v>
      </c>
      <c r="L308" s="579">
        <v>7302.41</v>
      </c>
      <c r="M308" s="574">
        <v>-0.21815283675752792</v>
      </c>
      <c r="N308" s="555">
        <v>-1754.4884999999995</v>
      </c>
      <c r="O308" s="530">
        <v>23693.71</v>
      </c>
      <c r="P308" s="644">
        <v>0.25796593273066948</v>
      </c>
      <c r="Q308" s="579">
        <v>6112.1699999999901</v>
      </c>
      <c r="R308" s="574">
        <v>0.14946287432402955</v>
      </c>
      <c r="S308" s="555">
        <v>1190.2400000000098</v>
      </c>
      <c r="T308" s="509"/>
      <c r="U308" s="509"/>
      <c r="V308" s="509"/>
      <c r="W308" s="509"/>
      <c r="X308" s="509"/>
      <c r="Y308" s="509"/>
      <c r="Z308" s="509"/>
      <c r="AA308" s="509"/>
      <c r="AB308" s="509"/>
      <c r="AC308" s="509"/>
      <c r="AD308" s="509"/>
      <c r="AE308" s="509"/>
      <c r="AF308" s="509"/>
      <c r="AG308" s="509"/>
      <c r="AH308" s="509"/>
      <c r="AI308" s="509"/>
      <c r="AJ308" s="509"/>
      <c r="AK308" s="509"/>
      <c r="AL308" s="509"/>
      <c r="AM308" s="509"/>
      <c r="AN308" s="509"/>
    </row>
    <row r="309" spans="1:40" ht="15.75" customHeight="1">
      <c r="A309" s="494" t="s">
        <v>417</v>
      </c>
      <c r="B309" s="509" t="s">
        <v>103</v>
      </c>
      <c r="C309" s="548" t="s">
        <v>116</v>
      </c>
      <c r="D309" s="684">
        <v>592051.32035478181</v>
      </c>
      <c r="E309" s="704">
        <v>0.27180793017517652</v>
      </c>
      <c r="F309" s="686">
        <v>160924.2439431136</v>
      </c>
      <c r="G309" s="687"/>
      <c r="H309" s="704"/>
      <c r="I309" s="686"/>
      <c r="J309" s="687">
        <v>459022.42</v>
      </c>
      <c r="K309" s="704">
        <v>0.27483620516836621</v>
      </c>
      <c r="L309" s="686">
        <v>126155.97999999997</v>
      </c>
      <c r="M309" s="705">
        <v>-0.22469150187025236</v>
      </c>
      <c r="N309" s="686">
        <v>-34768.263943113634</v>
      </c>
      <c r="O309" s="687">
        <v>373126.60000000003</v>
      </c>
      <c r="P309" s="704">
        <v>0.28409178010894898</v>
      </c>
      <c r="Q309" s="686">
        <v>106002.19999999976</v>
      </c>
      <c r="R309" s="705">
        <v>0.23020556561767491</v>
      </c>
      <c r="S309" s="686">
        <v>20153.780000000203</v>
      </c>
      <c r="T309" s="509"/>
      <c r="U309" s="509"/>
      <c r="V309" s="509"/>
      <c r="W309" s="509"/>
      <c r="X309" s="509"/>
      <c r="Y309" s="509"/>
      <c r="Z309" s="509"/>
      <c r="AA309" s="509"/>
      <c r="AB309" s="509"/>
      <c r="AC309" s="509"/>
      <c r="AD309" s="509"/>
      <c r="AE309" s="509"/>
      <c r="AF309" s="509"/>
      <c r="AG309" s="509"/>
      <c r="AH309" s="509"/>
      <c r="AI309" s="509"/>
      <c r="AJ309" s="509"/>
      <c r="AK309" s="509"/>
      <c r="AL309" s="509"/>
      <c r="AM309" s="509"/>
      <c r="AN309" s="509"/>
    </row>
    <row r="310" spans="1:40" ht="15.75" customHeight="1">
      <c r="A310" s="494" t="s">
        <v>103</v>
      </c>
      <c r="B310" s="509" t="s">
        <v>103</v>
      </c>
      <c r="C310" s="529"/>
      <c r="D310" s="509"/>
      <c r="E310" s="509"/>
      <c r="F310" s="539"/>
      <c r="G310" s="529"/>
      <c r="H310" s="509"/>
      <c r="I310" s="539"/>
      <c r="J310" s="529"/>
      <c r="K310" s="509"/>
      <c r="L310" s="539"/>
      <c r="M310" s="529"/>
      <c r="N310" s="547">
        <v>-0.21605361063808476</v>
      </c>
      <c r="O310" s="529"/>
      <c r="P310" s="509"/>
      <c r="Q310" s="539"/>
      <c r="R310" s="529"/>
      <c r="S310" s="547">
        <v>0.19012605398756108</v>
      </c>
      <c r="T310" s="509"/>
      <c r="U310" s="509"/>
      <c r="V310" s="509"/>
      <c r="W310" s="509"/>
      <c r="X310" s="509"/>
      <c r="Y310" s="509"/>
      <c r="Z310" s="509"/>
      <c r="AA310" s="509"/>
      <c r="AB310" s="509"/>
      <c r="AC310" s="509"/>
      <c r="AD310" s="509"/>
      <c r="AE310" s="509"/>
      <c r="AF310" s="509"/>
      <c r="AG310" s="509"/>
      <c r="AH310" s="509"/>
      <c r="AI310" s="509"/>
      <c r="AJ310" s="509"/>
      <c r="AK310" s="509"/>
      <c r="AL310" s="509"/>
      <c r="AM310" s="509"/>
      <c r="AN310" s="509"/>
    </row>
    <row r="311" spans="1:40" ht="15.75" customHeight="1">
      <c r="A311" s="494" t="s">
        <v>103</v>
      </c>
      <c r="B311" s="509" t="s">
        <v>103</v>
      </c>
      <c r="C311" s="529"/>
      <c r="D311" s="509"/>
      <c r="E311" s="509"/>
      <c r="F311" s="539"/>
      <c r="G311" s="529"/>
      <c r="H311" s="509"/>
      <c r="I311" s="539"/>
      <c r="J311" s="529"/>
      <c r="K311" s="509"/>
      <c r="L311" s="539"/>
      <c r="M311" s="529"/>
      <c r="N311" s="547"/>
      <c r="O311" s="529"/>
      <c r="P311" s="509"/>
      <c r="Q311" s="539"/>
      <c r="R311" s="529"/>
      <c r="S311" s="547"/>
      <c r="T311" s="509"/>
      <c r="U311" s="509"/>
      <c r="V311" s="509"/>
      <c r="W311" s="509"/>
      <c r="X311" s="509"/>
      <c r="Y311" s="509"/>
      <c r="Z311" s="509"/>
      <c r="AA311" s="509"/>
      <c r="AB311" s="509"/>
      <c r="AC311" s="509"/>
      <c r="AD311" s="509"/>
      <c r="AE311" s="509"/>
      <c r="AF311" s="509"/>
      <c r="AG311" s="509"/>
      <c r="AH311" s="509"/>
      <c r="AI311" s="509"/>
      <c r="AJ311" s="509"/>
      <c r="AK311" s="509"/>
      <c r="AL311" s="509"/>
      <c r="AM311" s="509"/>
      <c r="AN311" s="509"/>
    </row>
    <row r="312" spans="1:40" ht="15.75" customHeight="1">
      <c r="A312" s="494" t="s">
        <v>418</v>
      </c>
      <c r="B312" s="509" t="s">
        <v>103</v>
      </c>
      <c r="C312" s="522" t="s">
        <v>117</v>
      </c>
      <c r="D312" s="577">
        <v>0</v>
      </c>
      <c r="E312" s="645">
        <v>0</v>
      </c>
      <c r="F312" s="579">
        <v>0</v>
      </c>
      <c r="G312" s="659"/>
      <c r="H312" s="645"/>
      <c r="I312" s="579"/>
      <c r="J312" s="543">
        <v>0</v>
      </c>
      <c r="K312" s="645">
        <v>0</v>
      </c>
      <c r="L312" s="524">
        <v>0</v>
      </c>
      <c r="M312" s="645">
        <v>0</v>
      </c>
      <c r="N312" s="579">
        <v>0</v>
      </c>
      <c r="O312" s="543">
        <v>0</v>
      </c>
      <c r="P312" s="645">
        <v>0</v>
      </c>
      <c r="Q312" s="524">
        <v>0</v>
      </c>
      <c r="R312" s="645">
        <v>0</v>
      </c>
      <c r="S312" s="579">
        <v>0</v>
      </c>
      <c r="T312" s="509"/>
      <c r="U312" s="509"/>
      <c r="V312" s="509"/>
      <c r="W312" s="509"/>
      <c r="X312" s="509"/>
      <c r="Y312" s="509"/>
      <c r="Z312" s="509"/>
      <c r="AA312" s="509"/>
      <c r="AB312" s="509"/>
      <c r="AC312" s="509"/>
      <c r="AD312" s="509"/>
      <c r="AE312" s="509"/>
      <c r="AF312" s="509"/>
      <c r="AG312" s="509"/>
      <c r="AH312" s="509"/>
      <c r="AI312" s="509"/>
      <c r="AJ312" s="509"/>
      <c r="AK312" s="509"/>
      <c r="AL312" s="509"/>
      <c r="AM312" s="509"/>
      <c r="AN312" s="509"/>
    </row>
    <row r="313" spans="1:40" ht="15.75" customHeight="1" thickBot="1">
      <c r="A313" s="494" t="s">
        <v>103</v>
      </c>
      <c r="B313" s="509" t="s">
        <v>103</v>
      </c>
      <c r="C313" s="529"/>
      <c r="D313" s="570"/>
      <c r="E313" s="644"/>
      <c r="F313" s="555"/>
      <c r="G313" s="556"/>
      <c r="H313" s="644"/>
      <c r="I313" s="555"/>
      <c r="J313" s="556"/>
      <c r="K313" s="644"/>
      <c r="L313" s="555"/>
      <c r="M313" s="574"/>
      <c r="N313" s="555"/>
      <c r="O313" s="556"/>
      <c r="P313" s="644"/>
      <c r="Q313" s="555"/>
      <c r="R313" s="574"/>
      <c r="S313" s="555"/>
      <c r="T313" s="509"/>
      <c r="U313" s="509"/>
      <c r="V313" s="509"/>
      <c r="W313" s="509"/>
      <c r="X313" s="509"/>
      <c r="Y313" s="509"/>
      <c r="Z313" s="509"/>
      <c r="AA313" s="509"/>
      <c r="AB313" s="509"/>
      <c r="AC313" s="509"/>
      <c r="AD313" s="509"/>
      <c r="AE313" s="509"/>
      <c r="AF313" s="509"/>
      <c r="AG313" s="509"/>
      <c r="AH313" s="509"/>
      <c r="AI313" s="509"/>
      <c r="AJ313" s="509"/>
      <c r="AK313" s="509"/>
      <c r="AL313" s="509"/>
      <c r="AM313" s="509"/>
      <c r="AN313" s="509"/>
    </row>
    <row r="314" spans="1:40" ht="15.75" customHeight="1" thickTop="1">
      <c r="A314" s="494" t="s">
        <v>419</v>
      </c>
      <c r="B314" s="509" t="s">
        <v>103</v>
      </c>
      <c r="C314" s="557" t="s">
        <v>118</v>
      </c>
      <c r="D314" s="558">
        <v>592051.32035478181</v>
      </c>
      <c r="E314" s="707">
        <v>0.27180793017517652</v>
      </c>
      <c r="F314" s="560">
        <v>160924.2439431136</v>
      </c>
      <c r="G314" s="561"/>
      <c r="H314" s="707"/>
      <c r="I314" s="560"/>
      <c r="J314" s="561">
        <v>459022.42</v>
      </c>
      <c r="K314" s="707">
        <v>0.27483620516836621</v>
      </c>
      <c r="L314" s="560">
        <v>126155.97999999997</v>
      </c>
      <c r="M314" s="708">
        <v>-0.22469150187025236</v>
      </c>
      <c r="N314" s="709">
        <v>-34768.263943113634</v>
      </c>
      <c r="O314" s="561">
        <v>373126.60000000003</v>
      </c>
      <c r="P314" s="707">
        <v>0.28409178010894898</v>
      </c>
      <c r="Q314" s="560">
        <v>106002.19999999976</v>
      </c>
      <c r="R314" s="708">
        <v>0.23020556561767491</v>
      </c>
      <c r="S314" s="709">
        <v>20153.780000000203</v>
      </c>
      <c r="T314" s="509"/>
      <c r="U314" s="509"/>
      <c r="V314" s="509"/>
      <c r="W314" s="509"/>
      <c r="X314" s="509"/>
      <c r="Y314" s="509"/>
      <c r="Z314" s="509"/>
      <c r="AA314" s="509"/>
      <c r="AB314" s="509"/>
      <c r="AC314" s="509"/>
      <c r="AD314" s="509"/>
      <c r="AE314" s="509"/>
      <c r="AF314" s="509"/>
      <c r="AG314" s="509"/>
      <c r="AH314" s="509"/>
      <c r="AI314" s="509"/>
      <c r="AJ314" s="509"/>
      <c r="AK314" s="509"/>
      <c r="AL314" s="509"/>
      <c r="AM314" s="509"/>
      <c r="AN314" s="509"/>
    </row>
    <row r="315" spans="1:40" ht="15.75" customHeight="1" thickBot="1">
      <c r="A315" s="494" t="s">
        <v>103</v>
      </c>
      <c r="B315" s="509" t="s">
        <v>103</v>
      </c>
      <c r="C315" s="621"/>
      <c r="D315" s="710"/>
      <c r="E315" s="711"/>
      <c r="F315" s="624"/>
      <c r="G315" s="712"/>
      <c r="H315" s="711"/>
      <c r="I315" s="624"/>
      <c r="J315" s="712"/>
      <c r="K315" s="711"/>
      <c r="L315" s="713">
        <v>0.7839463893619153</v>
      </c>
      <c r="M315" s="714"/>
      <c r="N315" s="567">
        <v>-0.21605361063808476</v>
      </c>
      <c r="O315" s="712"/>
      <c r="P315" s="711"/>
      <c r="Q315" s="624"/>
      <c r="R315" s="714"/>
      <c r="S315" s="567">
        <v>0.19012605398756108</v>
      </c>
      <c r="T315" s="509"/>
      <c r="U315" s="509"/>
      <c r="V315" s="509"/>
      <c r="W315" s="509"/>
      <c r="X315" s="509"/>
      <c r="Y315" s="509"/>
      <c r="Z315" s="509"/>
      <c r="AA315" s="509"/>
      <c r="AB315" s="509"/>
      <c r="AC315" s="509"/>
      <c r="AD315" s="509"/>
      <c r="AE315" s="509"/>
      <c r="AF315" s="509"/>
      <c r="AG315" s="509"/>
      <c r="AH315" s="509"/>
      <c r="AI315" s="509"/>
      <c r="AJ315" s="509"/>
      <c r="AK315" s="509"/>
      <c r="AL315" s="509"/>
      <c r="AM315" s="509"/>
      <c r="AN315" s="509"/>
    </row>
    <row r="316" spans="1:40" ht="15.75" customHeight="1" thickTop="1">
      <c r="A316" s="494" t="s">
        <v>103</v>
      </c>
      <c r="B316" s="509" t="s">
        <v>103</v>
      </c>
      <c r="C316" s="548"/>
      <c r="D316" s="604"/>
      <c r="E316" s="666"/>
      <c r="F316" s="668"/>
      <c r="G316" s="667"/>
      <c r="H316" s="666"/>
      <c r="I316" s="668"/>
      <c r="J316" s="667"/>
      <c r="K316" s="666"/>
      <c r="L316" s="668"/>
      <c r="M316" s="529"/>
      <c r="N316" s="547"/>
      <c r="O316" s="667"/>
      <c r="P316" s="666"/>
      <c r="Q316" s="668"/>
      <c r="R316" s="529"/>
      <c r="S316" s="547"/>
      <c r="T316" s="509"/>
      <c r="U316" s="509"/>
      <c r="V316" s="509"/>
      <c r="W316" s="509"/>
      <c r="X316" s="509"/>
      <c r="Y316" s="509"/>
      <c r="Z316" s="509"/>
      <c r="AA316" s="509"/>
      <c r="AB316" s="509"/>
      <c r="AC316" s="509"/>
      <c r="AD316" s="509"/>
      <c r="AE316" s="509"/>
      <c r="AF316" s="509"/>
      <c r="AG316" s="509"/>
      <c r="AH316" s="509"/>
      <c r="AI316" s="509"/>
      <c r="AJ316" s="509"/>
      <c r="AK316" s="509"/>
      <c r="AL316" s="509"/>
      <c r="AM316" s="509"/>
      <c r="AN316" s="509"/>
    </row>
    <row r="317" spans="1:40" ht="15.75" customHeight="1">
      <c r="A317" s="494" t="s">
        <v>420</v>
      </c>
      <c r="B317" s="509" t="s">
        <v>103</v>
      </c>
      <c r="C317" s="571" t="s">
        <v>30</v>
      </c>
      <c r="D317" s="509"/>
      <c r="E317" s="509"/>
      <c r="F317" s="555"/>
      <c r="G317" s="529"/>
      <c r="H317" s="509"/>
      <c r="I317" s="555"/>
      <c r="J317" s="529"/>
      <c r="K317" s="509"/>
      <c r="L317" s="539"/>
      <c r="M317" s="529"/>
      <c r="N317" s="539"/>
      <c r="O317" s="529"/>
      <c r="P317" s="509"/>
      <c r="Q317" s="539"/>
      <c r="R317" s="529"/>
      <c r="S317" s="539"/>
      <c r="T317" s="509"/>
      <c r="U317" s="509"/>
      <c r="V317" s="509"/>
      <c r="W317" s="509"/>
      <c r="X317" s="509"/>
      <c r="Y317" s="509"/>
      <c r="Z317" s="509"/>
      <c r="AA317" s="509"/>
      <c r="AB317" s="509"/>
      <c r="AC317" s="509"/>
      <c r="AD317" s="509"/>
      <c r="AE317" s="509"/>
      <c r="AF317" s="509"/>
      <c r="AG317" s="509"/>
      <c r="AH317" s="509"/>
      <c r="AI317" s="509"/>
      <c r="AJ317" s="509"/>
      <c r="AK317" s="509"/>
      <c r="AL317" s="509"/>
      <c r="AM317" s="509"/>
      <c r="AN317" s="509"/>
    </row>
    <row r="318" spans="1:40" ht="15.75" customHeight="1">
      <c r="A318" s="494" t="s">
        <v>421</v>
      </c>
      <c r="B318" s="509" t="s">
        <v>103</v>
      </c>
      <c r="C318" s="596" t="s">
        <v>41</v>
      </c>
      <c r="D318" s="509"/>
      <c r="E318" s="509"/>
      <c r="F318" s="530">
        <v>6564.9358974358984</v>
      </c>
      <c r="G318" s="529"/>
      <c r="H318" s="509"/>
      <c r="I318" s="530"/>
      <c r="J318" s="529"/>
      <c r="K318" s="509"/>
      <c r="L318" s="532">
        <v>7005.54</v>
      </c>
      <c r="M318" s="529"/>
      <c r="N318" s="532">
        <v>440.60410256410159</v>
      </c>
      <c r="O318" s="529"/>
      <c r="P318" s="509"/>
      <c r="Q318" s="532">
        <v>6557.1</v>
      </c>
      <c r="R318" s="529"/>
      <c r="S318" s="532">
        <v>448.4399999999996</v>
      </c>
      <c r="T318" s="509"/>
      <c r="U318" s="509"/>
      <c r="V318" s="509"/>
      <c r="W318" s="509"/>
      <c r="X318" s="509"/>
      <c r="Y318" s="509"/>
      <c r="Z318" s="509"/>
      <c r="AA318" s="509"/>
      <c r="AB318" s="509"/>
      <c r="AC318" s="509"/>
      <c r="AD318" s="509"/>
      <c r="AE318" s="509"/>
      <c r="AF318" s="509"/>
      <c r="AG318" s="509"/>
      <c r="AH318" s="509"/>
      <c r="AI318" s="509"/>
      <c r="AJ318" s="509"/>
      <c r="AK318" s="509"/>
      <c r="AL318" s="509"/>
      <c r="AM318" s="509"/>
      <c r="AN318" s="509"/>
    </row>
    <row r="319" spans="1:40" ht="15.75" customHeight="1">
      <c r="A319" s="494" t="s">
        <v>422</v>
      </c>
      <c r="B319" s="509" t="s">
        <v>103</v>
      </c>
      <c r="C319" s="598" t="s">
        <v>42</v>
      </c>
      <c r="D319" s="581"/>
      <c r="E319" s="509"/>
      <c r="F319" s="524">
        <v>26566.084923076924</v>
      </c>
      <c r="G319" s="582"/>
      <c r="H319" s="509"/>
      <c r="I319" s="524"/>
      <c r="J319" s="529"/>
      <c r="K319" s="509"/>
      <c r="L319" s="532">
        <v>24992.33</v>
      </c>
      <c r="M319" s="529"/>
      <c r="N319" s="532">
        <v>-1573.7549230769218</v>
      </c>
      <c r="O319" s="529"/>
      <c r="P319" s="509"/>
      <c r="Q319" s="532">
        <v>23228.23</v>
      </c>
      <c r="R319" s="529"/>
      <c r="S319" s="555">
        <v>1764.1000000000022</v>
      </c>
      <c r="T319" s="509"/>
      <c r="U319" s="509"/>
      <c r="V319" s="509"/>
      <c r="W319" s="509"/>
      <c r="X319" s="509"/>
      <c r="Y319" s="509"/>
      <c r="Z319" s="509"/>
      <c r="AA319" s="509"/>
      <c r="AB319" s="509"/>
      <c r="AC319" s="509"/>
      <c r="AD319" s="509"/>
      <c r="AE319" s="509"/>
      <c r="AF319" s="509"/>
      <c r="AG319" s="509"/>
      <c r="AH319" s="509"/>
      <c r="AI319" s="509"/>
      <c r="AJ319" s="509"/>
      <c r="AK319" s="509"/>
      <c r="AL319" s="509"/>
      <c r="AM319" s="509"/>
      <c r="AN319" s="509"/>
    </row>
    <row r="320" spans="1:40" ht="15.75" customHeight="1">
      <c r="A320" s="494" t="s">
        <v>423</v>
      </c>
      <c r="B320" s="509" t="s">
        <v>103</v>
      </c>
      <c r="C320" s="596" t="s">
        <v>43</v>
      </c>
      <c r="D320" s="599"/>
      <c r="E320" s="600"/>
      <c r="F320" s="530">
        <v>140.24615384615385</v>
      </c>
      <c r="G320" s="601"/>
      <c r="H320" s="600"/>
      <c r="I320" s="530"/>
      <c r="J320" s="517"/>
      <c r="K320" s="600"/>
      <c r="L320" s="551">
        <v>190.37</v>
      </c>
      <c r="M320" s="517"/>
      <c r="N320" s="551">
        <v>50.123846153846159</v>
      </c>
      <c r="O320" s="517"/>
      <c r="P320" s="600"/>
      <c r="Q320" s="551">
        <v>2573.29</v>
      </c>
      <c r="R320" s="517"/>
      <c r="S320" s="602">
        <v>-2382.92</v>
      </c>
      <c r="T320" s="509"/>
      <c r="U320" s="715" t="s">
        <v>424</v>
      </c>
      <c r="V320" s="715"/>
      <c r="W320" s="509"/>
      <c r="X320" s="509"/>
      <c r="Y320" s="509"/>
      <c r="Z320" s="509"/>
      <c r="AA320" s="509"/>
      <c r="AB320" s="509"/>
      <c r="AC320" s="509"/>
      <c r="AD320" s="509"/>
      <c r="AE320" s="509"/>
      <c r="AF320" s="509"/>
      <c r="AG320" s="509"/>
      <c r="AH320" s="509"/>
      <c r="AI320" s="509"/>
      <c r="AJ320" s="509"/>
      <c r="AK320" s="509"/>
      <c r="AL320" s="509"/>
      <c r="AM320" s="509"/>
      <c r="AN320" s="509"/>
    </row>
    <row r="321" spans="1:40" ht="15.75" customHeight="1">
      <c r="A321" s="494" t="s">
        <v>425</v>
      </c>
      <c r="B321" s="509" t="s">
        <v>103</v>
      </c>
      <c r="C321" s="596" t="s">
        <v>44</v>
      </c>
      <c r="D321" s="581"/>
      <c r="E321" s="509"/>
      <c r="F321" s="530">
        <v>0</v>
      </c>
      <c r="G321" s="582"/>
      <c r="H321" s="509"/>
      <c r="I321" s="530"/>
      <c r="J321" s="529"/>
      <c r="K321" s="509"/>
      <c r="L321" s="532">
        <v>0</v>
      </c>
      <c r="M321" s="529"/>
      <c r="N321" s="532">
        <v>0</v>
      </c>
      <c r="O321" s="529"/>
      <c r="P321" s="509"/>
      <c r="Q321" s="532">
        <v>0</v>
      </c>
      <c r="R321" s="529"/>
      <c r="S321" s="555">
        <v>0</v>
      </c>
      <c r="T321" s="509"/>
      <c r="U321" s="509"/>
      <c r="V321" s="509"/>
      <c r="W321" s="509"/>
      <c r="X321" s="509"/>
      <c r="Y321" s="509"/>
      <c r="Z321" s="509"/>
      <c r="AA321" s="509"/>
      <c r="AB321" s="509"/>
      <c r="AC321" s="509"/>
      <c r="AD321" s="509"/>
      <c r="AE321" s="509"/>
      <c r="AF321" s="509"/>
      <c r="AG321" s="509"/>
      <c r="AH321" s="509"/>
      <c r="AI321" s="509"/>
      <c r="AJ321" s="509"/>
      <c r="AK321" s="509"/>
      <c r="AL321" s="509"/>
      <c r="AM321" s="509"/>
      <c r="AN321" s="509"/>
    </row>
    <row r="322" spans="1:40" ht="15.75" hidden="1" customHeight="1">
      <c r="A322" s="494" t="s">
        <v>411</v>
      </c>
      <c r="B322" s="509" t="s">
        <v>103</v>
      </c>
      <c r="C322" s="529" t="s">
        <v>20</v>
      </c>
      <c r="D322" s="581"/>
      <c r="E322" s="509"/>
      <c r="F322" s="530">
        <v>0</v>
      </c>
      <c r="G322" s="582"/>
      <c r="H322" s="509"/>
      <c r="I322" s="530"/>
      <c r="J322" s="529"/>
      <c r="K322" s="509"/>
      <c r="L322" s="532">
        <v>0</v>
      </c>
      <c r="M322" s="529"/>
      <c r="N322" s="532">
        <v>0</v>
      </c>
      <c r="O322" s="529"/>
      <c r="P322" s="509"/>
      <c r="Q322" s="532">
        <v>0</v>
      </c>
      <c r="R322" s="529"/>
      <c r="S322" s="555">
        <v>0</v>
      </c>
      <c r="T322" s="509"/>
      <c r="U322" s="509"/>
      <c r="V322" s="509"/>
      <c r="W322" s="509"/>
      <c r="X322" s="509"/>
      <c r="Y322" s="509"/>
      <c r="Z322" s="509"/>
      <c r="AA322" s="509"/>
      <c r="AB322" s="509"/>
      <c r="AC322" s="509"/>
      <c r="AD322" s="509"/>
      <c r="AE322" s="509"/>
      <c r="AF322" s="509"/>
      <c r="AG322" s="509"/>
      <c r="AH322" s="509"/>
      <c r="AI322" s="509"/>
      <c r="AJ322" s="509"/>
      <c r="AK322" s="509"/>
      <c r="AL322" s="509"/>
      <c r="AM322" s="509"/>
      <c r="AN322" s="509"/>
    </row>
    <row r="323" spans="1:40" ht="15.75" hidden="1" customHeight="1">
      <c r="A323" s="494" t="s">
        <v>411</v>
      </c>
      <c r="B323" s="509" t="s">
        <v>103</v>
      </c>
      <c r="C323" s="529" t="s">
        <v>20</v>
      </c>
      <c r="D323" s="581"/>
      <c r="E323" s="509"/>
      <c r="F323" s="530">
        <v>0</v>
      </c>
      <c r="G323" s="582"/>
      <c r="H323" s="509"/>
      <c r="I323" s="530"/>
      <c r="J323" s="529"/>
      <c r="K323" s="509"/>
      <c r="L323" s="532">
        <v>0</v>
      </c>
      <c r="M323" s="529"/>
      <c r="N323" s="532">
        <v>0</v>
      </c>
      <c r="O323" s="529"/>
      <c r="P323" s="509"/>
      <c r="Q323" s="532">
        <v>0</v>
      </c>
      <c r="R323" s="529"/>
      <c r="S323" s="555">
        <v>0</v>
      </c>
      <c r="T323" s="509"/>
      <c r="U323" s="509"/>
      <c r="V323" s="509"/>
      <c r="W323" s="509"/>
      <c r="X323" s="509"/>
      <c r="Y323" s="509"/>
      <c r="Z323" s="509"/>
      <c r="AA323" s="509"/>
      <c r="AB323" s="509"/>
      <c r="AC323" s="509"/>
      <c r="AD323" s="509"/>
      <c r="AE323" s="509"/>
      <c r="AF323" s="509"/>
      <c r="AG323" s="509"/>
      <c r="AH323" s="509"/>
      <c r="AI323" s="509"/>
      <c r="AJ323" s="509"/>
      <c r="AK323" s="509"/>
      <c r="AL323" s="509"/>
      <c r="AM323" s="509"/>
      <c r="AN323" s="509"/>
    </row>
    <row r="324" spans="1:40" ht="15.75" hidden="1" customHeight="1">
      <c r="A324" s="494" t="s">
        <v>411</v>
      </c>
      <c r="B324" s="509" t="s">
        <v>103</v>
      </c>
      <c r="C324" s="529" t="s">
        <v>20</v>
      </c>
      <c r="D324" s="581"/>
      <c r="E324" s="509"/>
      <c r="F324" s="530">
        <v>0</v>
      </c>
      <c r="G324" s="582"/>
      <c r="H324" s="509"/>
      <c r="I324" s="530"/>
      <c r="J324" s="529"/>
      <c r="K324" s="509"/>
      <c r="L324" s="532">
        <v>0</v>
      </c>
      <c r="M324" s="529"/>
      <c r="N324" s="532">
        <v>0</v>
      </c>
      <c r="O324" s="529"/>
      <c r="P324" s="509"/>
      <c r="Q324" s="532">
        <v>0</v>
      </c>
      <c r="R324" s="529"/>
      <c r="S324" s="555">
        <v>0</v>
      </c>
      <c r="T324" s="509"/>
      <c r="U324" s="509"/>
      <c r="V324" s="509"/>
      <c r="W324" s="509"/>
      <c r="X324" s="509"/>
      <c r="Y324" s="509"/>
      <c r="Z324" s="509"/>
      <c r="AA324" s="509"/>
      <c r="AB324" s="509"/>
      <c r="AC324" s="509"/>
      <c r="AD324" s="509"/>
      <c r="AE324" s="509"/>
      <c r="AF324" s="509"/>
      <c r="AG324" s="509"/>
      <c r="AH324" s="509"/>
      <c r="AI324" s="509"/>
      <c r="AJ324" s="509"/>
      <c r="AK324" s="509"/>
      <c r="AL324" s="509"/>
      <c r="AM324" s="509"/>
      <c r="AN324" s="509"/>
    </row>
    <row r="325" spans="1:40" ht="15.75" customHeight="1">
      <c r="A325" s="494" t="s">
        <v>426</v>
      </c>
      <c r="B325" s="509" t="s">
        <v>103</v>
      </c>
      <c r="C325" s="598" t="s">
        <v>45</v>
      </c>
      <c r="D325" s="581"/>
      <c r="E325" s="509"/>
      <c r="F325" s="524">
        <v>4086.0378682564101</v>
      </c>
      <c r="G325" s="582"/>
      <c r="H325" s="509"/>
      <c r="I325" s="524"/>
      <c r="J325" s="529"/>
      <c r="K325" s="509"/>
      <c r="L325" s="532">
        <v>3726.86</v>
      </c>
      <c r="M325" s="529"/>
      <c r="N325" s="532">
        <v>-359.17786825640997</v>
      </c>
      <c r="O325" s="529"/>
      <c r="P325" s="509"/>
      <c r="Q325" s="532">
        <v>2892.89</v>
      </c>
      <c r="R325" s="529"/>
      <c r="S325" s="555">
        <v>833.97000000000025</v>
      </c>
      <c r="T325" s="509"/>
      <c r="U325" s="509"/>
      <c r="V325" s="509"/>
      <c r="W325" s="509"/>
      <c r="X325" s="509"/>
      <c r="Y325" s="509"/>
      <c r="Z325" s="509"/>
      <c r="AA325" s="509"/>
      <c r="AB325" s="509"/>
      <c r="AC325" s="509"/>
      <c r="AD325" s="509"/>
      <c r="AE325" s="509"/>
      <c r="AF325" s="509"/>
      <c r="AG325" s="509"/>
      <c r="AH325" s="509"/>
      <c r="AI325" s="509"/>
      <c r="AJ325" s="509"/>
      <c r="AK325" s="509"/>
      <c r="AL325" s="509"/>
      <c r="AM325" s="509"/>
      <c r="AN325" s="509"/>
    </row>
    <row r="326" spans="1:40" ht="15.75" customHeight="1">
      <c r="A326" s="494" t="s">
        <v>427</v>
      </c>
      <c r="B326" s="509" t="s">
        <v>103</v>
      </c>
      <c r="C326" s="596" t="s">
        <v>46</v>
      </c>
      <c r="D326" s="599"/>
      <c r="E326" s="600"/>
      <c r="F326" s="530">
        <v>4968.0460424615385</v>
      </c>
      <c r="G326" s="601"/>
      <c r="H326" s="600"/>
      <c r="I326" s="530"/>
      <c r="J326" s="517"/>
      <c r="K326" s="600"/>
      <c r="L326" s="551">
        <v>7350.11</v>
      </c>
      <c r="M326" s="517"/>
      <c r="N326" s="551">
        <v>2382.0639575384612</v>
      </c>
      <c r="O326" s="517"/>
      <c r="P326" s="600"/>
      <c r="Q326" s="551">
        <v>28085.94</v>
      </c>
      <c r="R326" s="517"/>
      <c r="S326" s="602">
        <v>-20735.829999999998</v>
      </c>
      <c r="T326" s="509"/>
      <c r="U326" s="509"/>
      <c r="V326" s="509"/>
      <c r="W326" s="509"/>
      <c r="X326" s="509"/>
      <c r="Y326" s="509"/>
      <c r="Z326" s="509"/>
      <c r="AA326" s="509"/>
      <c r="AB326" s="509"/>
      <c r="AC326" s="509"/>
      <c r="AD326" s="509"/>
      <c r="AE326" s="509"/>
      <c r="AF326" s="509"/>
      <c r="AG326" s="509"/>
      <c r="AH326" s="509"/>
      <c r="AI326" s="509"/>
      <c r="AJ326" s="509"/>
      <c r="AK326" s="509"/>
      <c r="AL326" s="509"/>
      <c r="AM326" s="509"/>
      <c r="AN326" s="509"/>
    </row>
    <row r="327" spans="1:40" ht="15.75" customHeight="1">
      <c r="A327" s="494" t="s">
        <v>428</v>
      </c>
      <c r="B327" s="509" t="s">
        <v>103</v>
      </c>
      <c r="C327" s="596" t="s">
        <v>47</v>
      </c>
      <c r="D327" s="581"/>
      <c r="E327" s="509"/>
      <c r="F327" s="530">
        <v>2559.6237218769229</v>
      </c>
      <c r="G327" s="582"/>
      <c r="H327" s="509"/>
      <c r="I327" s="530"/>
      <c r="J327" s="529"/>
      <c r="K327" s="509"/>
      <c r="L327" s="532">
        <v>1026.28</v>
      </c>
      <c r="M327" s="529"/>
      <c r="N327" s="532">
        <v>-1533.3437218769229</v>
      </c>
      <c r="O327" s="529"/>
      <c r="P327" s="509"/>
      <c r="Q327" s="532">
        <v>1272.5999999999999</v>
      </c>
      <c r="R327" s="529"/>
      <c r="S327" s="555">
        <v>-246.31999999999994</v>
      </c>
      <c r="T327" s="509"/>
      <c r="U327" s="509"/>
      <c r="V327" s="509"/>
      <c r="W327" s="509"/>
      <c r="X327" s="509"/>
      <c r="Y327" s="509"/>
      <c r="Z327" s="509"/>
      <c r="AA327" s="509"/>
      <c r="AB327" s="509"/>
      <c r="AC327" s="509"/>
      <c r="AD327" s="509"/>
      <c r="AE327" s="509"/>
      <c r="AF327" s="509"/>
      <c r="AG327" s="509"/>
      <c r="AH327" s="509"/>
      <c r="AI327" s="509"/>
      <c r="AJ327" s="509"/>
      <c r="AK327" s="509"/>
      <c r="AL327" s="509"/>
      <c r="AM327" s="509"/>
      <c r="AN327" s="509"/>
    </row>
    <row r="328" spans="1:40" ht="15.75" customHeight="1">
      <c r="A328" s="494" t="s">
        <v>429</v>
      </c>
      <c r="B328" s="509" t="s">
        <v>103</v>
      </c>
      <c r="C328" s="596" t="s">
        <v>48</v>
      </c>
      <c r="D328" s="581"/>
      <c r="E328" s="509"/>
      <c r="F328" s="530">
        <v>1116.0103428717948</v>
      </c>
      <c r="G328" s="582"/>
      <c r="H328" s="509"/>
      <c r="I328" s="530"/>
      <c r="J328" s="529"/>
      <c r="K328" s="509"/>
      <c r="L328" s="532">
        <v>1204.1600000000001</v>
      </c>
      <c r="M328" s="529"/>
      <c r="N328" s="532">
        <v>88.149657128205263</v>
      </c>
      <c r="O328" s="529"/>
      <c r="P328" s="509"/>
      <c r="Q328" s="532">
        <v>-19275.34</v>
      </c>
      <c r="R328" s="529"/>
      <c r="S328" s="555">
        <v>20479.5</v>
      </c>
      <c r="T328" s="509"/>
      <c r="U328" s="509"/>
      <c r="V328" s="509"/>
      <c r="W328" s="509"/>
      <c r="X328" s="509"/>
      <c r="Y328" s="509"/>
      <c r="Z328" s="509"/>
      <c r="AA328" s="509"/>
      <c r="AB328" s="509"/>
      <c r="AC328" s="509"/>
      <c r="AD328" s="509"/>
      <c r="AE328" s="509"/>
      <c r="AF328" s="509"/>
      <c r="AG328" s="509"/>
      <c r="AH328" s="509"/>
      <c r="AI328" s="509"/>
      <c r="AJ328" s="509"/>
      <c r="AK328" s="509"/>
      <c r="AL328" s="509"/>
      <c r="AM328" s="509"/>
      <c r="AN328" s="509"/>
    </row>
    <row r="329" spans="1:40" ht="15.75" hidden="1" customHeight="1">
      <c r="A329" s="494" t="s">
        <v>411</v>
      </c>
      <c r="B329" s="509" t="s">
        <v>103</v>
      </c>
      <c r="C329" s="529" t="s">
        <v>20</v>
      </c>
      <c r="D329" s="583"/>
      <c r="E329" s="603"/>
      <c r="F329" s="530">
        <v>0</v>
      </c>
      <c r="G329" s="584"/>
      <c r="H329" s="603"/>
      <c r="I329" s="530"/>
      <c r="J329" s="522"/>
      <c r="K329" s="603"/>
      <c r="L329" s="532">
        <v>0</v>
      </c>
      <c r="M329" s="522"/>
      <c r="N329" s="579">
        <v>0</v>
      </c>
      <c r="O329" s="522"/>
      <c r="P329" s="603"/>
      <c r="Q329" s="532">
        <v>0</v>
      </c>
      <c r="R329" s="522"/>
      <c r="S329" s="579">
        <v>0</v>
      </c>
      <c r="T329" s="509"/>
      <c r="U329" s="509"/>
      <c r="V329" s="509"/>
      <c r="W329" s="509"/>
      <c r="X329" s="509"/>
      <c r="Y329" s="509"/>
      <c r="Z329" s="509"/>
      <c r="AA329" s="509"/>
      <c r="AB329" s="509"/>
      <c r="AC329" s="509"/>
      <c r="AD329" s="509"/>
      <c r="AE329" s="509"/>
      <c r="AF329" s="509"/>
      <c r="AG329" s="509"/>
      <c r="AH329" s="509"/>
      <c r="AI329" s="509"/>
      <c r="AJ329" s="509"/>
      <c r="AK329" s="509"/>
      <c r="AL329" s="509"/>
      <c r="AM329" s="509"/>
      <c r="AN329" s="509"/>
    </row>
    <row r="330" spans="1:40" ht="15.75" customHeight="1">
      <c r="A330" s="494" t="s">
        <v>430</v>
      </c>
      <c r="B330" s="509" t="s">
        <v>103</v>
      </c>
      <c r="C330" s="588" t="s">
        <v>49</v>
      </c>
      <c r="D330" s="589" t="s">
        <v>39</v>
      </c>
      <c r="E330" s="590">
        <v>0.28585490801551872</v>
      </c>
      <c r="F330" s="591">
        <v>46000.984949825637</v>
      </c>
      <c r="G330" s="592"/>
      <c r="H330" s="590"/>
      <c r="I330" s="591"/>
      <c r="J330" s="592" t="s">
        <v>39</v>
      </c>
      <c r="K330" s="590">
        <v>0.36063015007294946</v>
      </c>
      <c r="L330" s="591">
        <v>45495.65</v>
      </c>
      <c r="M330" s="646"/>
      <c r="N330" s="605">
        <v>-505.3349498256357</v>
      </c>
      <c r="O330" s="592" t="s">
        <v>39</v>
      </c>
      <c r="P330" s="590">
        <v>0.42767706707974074</v>
      </c>
      <c r="Q330" s="591">
        <v>45334.709999999992</v>
      </c>
      <c r="R330" s="646"/>
      <c r="S330" s="605">
        <v>160.9400000000096</v>
      </c>
      <c r="T330" s="509"/>
      <c r="U330" s="509"/>
      <c r="V330" s="509"/>
      <c r="W330" s="509"/>
      <c r="X330" s="509"/>
      <c r="Y330" s="509"/>
      <c r="Z330" s="509"/>
      <c r="AA330" s="509"/>
      <c r="AB330" s="509"/>
      <c r="AC330" s="509"/>
      <c r="AD330" s="509"/>
      <c r="AE330" s="509"/>
      <c r="AF330" s="509"/>
      <c r="AG330" s="509"/>
      <c r="AH330" s="509"/>
      <c r="AI330" s="509"/>
      <c r="AJ330" s="509"/>
      <c r="AK330" s="509"/>
      <c r="AL330" s="509"/>
      <c r="AM330" s="509"/>
      <c r="AN330" s="509"/>
    </row>
    <row r="331" spans="1:40" ht="15.75" customHeight="1">
      <c r="A331" s="494" t="s">
        <v>431</v>
      </c>
      <c r="B331" s="509" t="s">
        <v>103</v>
      </c>
      <c r="C331" s="703" t="s">
        <v>50</v>
      </c>
      <c r="D331" s="581"/>
      <c r="E331" s="509"/>
      <c r="F331" s="530">
        <v>4451.5681367708321</v>
      </c>
      <c r="G331" s="582"/>
      <c r="H331" s="509"/>
      <c r="I331" s="530"/>
      <c r="J331" s="529"/>
      <c r="K331" s="509"/>
      <c r="L331" s="532">
        <v>4417.4399999999996</v>
      </c>
      <c r="M331" s="529"/>
      <c r="N331" s="555">
        <v>-34.128136770832498</v>
      </c>
      <c r="O331" s="529"/>
      <c r="P331" s="509"/>
      <c r="Q331" s="532">
        <v>3416.28</v>
      </c>
      <c r="R331" s="529"/>
      <c r="S331" s="555">
        <v>1001.1599999999994</v>
      </c>
      <c r="T331" s="509"/>
      <c r="U331" s="509"/>
      <c r="V331" s="509"/>
      <c r="W331" s="570"/>
      <c r="X331" s="509"/>
      <c r="Y331" s="509"/>
      <c r="Z331" s="509"/>
      <c r="AA331" s="509"/>
      <c r="AB331" s="509"/>
      <c r="AC331" s="509"/>
      <c r="AD331" s="509"/>
      <c r="AE331" s="509"/>
      <c r="AF331" s="509"/>
      <c r="AG331" s="509"/>
      <c r="AH331" s="509"/>
      <c r="AI331" s="509"/>
      <c r="AJ331" s="509"/>
      <c r="AK331" s="509"/>
      <c r="AL331" s="509"/>
      <c r="AM331" s="509"/>
      <c r="AN331" s="509"/>
    </row>
    <row r="332" spans="1:40" ht="15.75" customHeight="1">
      <c r="A332" s="494" t="s">
        <v>432</v>
      </c>
      <c r="B332" s="509" t="s">
        <v>103</v>
      </c>
      <c r="C332" s="596" t="s">
        <v>51</v>
      </c>
      <c r="D332" s="581"/>
      <c r="E332" s="509"/>
      <c r="F332" s="530">
        <v>1484.7664064747862</v>
      </c>
      <c r="G332" s="582"/>
      <c r="H332" s="509"/>
      <c r="I332" s="530"/>
      <c r="J332" s="529"/>
      <c r="K332" s="509"/>
      <c r="L332" s="532">
        <v>881.44</v>
      </c>
      <c r="M332" s="529"/>
      <c r="N332" s="555">
        <v>-603.32640647478615</v>
      </c>
      <c r="O332" s="529"/>
      <c r="P332" s="509"/>
      <c r="Q332" s="532">
        <v>1915.31</v>
      </c>
      <c r="R332" s="529"/>
      <c r="S332" s="555">
        <v>-1033.8699999999999</v>
      </c>
      <c r="T332" s="509"/>
      <c r="U332" s="509"/>
      <c r="V332" s="509"/>
      <c r="W332" s="509"/>
      <c r="X332" s="509"/>
      <c r="Y332" s="509"/>
      <c r="Z332" s="509"/>
      <c r="AA332" s="509"/>
      <c r="AB332" s="509"/>
      <c r="AC332" s="509"/>
      <c r="AD332" s="509"/>
      <c r="AE332" s="509"/>
      <c r="AF332" s="509"/>
      <c r="AG332" s="509"/>
      <c r="AH332" s="509"/>
      <c r="AI332" s="509"/>
      <c r="AJ332" s="509"/>
      <c r="AK332" s="509"/>
      <c r="AL332" s="509"/>
      <c r="AM332" s="509"/>
      <c r="AN332" s="509"/>
    </row>
    <row r="333" spans="1:40" ht="15.75" customHeight="1">
      <c r="A333" s="494" t="s">
        <v>433</v>
      </c>
      <c r="B333" s="509" t="s">
        <v>103</v>
      </c>
      <c r="C333" s="598" t="s">
        <v>52</v>
      </c>
      <c r="D333" s="583"/>
      <c r="E333" s="603"/>
      <c r="F333" s="524">
        <v>1083.3333333333333</v>
      </c>
      <c r="G333" s="584"/>
      <c r="H333" s="603"/>
      <c r="I333" s="524"/>
      <c r="J333" s="522"/>
      <c r="K333" s="603"/>
      <c r="L333" s="532">
        <v>1271.42</v>
      </c>
      <c r="M333" s="522"/>
      <c r="N333" s="579">
        <v>188.08666666666682</v>
      </c>
      <c r="O333" s="522"/>
      <c r="P333" s="603"/>
      <c r="Q333" s="532">
        <v>791.55</v>
      </c>
      <c r="R333" s="522"/>
      <c r="S333" s="579">
        <v>479.87000000000012</v>
      </c>
      <c r="T333" s="509"/>
      <c r="U333" s="509"/>
      <c r="V333" s="509"/>
      <c r="W333" s="509"/>
      <c r="X333" s="509"/>
      <c r="Y333" s="509"/>
      <c r="Z333" s="509"/>
      <c r="AA333" s="509"/>
      <c r="AB333" s="509"/>
      <c r="AC333" s="509"/>
      <c r="AD333" s="509"/>
      <c r="AE333" s="509"/>
      <c r="AF333" s="509"/>
      <c r="AG333" s="509"/>
      <c r="AH333" s="509"/>
      <c r="AI333" s="509"/>
      <c r="AJ333" s="509"/>
      <c r="AK333" s="509"/>
      <c r="AL333" s="509"/>
      <c r="AM333" s="509"/>
      <c r="AN333" s="509"/>
    </row>
    <row r="334" spans="1:40" ht="15.75" customHeight="1">
      <c r="A334" s="494" t="s">
        <v>434</v>
      </c>
      <c r="B334" s="509" t="s">
        <v>103</v>
      </c>
      <c r="C334" s="596" t="s">
        <v>53</v>
      </c>
      <c r="D334" s="581"/>
      <c r="E334" s="509"/>
      <c r="F334" s="530">
        <v>3808.9357027777774</v>
      </c>
      <c r="G334" s="582"/>
      <c r="H334" s="509"/>
      <c r="I334" s="530"/>
      <c r="J334" s="529"/>
      <c r="K334" s="509"/>
      <c r="L334" s="551">
        <v>4958.8900000000003</v>
      </c>
      <c r="M334" s="529"/>
      <c r="N334" s="555">
        <v>1149.954297222223</v>
      </c>
      <c r="O334" s="529"/>
      <c r="P334" s="509"/>
      <c r="Q334" s="551">
        <v>4186.4799999999996</v>
      </c>
      <c r="R334" s="529"/>
      <c r="S334" s="555">
        <v>772.41000000000076</v>
      </c>
      <c r="T334" s="509"/>
      <c r="U334" s="509"/>
      <c r="V334" s="509"/>
      <c r="W334" s="509"/>
      <c r="X334" s="509"/>
      <c r="Y334" s="509"/>
      <c r="Z334" s="509"/>
      <c r="AA334" s="509"/>
      <c r="AB334" s="509"/>
      <c r="AC334" s="509"/>
      <c r="AD334" s="509"/>
      <c r="AE334" s="509"/>
      <c r="AF334" s="509"/>
      <c r="AG334" s="509"/>
      <c r="AH334" s="509"/>
      <c r="AI334" s="509"/>
      <c r="AJ334" s="509"/>
      <c r="AK334" s="509"/>
      <c r="AL334" s="509"/>
      <c r="AM334" s="509"/>
      <c r="AN334" s="509"/>
    </row>
    <row r="335" spans="1:40" ht="15.75" customHeight="1">
      <c r="A335" s="494" t="s">
        <v>435</v>
      </c>
      <c r="B335" s="509" t="s">
        <v>103</v>
      </c>
      <c r="C335" s="596" t="s">
        <v>54</v>
      </c>
      <c r="D335" s="581"/>
      <c r="E335" s="509"/>
      <c r="F335" s="530">
        <v>685.62049669649684</v>
      </c>
      <c r="G335" s="582"/>
      <c r="H335" s="509"/>
      <c r="I335" s="530"/>
      <c r="J335" s="529"/>
      <c r="K335" s="509"/>
      <c r="L335" s="532">
        <v>1821.32</v>
      </c>
      <c r="M335" s="529"/>
      <c r="N335" s="555">
        <v>1135.6995033035032</v>
      </c>
      <c r="O335" s="529"/>
      <c r="P335" s="509"/>
      <c r="Q335" s="532">
        <v>911.08</v>
      </c>
      <c r="R335" s="529"/>
      <c r="S335" s="555">
        <v>910.2399999999999</v>
      </c>
      <c r="T335" s="509"/>
      <c r="U335" s="509"/>
      <c r="V335" s="509"/>
      <c r="W335" s="509"/>
      <c r="X335" s="509"/>
      <c r="Y335" s="509"/>
      <c r="Z335" s="509"/>
      <c r="AA335" s="509"/>
      <c r="AB335" s="509"/>
      <c r="AC335" s="509"/>
      <c r="AD335" s="509"/>
      <c r="AE335" s="509"/>
      <c r="AF335" s="509"/>
      <c r="AG335" s="509"/>
      <c r="AH335" s="509"/>
      <c r="AI335" s="509"/>
      <c r="AJ335" s="509"/>
      <c r="AK335" s="509"/>
      <c r="AL335" s="509"/>
      <c r="AM335" s="509"/>
      <c r="AN335" s="509"/>
    </row>
    <row r="336" spans="1:40" ht="15.75" customHeight="1">
      <c r="A336" s="494" t="s">
        <v>436</v>
      </c>
      <c r="B336" s="509" t="s">
        <v>103</v>
      </c>
      <c r="C336" s="598" t="s">
        <v>55</v>
      </c>
      <c r="D336" s="583"/>
      <c r="E336" s="603"/>
      <c r="F336" s="524">
        <v>12416.827750532408</v>
      </c>
      <c r="G336" s="584"/>
      <c r="H336" s="603"/>
      <c r="I336" s="524"/>
      <c r="J336" s="522"/>
      <c r="K336" s="603"/>
      <c r="L336" s="524">
        <v>11758.11</v>
      </c>
      <c r="M336" s="522"/>
      <c r="N336" s="579">
        <v>-658.71775053240708</v>
      </c>
      <c r="O336" s="522"/>
      <c r="P336" s="603"/>
      <c r="Q336" s="524">
        <v>13813.01</v>
      </c>
      <c r="R336" s="522"/>
      <c r="S336" s="579">
        <v>-2054.8999999999996</v>
      </c>
      <c r="T336" s="509"/>
      <c r="U336" s="509"/>
      <c r="V336" s="509"/>
      <c r="W336" s="509"/>
      <c r="X336" s="509"/>
      <c r="Y336" s="509"/>
      <c r="Z336" s="509"/>
      <c r="AA336" s="509"/>
      <c r="AB336" s="509"/>
      <c r="AC336" s="509"/>
      <c r="AD336" s="509"/>
      <c r="AE336" s="509"/>
      <c r="AF336" s="509"/>
      <c r="AG336" s="509"/>
      <c r="AH336" s="509"/>
      <c r="AI336" s="509"/>
      <c r="AJ336" s="509"/>
      <c r="AK336" s="509"/>
      <c r="AL336" s="509"/>
      <c r="AM336" s="509"/>
      <c r="AN336" s="509"/>
    </row>
    <row r="337" spans="1:40" ht="15.75" customHeight="1">
      <c r="A337" s="494" t="s">
        <v>437</v>
      </c>
      <c r="B337" s="509" t="s">
        <v>103</v>
      </c>
      <c r="C337" s="596" t="s">
        <v>98</v>
      </c>
      <c r="D337" s="581"/>
      <c r="E337" s="509"/>
      <c r="F337" s="530"/>
      <c r="G337" s="582"/>
      <c r="H337" s="509"/>
      <c r="I337" s="530"/>
      <c r="J337" s="529"/>
      <c r="K337" s="509"/>
      <c r="L337" s="532">
        <v>0</v>
      </c>
      <c r="M337" s="529"/>
      <c r="N337" s="555">
        <v>0</v>
      </c>
      <c r="O337" s="529"/>
      <c r="P337" s="509"/>
      <c r="Q337" s="532">
        <v>0</v>
      </c>
      <c r="R337" s="529"/>
      <c r="S337" s="555">
        <v>0</v>
      </c>
      <c r="T337" s="509"/>
      <c r="U337" s="509"/>
      <c r="V337" s="509"/>
      <c r="W337" s="509"/>
      <c r="X337" s="509"/>
      <c r="Y337" s="509"/>
      <c r="Z337" s="509"/>
      <c r="AA337" s="509"/>
      <c r="AB337" s="509"/>
      <c r="AC337" s="509"/>
      <c r="AD337" s="509"/>
      <c r="AE337" s="509"/>
      <c r="AF337" s="509"/>
      <c r="AG337" s="509"/>
      <c r="AH337" s="509"/>
      <c r="AI337" s="509"/>
      <c r="AJ337" s="509"/>
      <c r="AK337" s="509"/>
      <c r="AL337" s="509"/>
      <c r="AM337" s="509"/>
      <c r="AN337" s="509"/>
    </row>
    <row r="338" spans="1:40" ht="15.75" customHeight="1">
      <c r="A338" s="494" t="s">
        <v>438</v>
      </c>
      <c r="B338" s="509" t="s">
        <v>103</v>
      </c>
      <c r="C338" s="596" t="s">
        <v>56</v>
      </c>
      <c r="D338" s="581"/>
      <c r="E338" s="509"/>
      <c r="F338" s="530">
        <v>125</v>
      </c>
      <c r="G338" s="582"/>
      <c r="H338" s="509"/>
      <c r="I338" s="530"/>
      <c r="J338" s="529"/>
      <c r="K338" s="509"/>
      <c r="L338" s="532">
        <v>65.61</v>
      </c>
      <c r="M338" s="529"/>
      <c r="N338" s="555">
        <v>-59.39</v>
      </c>
      <c r="O338" s="529"/>
      <c r="P338" s="509"/>
      <c r="Q338" s="532">
        <v>0</v>
      </c>
      <c r="R338" s="529"/>
      <c r="S338" s="555">
        <v>65.61</v>
      </c>
      <c r="T338" s="509"/>
      <c r="U338" s="509"/>
      <c r="V338" s="509"/>
      <c r="W338" s="509"/>
      <c r="X338" s="509"/>
      <c r="Y338" s="509"/>
      <c r="Z338" s="509"/>
      <c r="AA338" s="509"/>
      <c r="AB338" s="509"/>
      <c r="AC338" s="509"/>
      <c r="AD338" s="509"/>
      <c r="AE338" s="509"/>
      <c r="AF338" s="509"/>
      <c r="AG338" s="509"/>
      <c r="AH338" s="509"/>
      <c r="AI338" s="509"/>
      <c r="AJ338" s="509"/>
      <c r="AK338" s="509"/>
      <c r="AL338" s="509"/>
      <c r="AM338" s="509"/>
      <c r="AN338" s="509"/>
    </row>
    <row r="339" spans="1:40" ht="15.75" customHeight="1">
      <c r="A339" s="494" t="s">
        <v>439</v>
      </c>
      <c r="B339" s="509" t="s">
        <v>103</v>
      </c>
      <c r="C339" s="596" t="s">
        <v>57</v>
      </c>
      <c r="D339" s="581"/>
      <c r="E339" s="509"/>
      <c r="F339" s="530">
        <v>83.333333333333329</v>
      </c>
      <c r="G339" s="582"/>
      <c r="H339" s="509"/>
      <c r="I339" s="530"/>
      <c r="J339" s="529"/>
      <c r="K339" s="509"/>
      <c r="L339" s="532">
        <v>0</v>
      </c>
      <c r="M339" s="529"/>
      <c r="N339" s="555">
        <v>-83.333333333333329</v>
      </c>
      <c r="O339" s="529"/>
      <c r="P339" s="509"/>
      <c r="Q339" s="532">
        <v>0</v>
      </c>
      <c r="R339" s="529"/>
      <c r="S339" s="555">
        <v>0</v>
      </c>
      <c r="T339" s="509"/>
      <c r="U339" s="509"/>
      <c r="V339" s="509"/>
      <c r="W339" s="509"/>
      <c r="X339" s="509"/>
      <c r="Y339" s="509"/>
      <c r="Z339" s="509"/>
      <c r="AA339" s="509"/>
      <c r="AB339" s="509"/>
      <c r="AC339" s="509"/>
      <c r="AD339" s="509"/>
      <c r="AE339" s="509"/>
      <c r="AF339" s="509"/>
      <c r="AG339" s="509"/>
      <c r="AH339" s="509"/>
      <c r="AI339" s="509"/>
      <c r="AJ339" s="509"/>
      <c r="AK339" s="509"/>
      <c r="AL339" s="509"/>
      <c r="AM339" s="509"/>
      <c r="AN339" s="509"/>
    </row>
    <row r="340" spans="1:40" ht="15.75" customHeight="1">
      <c r="A340" s="494" t="s">
        <v>440</v>
      </c>
      <c r="B340" s="509" t="s">
        <v>103</v>
      </c>
      <c r="C340" s="596" t="s">
        <v>58</v>
      </c>
      <c r="D340" s="581"/>
      <c r="E340" s="509"/>
      <c r="F340" s="530">
        <v>617.95293122500004</v>
      </c>
      <c r="G340" s="582"/>
      <c r="H340" s="509"/>
      <c r="I340" s="530"/>
      <c r="J340" s="529"/>
      <c r="K340" s="509"/>
      <c r="L340" s="532">
        <v>297.66000000000003</v>
      </c>
      <c r="M340" s="529"/>
      <c r="N340" s="555">
        <v>-320.29293122500002</v>
      </c>
      <c r="O340" s="529"/>
      <c r="P340" s="509"/>
      <c r="Q340" s="532">
        <v>612.05999999999995</v>
      </c>
      <c r="R340" s="529"/>
      <c r="S340" s="555">
        <v>-314.39999999999992</v>
      </c>
      <c r="T340" s="509"/>
      <c r="U340" s="509"/>
      <c r="V340" s="509"/>
      <c r="W340" s="509"/>
      <c r="X340" s="509"/>
      <c r="Y340" s="509"/>
      <c r="Z340" s="509"/>
      <c r="AA340" s="509"/>
      <c r="AB340" s="509"/>
      <c r="AC340" s="509"/>
      <c r="AD340" s="509"/>
      <c r="AE340" s="509"/>
      <c r="AF340" s="509"/>
      <c r="AG340" s="509"/>
      <c r="AH340" s="509"/>
      <c r="AI340" s="509"/>
      <c r="AJ340" s="509"/>
      <c r="AK340" s="509"/>
      <c r="AL340" s="509"/>
      <c r="AM340" s="509"/>
      <c r="AN340" s="509"/>
    </row>
    <row r="341" spans="1:40" ht="15.75" customHeight="1">
      <c r="A341" s="494" t="s">
        <v>441</v>
      </c>
      <c r="B341" s="509" t="s">
        <v>103</v>
      </c>
      <c r="C341" s="596" t="s">
        <v>59</v>
      </c>
      <c r="D341" s="581"/>
      <c r="E341" s="509"/>
      <c r="F341" s="530">
        <v>131.35821644756945</v>
      </c>
      <c r="G341" s="582"/>
      <c r="H341" s="509"/>
      <c r="I341" s="530"/>
      <c r="J341" s="529"/>
      <c r="K341" s="509"/>
      <c r="L341" s="532">
        <v>84.4</v>
      </c>
      <c r="M341" s="529"/>
      <c r="N341" s="555">
        <v>-46.958216447569441</v>
      </c>
      <c r="O341" s="529"/>
      <c r="P341" s="509"/>
      <c r="Q341" s="532">
        <v>75.05</v>
      </c>
      <c r="R341" s="529"/>
      <c r="S341" s="555">
        <v>9.3500000000000085</v>
      </c>
      <c r="T341" s="509"/>
      <c r="U341" s="509"/>
      <c r="V341" s="509"/>
      <c r="W341" s="509"/>
      <c r="X341" s="509"/>
      <c r="Y341" s="509"/>
      <c r="Z341" s="509"/>
      <c r="AA341" s="509"/>
      <c r="AB341" s="509"/>
      <c r="AC341" s="509"/>
      <c r="AD341" s="509"/>
      <c r="AE341" s="509"/>
      <c r="AF341" s="509"/>
      <c r="AG341" s="509"/>
      <c r="AH341" s="509"/>
      <c r="AI341" s="509"/>
      <c r="AJ341" s="509"/>
      <c r="AK341" s="509"/>
      <c r="AL341" s="509"/>
      <c r="AM341" s="509"/>
      <c r="AN341" s="509"/>
    </row>
    <row r="342" spans="1:40" ht="15.75" customHeight="1">
      <c r="A342" s="494" t="s">
        <v>442</v>
      </c>
      <c r="B342" s="509" t="s">
        <v>103</v>
      </c>
      <c r="C342" s="596" t="s">
        <v>60</v>
      </c>
      <c r="D342" s="581"/>
      <c r="E342" s="509"/>
      <c r="F342" s="530">
        <v>160.29647805243053</v>
      </c>
      <c r="G342" s="582"/>
      <c r="H342" s="509"/>
      <c r="I342" s="530"/>
      <c r="J342" s="529"/>
      <c r="K342" s="509"/>
      <c r="L342" s="532">
        <v>-52.37</v>
      </c>
      <c r="M342" s="529"/>
      <c r="N342" s="555">
        <v>-212.66647805243053</v>
      </c>
      <c r="O342" s="529"/>
      <c r="P342" s="509"/>
      <c r="Q342" s="532">
        <v>53.44</v>
      </c>
      <c r="R342" s="529"/>
      <c r="S342" s="555">
        <v>-105.81</v>
      </c>
      <c r="T342" s="509"/>
      <c r="U342" s="509"/>
      <c r="V342" s="509"/>
      <c r="W342" s="509"/>
      <c r="X342" s="509"/>
      <c r="Y342" s="509"/>
      <c r="Z342" s="509"/>
      <c r="AA342" s="509"/>
      <c r="AB342" s="509"/>
      <c r="AC342" s="509"/>
      <c r="AD342" s="509"/>
      <c r="AE342" s="509"/>
      <c r="AF342" s="509"/>
      <c r="AG342" s="509"/>
      <c r="AH342" s="509"/>
      <c r="AI342" s="509"/>
      <c r="AJ342" s="509"/>
      <c r="AK342" s="509"/>
      <c r="AL342" s="509"/>
      <c r="AM342" s="509"/>
      <c r="AN342" s="509"/>
    </row>
    <row r="343" spans="1:40" ht="15.75" customHeight="1">
      <c r="A343" s="494" t="s">
        <v>443</v>
      </c>
      <c r="B343" s="509" t="s">
        <v>103</v>
      </c>
      <c r="C343" s="596" t="s">
        <v>61</v>
      </c>
      <c r="D343" s="581"/>
      <c r="E343" s="509"/>
      <c r="F343" s="530">
        <v>218.76449018368055</v>
      </c>
      <c r="G343" s="582"/>
      <c r="H343" s="509"/>
      <c r="I343" s="530"/>
      <c r="J343" s="529"/>
      <c r="K343" s="509"/>
      <c r="L343" s="532">
        <v>157.71</v>
      </c>
      <c r="M343" s="529"/>
      <c r="N343" s="555">
        <v>-61.054490183680542</v>
      </c>
      <c r="O343" s="529"/>
      <c r="P343" s="509"/>
      <c r="Q343" s="532">
        <v>91.31</v>
      </c>
      <c r="R343" s="529"/>
      <c r="S343" s="555">
        <v>66.400000000000006</v>
      </c>
      <c r="T343" s="509"/>
      <c r="U343" s="509"/>
      <c r="V343" s="509"/>
      <c r="W343" s="509"/>
      <c r="X343" s="509"/>
      <c r="Y343" s="509"/>
      <c r="Z343" s="509"/>
      <c r="AA343" s="509"/>
      <c r="AB343" s="509"/>
      <c r="AC343" s="509"/>
      <c r="AD343" s="509"/>
      <c r="AE343" s="509"/>
      <c r="AF343" s="509"/>
      <c r="AG343" s="509"/>
      <c r="AH343" s="509"/>
      <c r="AI343" s="509"/>
      <c r="AJ343" s="509"/>
      <c r="AK343" s="509"/>
      <c r="AL343" s="509"/>
      <c r="AM343" s="509"/>
      <c r="AN343" s="509"/>
    </row>
    <row r="344" spans="1:40" ht="15.75" customHeight="1">
      <c r="A344" s="494" t="s">
        <v>444</v>
      </c>
      <c r="B344" s="509" t="s">
        <v>103</v>
      </c>
      <c r="C344" s="596" t="s">
        <v>62</v>
      </c>
      <c r="D344" s="581"/>
      <c r="E344" s="509"/>
      <c r="F344" s="530">
        <v>822.25903298327421</v>
      </c>
      <c r="G344" s="582"/>
      <c r="H344" s="509"/>
      <c r="I344" s="530"/>
      <c r="J344" s="529"/>
      <c r="K344" s="509"/>
      <c r="L344" s="532">
        <v>79.75</v>
      </c>
      <c r="M344" s="529"/>
      <c r="N344" s="555">
        <v>-742.50903298327421</v>
      </c>
      <c r="O344" s="529"/>
      <c r="P344" s="509"/>
      <c r="Q344" s="532">
        <v>2535.9699999999998</v>
      </c>
      <c r="R344" s="529"/>
      <c r="S344" s="555">
        <v>-2456.2199999999998</v>
      </c>
      <c r="T344" s="509"/>
      <c r="X344" s="509"/>
      <c r="Y344" s="509"/>
      <c r="Z344" s="509"/>
      <c r="AA344" s="509"/>
      <c r="AB344" s="509"/>
      <c r="AC344" s="509"/>
      <c r="AD344" s="509"/>
      <c r="AE344" s="509"/>
      <c r="AF344" s="509"/>
      <c r="AG344" s="509"/>
      <c r="AH344" s="509"/>
      <c r="AI344" s="509"/>
      <c r="AJ344" s="509"/>
      <c r="AK344" s="509"/>
      <c r="AL344" s="509"/>
      <c r="AM344" s="509"/>
      <c r="AN344" s="509"/>
    </row>
    <row r="345" spans="1:40" ht="15.75" customHeight="1">
      <c r="A345" s="494" t="s">
        <v>445</v>
      </c>
      <c r="B345" s="509" t="s">
        <v>103</v>
      </c>
      <c r="C345" s="596" t="s">
        <v>63</v>
      </c>
      <c r="D345" s="581"/>
      <c r="E345" s="509"/>
      <c r="F345" s="530">
        <v>1479.6608489796454</v>
      </c>
      <c r="G345" s="582"/>
      <c r="H345" s="509"/>
      <c r="I345" s="530"/>
      <c r="J345" s="529"/>
      <c r="K345" s="509"/>
      <c r="L345" s="532">
        <v>1900.91</v>
      </c>
      <c r="M345" s="529"/>
      <c r="N345" s="555">
        <v>421.2491510203547</v>
      </c>
      <c r="O345" s="529"/>
      <c r="P345" s="509"/>
      <c r="Q345" s="532">
        <v>1344.72</v>
      </c>
      <c r="R345" s="529"/>
      <c r="S345" s="555">
        <v>556.19000000000005</v>
      </c>
      <c r="T345" s="509"/>
      <c r="X345" s="509"/>
      <c r="Y345" s="509"/>
      <c r="Z345" s="509"/>
      <c r="AA345" s="509"/>
      <c r="AB345" s="509"/>
      <c r="AC345" s="509"/>
      <c r="AD345" s="509"/>
      <c r="AE345" s="509"/>
      <c r="AF345" s="509"/>
      <c r="AG345" s="509"/>
      <c r="AH345" s="509"/>
      <c r="AI345" s="509"/>
      <c r="AJ345" s="509"/>
      <c r="AK345" s="509"/>
      <c r="AL345" s="509"/>
      <c r="AM345" s="509"/>
      <c r="AN345" s="509"/>
    </row>
    <row r="346" spans="1:40" ht="15.75" hidden="1" customHeight="1">
      <c r="A346" s="494" t="s">
        <v>411</v>
      </c>
      <c r="B346" s="509" t="s">
        <v>103</v>
      </c>
      <c r="C346" s="596" t="s">
        <v>20</v>
      </c>
      <c r="D346" s="581"/>
      <c r="E346" s="509"/>
      <c r="F346" s="530">
        <v>0</v>
      </c>
      <c r="G346" s="582"/>
      <c r="H346" s="509"/>
      <c r="I346" s="530"/>
      <c r="J346" s="529"/>
      <c r="K346" s="509"/>
      <c r="L346" s="532">
        <v>0</v>
      </c>
      <c r="M346" s="529"/>
      <c r="N346" s="555">
        <v>0</v>
      </c>
      <c r="O346" s="529"/>
      <c r="P346" s="509"/>
      <c r="Q346" s="532">
        <v>0</v>
      </c>
      <c r="R346" s="529"/>
      <c r="S346" s="555">
        <v>0</v>
      </c>
      <c r="T346" s="509"/>
      <c r="X346" s="509"/>
      <c r="Y346" s="509"/>
      <c r="Z346" s="509"/>
      <c r="AA346" s="509"/>
      <c r="AB346" s="509"/>
      <c r="AC346" s="509"/>
      <c r="AD346" s="509"/>
      <c r="AE346" s="509"/>
      <c r="AF346" s="509"/>
      <c r="AG346" s="509"/>
      <c r="AH346" s="509"/>
      <c r="AI346" s="509"/>
      <c r="AJ346" s="509"/>
      <c r="AK346" s="509"/>
      <c r="AL346" s="509"/>
      <c r="AM346" s="509"/>
      <c r="AN346" s="509"/>
    </row>
    <row r="347" spans="1:40" ht="15.75" hidden="1" customHeight="1">
      <c r="A347" s="494" t="s">
        <v>411</v>
      </c>
      <c r="B347" s="509" t="s">
        <v>103</v>
      </c>
      <c r="C347" s="596" t="s">
        <v>20</v>
      </c>
      <c r="D347" s="581"/>
      <c r="E347" s="509"/>
      <c r="F347" s="530">
        <v>0</v>
      </c>
      <c r="G347" s="582"/>
      <c r="H347" s="509"/>
      <c r="I347" s="530"/>
      <c r="J347" s="529"/>
      <c r="K347" s="509"/>
      <c r="L347" s="532">
        <v>0</v>
      </c>
      <c r="M347" s="529"/>
      <c r="N347" s="555">
        <v>0</v>
      </c>
      <c r="O347" s="529"/>
      <c r="P347" s="509"/>
      <c r="Q347" s="532">
        <v>0</v>
      </c>
      <c r="R347" s="529"/>
      <c r="S347" s="555">
        <v>0</v>
      </c>
      <c r="T347" s="509"/>
      <c r="X347" s="509"/>
      <c r="Y347" s="509"/>
      <c r="Z347" s="509"/>
      <c r="AA347" s="509"/>
      <c r="AB347" s="509"/>
      <c r="AC347" s="509"/>
      <c r="AD347" s="509"/>
      <c r="AE347" s="509"/>
      <c r="AF347" s="509"/>
      <c r="AG347" s="509"/>
      <c r="AH347" s="509"/>
      <c r="AI347" s="509"/>
      <c r="AJ347" s="509"/>
      <c r="AK347" s="509"/>
      <c r="AL347" s="509"/>
      <c r="AM347" s="509"/>
      <c r="AN347" s="509"/>
    </row>
    <row r="348" spans="1:40" ht="15.75" hidden="1" customHeight="1">
      <c r="A348" s="494" t="s">
        <v>411</v>
      </c>
      <c r="B348" s="509" t="s">
        <v>103</v>
      </c>
      <c r="C348" s="596" t="s">
        <v>20</v>
      </c>
      <c r="D348" s="581"/>
      <c r="E348" s="509"/>
      <c r="F348" s="530">
        <v>0</v>
      </c>
      <c r="G348" s="582"/>
      <c r="H348" s="509"/>
      <c r="I348" s="530"/>
      <c r="J348" s="529"/>
      <c r="K348" s="509"/>
      <c r="L348" s="532">
        <v>0</v>
      </c>
      <c r="M348" s="529"/>
      <c r="N348" s="555">
        <v>0</v>
      </c>
      <c r="O348" s="529"/>
      <c r="P348" s="509"/>
      <c r="Q348" s="532">
        <v>0</v>
      </c>
      <c r="R348" s="529"/>
      <c r="S348" s="555">
        <v>0</v>
      </c>
      <c r="T348" s="509"/>
      <c r="X348" s="509"/>
      <c r="Y348" s="509"/>
      <c r="Z348" s="509"/>
      <c r="AA348" s="509"/>
      <c r="AB348" s="509"/>
      <c r="AC348" s="509"/>
      <c r="AD348" s="509"/>
      <c r="AE348" s="509"/>
      <c r="AF348" s="509"/>
      <c r="AG348" s="509"/>
      <c r="AH348" s="509"/>
      <c r="AI348" s="509"/>
      <c r="AJ348" s="509"/>
      <c r="AK348" s="509"/>
      <c r="AL348" s="509"/>
      <c r="AM348" s="509"/>
      <c r="AN348" s="509"/>
    </row>
    <row r="349" spans="1:40" ht="15.75" customHeight="1">
      <c r="B349" s="503"/>
      <c r="C349" s="588" t="s">
        <v>64</v>
      </c>
      <c r="D349" s="589" t="s">
        <v>39</v>
      </c>
      <c r="E349" s="590">
        <v>0.17132084316354712</v>
      </c>
      <c r="F349" s="591">
        <v>27569.677157790564</v>
      </c>
      <c r="G349" s="592"/>
      <c r="H349" s="590"/>
      <c r="I349" s="591"/>
      <c r="J349" s="592" t="s">
        <v>39</v>
      </c>
      <c r="K349" s="590">
        <v>0.21911200721519508</v>
      </c>
      <c r="L349" s="591">
        <v>27642.29</v>
      </c>
      <c r="M349" s="595"/>
      <c r="N349" s="591">
        <v>72.612842209433893</v>
      </c>
      <c r="O349" s="592" t="s">
        <v>39</v>
      </c>
      <c r="P349" s="590">
        <v>0.28061927016609156</v>
      </c>
      <c r="Q349" s="591">
        <v>29746.260000000002</v>
      </c>
      <c r="R349" s="595"/>
      <c r="S349" s="591">
        <v>-2103.9699999999989</v>
      </c>
      <c r="T349" s="509"/>
      <c r="X349" s="509"/>
      <c r="Y349" s="509"/>
      <c r="Z349" s="509"/>
      <c r="AA349" s="509"/>
      <c r="AB349" s="509"/>
      <c r="AC349" s="509"/>
      <c r="AD349" s="509"/>
      <c r="AE349" s="509"/>
      <c r="AF349" s="509"/>
      <c r="AG349" s="509"/>
      <c r="AH349" s="509"/>
      <c r="AI349" s="509"/>
      <c r="AJ349" s="509"/>
      <c r="AK349" s="509"/>
      <c r="AL349" s="509"/>
      <c r="AM349" s="509"/>
      <c r="AN349" s="509"/>
    </row>
    <row r="350" spans="1:40" ht="15.75" customHeight="1">
      <c r="B350" s="503"/>
      <c r="C350" s="522"/>
      <c r="D350" s="583"/>
      <c r="E350" s="603"/>
      <c r="F350" s="555"/>
      <c r="G350" s="584"/>
      <c r="H350" s="603"/>
      <c r="I350" s="555"/>
      <c r="J350" s="522"/>
      <c r="K350" s="603"/>
      <c r="L350" s="579"/>
      <c r="M350" s="522"/>
      <c r="N350" s="579"/>
      <c r="O350" s="522"/>
      <c r="P350" s="603"/>
      <c r="Q350" s="579"/>
      <c r="R350" s="522"/>
      <c r="S350" s="579"/>
      <c r="T350" s="509"/>
      <c r="U350" s="509"/>
      <c r="V350" s="509"/>
      <c r="W350" s="509"/>
      <c r="X350" s="509"/>
      <c r="Y350" s="509"/>
      <c r="Z350" s="509"/>
      <c r="AA350" s="509"/>
      <c r="AB350" s="509"/>
      <c r="AC350" s="509"/>
      <c r="AD350" s="509"/>
      <c r="AE350" s="509"/>
      <c r="AF350" s="509"/>
      <c r="AG350" s="509"/>
      <c r="AH350" s="509"/>
      <c r="AI350" s="509"/>
      <c r="AJ350" s="509"/>
      <c r="AK350" s="509"/>
      <c r="AL350" s="509"/>
      <c r="AM350" s="509"/>
      <c r="AN350" s="509"/>
    </row>
    <row r="351" spans="1:40" ht="15.75" customHeight="1">
      <c r="B351" s="503"/>
      <c r="C351" s="588" t="s">
        <v>65</v>
      </c>
      <c r="D351" s="589" t="s">
        <v>39</v>
      </c>
      <c r="E351" s="590">
        <v>0.45717575117906584</v>
      </c>
      <c r="F351" s="591">
        <v>73570.662107616197</v>
      </c>
      <c r="G351" s="592"/>
      <c r="H351" s="590"/>
      <c r="I351" s="591"/>
      <c r="J351" s="592" t="s">
        <v>39</v>
      </c>
      <c r="K351" s="590">
        <v>0.5797421572881446</v>
      </c>
      <c r="L351" s="591">
        <v>73137.94</v>
      </c>
      <c r="M351" s="595"/>
      <c r="N351" s="605">
        <v>-432.72210761619499</v>
      </c>
      <c r="O351" s="592" t="s">
        <v>39</v>
      </c>
      <c r="P351" s="590">
        <v>0.7082963372458323</v>
      </c>
      <c r="Q351" s="591">
        <v>75080.97</v>
      </c>
      <c r="R351" s="595"/>
      <c r="S351" s="605">
        <v>-1943.0299999999988</v>
      </c>
      <c r="T351" s="509"/>
      <c r="U351" s="509"/>
      <c r="V351" s="509"/>
      <c r="W351" s="509"/>
      <c r="X351" s="509"/>
      <c r="Y351" s="509"/>
      <c r="Z351" s="509"/>
      <c r="AA351" s="509"/>
      <c r="AB351" s="509"/>
      <c r="AC351" s="509"/>
      <c r="AD351" s="509"/>
      <c r="AE351" s="509"/>
      <c r="AF351" s="509"/>
      <c r="AG351" s="509"/>
      <c r="AH351" s="509"/>
      <c r="AI351" s="509"/>
      <c r="AJ351" s="509"/>
      <c r="AK351" s="509"/>
      <c r="AL351" s="509"/>
      <c r="AM351" s="509"/>
      <c r="AN351" s="509"/>
    </row>
    <row r="352" spans="1:40" ht="15.75" customHeight="1">
      <c r="B352" s="503"/>
      <c r="C352" s="529"/>
      <c r="D352" s="581"/>
      <c r="E352" s="509"/>
      <c r="F352" s="555"/>
      <c r="G352" s="582"/>
      <c r="H352" s="509"/>
      <c r="I352" s="555"/>
      <c r="J352" s="529"/>
      <c r="K352" s="509"/>
      <c r="L352" s="555"/>
      <c r="M352" s="529"/>
      <c r="N352" s="555">
        <v>0</v>
      </c>
      <c r="O352" s="529"/>
      <c r="P352" s="509"/>
      <c r="Q352" s="555"/>
      <c r="R352" s="529"/>
      <c r="S352" s="555"/>
      <c r="T352" s="509"/>
      <c r="U352" s="509"/>
      <c r="V352" s="509"/>
      <c r="W352" s="509"/>
      <c r="X352" s="509"/>
      <c r="Y352" s="509"/>
      <c r="Z352" s="509"/>
      <c r="AA352" s="509"/>
      <c r="AB352" s="509"/>
      <c r="AC352" s="509"/>
      <c r="AD352" s="509"/>
      <c r="AE352" s="509"/>
      <c r="AF352" s="509"/>
      <c r="AG352" s="509"/>
      <c r="AH352" s="509"/>
      <c r="AI352" s="509"/>
      <c r="AJ352" s="509"/>
      <c r="AK352" s="509"/>
      <c r="AL352" s="509"/>
      <c r="AM352" s="509"/>
      <c r="AN352" s="509"/>
    </row>
    <row r="353" spans="1:40" ht="24" customHeight="1" thickBot="1">
      <c r="B353" s="503"/>
      <c r="C353" s="621" t="s">
        <v>72</v>
      </c>
      <c r="D353" s="651"/>
      <c r="E353" s="622"/>
      <c r="F353" s="624">
        <v>87353.581835497404</v>
      </c>
      <c r="G353" s="652"/>
      <c r="H353" s="622"/>
      <c r="I353" s="624"/>
      <c r="J353" s="621"/>
      <c r="K353" s="623"/>
      <c r="L353" s="624">
        <v>53018.039999999964</v>
      </c>
      <c r="M353" s="621"/>
      <c r="N353" s="624">
        <v>-34335.541835497439</v>
      </c>
      <c r="O353" s="621"/>
      <c r="P353" s="626">
        <v>8.2870612816132005E-2</v>
      </c>
      <c r="Q353" s="624">
        <v>30921.229999999763</v>
      </c>
      <c r="R353" s="621"/>
      <c r="S353" s="624">
        <v>22096.810000000201</v>
      </c>
      <c r="T353" s="509"/>
      <c r="U353" s="509"/>
      <c r="V353" s="509"/>
      <c r="W353" s="509"/>
      <c r="X353" s="509"/>
      <c r="Y353" s="509"/>
      <c r="Z353" s="509"/>
      <c r="AA353" s="509"/>
      <c r="AB353" s="509"/>
      <c r="AC353" s="509"/>
      <c r="AD353" s="509"/>
      <c r="AE353" s="509"/>
      <c r="AF353" s="509"/>
      <c r="AG353" s="509"/>
      <c r="AH353" s="509"/>
      <c r="AI353" s="509"/>
      <c r="AJ353" s="509"/>
      <c r="AK353" s="509"/>
      <c r="AL353" s="509"/>
      <c r="AM353" s="509"/>
      <c r="AN353" s="509"/>
    </row>
    <row r="354" spans="1:40" ht="15.75" customHeight="1" thickTop="1">
      <c r="B354" s="503"/>
      <c r="C354" s="568"/>
      <c r="D354" s="581"/>
      <c r="E354" s="509"/>
      <c r="F354" s="604"/>
      <c r="G354" s="581"/>
      <c r="H354" s="509"/>
      <c r="I354" s="604"/>
      <c r="J354" s="568"/>
      <c r="K354" s="568"/>
      <c r="L354" s="604"/>
      <c r="M354" s="568"/>
      <c r="N354" s="604"/>
      <c r="O354" s="568"/>
      <c r="P354" s="568"/>
      <c r="Q354" s="604"/>
      <c r="R354" s="568"/>
      <c r="S354" s="604"/>
      <c r="T354" s="509"/>
      <c r="U354" s="509"/>
      <c r="V354" s="509"/>
      <c r="W354" s="509"/>
      <c r="X354" s="509"/>
      <c r="Y354" s="509"/>
      <c r="Z354" s="509"/>
      <c r="AA354" s="509"/>
      <c r="AB354" s="509"/>
      <c r="AC354" s="509"/>
      <c r="AD354" s="509"/>
      <c r="AE354" s="509"/>
      <c r="AF354" s="509"/>
      <c r="AG354" s="509"/>
      <c r="AH354" s="509"/>
      <c r="AI354" s="509"/>
      <c r="AJ354" s="509"/>
      <c r="AK354" s="509"/>
      <c r="AL354" s="509"/>
      <c r="AM354" s="509"/>
      <c r="AN354" s="509"/>
    </row>
    <row r="355" spans="1:40" ht="15.75" hidden="1" customHeight="1">
      <c r="B355" s="503"/>
      <c r="C355" s="568"/>
      <c r="D355" s="581"/>
      <c r="E355" s="509"/>
      <c r="F355" s="604"/>
      <c r="G355" s="581"/>
      <c r="H355" s="509"/>
      <c r="I355" s="604"/>
      <c r="J355" s="568"/>
      <c r="K355" s="568"/>
      <c r="L355" s="604"/>
      <c r="M355" s="568"/>
      <c r="N355" s="604"/>
      <c r="O355" s="568"/>
      <c r="P355" s="568"/>
      <c r="Q355" s="604"/>
      <c r="R355" s="568"/>
      <c r="S355" s="604"/>
      <c r="T355" s="509"/>
      <c r="U355" s="509"/>
      <c r="V355" s="509"/>
      <c r="W355" s="509"/>
      <c r="X355" s="509"/>
      <c r="Y355" s="509"/>
      <c r="Z355" s="509"/>
      <c r="AA355" s="509"/>
      <c r="AB355" s="509"/>
      <c r="AC355" s="509"/>
      <c r="AD355" s="509"/>
      <c r="AE355" s="509"/>
      <c r="AF355" s="509"/>
      <c r="AG355" s="509"/>
      <c r="AH355" s="509"/>
      <c r="AI355" s="509"/>
      <c r="AJ355" s="509"/>
      <c r="AK355" s="509"/>
      <c r="AL355" s="509"/>
      <c r="AM355" s="509"/>
      <c r="AN355" s="509"/>
    </row>
    <row r="356" spans="1:40" ht="34.5" hidden="1" customHeight="1">
      <c r="B356" s="503"/>
      <c r="C356" s="631" t="s">
        <v>477</v>
      </c>
      <c r="D356" s="497"/>
      <c r="E356" s="497"/>
      <c r="F356" s="497"/>
      <c r="G356" s="497"/>
      <c r="H356" s="495"/>
      <c r="I356" s="495"/>
      <c r="J356" s="495"/>
      <c r="K356" s="499" t="s">
        <v>119</v>
      </c>
      <c r="L356" s="497"/>
      <c r="M356" s="497"/>
      <c r="N356" s="495"/>
      <c r="O356" s="495"/>
      <c r="P356" s="497"/>
      <c r="Q356" s="495"/>
      <c r="R356" s="497"/>
      <c r="S356" s="632" t="s">
        <v>481</v>
      </c>
      <c r="T356" s="506"/>
      <c r="U356" s="506"/>
      <c r="V356" s="509"/>
      <c r="W356" s="506"/>
      <c r="X356" s="506"/>
      <c r="Y356" s="506"/>
      <c r="Z356" s="506"/>
      <c r="AA356" s="506"/>
      <c r="AB356" s="506"/>
      <c r="AC356" s="506"/>
      <c r="AD356" s="506"/>
      <c r="AE356" s="506"/>
      <c r="AF356" s="506"/>
      <c r="AG356" s="506"/>
      <c r="AH356" s="506"/>
      <c r="AI356" s="506"/>
      <c r="AJ356" s="506"/>
      <c r="AK356" s="506"/>
      <c r="AL356" s="506"/>
      <c r="AM356" s="506"/>
      <c r="AN356" s="506"/>
    </row>
    <row r="357" spans="1:40" ht="15.75" hidden="1" customHeight="1">
      <c r="B357" s="503"/>
      <c r="C357" s="504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9"/>
      <c r="W357" s="506"/>
      <c r="X357" s="506"/>
      <c r="Y357" s="506"/>
      <c r="Z357" s="506"/>
      <c r="AA357" s="506"/>
      <c r="AB357" s="506"/>
      <c r="AC357" s="506"/>
      <c r="AD357" s="506"/>
      <c r="AE357" s="506"/>
      <c r="AF357" s="506"/>
      <c r="AG357" s="506"/>
      <c r="AH357" s="506"/>
      <c r="AI357" s="506"/>
      <c r="AJ357" s="506"/>
      <c r="AK357" s="506"/>
      <c r="AL357" s="506"/>
      <c r="AM357" s="506"/>
      <c r="AN357" s="506"/>
    </row>
    <row r="358" spans="1:40" ht="15.75" hidden="1" customHeight="1">
      <c r="B358" s="503"/>
      <c r="C358" s="510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3"/>
      <c r="T358" s="506"/>
      <c r="U358" s="506"/>
      <c r="V358" s="509"/>
      <c r="W358" s="506"/>
      <c r="X358" s="506"/>
      <c r="Y358" s="506"/>
      <c r="Z358" s="506"/>
      <c r="AA358" s="506"/>
      <c r="AB358" s="506"/>
      <c r="AC358" s="506"/>
      <c r="AD358" s="506"/>
      <c r="AE358" s="506"/>
      <c r="AF358" s="506"/>
      <c r="AG358" s="506"/>
      <c r="AH358" s="506"/>
      <c r="AI358" s="506"/>
      <c r="AJ358" s="506"/>
      <c r="AK358" s="506"/>
      <c r="AL358" s="506"/>
      <c r="AM358" s="506"/>
      <c r="AN358" s="506"/>
    </row>
    <row r="359" spans="1:40" ht="15.75" hidden="1" customHeight="1">
      <c r="A359" s="494" t="s">
        <v>119</v>
      </c>
      <c r="B359" s="509" t="s">
        <v>119</v>
      </c>
      <c r="C359" s="529"/>
      <c r="D359" s="716" t="s">
        <v>84</v>
      </c>
      <c r="E359" s="716" t="s">
        <v>104</v>
      </c>
      <c r="F359" s="717" t="s">
        <v>12</v>
      </c>
      <c r="G359" s="718"/>
      <c r="H359" s="716"/>
      <c r="I359" s="717"/>
      <c r="J359" s="655" t="s">
        <v>84</v>
      </c>
      <c r="K359" s="572" t="s">
        <v>104</v>
      </c>
      <c r="L359" s="654" t="s">
        <v>12</v>
      </c>
      <c r="M359" s="655"/>
      <c r="N359" s="654"/>
      <c r="O359" s="655" t="s">
        <v>84</v>
      </c>
      <c r="P359" s="572" t="s">
        <v>104</v>
      </c>
      <c r="Q359" s="654" t="s">
        <v>12</v>
      </c>
      <c r="R359" s="655" t="s">
        <v>85</v>
      </c>
      <c r="S359" s="654" t="s">
        <v>12</v>
      </c>
      <c r="T359" s="506"/>
      <c r="U359" s="506"/>
      <c r="V359" s="509"/>
      <c r="W359" s="506"/>
      <c r="X359" s="506"/>
      <c r="Y359" s="506"/>
      <c r="Z359" s="506"/>
      <c r="AA359" s="506"/>
      <c r="AB359" s="506"/>
      <c r="AC359" s="506"/>
      <c r="AD359" s="506"/>
      <c r="AE359" s="506"/>
      <c r="AF359" s="506"/>
      <c r="AG359" s="506"/>
      <c r="AH359" s="506"/>
      <c r="AI359" s="506"/>
      <c r="AJ359" s="506"/>
      <c r="AK359" s="506"/>
      <c r="AL359" s="506"/>
      <c r="AM359" s="506"/>
      <c r="AN359" s="506"/>
    </row>
    <row r="360" spans="1:40" ht="15.75" hidden="1" customHeight="1">
      <c r="A360" s="494" t="s">
        <v>446</v>
      </c>
      <c r="B360" s="509" t="s">
        <v>119</v>
      </c>
      <c r="C360" s="557" t="s">
        <v>119</v>
      </c>
      <c r="D360" s="719">
        <v>0</v>
      </c>
      <c r="E360" s="720">
        <v>0</v>
      </c>
      <c r="F360" s="721">
        <v>0</v>
      </c>
      <c r="G360" s="719"/>
      <c r="H360" s="720"/>
      <c r="I360" s="719"/>
      <c r="J360" s="722">
        <v>0</v>
      </c>
      <c r="K360" s="707">
        <v>0</v>
      </c>
      <c r="L360" s="723">
        <v>0</v>
      </c>
      <c r="M360" s="708"/>
      <c r="N360" s="709"/>
      <c r="O360" s="722">
        <v>0</v>
      </c>
      <c r="P360" s="707">
        <v>0</v>
      </c>
      <c r="Q360" s="723">
        <v>0</v>
      </c>
      <c r="R360" s="708">
        <v>0</v>
      </c>
      <c r="S360" s="709">
        <v>0</v>
      </c>
      <c r="T360" s="506"/>
      <c r="U360" s="506"/>
      <c r="V360" s="724"/>
      <c r="W360" s="506"/>
      <c r="X360" s="506"/>
      <c r="Y360" s="506"/>
      <c r="Z360" s="506"/>
      <c r="AA360" s="506"/>
      <c r="AB360" s="506"/>
      <c r="AC360" s="506"/>
      <c r="AD360" s="506"/>
      <c r="AE360" s="506"/>
      <c r="AF360" s="506"/>
      <c r="AG360" s="506"/>
      <c r="AH360" s="506"/>
      <c r="AI360" s="506"/>
      <c r="AJ360" s="506"/>
      <c r="AK360" s="506"/>
      <c r="AL360" s="506"/>
      <c r="AM360" s="506"/>
      <c r="AN360" s="506"/>
    </row>
    <row r="361" spans="1:40" ht="15.75" hidden="1" customHeight="1">
      <c r="A361" s="494" t="s">
        <v>119</v>
      </c>
      <c r="B361" s="509" t="s">
        <v>119</v>
      </c>
      <c r="C361" s="621"/>
      <c r="D361" s="710"/>
      <c r="E361" s="711"/>
      <c r="F361" s="624"/>
      <c r="G361" s="712"/>
      <c r="H361" s="711"/>
      <c r="I361" s="624"/>
      <c r="J361" s="712"/>
      <c r="K361" s="711"/>
      <c r="L361" s="624"/>
      <c r="M361" s="714"/>
      <c r="N361" s="567"/>
      <c r="O361" s="712"/>
      <c r="P361" s="711"/>
      <c r="Q361" s="624"/>
      <c r="R361" s="714"/>
      <c r="S361" s="567"/>
      <c r="T361" s="506"/>
      <c r="U361" s="506"/>
      <c r="V361" s="509"/>
      <c r="W361" s="506"/>
      <c r="X361" s="506"/>
      <c r="Y361" s="506"/>
      <c r="Z361" s="506"/>
      <c r="AA361" s="506"/>
      <c r="AB361" s="506"/>
      <c r="AC361" s="506"/>
      <c r="AD361" s="506"/>
      <c r="AE361" s="506"/>
      <c r="AF361" s="506"/>
      <c r="AG361" s="506"/>
      <c r="AH361" s="506"/>
      <c r="AI361" s="506"/>
      <c r="AJ361" s="506"/>
      <c r="AK361" s="506"/>
      <c r="AL361" s="506"/>
      <c r="AM361" s="506"/>
      <c r="AN361" s="506"/>
    </row>
    <row r="362" spans="1:40" ht="15.75" hidden="1" customHeight="1">
      <c r="A362" s="494" t="s">
        <v>447</v>
      </c>
      <c r="B362" s="509" t="s">
        <v>119</v>
      </c>
      <c r="C362" s="548" t="s">
        <v>120</v>
      </c>
      <c r="D362" s="604">
        <v>0</v>
      </c>
      <c r="E362" s="666">
        <v>0</v>
      </c>
      <c r="F362" s="668">
        <v>0</v>
      </c>
      <c r="G362" s="667"/>
      <c r="H362" s="666"/>
      <c r="I362" s="668"/>
      <c r="J362" s="667">
        <v>0</v>
      </c>
      <c r="K362" s="666">
        <v>0</v>
      </c>
      <c r="L362" s="668">
        <v>0</v>
      </c>
      <c r="M362" s="644"/>
      <c r="N362" s="725"/>
      <c r="O362" s="667">
        <v>0</v>
      </c>
      <c r="P362" s="666">
        <v>0</v>
      </c>
      <c r="Q362" s="668">
        <v>0</v>
      </c>
      <c r="R362" s="529">
        <v>0</v>
      </c>
      <c r="S362" s="547">
        <v>0</v>
      </c>
      <c r="T362" s="506"/>
      <c r="U362" s="506"/>
      <c r="V362" s="509"/>
      <c r="W362" s="506"/>
      <c r="X362" s="506"/>
      <c r="Y362" s="506"/>
      <c r="Z362" s="506"/>
      <c r="AA362" s="506"/>
      <c r="AB362" s="506"/>
      <c r="AC362" s="506"/>
      <c r="AD362" s="506"/>
      <c r="AE362" s="506"/>
      <c r="AF362" s="506"/>
      <c r="AG362" s="506"/>
      <c r="AH362" s="506"/>
      <c r="AI362" s="506"/>
      <c r="AJ362" s="506"/>
      <c r="AK362" s="506"/>
      <c r="AL362" s="506"/>
      <c r="AM362" s="506"/>
      <c r="AN362" s="506"/>
    </row>
    <row r="363" spans="1:40" ht="15.75" hidden="1" customHeight="1">
      <c r="A363" s="494" t="s">
        <v>119</v>
      </c>
      <c r="B363" s="509" t="s">
        <v>119</v>
      </c>
      <c r="C363" s="571"/>
      <c r="D363" s="509"/>
      <c r="E363" s="509"/>
      <c r="F363" s="555"/>
      <c r="G363" s="529"/>
      <c r="H363" s="509"/>
      <c r="I363" s="555"/>
      <c r="J363" s="529"/>
      <c r="K363" s="509"/>
      <c r="L363" s="539"/>
      <c r="M363" s="529"/>
      <c r="N363" s="656"/>
      <c r="O363" s="529"/>
      <c r="P363" s="509"/>
      <c r="Q363" s="539"/>
      <c r="R363" s="529"/>
      <c r="S363" s="539">
        <v>0</v>
      </c>
      <c r="T363" s="506"/>
      <c r="U363" s="506"/>
      <c r="V363" s="509"/>
      <c r="W363" s="506"/>
      <c r="X363" s="506"/>
      <c r="Y363" s="506"/>
      <c r="Z363" s="506"/>
      <c r="AA363" s="506"/>
      <c r="AB363" s="506"/>
      <c r="AC363" s="506"/>
      <c r="AD363" s="506"/>
      <c r="AE363" s="506"/>
      <c r="AF363" s="506"/>
      <c r="AG363" s="506"/>
      <c r="AH363" s="506"/>
      <c r="AI363" s="506"/>
      <c r="AJ363" s="506"/>
      <c r="AK363" s="506"/>
      <c r="AL363" s="506"/>
      <c r="AM363" s="506"/>
      <c r="AN363" s="506"/>
    </row>
    <row r="364" spans="1:40" ht="15.75" hidden="1" customHeight="1">
      <c r="A364" s="494" t="s">
        <v>448</v>
      </c>
      <c r="B364" s="509" t="s">
        <v>119</v>
      </c>
      <c r="C364" s="571" t="s">
        <v>30</v>
      </c>
      <c r="D364" s="509"/>
      <c r="E364" s="509"/>
      <c r="F364" s="555"/>
      <c r="G364" s="529"/>
      <c r="H364" s="509"/>
      <c r="I364" s="555"/>
      <c r="J364" s="529"/>
      <c r="K364" s="509"/>
      <c r="L364" s="539"/>
      <c r="M364" s="529"/>
      <c r="N364" s="539"/>
      <c r="O364" s="529"/>
      <c r="P364" s="509"/>
      <c r="Q364" s="539"/>
      <c r="R364" s="529"/>
      <c r="S364" s="539"/>
      <c r="T364" s="506"/>
      <c r="U364" s="506"/>
      <c r="V364" s="509"/>
      <c r="W364" s="506"/>
      <c r="X364" s="506"/>
      <c r="Y364" s="506"/>
      <c r="Z364" s="506"/>
      <c r="AA364" s="506"/>
      <c r="AB364" s="506"/>
      <c r="AC364" s="506"/>
      <c r="AD364" s="506"/>
      <c r="AE364" s="506"/>
      <c r="AF364" s="506"/>
      <c r="AG364" s="506"/>
      <c r="AH364" s="506"/>
      <c r="AI364" s="506"/>
      <c r="AJ364" s="506"/>
      <c r="AK364" s="506"/>
      <c r="AL364" s="506"/>
      <c r="AM364" s="506"/>
      <c r="AN364" s="506"/>
    </row>
    <row r="365" spans="1:40" ht="15.75" hidden="1" customHeight="1">
      <c r="A365" s="494" t="s">
        <v>449</v>
      </c>
      <c r="B365" s="509" t="s">
        <v>119</v>
      </c>
      <c r="C365" s="596" t="s">
        <v>41</v>
      </c>
      <c r="D365" s="509"/>
      <c r="E365" s="509"/>
      <c r="F365" s="530">
        <v>0</v>
      </c>
      <c r="G365" s="529"/>
      <c r="H365" s="509"/>
      <c r="I365" s="530"/>
      <c r="J365" s="529"/>
      <c r="K365" s="509"/>
      <c r="L365" s="532">
        <v>0</v>
      </c>
      <c r="M365" s="529"/>
      <c r="N365" s="539"/>
      <c r="O365" s="529"/>
      <c r="P365" s="509"/>
      <c r="Q365" s="532">
        <v>0</v>
      </c>
      <c r="R365" s="529"/>
      <c r="S365" s="532">
        <v>0</v>
      </c>
      <c r="T365" s="506"/>
      <c r="U365" s="506"/>
      <c r="V365" s="509"/>
      <c r="W365" s="506"/>
      <c r="X365" s="506"/>
      <c r="Y365" s="506"/>
      <c r="Z365" s="506"/>
      <c r="AA365" s="506"/>
      <c r="AB365" s="506"/>
      <c r="AC365" s="506"/>
      <c r="AD365" s="506"/>
      <c r="AE365" s="506"/>
      <c r="AF365" s="506"/>
      <c r="AG365" s="506"/>
      <c r="AH365" s="506"/>
      <c r="AI365" s="506"/>
      <c r="AJ365" s="506"/>
      <c r="AK365" s="506"/>
      <c r="AL365" s="506"/>
      <c r="AM365" s="506"/>
      <c r="AN365" s="506"/>
    </row>
    <row r="366" spans="1:40" ht="15.75" hidden="1" customHeight="1">
      <c r="A366" s="494" t="s">
        <v>450</v>
      </c>
      <c r="B366" s="509" t="s">
        <v>119</v>
      </c>
      <c r="C366" s="598" t="s">
        <v>42</v>
      </c>
      <c r="D366" s="581"/>
      <c r="E366" s="509"/>
      <c r="F366" s="524">
        <v>0</v>
      </c>
      <c r="G366" s="582"/>
      <c r="H366" s="509"/>
      <c r="I366" s="524"/>
      <c r="J366" s="529"/>
      <c r="K366" s="509"/>
      <c r="L366" s="524">
        <v>0</v>
      </c>
      <c r="M366" s="529"/>
      <c r="N366" s="555"/>
      <c r="O366" s="529"/>
      <c r="P366" s="509"/>
      <c r="Q366" s="524">
        <v>0</v>
      </c>
      <c r="R366" s="529"/>
      <c r="S366" s="555">
        <v>0</v>
      </c>
      <c r="T366" s="506"/>
      <c r="U366" s="506"/>
      <c r="V366" s="509"/>
      <c r="W366" s="506"/>
      <c r="X366" s="506"/>
      <c r="Y366" s="506"/>
      <c r="Z366" s="506"/>
      <c r="AA366" s="506"/>
      <c r="AB366" s="506"/>
      <c r="AC366" s="506"/>
      <c r="AD366" s="506"/>
      <c r="AE366" s="506"/>
      <c r="AF366" s="506"/>
      <c r="AG366" s="506"/>
      <c r="AH366" s="506"/>
      <c r="AI366" s="506"/>
      <c r="AJ366" s="506"/>
      <c r="AK366" s="506"/>
      <c r="AL366" s="506"/>
      <c r="AM366" s="506"/>
      <c r="AN366" s="506"/>
    </row>
    <row r="367" spans="1:40" ht="15.75" hidden="1" customHeight="1">
      <c r="A367" s="494" t="s">
        <v>451</v>
      </c>
      <c r="B367" s="509" t="s">
        <v>119</v>
      </c>
      <c r="C367" s="596" t="s">
        <v>43</v>
      </c>
      <c r="D367" s="599"/>
      <c r="E367" s="600"/>
      <c r="F367" s="530">
        <v>0</v>
      </c>
      <c r="G367" s="601"/>
      <c r="H367" s="600"/>
      <c r="I367" s="530"/>
      <c r="J367" s="517"/>
      <c r="K367" s="600"/>
      <c r="L367" s="532">
        <v>0</v>
      </c>
      <c r="M367" s="517"/>
      <c r="N367" s="602"/>
      <c r="O367" s="517"/>
      <c r="P367" s="600"/>
      <c r="Q367" s="532">
        <v>0</v>
      </c>
      <c r="R367" s="517"/>
      <c r="S367" s="602">
        <v>0</v>
      </c>
      <c r="T367" s="506"/>
      <c r="U367" s="506"/>
      <c r="V367" s="509"/>
      <c r="W367" s="506"/>
      <c r="X367" s="506"/>
      <c r="Y367" s="506"/>
      <c r="Z367" s="506"/>
      <c r="AA367" s="506"/>
      <c r="AB367" s="506"/>
      <c r="AC367" s="506"/>
      <c r="AD367" s="506"/>
      <c r="AE367" s="506"/>
      <c r="AF367" s="506"/>
      <c r="AG367" s="506"/>
      <c r="AH367" s="506"/>
      <c r="AI367" s="506"/>
      <c r="AJ367" s="506"/>
      <c r="AK367" s="506"/>
      <c r="AL367" s="506"/>
      <c r="AM367" s="506"/>
      <c r="AN367" s="506"/>
    </row>
    <row r="368" spans="1:40" ht="15.75" hidden="1" customHeight="1">
      <c r="A368" s="494" t="s">
        <v>452</v>
      </c>
      <c r="B368" s="509" t="s">
        <v>119</v>
      </c>
      <c r="C368" s="596" t="s">
        <v>44</v>
      </c>
      <c r="D368" s="581"/>
      <c r="E368" s="509"/>
      <c r="F368" s="530">
        <v>0</v>
      </c>
      <c r="G368" s="582"/>
      <c r="H368" s="509"/>
      <c r="I368" s="530"/>
      <c r="J368" s="529"/>
      <c r="K368" s="509"/>
      <c r="L368" s="532">
        <v>0</v>
      </c>
      <c r="M368" s="529"/>
      <c r="N368" s="555"/>
      <c r="O368" s="529"/>
      <c r="P368" s="509"/>
      <c r="Q368" s="532">
        <v>0</v>
      </c>
      <c r="R368" s="529"/>
      <c r="S368" s="555">
        <v>0</v>
      </c>
      <c r="T368" s="506"/>
      <c r="U368" s="506"/>
      <c r="V368" s="509"/>
      <c r="W368" s="506"/>
      <c r="X368" s="506"/>
      <c r="Y368" s="506"/>
      <c r="Z368" s="506"/>
      <c r="AA368" s="506"/>
      <c r="AB368" s="506"/>
      <c r="AC368" s="506"/>
      <c r="AD368" s="506"/>
      <c r="AE368" s="506"/>
      <c r="AF368" s="506"/>
      <c r="AG368" s="506"/>
      <c r="AH368" s="506"/>
      <c r="AI368" s="506"/>
      <c r="AJ368" s="506"/>
      <c r="AK368" s="506"/>
      <c r="AL368" s="506"/>
      <c r="AM368" s="506"/>
      <c r="AN368" s="506"/>
    </row>
    <row r="369" spans="1:40" ht="15.75" hidden="1" customHeight="1">
      <c r="A369" s="494" t="s">
        <v>453</v>
      </c>
      <c r="B369" s="509" t="s">
        <v>119</v>
      </c>
      <c r="C369" s="529" t="s">
        <v>20</v>
      </c>
      <c r="D369" s="581"/>
      <c r="E369" s="509"/>
      <c r="F369" s="530">
        <v>0</v>
      </c>
      <c r="G369" s="582"/>
      <c r="H369" s="509"/>
      <c r="I369" s="530"/>
      <c r="J369" s="529"/>
      <c r="K369" s="509"/>
      <c r="L369" s="532">
        <v>0</v>
      </c>
      <c r="M369" s="529"/>
      <c r="N369" s="555"/>
      <c r="O369" s="529"/>
      <c r="P369" s="509"/>
      <c r="Q369" s="532">
        <v>0</v>
      </c>
      <c r="R369" s="529"/>
      <c r="S369" s="555">
        <v>0</v>
      </c>
      <c r="T369" s="506"/>
      <c r="U369" s="506"/>
      <c r="V369" s="509"/>
      <c r="W369" s="506"/>
      <c r="X369" s="506"/>
      <c r="Y369" s="506"/>
      <c r="Z369" s="506"/>
      <c r="AA369" s="506"/>
      <c r="AB369" s="506"/>
      <c r="AC369" s="506"/>
      <c r="AD369" s="506"/>
      <c r="AE369" s="506"/>
      <c r="AF369" s="506"/>
      <c r="AG369" s="506"/>
      <c r="AH369" s="506"/>
      <c r="AI369" s="506"/>
      <c r="AJ369" s="506"/>
      <c r="AK369" s="506"/>
      <c r="AL369" s="506"/>
      <c r="AM369" s="506"/>
      <c r="AN369" s="506"/>
    </row>
    <row r="370" spans="1:40" ht="15.75" hidden="1" customHeight="1">
      <c r="A370" s="494" t="s">
        <v>453</v>
      </c>
      <c r="B370" s="509" t="s">
        <v>119</v>
      </c>
      <c r="C370" s="529" t="s">
        <v>20</v>
      </c>
      <c r="D370" s="581"/>
      <c r="E370" s="509"/>
      <c r="F370" s="530">
        <v>0</v>
      </c>
      <c r="G370" s="582"/>
      <c r="H370" s="509"/>
      <c r="I370" s="530"/>
      <c r="J370" s="529"/>
      <c r="K370" s="509"/>
      <c r="L370" s="532">
        <v>0</v>
      </c>
      <c r="M370" s="529"/>
      <c r="N370" s="555"/>
      <c r="O370" s="529"/>
      <c r="P370" s="509"/>
      <c r="Q370" s="532">
        <v>0</v>
      </c>
      <c r="R370" s="529"/>
      <c r="S370" s="555">
        <v>0</v>
      </c>
      <c r="T370" s="506"/>
      <c r="U370" s="506"/>
      <c r="V370" s="509"/>
      <c r="W370" s="506"/>
      <c r="X370" s="506"/>
      <c r="Y370" s="506"/>
      <c r="Z370" s="506"/>
      <c r="AA370" s="506"/>
      <c r="AB370" s="506"/>
      <c r="AC370" s="506"/>
      <c r="AD370" s="506"/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</row>
    <row r="371" spans="1:40" ht="15.75" hidden="1" customHeight="1">
      <c r="A371" s="494" t="s">
        <v>453</v>
      </c>
      <c r="B371" s="509" t="s">
        <v>119</v>
      </c>
      <c r="C371" s="529" t="s">
        <v>20</v>
      </c>
      <c r="D371" s="581"/>
      <c r="E371" s="509"/>
      <c r="F371" s="530">
        <v>0</v>
      </c>
      <c r="G371" s="582"/>
      <c r="H371" s="509"/>
      <c r="I371" s="530"/>
      <c r="J371" s="529"/>
      <c r="K371" s="509"/>
      <c r="L371" s="532">
        <v>0</v>
      </c>
      <c r="M371" s="529"/>
      <c r="N371" s="555"/>
      <c r="O371" s="529"/>
      <c r="P371" s="509"/>
      <c r="Q371" s="532">
        <v>0</v>
      </c>
      <c r="R371" s="529"/>
      <c r="S371" s="555">
        <v>0</v>
      </c>
      <c r="T371" s="506"/>
      <c r="U371" s="506"/>
      <c r="V371" s="509"/>
      <c r="W371" s="506"/>
      <c r="X371" s="506"/>
      <c r="Y371" s="506"/>
      <c r="Z371" s="506"/>
      <c r="AA371" s="506"/>
      <c r="AB371" s="506"/>
      <c r="AC371" s="506"/>
      <c r="AD371" s="506"/>
      <c r="AE371" s="506"/>
      <c r="AF371" s="506"/>
      <c r="AG371" s="506"/>
      <c r="AH371" s="506"/>
      <c r="AI371" s="506"/>
      <c r="AJ371" s="506"/>
      <c r="AK371" s="506"/>
      <c r="AL371" s="506"/>
      <c r="AM371" s="506"/>
      <c r="AN371" s="506"/>
    </row>
    <row r="372" spans="1:40" ht="15.75" hidden="1" customHeight="1">
      <c r="A372" s="494" t="s">
        <v>454</v>
      </c>
      <c r="B372" s="509" t="s">
        <v>119</v>
      </c>
      <c r="C372" s="598" t="s">
        <v>45</v>
      </c>
      <c r="D372" s="581"/>
      <c r="E372" s="509"/>
      <c r="F372" s="524">
        <v>0</v>
      </c>
      <c r="G372" s="582"/>
      <c r="H372" s="509"/>
      <c r="I372" s="524"/>
      <c r="J372" s="529"/>
      <c r="K372" s="509"/>
      <c r="L372" s="524">
        <v>0</v>
      </c>
      <c r="M372" s="529"/>
      <c r="N372" s="555"/>
      <c r="O372" s="529"/>
      <c r="P372" s="509"/>
      <c r="Q372" s="524">
        <v>0</v>
      </c>
      <c r="R372" s="529"/>
      <c r="S372" s="555">
        <v>0</v>
      </c>
      <c r="T372" s="506"/>
      <c r="U372" s="506"/>
      <c r="V372" s="509"/>
      <c r="W372" s="506"/>
      <c r="X372" s="506"/>
      <c r="Y372" s="506"/>
      <c r="Z372" s="506"/>
      <c r="AA372" s="506"/>
      <c r="AB372" s="506"/>
      <c r="AC372" s="506"/>
      <c r="AD372" s="506"/>
      <c r="AE372" s="506"/>
      <c r="AF372" s="506"/>
      <c r="AG372" s="506"/>
      <c r="AH372" s="506"/>
      <c r="AI372" s="506"/>
      <c r="AJ372" s="506"/>
      <c r="AK372" s="506"/>
      <c r="AL372" s="506"/>
      <c r="AM372" s="506"/>
      <c r="AN372" s="506"/>
    </row>
    <row r="373" spans="1:40" ht="15.75" hidden="1" customHeight="1">
      <c r="A373" s="494" t="s">
        <v>455</v>
      </c>
      <c r="B373" s="509" t="s">
        <v>119</v>
      </c>
      <c r="C373" s="596" t="s">
        <v>46</v>
      </c>
      <c r="D373" s="599"/>
      <c r="E373" s="600"/>
      <c r="F373" s="530">
        <v>0</v>
      </c>
      <c r="G373" s="601"/>
      <c r="H373" s="600"/>
      <c r="I373" s="530"/>
      <c r="J373" s="517"/>
      <c r="K373" s="600"/>
      <c r="L373" s="532">
        <v>0</v>
      </c>
      <c r="M373" s="517"/>
      <c r="N373" s="602"/>
      <c r="O373" s="517"/>
      <c r="P373" s="600"/>
      <c r="Q373" s="532">
        <v>0</v>
      </c>
      <c r="R373" s="517"/>
      <c r="S373" s="602">
        <v>0</v>
      </c>
      <c r="T373" s="506"/>
      <c r="U373" s="506"/>
      <c r="V373" s="509"/>
      <c r="W373" s="506"/>
      <c r="X373" s="506"/>
      <c r="Y373" s="506"/>
      <c r="Z373" s="506"/>
      <c r="AA373" s="506"/>
      <c r="AB373" s="506"/>
      <c r="AC373" s="506"/>
      <c r="AD373" s="506"/>
      <c r="AE373" s="506"/>
      <c r="AF373" s="506"/>
      <c r="AG373" s="506"/>
      <c r="AH373" s="506"/>
      <c r="AI373" s="506"/>
      <c r="AJ373" s="506"/>
      <c r="AK373" s="506"/>
      <c r="AL373" s="506"/>
      <c r="AM373" s="506"/>
      <c r="AN373" s="506"/>
    </row>
    <row r="374" spans="1:40" ht="15.75" hidden="1" customHeight="1">
      <c r="A374" s="494" t="s">
        <v>456</v>
      </c>
      <c r="B374" s="509" t="s">
        <v>119</v>
      </c>
      <c r="C374" s="596" t="s">
        <v>47</v>
      </c>
      <c r="D374" s="581"/>
      <c r="E374" s="509"/>
      <c r="F374" s="530">
        <v>0</v>
      </c>
      <c r="G374" s="582"/>
      <c r="H374" s="509"/>
      <c r="I374" s="530"/>
      <c r="J374" s="529"/>
      <c r="K374" s="509"/>
      <c r="L374" s="532">
        <v>0</v>
      </c>
      <c r="M374" s="529"/>
      <c r="N374" s="555"/>
      <c r="O374" s="529"/>
      <c r="P374" s="509"/>
      <c r="Q374" s="532">
        <v>0</v>
      </c>
      <c r="R374" s="529"/>
      <c r="S374" s="555">
        <v>0</v>
      </c>
      <c r="T374" s="506"/>
      <c r="U374" s="506"/>
      <c r="V374" s="509"/>
      <c r="W374" s="506"/>
      <c r="X374" s="506"/>
      <c r="Y374" s="506"/>
      <c r="Z374" s="506"/>
      <c r="AA374" s="506"/>
      <c r="AB374" s="506"/>
      <c r="AC374" s="506"/>
      <c r="AD374" s="506"/>
      <c r="AE374" s="506"/>
      <c r="AF374" s="506"/>
      <c r="AG374" s="506"/>
      <c r="AH374" s="506"/>
      <c r="AI374" s="506"/>
      <c r="AJ374" s="506"/>
      <c r="AK374" s="506"/>
      <c r="AL374" s="506"/>
      <c r="AM374" s="506"/>
      <c r="AN374" s="506"/>
    </row>
    <row r="375" spans="1:40" ht="15.75" hidden="1" customHeight="1">
      <c r="A375" s="494" t="s">
        <v>457</v>
      </c>
      <c r="B375" s="509" t="s">
        <v>119</v>
      </c>
      <c r="C375" s="596" t="s">
        <v>48</v>
      </c>
      <c r="D375" s="581"/>
      <c r="E375" s="509"/>
      <c r="F375" s="530">
        <v>0</v>
      </c>
      <c r="G375" s="582"/>
      <c r="H375" s="509"/>
      <c r="I375" s="530"/>
      <c r="J375" s="529"/>
      <c r="K375" s="509"/>
      <c r="L375" s="532">
        <v>0</v>
      </c>
      <c r="M375" s="529"/>
      <c r="N375" s="555"/>
      <c r="O375" s="529"/>
      <c r="P375" s="509"/>
      <c r="Q375" s="532">
        <v>0</v>
      </c>
      <c r="R375" s="529"/>
      <c r="S375" s="555">
        <v>0</v>
      </c>
      <c r="T375" s="506"/>
      <c r="U375" s="506"/>
      <c r="V375" s="509"/>
      <c r="W375" s="506"/>
      <c r="X375" s="506"/>
      <c r="Y375" s="506"/>
      <c r="Z375" s="506"/>
      <c r="AA375" s="506"/>
      <c r="AB375" s="506"/>
      <c r="AC375" s="506"/>
      <c r="AD375" s="506"/>
      <c r="AE375" s="506"/>
      <c r="AF375" s="506"/>
      <c r="AG375" s="506"/>
      <c r="AH375" s="506"/>
      <c r="AI375" s="506"/>
      <c r="AJ375" s="506"/>
      <c r="AK375" s="506"/>
      <c r="AL375" s="506"/>
      <c r="AM375" s="506"/>
      <c r="AN375" s="506"/>
    </row>
    <row r="376" spans="1:40" ht="15.75" hidden="1" customHeight="1">
      <c r="A376" s="494" t="s">
        <v>453</v>
      </c>
      <c r="B376" s="509" t="s">
        <v>119</v>
      </c>
      <c r="C376" s="529" t="s">
        <v>20</v>
      </c>
      <c r="D376" s="583"/>
      <c r="E376" s="603"/>
      <c r="F376" s="530">
        <v>0</v>
      </c>
      <c r="G376" s="584"/>
      <c r="H376" s="603"/>
      <c r="I376" s="530"/>
      <c r="J376" s="522"/>
      <c r="K376" s="603"/>
      <c r="L376" s="532">
        <v>0</v>
      </c>
      <c r="M376" s="522"/>
      <c r="N376" s="579"/>
      <c r="O376" s="522"/>
      <c r="P376" s="603"/>
      <c r="Q376" s="532">
        <v>0</v>
      </c>
      <c r="R376" s="522"/>
      <c r="S376" s="579">
        <v>0</v>
      </c>
      <c r="T376" s="506"/>
      <c r="U376" s="506"/>
      <c r="V376" s="509"/>
      <c r="W376" s="506"/>
      <c r="X376" s="506"/>
      <c r="Y376" s="506"/>
      <c r="Z376" s="506"/>
      <c r="AA376" s="506"/>
      <c r="AB376" s="506"/>
      <c r="AC376" s="506"/>
      <c r="AD376" s="506"/>
      <c r="AE376" s="506"/>
      <c r="AF376" s="506"/>
      <c r="AG376" s="506"/>
      <c r="AH376" s="506"/>
      <c r="AI376" s="506"/>
      <c r="AJ376" s="506"/>
      <c r="AK376" s="506"/>
      <c r="AL376" s="506"/>
      <c r="AM376" s="506"/>
      <c r="AN376" s="506"/>
    </row>
    <row r="377" spans="1:40" ht="15.75" hidden="1" customHeight="1">
      <c r="A377" s="494" t="s">
        <v>458</v>
      </c>
      <c r="B377" s="509" t="s">
        <v>119</v>
      </c>
      <c r="C377" s="588" t="s">
        <v>49</v>
      </c>
      <c r="D377" s="589" t="s">
        <v>39</v>
      </c>
      <c r="E377" s="590">
        <v>0</v>
      </c>
      <c r="F377" s="591">
        <v>0</v>
      </c>
      <c r="G377" s="592"/>
      <c r="H377" s="590"/>
      <c r="I377" s="591"/>
      <c r="J377" s="592" t="s">
        <v>39</v>
      </c>
      <c r="K377" s="590">
        <v>0</v>
      </c>
      <c r="L377" s="591">
        <v>0</v>
      </c>
      <c r="M377" s="646"/>
      <c r="N377" s="605"/>
      <c r="O377" s="592" t="s">
        <v>39</v>
      </c>
      <c r="P377" s="590">
        <v>0</v>
      </c>
      <c r="Q377" s="591">
        <v>0</v>
      </c>
      <c r="R377" s="646"/>
      <c r="S377" s="605">
        <v>0</v>
      </c>
      <c r="T377" s="506"/>
      <c r="U377" s="506"/>
      <c r="V377" s="509"/>
      <c r="W377" s="506"/>
      <c r="X377" s="506"/>
      <c r="Y377" s="506"/>
      <c r="Z377" s="506"/>
      <c r="AA377" s="506"/>
      <c r="AB377" s="506"/>
      <c r="AC377" s="506"/>
      <c r="AD377" s="506"/>
      <c r="AE377" s="506"/>
      <c r="AF377" s="506"/>
      <c r="AG377" s="506"/>
      <c r="AH377" s="506"/>
      <c r="AI377" s="506"/>
      <c r="AJ377" s="506"/>
      <c r="AK377" s="506"/>
      <c r="AL377" s="506"/>
      <c r="AM377" s="506"/>
      <c r="AN377" s="506"/>
    </row>
    <row r="378" spans="1:40" ht="15.75" hidden="1" customHeight="1">
      <c r="A378" s="494" t="s">
        <v>459</v>
      </c>
      <c r="B378" s="509" t="s">
        <v>119</v>
      </c>
      <c r="C378" s="703" t="s">
        <v>50</v>
      </c>
      <c r="D378" s="581"/>
      <c r="E378" s="509"/>
      <c r="F378" s="530">
        <v>0</v>
      </c>
      <c r="G378" s="582"/>
      <c r="H378" s="509"/>
      <c r="I378" s="530"/>
      <c r="J378" s="529"/>
      <c r="K378" s="509"/>
      <c r="L378" s="532">
        <v>0</v>
      </c>
      <c r="M378" s="529"/>
      <c r="N378" s="555"/>
      <c r="O378" s="529"/>
      <c r="P378" s="509"/>
      <c r="Q378" s="532">
        <v>0</v>
      </c>
      <c r="R378" s="529"/>
      <c r="S378" s="555">
        <v>0</v>
      </c>
      <c r="T378" s="506"/>
      <c r="U378" s="506"/>
      <c r="V378" s="509"/>
      <c r="W378" s="506"/>
      <c r="X378" s="506"/>
      <c r="Y378" s="506"/>
      <c r="Z378" s="506"/>
      <c r="AA378" s="506"/>
      <c r="AB378" s="506"/>
      <c r="AC378" s="506"/>
      <c r="AD378" s="506"/>
      <c r="AE378" s="506"/>
      <c r="AF378" s="506"/>
      <c r="AG378" s="506"/>
      <c r="AH378" s="506"/>
      <c r="AI378" s="506"/>
      <c r="AJ378" s="506"/>
      <c r="AK378" s="506"/>
      <c r="AL378" s="506"/>
      <c r="AM378" s="506"/>
      <c r="AN378" s="506"/>
    </row>
    <row r="379" spans="1:40" ht="15.75" hidden="1" customHeight="1">
      <c r="A379" s="494" t="s">
        <v>460</v>
      </c>
      <c r="B379" s="509" t="s">
        <v>119</v>
      </c>
      <c r="C379" s="596" t="s">
        <v>51</v>
      </c>
      <c r="D379" s="581"/>
      <c r="E379" s="509"/>
      <c r="F379" s="530">
        <v>0</v>
      </c>
      <c r="G379" s="582"/>
      <c r="H379" s="509"/>
      <c r="I379" s="530"/>
      <c r="J379" s="529"/>
      <c r="K379" s="509"/>
      <c r="L379" s="532">
        <v>0</v>
      </c>
      <c r="M379" s="529"/>
      <c r="N379" s="555"/>
      <c r="O379" s="529"/>
      <c r="P379" s="509"/>
      <c r="Q379" s="532">
        <v>0</v>
      </c>
      <c r="R379" s="529"/>
      <c r="S379" s="555">
        <v>0</v>
      </c>
      <c r="T379" s="506"/>
      <c r="U379" s="506"/>
      <c r="V379" s="509"/>
      <c r="W379" s="506"/>
      <c r="X379" s="506"/>
      <c r="Y379" s="506"/>
      <c r="Z379" s="506"/>
      <c r="AA379" s="506"/>
      <c r="AB379" s="506"/>
      <c r="AC379" s="506"/>
      <c r="AD379" s="506"/>
      <c r="AE379" s="506"/>
      <c r="AF379" s="506"/>
      <c r="AG379" s="506"/>
      <c r="AH379" s="506"/>
      <c r="AI379" s="506"/>
      <c r="AJ379" s="506"/>
      <c r="AK379" s="506"/>
      <c r="AL379" s="506"/>
      <c r="AM379" s="506"/>
      <c r="AN379" s="506"/>
    </row>
    <row r="380" spans="1:40" ht="15.75" hidden="1" customHeight="1">
      <c r="A380" s="494" t="s">
        <v>461</v>
      </c>
      <c r="B380" s="509" t="s">
        <v>119</v>
      </c>
      <c r="C380" s="598" t="s">
        <v>52</v>
      </c>
      <c r="D380" s="583"/>
      <c r="E380" s="603"/>
      <c r="F380" s="524">
        <v>0</v>
      </c>
      <c r="G380" s="584"/>
      <c r="H380" s="603"/>
      <c r="I380" s="524"/>
      <c r="J380" s="522"/>
      <c r="K380" s="603"/>
      <c r="L380" s="524">
        <v>0</v>
      </c>
      <c r="M380" s="522"/>
      <c r="N380" s="579"/>
      <c r="O380" s="522"/>
      <c r="P380" s="603"/>
      <c r="Q380" s="524">
        <v>0</v>
      </c>
      <c r="R380" s="522"/>
      <c r="S380" s="579">
        <v>0</v>
      </c>
      <c r="T380" s="506"/>
      <c r="U380" s="506"/>
      <c r="V380" s="509"/>
      <c r="W380" s="506"/>
      <c r="X380" s="506"/>
      <c r="Y380" s="506"/>
      <c r="Z380" s="506"/>
      <c r="AA380" s="506"/>
      <c r="AB380" s="506"/>
      <c r="AC380" s="506"/>
      <c r="AD380" s="506"/>
      <c r="AE380" s="506"/>
      <c r="AF380" s="506"/>
      <c r="AG380" s="506"/>
      <c r="AH380" s="506"/>
      <c r="AI380" s="506"/>
      <c r="AJ380" s="506"/>
      <c r="AK380" s="506"/>
      <c r="AL380" s="506"/>
      <c r="AM380" s="506"/>
      <c r="AN380" s="506"/>
    </row>
    <row r="381" spans="1:40" ht="15.75" hidden="1" customHeight="1">
      <c r="A381" s="494" t="s">
        <v>462</v>
      </c>
      <c r="B381" s="509" t="s">
        <v>119</v>
      </c>
      <c r="C381" s="596" t="s">
        <v>53</v>
      </c>
      <c r="D381" s="581"/>
      <c r="E381" s="509"/>
      <c r="F381" s="530">
        <v>0</v>
      </c>
      <c r="G381" s="582"/>
      <c r="H381" s="509"/>
      <c r="I381" s="530"/>
      <c r="J381" s="529"/>
      <c r="K381" s="509"/>
      <c r="L381" s="532">
        <v>0</v>
      </c>
      <c r="M381" s="529"/>
      <c r="N381" s="555"/>
      <c r="O381" s="529"/>
      <c r="P381" s="509"/>
      <c r="Q381" s="532">
        <v>0</v>
      </c>
      <c r="R381" s="529"/>
      <c r="S381" s="555">
        <v>0</v>
      </c>
      <c r="T381" s="506"/>
      <c r="U381" s="506"/>
      <c r="V381" s="509"/>
      <c r="W381" s="506"/>
      <c r="X381" s="506"/>
      <c r="Y381" s="506"/>
      <c r="Z381" s="506"/>
      <c r="AA381" s="506"/>
      <c r="AB381" s="506"/>
      <c r="AC381" s="506"/>
      <c r="AD381" s="506"/>
      <c r="AE381" s="506"/>
      <c r="AF381" s="506"/>
      <c r="AG381" s="506"/>
      <c r="AH381" s="506"/>
      <c r="AI381" s="506"/>
      <c r="AJ381" s="506"/>
      <c r="AK381" s="506"/>
      <c r="AL381" s="506"/>
      <c r="AM381" s="506"/>
      <c r="AN381" s="506"/>
    </row>
    <row r="382" spans="1:40" ht="15.75" hidden="1" customHeight="1">
      <c r="A382" s="494" t="s">
        <v>463</v>
      </c>
      <c r="B382" s="509" t="s">
        <v>119</v>
      </c>
      <c r="C382" s="596" t="s">
        <v>54</v>
      </c>
      <c r="D382" s="581"/>
      <c r="E382" s="509"/>
      <c r="F382" s="530">
        <v>0</v>
      </c>
      <c r="G382" s="582"/>
      <c r="H382" s="509"/>
      <c r="I382" s="530"/>
      <c r="J382" s="529"/>
      <c r="K382" s="509"/>
      <c r="L382" s="532">
        <v>0</v>
      </c>
      <c r="M382" s="529"/>
      <c r="N382" s="555"/>
      <c r="O382" s="529"/>
      <c r="P382" s="509"/>
      <c r="Q382" s="532">
        <v>0</v>
      </c>
      <c r="R382" s="529"/>
      <c r="S382" s="555">
        <v>0</v>
      </c>
      <c r="T382" s="506"/>
      <c r="U382" s="506"/>
      <c r="V382" s="509"/>
      <c r="W382" s="506"/>
      <c r="X382" s="506"/>
      <c r="Y382" s="506"/>
      <c r="Z382" s="506"/>
      <c r="AA382" s="506"/>
      <c r="AB382" s="506"/>
      <c r="AC382" s="506"/>
      <c r="AD382" s="506"/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</row>
    <row r="383" spans="1:40" ht="15.75" hidden="1" customHeight="1">
      <c r="A383" s="494" t="s">
        <v>464</v>
      </c>
      <c r="B383" s="509" t="s">
        <v>119</v>
      </c>
      <c r="C383" s="596" t="s">
        <v>55</v>
      </c>
      <c r="D383" s="583"/>
      <c r="E383" s="603"/>
      <c r="F383" s="524">
        <v>0</v>
      </c>
      <c r="G383" s="584"/>
      <c r="H383" s="603"/>
      <c r="I383" s="524"/>
      <c r="J383" s="522"/>
      <c r="K383" s="603"/>
      <c r="L383" s="524">
        <v>0</v>
      </c>
      <c r="M383" s="522"/>
      <c r="N383" s="579"/>
      <c r="O383" s="522"/>
      <c r="P383" s="603"/>
      <c r="Q383" s="524">
        <v>0</v>
      </c>
      <c r="R383" s="522"/>
      <c r="S383" s="579">
        <v>0</v>
      </c>
      <c r="T383" s="506"/>
      <c r="U383" s="506"/>
      <c r="V383" s="509"/>
      <c r="W383" s="506"/>
      <c r="X383" s="506"/>
      <c r="Y383" s="506"/>
      <c r="Z383" s="506"/>
      <c r="AA383" s="506"/>
      <c r="AB383" s="506"/>
      <c r="AC383" s="506"/>
      <c r="AD383" s="506"/>
      <c r="AE383" s="506"/>
      <c r="AF383" s="506"/>
      <c r="AG383" s="506"/>
      <c r="AH383" s="506"/>
      <c r="AI383" s="506"/>
      <c r="AJ383" s="506"/>
      <c r="AK383" s="506"/>
      <c r="AL383" s="506"/>
      <c r="AM383" s="506"/>
      <c r="AN383" s="506"/>
    </row>
    <row r="384" spans="1:40" ht="20.25" hidden="1" customHeight="1">
      <c r="A384" s="494" t="s">
        <v>465</v>
      </c>
      <c r="B384" s="509" t="s">
        <v>119</v>
      </c>
      <c r="C384" s="703" t="s">
        <v>56</v>
      </c>
      <c r="D384" s="581"/>
      <c r="E384" s="509"/>
      <c r="F384" s="530">
        <v>0</v>
      </c>
      <c r="G384" s="582"/>
      <c r="H384" s="509"/>
      <c r="I384" s="530"/>
      <c r="J384" s="529"/>
      <c r="K384" s="509"/>
      <c r="L384" s="532">
        <v>0</v>
      </c>
      <c r="M384" s="529"/>
      <c r="N384" s="555"/>
      <c r="O384" s="529"/>
      <c r="P384" s="509"/>
      <c r="Q384" s="532">
        <v>0</v>
      </c>
      <c r="R384" s="529"/>
      <c r="S384" s="555">
        <v>0</v>
      </c>
      <c r="T384" s="506"/>
      <c r="U384" s="506"/>
      <c r="V384" s="509"/>
      <c r="W384" s="506"/>
      <c r="X384" s="506"/>
      <c r="Y384" s="506"/>
      <c r="Z384" s="506"/>
      <c r="AA384" s="506"/>
      <c r="AB384" s="506"/>
      <c r="AC384" s="506"/>
      <c r="AD384" s="506"/>
      <c r="AE384" s="506"/>
      <c r="AF384" s="506"/>
      <c r="AG384" s="506"/>
      <c r="AH384" s="506"/>
      <c r="AI384" s="506"/>
      <c r="AJ384" s="506"/>
      <c r="AK384" s="506"/>
      <c r="AL384" s="506"/>
      <c r="AM384" s="506"/>
      <c r="AN384" s="506"/>
    </row>
    <row r="385" spans="1:40" ht="20.25" hidden="1" customHeight="1">
      <c r="A385" s="494" t="s">
        <v>466</v>
      </c>
      <c r="B385" s="509" t="s">
        <v>119</v>
      </c>
      <c r="C385" s="596" t="s">
        <v>57</v>
      </c>
      <c r="D385" s="581"/>
      <c r="E385" s="509"/>
      <c r="F385" s="530">
        <v>0</v>
      </c>
      <c r="G385" s="582"/>
      <c r="H385" s="509"/>
      <c r="I385" s="530"/>
      <c r="J385" s="529"/>
      <c r="K385" s="509"/>
      <c r="L385" s="532">
        <v>0</v>
      </c>
      <c r="M385" s="529"/>
      <c r="N385" s="555"/>
      <c r="O385" s="529"/>
      <c r="P385" s="509"/>
      <c r="Q385" s="532">
        <v>0</v>
      </c>
      <c r="R385" s="529"/>
      <c r="S385" s="555">
        <v>0</v>
      </c>
      <c r="T385" s="506"/>
      <c r="U385" s="506"/>
      <c r="V385" s="509"/>
      <c r="W385" s="506"/>
      <c r="X385" s="506"/>
      <c r="Y385" s="506"/>
      <c r="Z385" s="506"/>
      <c r="AA385" s="506"/>
      <c r="AB385" s="506"/>
      <c r="AC385" s="506"/>
      <c r="AD385" s="506"/>
      <c r="AE385" s="506"/>
      <c r="AF385" s="506"/>
      <c r="AG385" s="506"/>
      <c r="AH385" s="506"/>
      <c r="AI385" s="506"/>
      <c r="AJ385" s="506"/>
      <c r="AK385" s="506"/>
      <c r="AL385" s="506"/>
      <c r="AM385" s="506"/>
      <c r="AN385" s="506"/>
    </row>
    <row r="386" spans="1:40" ht="20.25" hidden="1" customHeight="1">
      <c r="A386" s="494" t="s">
        <v>467</v>
      </c>
      <c r="B386" s="509" t="s">
        <v>119</v>
      </c>
      <c r="C386" s="596" t="s">
        <v>58</v>
      </c>
      <c r="D386" s="581"/>
      <c r="E386" s="509"/>
      <c r="F386" s="530">
        <v>0</v>
      </c>
      <c r="G386" s="582"/>
      <c r="H386" s="509"/>
      <c r="I386" s="530"/>
      <c r="J386" s="529"/>
      <c r="K386" s="509"/>
      <c r="L386" s="532">
        <v>0</v>
      </c>
      <c r="M386" s="529"/>
      <c r="N386" s="555"/>
      <c r="O386" s="529"/>
      <c r="P386" s="509"/>
      <c r="Q386" s="532">
        <v>0</v>
      </c>
      <c r="R386" s="529"/>
      <c r="S386" s="555">
        <v>0</v>
      </c>
      <c r="T386" s="506"/>
      <c r="U386" s="506"/>
      <c r="V386" s="509"/>
      <c r="W386" s="506"/>
      <c r="X386" s="506"/>
      <c r="Y386" s="506"/>
      <c r="Z386" s="506"/>
      <c r="AA386" s="506"/>
      <c r="AB386" s="506"/>
      <c r="AC386" s="506"/>
      <c r="AD386" s="506"/>
      <c r="AE386" s="506"/>
      <c r="AF386" s="506"/>
      <c r="AG386" s="506"/>
      <c r="AH386" s="506"/>
      <c r="AI386" s="506"/>
      <c r="AJ386" s="506"/>
      <c r="AK386" s="506"/>
      <c r="AL386" s="506"/>
      <c r="AM386" s="506"/>
      <c r="AN386" s="506"/>
    </row>
    <row r="387" spans="1:40" ht="20.25" hidden="1" customHeight="1">
      <c r="A387" s="494" t="s">
        <v>468</v>
      </c>
      <c r="B387" s="509" t="s">
        <v>119</v>
      </c>
      <c r="C387" s="596" t="s">
        <v>59</v>
      </c>
      <c r="D387" s="581"/>
      <c r="E387" s="509"/>
      <c r="F387" s="530">
        <v>0</v>
      </c>
      <c r="G387" s="582"/>
      <c r="H387" s="509"/>
      <c r="I387" s="530"/>
      <c r="J387" s="529"/>
      <c r="K387" s="509"/>
      <c r="L387" s="532">
        <v>0</v>
      </c>
      <c r="M387" s="529"/>
      <c r="N387" s="555"/>
      <c r="O387" s="529"/>
      <c r="P387" s="509"/>
      <c r="Q387" s="532">
        <v>0</v>
      </c>
      <c r="R387" s="529"/>
      <c r="S387" s="555">
        <v>0</v>
      </c>
      <c r="T387" s="506"/>
      <c r="U387" s="506"/>
      <c r="V387" s="509"/>
      <c r="W387" s="506"/>
      <c r="X387" s="506"/>
      <c r="Y387" s="506"/>
      <c r="Z387" s="506"/>
      <c r="AA387" s="506"/>
      <c r="AB387" s="506"/>
      <c r="AC387" s="506"/>
      <c r="AD387" s="506"/>
      <c r="AE387" s="506"/>
      <c r="AF387" s="506"/>
      <c r="AG387" s="506"/>
      <c r="AH387" s="506"/>
      <c r="AI387" s="506"/>
      <c r="AJ387" s="506"/>
      <c r="AK387" s="506"/>
      <c r="AL387" s="506"/>
      <c r="AM387" s="506"/>
      <c r="AN387" s="506"/>
    </row>
    <row r="388" spans="1:40" ht="20.25" hidden="1" customHeight="1">
      <c r="A388" s="494" t="s">
        <v>469</v>
      </c>
      <c r="B388" s="509" t="s">
        <v>119</v>
      </c>
      <c r="C388" s="596" t="s">
        <v>60</v>
      </c>
      <c r="D388" s="581"/>
      <c r="E388" s="509"/>
      <c r="F388" s="530">
        <v>0</v>
      </c>
      <c r="G388" s="582"/>
      <c r="H388" s="509"/>
      <c r="I388" s="530"/>
      <c r="J388" s="529"/>
      <c r="K388" s="509"/>
      <c r="L388" s="532">
        <v>0</v>
      </c>
      <c r="M388" s="529"/>
      <c r="N388" s="555"/>
      <c r="O388" s="529"/>
      <c r="P388" s="509"/>
      <c r="Q388" s="532">
        <v>0</v>
      </c>
      <c r="R388" s="529"/>
      <c r="S388" s="555">
        <v>0</v>
      </c>
      <c r="T388" s="506"/>
      <c r="U388" s="506"/>
      <c r="V388" s="509"/>
      <c r="W388" s="506"/>
      <c r="X388" s="506"/>
      <c r="Y388" s="506"/>
      <c r="Z388" s="506"/>
      <c r="AA388" s="506"/>
      <c r="AB388" s="506"/>
      <c r="AC388" s="506"/>
      <c r="AD388" s="506"/>
      <c r="AE388" s="506"/>
      <c r="AF388" s="506"/>
      <c r="AG388" s="506"/>
      <c r="AH388" s="506"/>
      <c r="AI388" s="506"/>
      <c r="AJ388" s="506"/>
      <c r="AK388" s="506"/>
      <c r="AL388" s="506"/>
      <c r="AM388" s="506"/>
      <c r="AN388" s="506"/>
    </row>
    <row r="389" spans="1:40" ht="20.25" hidden="1" customHeight="1">
      <c r="A389" s="494" t="s">
        <v>470</v>
      </c>
      <c r="B389" s="509" t="s">
        <v>119</v>
      </c>
      <c r="C389" s="596" t="s">
        <v>61</v>
      </c>
      <c r="D389" s="581"/>
      <c r="E389" s="509"/>
      <c r="F389" s="530">
        <v>0</v>
      </c>
      <c r="G389" s="582"/>
      <c r="H389" s="509"/>
      <c r="I389" s="530"/>
      <c r="J389" s="529"/>
      <c r="K389" s="509"/>
      <c r="L389" s="532">
        <v>0</v>
      </c>
      <c r="M389" s="529"/>
      <c r="N389" s="555"/>
      <c r="O389" s="529"/>
      <c r="P389" s="509"/>
      <c r="Q389" s="532">
        <v>0</v>
      </c>
      <c r="R389" s="529"/>
      <c r="S389" s="555">
        <v>0</v>
      </c>
      <c r="T389" s="506"/>
      <c r="U389" s="506"/>
      <c r="V389" s="509"/>
      <c r="W389" s="506"/>
      <c r="X389" s="506"/>
      <c r="Y389" s="506"/>
      <c r="Z389" s="506"/>
      <c r="AA389" s="506"/>
      <c r="AB389" s="506"/>
      <c r="AC389" s="506"/>
      <c r="AD389" s="506"/>
      <c r="AE389" s="506"/>
      <c r="AF389" s="506"/>
      <c r="AG389" s="506"/>
      <c r="AH389" s="506"/>
      <c r="AI389" s="506"/>
      <c r="AJ389" s="506"/>
      <c r="AK389" s="506"/>
      <c r="AL389" s="506"/>
      <c r="AM389" s="506"/>
      <c r="AN389" s="506"/>
    </row>
    <row r="390" spans="1:40" ht="20.25" hidden="1" customHeight="1">
      <c r="A390" s="494" t="s">
        <v>471</v>
      </c>
      <c r="B390" s="509" t="s">
        <v>119</v>
      </c>
      <c r="C390" s="596" t="s">
        <v>62</v>
      </c>
      <c r="D390" s="581"/>
      <c r="E390" s="509"/>
      <c r="F390" s="530">
        <v>0</v>
      </c>
      <c r="G390" s="582"/>
      <c r="H390" s="509"/>
      <c r="I390" s="530"/>
      <c r="J390" s="529"/>
      <c r="K390" s="509"/>
      <c r="L390" s="532">
        <v>0</v>
      </c>
      <c r="M390" s="529"/>
      <c r="N390" s="555"/>
      <c r="O390" s="529"/>
      <c r="P390" s="509"/>
      <c r="Q390" s="532">
        <v>0</v>
      </c>
      <c r="R390" s="529"/>
      <c r="S390" s="555">
        <v>0</v>
      </c>
      <c r="T390" s="506"/>
      <c r="U390" s="506"/>
      <c r="V390" s="509"/>
      <c r="W390" s="506"/>
      <c r="X390" s="506"/>
      <c r="Y390" s="506"/>
      <c r="Z390" s="506"/>
      <c r="AA390" s="506"/>
      <c r="AB390" s="506"/>
      <c r="AC390" s="506"/>
      <c r="AD390" s="506"/>
      <c r="AE390" s="506"/>
      <c r="AF390" s="506"/>
      <c r="AG390" s="506"/>
      <c r="AH390" s="506"/>
      <c r="AI390" s="506"/>
      <c r="AJ390" s="506"/>
      <c r="AK390" s="506"/>
      <c r="AL390" s="506"/>
      <c r="AM390" s="506"/>
      <c r="AN390" s="506"/>
    </row>
    <row r="391" spans="1:40" ht="20.25" hidden="1" customHeight="1">
      <c r="A391" s="494" t="s">
        <v>472</v>
      </c>
      <c r="B391" s="509" t="s">
        <v>119</v>
      </c>
      <c r="C391" s="596" t="s">
        <v>63</v>
      </c>
      <c r="D391" s="581"/>
      <c r="E391" s="509"/>
      <c r="F391" s="530">
        <v>0</v>
      </c>
      <c r="G391" s="582"/>
      <c r="H391" s="509"/>
      <c r="I391" s="530"/>
      <c r="J391" s="529"/>
      <c r="K391" s="509"/>
      <c r="L391" s="532">
        <v>0</v>
      </c>
      <c r="M391" s="529"/>
      <c r="N391" s="555"/>
      <c r="O391" s="529"/>
      <c r="P391" s="509"/>
      <c r="Q391" s="532">
        <v>0</v>
      </c>
      <c r="R391" s="529"/>
      <c r="S391" s="555">
        <v>0</v>
      </c>
      <c r="T391" s="506"/>
      <c r="U391" s="506"/>
      <c r="V391" s="509"/>
      <c r="W391" s="506"/>
      <c r="X391" s="506"/>
      <c r="Y391" s="506"/>
      <c r="Z391" s="506"/>
      <c r="AA391" s="506"/>
      <c r="AB391" s="506"/>
      <c r="AC391" s="506"/>
      <c r="AD391" s="506"/>
      <c r="AE391" s="506"/>
      <c r="AF391" s="506"/>
      <c r="AG391" s="506"/>
      <c r="AH391" s="506"/>
      <c r="AI391" s="506"/>
      <c r="AJ391" s="506"/>
      <c r="AK391" s="506"/>
      <c r="AL391" s="506"/>
      <c r="AM391" s="506"/>
      <c r="AN391" s="506"/>
    </row>
    <row r="392" spans="1:40" ht="15.75" hidden="1" customHeight="1">
      <c r="A392" s="494" t="s">
        <v>453</v>
      </c>
      <c r="B392" s="509" t="s">
        <v>119</v>
      </c>
      <c r="C392" s="596" t="s">
        <v>20</v>
      </c>
      <c r="D392" s="581"/>
      <c r="E392" s="509"/>
      <c r="F392" s="530">
        <v>0</v>
      </c>
      <c r="G392" s="582"/>
      <c r="H392" s="509"/>
      <c r="I392" s="530"/>
      <c r="J392" s="529"/>
      <c r="K392" s="509"/>
      <c r="L392" s="532">
        <v>0</v>
      </c>
      <c r="M392" s="529"/>
      <c r="N392" s="555"/>
      <c r="O392" s="529"/>
      <c r="P392" s="509"/>
      <c r="Q392" s="532">
        <v>0</v>
      </c>
      <c r="R392" s="529"/>
      <c r="S392" s="555">
        <v>0</v>
      </c>
      <c r="T392" s="506"/>
      <c r="U392" s="506"/>
      <c r="V392" s="509"/>
      <c r="W392" s="506"/>
      <c r="X392" s="506"/>
      <c r="Y392" s="506"/>
      <c r="Z392" s="506"/>
      <c r="AA392" s="506"/>
      <c r="AB392" s="506"/>
      <c r="AC392" s="506"/>
      <c r="AD392" s="506"/>
      <c r="AE392" s="506"/>
      <c r="AF392" s="506"/>
      <c r="AG392" s="506"/>
      <c r="AH392" s="506"/>
      <c r="AI392" s="506"/>
      <c r="AJ392" s="506"/>
      <c r="AK392" s="506"/>
      <c r="AL392" s="506"/>
      <c r="AM392" s="506"/>
      <c r="AN392" s="506"/>
    </row>
    <row r="393" spans="1:40" ht="15.75" hidden="1" customHeight="1">
      <c r="A393" s="494" t="s">
        <v>453</v>
      </c>
      <c r="B393" s="509" t="s">
        <v>119</v>
      </c>
      <c r="C393" s="596" t="s">
        <v>20</v>
      </c>
      <c r="D393" s="581"/>
      <c r="E393" s="509"/>
      <c r="F393" s="530">
        <v>0</v>
      </c>
      <c r="G393" s="582"/>
      <c r="H393" s="509"/>
      <c r="I393" s="530"/>
      <c r="J393" s="529"/>
      <c r="K393" s="509"/>
      <c r="L393" s="532">
        <v>0</v>
      </c>
      <c r="M393" s="529"/>
      <c r="N393" s="555"/>
      <c r="O393" s="529"/>
      <c r="P393" s="509"/>
      <c r="Q393" s="532">
        <v>0</v>
      </c>
      <c r="R393" s="529"/>
      <c r="S393" s="555">
        <v>0</v>
      </c>
      <c r="T393" s="506"/>
      <c r="U393" s="506"/>
      <c r="V393" s="509"/>
      <c r="W393" s="506"/>
      <c r="X393" s="506"/>
      <c r="Y393" s="506"/>
      <c r="Z393" s="506"/>
      <c r="AA393" s="506"/>
      <c r="AB393" s="506"/>
      <c r="AC393" s="506"/>
      <c r="AD393" s="506"/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</row>
    <row r="394" spans="1:40" ht="15.75" hidden="1" customHeight="1">
      <c r="A394" s="494" t="s">
        <v>453</v>
      </c>
      <c r="B394" s="509" t="s">
        <v>119</v>
      </c>
      <c r="C394" s="596" t="s">
        <v>20</v>
      </c>
      <c r="D394" s="583"/>
      <c r="E394" s="603"/>
      <c r="F394" s="530">
        <v>0</v>
      </c>
      <c r="G394" s="584"/>
      <c r="H394" s="603"/>
      <c r="I394" s="530"/>
      <c r="J394" s="522"/>
      <c r="K394" s="603"/>
      <c r="L394" s="532">
        <v>0</v>
      </c>
      <c r="M394" s="522"/>
      <c r="N394" s="579"/>
      <c r="O394" s="522"/>
      <c r="P394" s="603"/>
      <c r="Q394" s="532">
        <v>0</v>
      </c>
      <c r="R394" s="522"/>
      <c r="S394" s="579">
        <v>0</v>
      </c>
      <c r="T394" s="506"/>
      <c r="U394" s="506"/>
      <c r="V394" s="509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</row>
    <row r="395" spans="1:40" ht="15.75" hidden="1" customHeight="1">
      <c r="B395" s="503"/>
      <c r="C395" s="588" t="s">
        <v>64</v>
      </c>
      <c r="D395" s="589" t="s">
        <v>39</v>
      </c>
      <c r="E395" s="590">
        <v>0</v>
      </c>
      <c r="F395" s="591">
        <v>0</v>
      </c>
      <c r="G395" s="592"/>
      <c r="H395" s="590"/>
      <c r="I395" s="591"/>
      <c r="J395" s="592" t="s">
        <v>39</v>
      </c>
      <c r="K395" s="590">
        <v>0</v>
      </c>
      <c r="L395" s="591">
        <v>0</v>
      </c>
      <c r="M395" s="646"/>
      <c r="N395" s="591"/>
      <c r="O395" s="592" t="s">
        <v>39</v>
      </c>
      <c r="P395" s="590">
        <v>0</v>
      </c>
      <c r="Q395" s="591">
        <v>0</v>
      </c>
      <c r="R395" s="646"/>
      <c r="S395" s="605">
        <v>0</v>
      </c>
      <c r="T395" s="506"/>
      <c r="U395" s="506"/>
      <c r="V395" s="509"/>
      <c r="W395" s="506"/>
      <c r="X395" s="506"/>
      <c r="Y395" s="506"/>
      <c r="Z395" s="506"/>
      <c r="AA395" s="506"/>
      <c r="AB395" s="506"/>
      <c r="AC395" s="506"/>
      <c r="AD395" s="506"/>
      <c r="AE395" s="506"/>
      <c r="AF395" s="506"/>
      <c r="AG395" s="506"/>
      <c r="AH395" s="506"/>
      <c r="AI395" s="506"/>
      <c r="AJ395" s="506"/>
      <c r="AK395" s="506"/>
      <c r="AL395" s="506"/>
      <c r="AM395" s="506"/>
      <c r="AN395" s="506"/>
    </row>
    <row r="396" spans="1:40" ht="15.75" hidden="1" customHeight="1">
      <c r="B396" s="503"/>
      <c r="C396" s="529"/>
      <c r="D396" s="509"/>
      <c r="E396" s="509"/>
      <c r="F396" s="539"/>
      <c r="G396" s="529"/>
      <c r="H396" s="509"/>
      <c r="I396" s="539"/>
      <c r="J396" s="529"/>
      <c r="K396" s="509"/>
      <c r="L396" s="539"/>
      <c r="M396" s="548"/>
      <c r="N396" s="569"/>
      <c r="O396" s="529"/>
      <c r="P396" s="509"/>
      <c r="Q396" s="539"/>
      <c r="R396" s="529"/>
      <c r="S396" s="569"/>
      <c r="T396" s="506"/>
      <c r="U396" s="506"/>
      <c r="V396" s="509"/>
      <c r="W396" s="506"/>
      <c r="X396" s="506"/>
      <c r="Y396" s="506"/>
      <c r="Z396" s="506"/>
      <c r="AA396" s="506"/>
      <c r="AB396" s="506"/>
      <c r="AC396" s="506"/>
      <c r="AD396" s="506"/>
      <c r="AE396" s="506"/>
      <c r="AF396" s="506"/>
      <c r="AG396" s="506"/>
      <c r="AH396" s="506"/>
      <c r="AI396" s="506"/>
      <c r="AJ396" s="506"/>
      <c r="AK396" s="506"/>
      <c r="AL396" s="506"/>
      <c r="AM396" s="506"/>
      <c r="AN396" s="506"/>
    </row>
    <row r="397" spans="1:40" ht="15.75" hidden="1" customHeight="1">
      <c r="B397" s="503"/>
      <c r="C397" s="588" t="s">
        <v>65</v>
      </c>
      <c r="D397" s="589" t="s">
        <v>39</v>
      </c>
      <c r="E397" s="590">
        <v>0</v>
      </c>
      <c r="F397" s="591">
        <v>0</v>
      </c>
      <c r="G397" s="592"/>
      <c r="H397" s="590"/>
      <c r="I397" s="591"/>
      <c r="J397" s="592" t="s">
        <v>39</v>
      </c>
      <c r="K397" s="590">
        <v>0</v>
      </c>
      <c r="L397" s="591">
        <v>0</v>
      </c>
      <c r="M397" s="588"/>
      <c r="N397" s="591"/>
      <c r="O397" s="592" t="s">
        <v>39</v>
      </c>
      <c r="P397" s="590">
        <v>0</v>
      </c>
      <c r="Q397" s="591">
        <v>0</v>
      </c>
      <c r="R397" s="595"/>
      <c r="S397" s="591">
        <v>0</v>
      </c>
      <c r="T397" s="506"/>
      <c r="U397" s="506"/>
      <c r="V397" s="509"/>
      <c r="W397" s="506"/>
      <c r="X397" s="506"/>
      <c r="Y397" s="506"/>
      <c r="Z397" s="506"/>
      <c r="AA397" s="506"/>
      <c r="AB397" s="506"/>
      <c r="AC397" s="506"/>
      <c r="AD397" s="506"/>
      <c r="AE397" s="506"/>
      <c r="AF397" s="506"/>
      <c r="AG397" s="506"/>
      <c r="AH397" s="506"/>
      <c r="AI397" s="506"/>
      <c r="AJ397" s="506"/>
      <c r="AK397" s="506"/>
      <c r="AL397" s="506"/>
      <c r="AM397" s="506"/>
      <c r="AN397" s="506"/>
    </row>
    <row r="398" spans="1:40" ht="15.75" hidden="1" customHeight="1">
      <c r="B398" s="503"/>
      <c r="C398" s="529"/>
      <c r="D398" s="509"/>
      <c r="E398" s="509"/>
      <c r="F398" s="555"/>
      <c r="G398" s="529"/>
      <c r="H398" s="509"/>
      <c r="I398" s="555"/>
      <c r="J398" s="529"/>
      <c r="K398" s="509"/>
      <c r="L398" s="555"/>
      <c r="M398" s="548"/>
      <c r="N398" s="569"/>
      <c r="O398" s="529"/>
      <c r="P398" s="509"/>
      <c r="Q398" s="555"/>
      <c r="R398" s="529"/>
      <c r="S398" s="569"/>
      <c r="T398" s="506"/>
      <c r="U398" s="506"/>
      <c r="V398" s="509"/>
      <c r="W398" s="506"/>
      <c r="X398" s="506"/>
      <c r="Y398" s="506"/>
      <c r="Z398" s="506"/>
      <c r="AA398" s="506"/>
      <c r="AB398" s="506"/>
      <c r="AC398" s="506"/>
      <c r="AD398" s="506"/>
      <c r="AE398" s="506"/>
      <c r="AF398" s="506"/>
      <c r="AG398" s="506"/>
      <c r="AH398" s="506"/>
      <c r="AI398" s="506"/>
      <c r="AJ398" s="506"/>
      <c r="AK398" s="506"/>
      <c r="AL398" s="506"/>
      <c r="AM398" s="506"/>
      <c r="AN398" s="506"/>
    </row>
    <row r="399" spans="1:40" ht="15.75" hidden="1" customHeight="1">
      <c r="B399" s="503"/>
      <c r="C399" s="726" t="s">
        <v>72</v>
      </c>
      <c r="D399" s="727"/>
      <c r="E399" s="727"/>
      <c r="F399" s="728">
        <v>0</v>
      </c>
      <c r="G399" s="726"/>
      <c r="H399" s="727"/>
      <c r="I399" s="728"/>
      <c r="J399" s="729"/>
      <c r="K399" s="730"/>
      <c r="L399" s="728">
        <v>0</v>
      </c>
      <c r="M399" s="726"/>
      <c r="N399" s="728"/>
      <c r="O399" s="729"/>
      <c r="P399" s="730"/>
      <c r="Q399" s="728">
        <v>0</v>
      </c>
      <c r="R399" s="729"/>
      <c r="S399" s="728">
        <v>0</v>
      </c>
      <c r="T399" s="506"/>
      <c r="U399" s="506"/>
      <c r="V399" s="509"/>
      <c r="W399" s="506"/>
      <c r="X399" s="506"/>
      <c r="Y399" s="506"/>
      <c r="Z399" s="506"/>
      <c r="AA399" s="506"/>
      <c r="AB399" s="506"/>
      <c r="AC399" s="506"/>
      <c r="AD399" s="506"/>
      <c r="AE399" s="506"/>
      <c r="AF399" s="506"/>
      <c r="AG399" s="506"/>
      <c r="AH399" s="506"/>
      <c r="AI399" s="506"/>
      <c r="AJ399" s="506"/>
      <c r="AK399" s="506"/>
      <c r="AL399" s="506"/>
      <c r="AM399" s="506"/>
      <c r="AN399" s="506"/>
    </row>
    <row r="400" spans="1:40" ht="15.75" customHeight="1">
      <c r="B400" s="503"/>
      <c r="C400" s="568"/>
      <c r="D400" s="731"/>
      <c r="E400" s="509"/>
      <c r="F400" s="604">
        <v>198217.62994448509</v>
      </c>
      <c r="G400" s="581"/>
      <c r="H400" s="509"/>
      <c r="I400" s="604"/>
      <c r="J400" s="731"/>
      <c r="K400" s="568"/>
      <c r="L400" s="604">
        <v>129287.43999999996</v>
      </c>
      <c r="M400" s="568"/>
      <c r="N400" s="604"/>
      <c r="O400" s="568"/>
      <c r="P400" s="568"/>
      <c r="Q400" s="604"/>
      <c r="R400" s="568"/>
      <c r="S400" s="604"/>
      <c r="T400" s="509"/>
      <c r="U400" s="509"/>
      <c r="V400" s="509"/>
      <c r="W400" s="509"/>
      <c r="X400" s="509"/>
      <c r="Y400" s="509"/>
      <c r="Z400" s="509"/>
      <c r="AA400" s="509"/>
      <c r="AB400" s="509"/>
      <c r="AC400" s="509"/>
      <c r="AD400" s="509"/>
      <c r="AE400" s="509"/>
      <c r="AF400" s="509"/>
      <c r="AG400" s="509"/>
      <c r="AH400" s="509"/>
      <c r="AI400" s="509"/>
      <c r="AJ400" s="509"/>
      <c r="AK400" s="509"/>
      <c r="AL400" s="509"/>
      <c r="AM400" s="509"/>
      <c r="AN400" s="509"/>
    </row>
    <row r="401" spans="1:61" ht="15.75" customHeight="1">
      <c r="B401" s="503"/>
      <c r="F401" s="732"/>
      <c r="L401" s="732"/>
      <c r="V401" s="509"/>
      <c r="W401" s="506"/>
      <c r="X401" s="506"/>
      <c r="Y401" s="506"/>
      <c r="Z401" s="506"/>
      <c r="AA401" s="506"/>
      <c r="AB401" s="506"/>
      <c r="AC401" s="506"/>
      <c r="AD401" s="506"/>
      <c r="AE401" s="506"/>
      <c r="AF401" s="506"/>
      <c r="AG401" s="506"/>
      <c r="AH401" s="506"/>
      <c r="AI401" s="506"/>
      <c r="AJ401" s="506"/>
      <c r="AK401" s="506"/>
      <c r="AL401" s="506"/>
      <c r="AM401" s="506"/>
      <c r="AN401" s="506"/>
    </row>
    <row r="402" spans="1:61" ht="35.4">
      <c r="B402" s="503"/>
      <c r="C402" s="733" t="s">
        <v>473</v>
      </c>
      <c r="F402" s="732"/>
      <c r="L402" s="732"/>
      <c r="V402" s="734" t="s">
        <v>477</v>
      </c>
      <c r="W402" s="495"/>
      <c r="X402" s="495"/>
      <c r="Y402" s="495"/>
      <c r="Z402" s="495"/>
      <c r="AA402" s="495"/>
      <c r="AB402" s="495"/>
      <c r="AC402" s="495"/>
      <c r="AD402" s="495"/>
      <c r="AE402" s="497" t="s">
        <v>474</v>
      </c>
      <c r="AF402" s="495"/>
      <c r="AG402" s="495"/>
      <c r="AH402" s="495"/>
      <c r="AI402" s="495"/>
      <c r="AJ402" s="735"/>
      <c r="AK402" s="497"/>
      <c r="AL402" s="495"/>
      <c r="AM402" s="495"/>
      <c r="AN402" s="495"/>
      <c r="AO402" s="735" t="s">
        <v>481</v>
      </c>
      <c r="AP402" s="506"/>
      <c r="AQ402" s="506"/>
      <c r="AR402" s="506"/>
      <c r="AS402" s="506"/>
      <c r="AT402" s="506"/>
      <c r="AU402" s="506"/>
      <c r="AV402" s="506"/>
      <c r="AW402" s="506"/>
      <c r="AX402" s="506"/>
      <c r="AY402" s="506"/>
      <c r="AZ402" s="506"/>
      <c r="BA402" s="506"/>
      <c r="BB402" s="506"/>
      <c r="BC402" s="506"/>
      <c r="BD402" s="506"/>
      <c r="BE402" s="506"/>
      <c r="BF402" s="506"/>
      <c r="BG402" s="506"/>
      <c r="BH402" s="506"/>
      <c r="BI402" s="506"/>
    </row>
    <row r="403" spans="1:61" ht="15.75" customHeight="1" thickBot="1">
      <c r="B403" s="503"/>
      <c r="C403" s="733" t="s">
        <v>473</v>
      </c>
      <c r="V403" s="736"/>
      <c r="W403" s="505"/>
      <c r="X403" s="505"/>
      <c r="Y403" s="505"/>
      <c r="Z403" s="505"/>
      <c r="AA403" s="505"/>
      <c r="AB403" s="505"/>
      <c r="AC403" s="505"/>
      <c r="AD403" s="505"/>
      <c r="AE403" s="505"/>
      <c r="AF403" s="505"/>
      <c r="AG403" s="505"/>
      <c r="AH403" s="505"/>
      <c r="AI403" s="505"/>
      <c r="AJ403" s="505"/>
      <c r="AK403" s="505"/>
      <c r="AL403" s="506"/>
      <c r="AM403" s="506"/>
      <c r="AN403" s="506"/>
      <c r="AO403" s="506"/>
      <c r="AP403" s="506"/>
      <c r="AQ403" s="506"/>
      <c r="AR403" s="506"/>
      <c r="AS403" s="506"/>
      <c r="AT403" s="506"/>
      <c r="AU403" s="506"/>
      <c r="AV403" s="506"/>
      <c r="AW403" s="506"/>
      <c r="AX403" s="506"/>
      <c r="AY403" s="506"/>
      <c r="AZ403" s="506"/>
      <c r="BA403" s="506"/>
      <c r="BB403" s="506"/>
      <c r="BC403" s="506"/>
      <c r="BD403" s="506"/>
      <c r="BE403" s="506"/>
      <c r="BF403" s="506"/>
      <c r="BG403" s="506"/>
      <c r="BH403" s="506"/>
      <c r="BI403" s="506"/>
    </row>
    <row r="404" spans="1:61" ht="15.75" customHeight="1" thickTop="1" thickBot="1">
      <c r="A404" s="494" t="s">
        <v>475</v>
      </c>
      <c r="B404" s="503"/>
      <c r="C404" s="733" t="s">
        <v>473</v>
      </c>
      <c r="V404" s="737"/>
      <c r="W404" s="738"/>
      <c r="X404" s="739" t="s">
        <v>122</v>
      </c>
      <c r="Y404" s="740"/>
      <c r="Z404" s="741"/>
      <c r="AA404" s="742"/>
      <c r="AB404" s="740"/>
      <c r="AC404" s="741"/>
      <c r="AD404" s="742" t="s">
        <v>7</v>
      </c>
      <c r="AE404" s="740"/>
      <c r="AF404" s="741"/>
      <c r="AG404" s="742" t="s">
        <v>221</v>
      </c>
      <c r="AH404" s="740"/>
      <c r="AI404" s="741"/>
      <c r="AJ404" s="742" t="s">
        <v>123</v>
      </c>
      <c r="AK404" s="740"/>
      <c r="AL404" s="740"/>
      <c r="AM404" s="742" t="s">
        <v>124</v>
      </c>
      <c r="AN404" s="740"/>
      <c r="AO404" s="743"/>
      <c r="AP404" s="506"/>
      <c r="AQ404" s="506"/>
      <c r="AR404" s="506"/>
      <c r="AS404" s="506"/>
      <c r="AT404" s="506"/>
      <c r="AU404" s="506"/>
      <c r="AV404" s="506"/>
      <c r="AW404" s="506"/>
      <c r="AX404" s="506"/>
      <c r="AY404" s="506"/>
      <c r="AZ404" s="506"/>
      <c r="BA404" s="506"/>
      <c r="BB404" s="506"/>
      <c r="BC404" s="506"/>
      <c r="BD404" s="506"/>
      <c r="BE404" s="506"/>
      <c r="BF404" s="506"/>
      <c r="BG404" s="506"/>
      <c r="BH404" s="506"/>
      <c r="BI404" s="506"/>
    </row>
    <row r="405" spans="1:61" ht="15.75" customHeight="1">
      <c r="A405" s="494" t="s">
        <v>475</v>
      </c>
      <c r="B405" s="503"/>
      <c r="C405" s="733" t="s">
        <v>473</v>
      </c>
      <c r="V405" s="522"/>
      <c r="W405" s="698" t="s">
        <v>125</v>
      </c>
      <c r="X405" s="698" t="s">
        <v>126</v>
      </c>
      <c r="Y405" s="698" t="s">
        <v>127</v>
      </c>
      <c r="Z405" s="744" t="s">
        <v>128</v>
      </c>
      <c r="AA405" s="698"/>
      <c r="AB405" s="698"/>
      <c r="AC405" s="744"/>
      <c r="AD405" s="745" t="s">
        <v>126</v>
      </c>
      <c r="AE405" s="698" t="s">
        <v>127</v>
      </c>
      <c r="AF405" s="698" t="s">
        <v>128</v>
      </c>
      <c r="AG405" s="745" t="s">
        <v>129</v>
      </c>
      <c r="AH405" s="698" t="s">
        <v>130</v>
      </c>
      <c r="AI405" s="698" t="s">
        <v>131</v>
      </c>
      <c r="AJ405" s="745" t="s">
        <v>126</v>
      </c>
      <c r="AK405" s="698" t="s">
        <v>127</v>
      </c>
      <c r="AL405" s="698" t="s">
        <v>128</v>
      </c>
      <c r="AM405" s="746" t="s">
        <v>129</v>
      </c>
      <c r="AN405" s="698" t="s">
        <v>130</v>
      </c>
      <c r="AO405" s="634" t="s">
        <v>131</v>
      </c>
      <c r="AP405" s="506"/>
      <c r="AQ405" s="506"/>
      <c r="AR405" s="506"/>
      <c r="AS405" s="506"/>
      <c r="AT405" s="506"/>
      <c r="AU405" s="506"/>
      <c r="AV405" s="506"/>
      <c r="AW405" s="506"/>
      <c r="AX405" s="506"/>
      <c r="AY405" s="506"/>
      <c r="AZ405" s="506"/>
      <c r="BA405" s="506"/>
      <c r="BB405" s="506"/>
      <c r="BC405" s="506"/>
      <c r="BD405" s="506"/>
      <c r="BE405" s="506"/>
      <c r="BF405" s="506"/>
      <c r="BG405" s="506"/>
      <c r="BH405" s="506"/>
      <c r="BI405" s="506"/>
    </row>
    <row r="406" spans="1:61" ht="15.75" customHeight="1">
      <c r="A406" s="494" t="s">
        <v>15</v>
      </c>
      <c r="B406" s="503"/>
      <c r="C406" s="733" t="s">
        <v>473</v>
      </c>
      <c r="V406" s="598" t="s">
        <v>15</v>
      </c>
      <c r="W406" s="747"/>
      <c r="X406" s="747"/>
      <c r="Y406" s="747"/>
      <c r="Z406" s="748">
        <v>6476054.4469894199</v>
      </c>
      <c r="AA406" s="747"/>
      <c r="AB406" s="747"/>
      <c r="AC406" s="748"/>
      <c r="AD406" s="749"/>
      <c r="AE406" s="750"/>
      <c r="AF406" s="750">
        <v>5889184.629999999</v>
      </c>
      <c r="AG406" s="749"/>
      <c r="AH406" s="750"/>
      <c r="AI406" s="751"/>
      <c r="AJ406" s="749"/>
      <c r="AK406" s="750"/>
      <c r="AL406" s="750">
        <v>3178713.4899999988</v>
      </c>
      <c r="AM406" s="752"/>
      <c r="AN406" s="750"/>
      <c r="AO406" s="753"/>
      <c r="AP406" s="506"/>
      <c r="AQ406" s="506"/>
      <c r="AR406" s="506"/>
      <c r="AS406" s="506"/>
      <c r="AT406" s="506"/>
      <c r="AU406" s="506"/>
      <c r="AV406" s="506"/>
      <c r="AW406" s="506"/>
      <c r="AX406" s="506"/>
      <c r="AY406" s="506"/>
      <c r="AZ406" s="506"/>
      <c r="BA406" s="506"/>
      <c r="BB406" s="506"/>
      <c r="BC406" s="506"/>
      <c r="BD406" s="506"/>
      <c r="BE406" s="506"/>
      <c r="BF406" s="506"/>
      <c r="BG406" s="506"/>
      <c r="BH406" s="506"/>
      <c r="BI406" s="506"/>
    </row>
    <row r="407" spans="1:61" ht="15.75" customHeight="1">
      <c r="A407" s="494" t="s">
        <v>132</v>
      </c>
      <c r="B407" s="503"/>
      <c r="C407" s="733" t="s">
        <v>473</v>
      </c>
      <c r="V407" s="754" t="s">
        <v>132</v>
      </c>
      <c r="W407" s="755"/>
      <c r="X407" s="755"/>
      <c r="Y407" s="755"/>
      <c r="Z407" s="756">
        <v>955621.60366614698</v>
      </c>
      <c r="AA407" s="755"/>
      <c r="AB407" s="755"/>
      <c r="AC407" s="756"/>
      <c r="AD407" s="757"/>
      <c r="AE407" s="758"/>
      <c r="AF407" s="756">
        <v>725884.6</v>
      </c>
      <c r="AG407" s="757"/>
      <c r="AH407" s="758">
        <v>-229737.00366614701</v>
      </c>
      <c r="AI407" s="759">
        <v>-0.24040582881841924</v>
      </c>
      <c r="AJ407" s="757">
        <v>0.17911685396974847</v>
      </c>
      <c r="AK407" s="758"/>
      <c r="AL407" s="758">
        <v>569361.15999999933</v>
      </c>
      <c r="AM407" s="760"/>
      <c r="AN407" s="758">
        <v>156523.44000000064</v>
      </c>
      <c r="AO407" s="761">
        <v>0.27491063844256752</v>
      </c>
      <c r="AP407" s="506"/>
      <c r="AQ407" s="506"/>
      <c r="AR407" s="506"/>
      <c r="AS407" s="506"/>
      <c r="AT407" s="506"/>
      <c r="AU407" s="506"/>
      <c r="AV407" s="506"/>
      <c r="AW407" s="506"/>
      <c r="AX407" s="506"/>
      <c r="AY407" s="506"/>
      <c r="AZ407" s="506"/>
      <c r="BA407" s="506"/>
      <c r="BB407" s="506"/>
      <c r="BC407" s="506"/>
      <c r="BD407" s="506"/>
      <c r="BE407" s="506"/>
      <c r="BF407" s="506"/>
      <c r="BG407" s="506"/>
      <c r="BH407" s="506"/>
      <c r="BI407" s="506"/>
    </row>
    <row r="408" spans="1:61" ht="15.75" customHeight="1">
      <c r="A408" s="494" t="s">
        <v>133</v>
      </c>
      <c r="B408" s="503"/>
      <c r="C408" s="733" t="s">
        <v>473</v>
      </c>
      <c r="V408" s="762" t="s">
        <v>133</v>
      </c>
      <c r="W408" s="763"/>
      <c r="X408" s="763"/>
      <c r="Y408" s="763"/>
      <c r="Z408" s="764"/>
      <c r="AA408" s="763"/>
      <c r="AB408" s="763"/>
      <c r="AC408" s="764"/>
      <c r="AD408" s="765"/>
      <c r="AE408" s="763"/>
      <c r="AF408" s="766"/>
      <c r="AG408" s="765"/>
      <c r="AH408" s="766"/>
      <c r="AI408" s="767"/>
      <c r="AJ408" s="765"/>
      <c r="AK408" s="763"/>
      <c r="AL408" s="766"/>
      <c r="AM408" s="768"/>
      <c r="AN408" s="766"/>
      <c r="AO408" s="769"/>
      <c r="AP408" s="506"/>
      <c r="AQ408" s="506"/>
      <c r="AR408" s="506"/>
      <c r="AS408" s="506"/>
      <c r="AT408" s="506"/>
      <c r="AU408" s="506"/>
      <c r="AV408" s="506"/>
      <c r="AW408" s="506"/>
      <c r="AX408" s="506"/>
      <c r="AY408" s="506"/>
      <c r="AZ408" s="506"/>
      <c r="BA408" s="506"/>
      <c r="BB408" s="506"/>
      <c r="BC408" s="506"/>
      <c r="BD408" s="506"/>
      <c r="BE408" s="506"/>
      <c r="BF408" s="506"/>
      <c r="BG408" s="506"/>
      <c r="BH408" s="506"/>
      <c r="BI408" s="506"/>
    </row>
    <row r="409" spans="1:61" ht="15.75" customHeight="1">
      <c r="A409" s="494" t="s">
        <v>31</v>
      </c>
      <c r="B409" s="503"/>
      <c r="C409" s="733" t="s">
        <v>473</v>
      </c>
      <c r="V409" s="596" t="s">
        <v>31</v>
      </c>
      <c r="W409" s="770" t="s">
        <v>134</v>
      </c>
      <c r="X409" s="763"/>
      <c r="Y409" s="771">
        <v>832.07614630114836</v>
      </c>
      <c r="Z409" s="764">
        <v>86739.777871163213</v>
      </c>
      <c r="AA409" s="763"/>
      <c r="AB409" s="771"/>
      <c r="AC409" s="764"/>
      <c r="AD409" s="772"/>
      <c r="AE409" s="771">
        <v>669.37043478260875</v>
      </c>
      <c r="AF409" s="764">
        <v>61582.080000000002</v>
      </c>
      <c r="AG409" s="765">
        <v>-162.7057115185396</v>
      </c>
      <c r="AH409" s="766">
        <v>-25157.697871163211</v>
      </c>
      <c r="AI409" s="767">
        <v>-0.29003645718957888</v>
      </c>
      <c r="AJ409" s="773">
        <v>9.7933146686718264E-2</v>
      </c>
      <c r="AK409" s="766">
        <v>1161.6527083333333</v>
      </c>
      <c r="AL409" s="764">
        <v>55759.33</v>
      </c>
      <c r="AM409" s="768">
        <v>-162.7057115185396</v>
      </c>
      <c r="AN409" s="766">
        <v>5822.75</v>
      </c>
      <c r="AO409" s="774">
        <v>0.10442646997372457</v>
      </c>
      <c r="AP409" s="506"/>
      <c r="AQ409" s="506"/>
      <c r="AR409" s="503"/>
      <c r="AS409" s="506"/>
      <c r="AT409" s="506"/>
      <c r="AU409" s="506"/>
      <c r="AV409" s="506"/>
      <c r="AW409" s="506"/>
      <c r="AX409" s="506"/>
      <c r="AY409" s="506"/>
      <c r="AZ409" s="506"/>
      <c r="BA409" s="506"/>
      <c r="BB409" s="506"/>
      <c r="BC409" s="506"/>
      <c r="BD409" s="506"/>
      <c r="BE409" s="506"/>
      <c r="BF409" s="506"/>
      <c r="BG409" s="506"/>
      <c r="BH409" s="506"/>
      <c r="BI409" s="506"/>
    </row>
    <row r="410" spans="1:61" ht="15.75" customHeight="1">
      <c r="A410" s="494" t="s">
        <v>32</v>
      </c>
      <c r="B410" s="503"/>
      <c r="C410" s="733" t="s">
        <v>473</v>
      </c>
      <c r="V410" s="598" t="s">
        <v>32</v>
      </c>
      <c r="W410" s="775" t="s">
        <v>135</v>
      </c>
      <c r="X410" s="747"/>
      <c r="Y410" s="776">
        <v>518.12269173581467</v>
      </c>
      <c r="Z410" s="748">
        <v>54011.7</v>
      </c>
      <c r="AA410" s="747"/>
      <c r="AB410" s="776"/>
      <c r="AC410" s="748"/>
      <c r="AD410" s="777"/>
      <c r="AE410" s="776">
        <v>302.10423913043485</v>
      </c>
      <c r="AF410" s="748">
        <v>27793.590000000004</v>
      </c>
      <c r="AG410" s="749">
        <v>-216.01845260537982</v>
      </c>
      <c r="AH410" s="750">
        <v>-26218.109999999993</v>
      </c>
      <c r="AI410" s="778">
        <v>-0.48541538222274055</v>
      </c>
      <c r="AJ410" s="779">
        <v>4.8801730697612095E-2</v>
      </c>
      <c r="AK410" s="750">
        <v>578.87104166666666</v>
      </c>
      <c r="AL410" s="748">
        <v>27785.809999999998</v>
      </c>
      <c r="AM410" s="752">
        <v>-216.01845260537982</v>
      </c>
      <c r="AN410" s="750">
        <v>7.7800000000061118</v>
      </c>
      <c r="AO410" s="753">
        <v>2.799990354791209E-4</v>
      </c>
      <c r="AP410" s="506"/>
      <c r="AQ410" s="506"/>
      <c r="AR410" s="509"/>
      <c r="AS410" s="506"/>
      <c r="AT410" s="506"/>
      <c r="AU410" s="506"/>
      <c r="AV410" s="506"/>
      <c r="AW410" s="506"/>
      <c r="AX410" s="506"/>
      <c r="AY410" s="506"/>
      <c r="AZ410" s="506"/>
      <c r="BA410" s="506"/>
      <c r="BB410" s="506"/>
      <c r="BC410" s="506"/>
      <c r="BD410" s="506"/>
      <c r="BE410" s="506"/>
      <c r="BF410" s="506"/>
      <c r="BG410" s="506"/>
      <c r="BH410" s="506"/>
      <c r="BI410" s="506"/>
    </row>
    <row r="411" spans="1:61" ht="15.75" customHeight="1">
      <c r="A411" s="494" t="s">
        <v>33</v>
      </c>
      <c r="B411" s="503"/>
      <c r="C411" s="733" t="s">
        <v>473</v>
      </c>
      <c r="V411" s="596" t="s">
        <v>33</v>
      </c>
      <c r="W411" s="770" t="s">
        <v>136</v>
      </c>
      <c r="X411" s="763"/>
      <c r="Y411" s="771">
        <v>77.964890402417382</v>
      </c>
      <c r="Z411" s="764">
        <v>8127.45</v>
      </c>
      <c r="AA411" s="763"/>
      <c r="AB411" s="771"/>
      <c r="AC411" s="764"/>
      <c r="AD411" s="772"/>
      <c r="AE411" s="771">
        <v>61.377173913043485</v>
      </c>
      <c r="AF411" s="764">
        <v>5646.7000000000007</v>
      </c>
      <c r="AG411" s="765">
        <v>-16.587716489373896</v>
      </c>
      <c r="AH411" s="766">
        <v>-2480.7499999999991</v>
      </c>
      <c r="AI411" s="767">
        <v>-0.30523103802545681</v>
      </c>
      <c r="AJ411" s="773">
        <v>3.9078710602598937E-3</v>
      </c>
      <c r="AK411" s="766">
        <v>46.353958333333338</v>
      </c>
      <c r="AL411" s="764">
        <v>2224.9900000000002</v>
      </c>
      <c r="AM411" s="768">
        <v>-16.587716489373896</v>
      </c>
      <c r="AN411" s="766">
        <v>3421.7100000000005</v>
      </c>
      <c r="AO411" s="774">
        <v>1.5378541027150685</v>
      </c>
      <c r="AP411" s="506"/>
      <c r="AQ411" s="506"/>
      <c r="AR411" s="509"/>
      <c r="AS411" s="506"/>
      <c r="AT411" s="506"/>
      <c r="AU411" s="506"/>
      <c r="AV411" s="506"/>
      <c r="AW411" s="506"/>
      <c r="AX411" s="506"/>
      <c r="AY411" s="506"/>
      <c r="AZ411" s="506"/>
      <c r="BA411" s="506"/>
      <c r="BB411" s="506"/>
      <c r="BC411" s="506"/>
      <c r="BD411" s="506"/>
      <c r="BE411" s="506"/>
      <c r="BF411" s="506"/>
      <c r="BG411" s="506"/>
      <c r="BH411" s="506"/>
      <c r="BI411" s="506"/>
    </row>
    <row r="412" spans="1:61" ht="15.75" customHeight="1">
      <c r="A412" s="494" t="s">
        <v>34</v>
      </c>
      <c r="B412" s="503"/>
      <c r="C412" s="733" t="s">
        <v>473</v>
      </c>
      <c r="V412" s="596" t="s">
        <v>34</v>
      </c>
      <c r="W412" s="770" t="s">
        <v>137</v>
      </c>
      <c r="X412" s="763"/>
      <c r="Y412" s="771">
        <v>4.7648808096311566</v>
      </c>
      <c r="Z412" s="764">
        <v>496.71499999999997</v>
      </c>
      <c r="AA412" s="763"/>
      <c r="AB412" s="771"/>
      <c r="AC412" s="764"/>
      <c r="AD412" s="772"/>
      <c r="AE412" s="771">
        <v>32.592065217391308</v>
      </c>
      <c r="AF412" s="764">
        <v>2998.4700000000003</v>
      </c>
      <c r="AG412" s="765">
        <v>27.82718440776015</v>
      </c>
      <c r="AH412" s="766">
        <v>2501.7550000000001</v>
      </c>
      <c r="AI412" s="767">
        <v>5.0366004650554146</v>
      </c>
      <c r="AJ412" s="773">
        <v>3.6883443190961648E-4</v>
      </c>
      <c r="AK412" s="766">
        <v>4.375</v>
      </c>
      <c r="AL412" s="764">
        <v>210</v>
      </c>
      <c r="AM412" s="768">
        <v>27.82718440776015</v>
      </c>
      <c r="AN412" s="766">
        <v>2788.4700000000003</v>
      </c>
      <c r="AO412" s="774">
        <v>13.278428571428572</v>
      </c>
      <c r="AP412" s="506"/>
      <c r="AQ412" s="506"/>
      <c r="AR412" s="509"/>
      <c r="AS412" s="506"/>
      <c r="AT412" s="506"/>
      <c r="AU412" s="506"/>
      <c r="AV412" s="506"/>
      <c r="AW412" s="506"/>
      <c r="AX412" s="506"/>
      <c r="AY412" s="506"/>
      <c r="AZ412" s="506"/>
      <c r="BA412" s="506"/>
      <c r="BB412" s="506"/>
      <c r="BC412" s="506"/>
      <c r="BD412" s="506"/>
      <c r="BE412" s="506"/>
      <c r="BF412" s="506"/>
      <c r="BG412" s="506"/>
      <c r="BH412" s="506"/>
      <c r="BI412" s="506"/>
    </row>
    <row r="413" spans="1:61" ht="15.75" customHeight="1">
      <c r="A413" s="494" t="s">
        <v>35</v>
      </c>
      <c r="B413" s="503"/>
      <c r="C413" s="733" t="s">
        <v>473</v>
      </c>
      <c r="V413" s="598" t="s">
        <v>35</v>
      </c>
      <c r="W413" s="775"/>
      <c r="X413" s="747"/>
      <c r="Y413" s="776">
        <v>120.31310854237611</v>
      </c>
      <c r="Z413" s="748">
        <v>12542.039999999999</v>
      </c>
      <c r="AA413" s="747"/>
      <c r="AB413" s="776"/>
      <c r="AC413" s="748"/>
      <c r="AD413" s="777"/>
      <c r="AE413" s="776">
        <v>175.53304347826088</v>
      </c>
      <c r="AF413" s="748">
        <v>16149.04</v>
      </c>
      <c r="AG413" s="749">
        <v>55.219934935884766</v>
      </c>
      <c r="AH413" s="750">
        <v>3607.0000000000018</v>
      </c>
      <c r="AI413" s="778">
        <v>0.28759276800265365</v>
      </c>
      <c r="AJ413" s="779">
        <v>1.3632542128444464E-2</v>
      </c>
      <c r="AK413" s="750">
        <v>161.70500000000001</v>
      </c>
      <c r="AL413" s="748">
        <v>7761.84</v>
      </c>
      <c r="AM413" s="752">
        <v>55.219934935884766</v>
      </c>
      <c r="AN413" s="750">
        <v>8387.2000000000007</v>
      </c>
      <c r="AO413" s="753">
        <v>1.0805685249889203</v>
      </c>
      <c r="AP413" s="506"/>
      <c r="AQ413" s="506"/>
      <c r="AR413" s="509"/>
      <c r="AS413" s="506"/>
      <c r="AT413" s="506"/>
      <c r="AU413" s="506"/>
      <c r="AV413" s="506"/>
      <c r="AW413" s="506"/>
      <c r="AX413" s="506"/>
      <c r="AY413" s="506"/>
      <c r="AZ413" s="506"/>
      <c r="BA413" s="506"/>
      <c r="BB413" s="506"/>
      <c r="BC413" s="506"/>
      <c r="BD413" s="506"/>
      <c r="BE413" s="506"/>
      <c r="BF413" s="506"/>
      <c r="BG413" s="506"/>
      <c r="BH413" s="506"/>
      <c r="BI413" s="506"/>
    </row>
    <row r="414" spans="1:61" ht="15.75" customHeight="1">
      <c r="A414" s="494" t="s">
        <v>36</v>
      </c>
      <c r="B414" s="503"/>
      <c r="C414" s="733" t="s">
        <v>473</v>
      </c>
      <c r="V414" s="596" t="s">
        <v>36</v>
      </c>
      <c r="W414" s="770" t="s">
        <v>138</v>
      </c>
      <c r="X414" s="767"/>
      <c r="Y414" s="771">
        <v>177.11640846083745</v>
      </c>
      <c r="Z414" s="764">
        <v>18463.5</v>
      </c>
      <c r="AA414" s="767"/>
      <c r="AB414" s="771"/>
      <c r="AC414" s="764"/>
      <c r="AD414" s="772"/>
      <c r="AE414" s="771">
        <v>228.92576086956521</v>
      </c>
      <c r="AF414" s="764">
        <v>21061.17</v>
      </c>
      <c r="AG414" s="765">
        <v>51.809352408727761</v>
      </c>
      <c r="AH414" s="766">
        <v>2597.6699999999983</v>
      </c>
      <c r="AI414" s="767">
        <v>0.14069217645625143</v>
      </c>
      <c r="AJ414" s="773">
        <v>3.1065413734930606E-2</v>
      </c>
      <c r="AK414" s="766">
        <v>368.4883333333334</v>
      </c>
      <c r="AL414" s="764">
        <v>17687.440000000002</v>
      </c>
      <c r="AM414" s="768">
        <v>51.809352408727761</v>
      </c>
      <c r="AN414" s="766">
        <v>3373.7299999999959</v>
      </c>
      <c r="AO414" s="774">
        <v>0.19074156576644191</v>
      </c>
      <c r="AP414" s="506"/>
      <c r="AQ414" s="506"/>
      <c r="AR414" s="509"/>
      <c r="AS414" s="506"/>
      <c r="AT414" s="506"/>
      <c r="AU414" s="506"/>
      <c r="AV414" s="506"/>
      <c r="AW414" s="506"/>
      <c r="AX414" s="506"/>
      <c r="AY414" s="506"/>
      <c r="AZ414" s="506"/>
      <c r="BA414" s="506"/>
      <c r="BB414" s="506"/>
      <c r="BC414" s="506"/>
      <c r="BD414" s="506"/>
      <c r="BE414" s="506"/>
      <c r="BF414" s="506"/>
      <c r="BG414" s="506"/>
      <c r="BH414" s="506"/>
      <c r="BI414" s="506"/>
    </row>
    <row r="415" spans="1:61" ht="15.75" customHeight="1">
      <c r="A415" s="494" t="s">
        <v>37</v>
      </c>
      <c r="B415" s="503"/>
      <c r="C415" s="733" t="s">
        <v>473</v>
      </c>
      <c r="V415" s="596" t="s">
        <v>37</v>
      </c>
      <c r="W415" s="770" t="s">
        <v>139</v>
      </c>
      <c r="X415" s="763"/>
      <c r="Y415" s="771">
        <v>287.71319915393713</v>
      </c>
      <c r="Z415" s="764">
        <v>29992.662445802176</v>
      </c>
      <c r="AA415" s="763"/>
      <c r="AB415" s="771"/>
      <c r="AC415" s="764"/>
      <c r="AD415" s="772"/>
      <c r="AE415" s="771">
        <v>314.30927536231883</v>
      </c>
      <c r="AF415" s="764">
        <v>43374.68</v>
      </c>
      <c r="AG415" s="765">
        <v>26.596076208381703</v>
      </c>
      <c r="AH415" s="766">
        <v>13382.017554197824</v>
      </c>
      <c r="AI415" s="767">
        <v>0.44617637991890896</v>
      </c>
      <c r="AJ415" s="773">
        <v>6.8311825133980063E-3</v>
      </c>
      <c r="AK415" s="766">
        <v>81.029375000000002</v>
      </c>
      <c r="AL415" s="764">
        <v>3889.41</v>
      </c>
      <c r="AM415" s="768">
        <v>26.596076208381703</v>
      </c>
      <c r="AN415" s="766">
        <v>39485.270000000004</v>
      </c>
      <c r="AO415" s="774">
        <v>10.15199477555722</v>
      </c>
      <c r="AP415" s="506"/>
      <c r="AQ415" s="506"/>
      <c r="AR415" s="509"/>
      <c r="AS415" s="506"/>
      <c r="AT415" s="506"/>
      <c r="AU415" s="506"/>
      <c r="AV415" s="506"/>
      <c r="AW415" s="506"/>
      <c r="AX415" s="506"/>
      <c r="AY415" s="506"/>
      <c r="AZ415" s="506"/>
      <c r="BA415" s="506"/>
      <c r="BB415" s="506"/>
      <c r="BC415" s="506"/>
      <c r="BD415" s="506"/>
      <c r="BE415" s="506"/>
      <c r="BF415" s="506"/>
      <c r="BG415" s="506"/>
      <c r="BH415" s="506"/>
      <c r="BI415" s="506"/>
    </row>
    <row r="416" spans="1:61" ht="15.75" hidden="1" customHeight="1">
      <c r="A416" s="494" t="s">
        <v>20</v>
      </c>
      <c r="B416" s="503"/>
      <c r="C416" s="733" t="s">
        <v>473</v>
      </c>
      <c r="V416" s="596" t="s">
        <v>20</v>
      </c>
      <c r="W416" s="770"/>
      <c r="X416" s="767"/>
      <c r="Y416" s="771">
        <v>0</v>
      </c>
      <c r="Z416" s="764">
        <v>0</v>
      </c>
      <c r="AA416" s="763"/>
      <c r="AB416" s="771"/>
      <c r="AC416" s="764"/>
      <c r="AD416" s="772"/>
      <c r="AE416" s="771">
        <v>0</v>
      </c>
      <c r="AF416" s="764">
        <v>0</v>
      </c>
      <c r="AG416" s="765">
        <v>0</v>
      </c>
      <c r="AH416" s="766">
        <v>0</v>
      </c>
      <c r="AI416" s="767">
        <v>0</v>
      </c>
      <c r="AJ416" s="772"/>
      <c r="AK416" s="766">
        <v>0</v>
      </c>
      <c r="AL416" s="764">
        <v>0</v>
      </c>
      <c r="AM416" s="768">
        <v>0</v>
      </c>
      <c r="AN416" s="766">
        <v>0</v>
      </c>
      <c r="AO416" s="774">
        <v>0</v>
      </c>
      <c r="AP416" s="506"/>
      <c r="AQ416" s="506"/>
      <c r="AR416" s="509"/>
      <c r="AS416" s="506"/>
      <c r="AT416" s="506"/>
      <c r="AU416" s="506"/>
      <c r="AV416" s="506"/>
      <c r="AW416" s="506"/>
      <c r="AX416" s="506"/>
      <c r="AY416" s="506"/>
      <c r="AZ416" s="506"/>
      <c r="BA416" s="506"/>
      <c r="BB416" s="506"/>
      <c r="BC416" s="506"/>
      <c r="BD416" s="506"/>
      <c r="BE416" s="506"/>
      <c r="BF416" s="506"/>
      <c r="BG416" s="506"/>
      <c r="BH416" s="506"/>
      <c r="BI416" s="506"/>
    </row>
    <row r="417" spans="1:61" ht="15.75" hidden="1" customHeight="1">
      <c r="A417" s="494" t="s">
        <v>20</v>
      </c>
      <c r="B417" s="503"/>
      <c r="C417" s="733" t="s">
        <v>473</v>
      </c>
      <c r="V417" s="596" t="s">
        <v>20</v>
      </c>
      <c r="W417" s="770"/>
      <c r="X417" s="767"/>
      <c r="Y417" s="771">
        <v>0</v>
      </c>
      <c r="Z417" s="764">
        <v>0</v>
      </c>
      <c r="AA417" s="763"/>
      <c r="AB417" s="771"/>
      <c r="AC417" s="764"/>
      <c r="AD417" s="772"/>
      <c r="AE417" s="771">
        <v>0</v>
      </c>
      <c r="AF417" s="764">
        <v>0</v>
      </c>
      <c r="AG417" s="765">
        <v>0</v>
      </c>
      <c r="AH417" s="766">
        <v>0</v>
      </c>
      <c r="AI417" s="767">
        <v>0</v>
      </c>
      <c r="AJ417" s="772"/>
      <c r="AK417" s="766">
        <v>0</v>
      </c>
      <c r="AL417" s="764">
        <v>0</v>
      </c>
      <c r="AM417" s="768">
        <v>0</v>
      </c>
      <c r="AN417" s="766">
        <v>0</v>
      </c>
      <c r="AO417" s="774">
        <v>0</v>
      </c>
      <c r="AP417" s="506"/>
      <c r="AQ417" s="506"/>
      <c r="AR417" s="509"/>
      <c r="AS417" s="506"/>
      <c r="AT417" s="506"/>
      <c r="AU417" s="506"/>
      <c r="AV417" s="506"/>
      <c r="AW417" s="506"/>
      <c r="AX417" s="506"/>
      <c r="AY417" s="506"/>
      <c r="AZ417" s="506"/>
      <c r="BA417" s="506"/>
      <c r="BB417" s="506"/>
      <c r="BC417" s="506"/>
      <c r="BD417" s="506"/>
      <c r="BE417" s="506"/>
      <c r="BF417" s="506"/>
      <c r="BG417" s="506"/>
      <c r="BH417" s="506"/>
      <c r="BI417" s="506"/>
    </row>
    <row r="418" spans="1:61" ht="15.75" hidden="1" customHeight="1">
      <c r="A418" s="494" t="s">
        <v>20</v>
      </c>
      <c r="B418" s="503"/>
      <c r="C418" s="733" t="s">
        <v>473</v>
      </c>
      <c r="V418" s="596" t="s">
        <v>20</v>
      </c>
      <c r="W418" s="770" t="s">
        <v>139</v>
      </c>
      <c r="X418" s="763"/>
      <c r="Y418" s="771">
        <v>0</v>
      </c>
      <c r="Z418" s="764">
        <v>0</v>
      </c>
      <c r="AA418" s="763"/>
      <c r="AB418" s="771"/>
      <c r="AC418" s="764"/>
      <c r="AD418" s="772"/>
      <c r="AE418" s="771">
        <v>0</v>
      </c>
      <c r="AF418" s="764">
        <v>0</v>
      </c>
      <c r="AG418" s="765">
        <v>0</v>
      </c>
      <c r="AH418" s="766">
        <v>0</v>
      </c>
      <c r="AI418" s="767">
        <v>0</v>
      </c>
      <c r="AJ418" s="772"/>
      <c r="AK418" s="766">
        <v>0</v>
      </c>
      <c r="AL418" s="764">
        <v>0</v>
      </c>
      <c r="AM418" s="768">
        <v>0</v>
      </c>
      <c r="AN418" s="766">
        <v>0</v>
      </c>
      <c r="AO418" s="774">
        <v>0</v>
      </c>
      <c r="AP418" s="506"/>
      <c r="AQ418" s="506"/>
      <c r="AR418" s="509"/>
      <c r="AS418" s="506"/>
      <c r="AT418" s="506"/>
      <c r="AU418" s="506"/>
      <c r="AV418" s="506"/>
      <c r="AW418" s="506"/>
      <c r="AX418" s="506"/>
      <c r="AY418" s="506"/>
      <c r="AZ418" s="506"/>
      <c r="BA418" s="506"/>
      <c r="BB418" s="506"/>
      <c r="BC418" s="506"/>
      <c r="BD418" s="506"/>
      <c r="BE418" s="506"/>
      <c r="BF418" s="506"/>
      <c r="BG418" s="506"/>
      <c r="BH418" s="506"/>
      <c r="BI418" s="506"/>
    </row>
    <row r="419" spans="1:61" ht="15.75" customHeight="1">
      <c r="A419" s="494" t="s">
        <v>38</v>
      </c>
      <c r="B419" s="503"/>
      <c r="C419" s="733" t="s">
        <v>473</v>
      </c>
      <c r="V419" s="780" t="s">
        <v>38</v>
      </c>
      <c r="W419" s="781"/>
      <c r="X419" s="782">
        <v>0.22014345899034424</v>
      </c>
      <c r="Y419" s="781"/>
      <c r="Z419" s="783">
        <v>210373.84531696542</v>
      </c>
      <c r="AA419" s="782"/>
      <c r="AB419" s="781"/>
      <c r="AC419" s="783"/>
      <c r="AD419" s="784">
        <v>0.24605251303030812</v>
      </c>
      <c r="AE419" s="781"/>
      <c r="AF419" s="783">
        <v>178605.72999999998</v>
      </c>
      <c r="AG419" s="785"/>
      <c r="AH419" s="786">
        <v>-31768.115316965443</v>
      </c>
      <c r="AI419" s="782">
        <v>-0.15100791293281327</v>
      </c>
      <c r="AJ419" s="784">
        <v>0.20254072125327297</v>
      </c>
      <c r="AK419" s="781"/>
      <c r="AL419" s="783">
        <v>115318.82</v>
      </c>
      <c r="AM419" s="787"/>
      <c r="AN419" s="786">
        <v>63286.909999999974</v>
      </c>
      <c r="AO419" s="761">
        <v>0.54879949343914525</v>
      </c>
      <c r="AP419" s="506"/>
      <c r="AQ419" s="506"/>
      <c r="AR419" s="509"/>
      <c r="AS419" s="506"/>
      <c r="AT419" s="506"/>
      <c r="AU419" s="506"/>
      <c r="AV419" s="506"/>
      <c r="AW419" s="506"/>
      <c r="AX419" s="506"/>
      <c r="AY419" s="506"/>
      <c r="AZ419" s="506"/>
      <c r="BA419" s="506"/>
      <c r="BB419" s="506"/>
      <c r="BC419" s="506"/>
      <c r="BD419" s="506"/>
      <c r="BE419" s="506"/>
      <c r="BF419" s="506"/>
      <c r="BG419" s="506"/>
      <c r="BH419" s="506"/>
      <c r="BI419" s="506"/>
    </row>
    <row r="420" spans="1:61" ht="15.75" customHeight="1">
      <c r="A420" s="494" t="s">
        <v>140</v>
      </c>
      <c r="B420" s="503"/>
      <c r="C420" s="733" t="s">
        <v>473</v>
      </c>
      <c r="V420" s="596" t="s">
        <v>140</v>
      </c>
      <c r="W420" s="770" t="s">
        <v>141</v>
      </c>
      <c r="X420" s="763"/>
      <c r="Y420" s="763"/>
      <c r="Z420" s="764">
        <v>13542.199999999997</v>
      </c>
      <c r="AA420" s="763"/>
      <c r="AB420" s="763"/>
      <c r="AC420" s="764"/>
      <c r="AD420" s="772"/>
      <c r="AE420" s="771"/>
      <c r="AF420" s="764">
        <v>14884.91</v>
      </c>
      <c r="AG420" s="765"/>
      <c r="AH420" s="766">
        <v>1342.7100000000028</v>
      </c>
      <c r="AI420" s="767">
        <v>9.9150064243623867E-2</v>
      </c>
      <c r="AJ420" s="772"/>
      <c r="AK420" s="763"/>
      <c r="AL420" s="764">
        <v>17494.309999999899</v>
      </c>
      <c r="AM420" s="768"/>
      <c r="AN420" s="766">
        <v>-2609.3999999998996</v>
      </c>
      <c r="AO420" s="774">
        <v>-0.14915706878407406</v>
      </c>
      <c r="AP420" s="506"/>
      <c r="AQ420" s="506"/>
      <c r="AR420" s="506"/>
      <c r="AS420" s="506"/>
      <c r="AT420" s="506"/>
      <c r="AU420" s="506"/>
      <c r="AV420" s="506"/>
      <c r="AW420" s="506"/>
      <c r="AX420" s="506"/>
      <c r="AY420" s="506"/>
      <c r="AZ420" s="506"/>
      <c r="BA420" s="506"/>
      <c r="BB420" s="506"/>
      <c r="BC420" s="506"/>
      <c r="BD420" s="506"/>
      <c r="BE420" s="506"/>
      <c r="BF420" s="506"/>
      <c r="BG420" s="506"/>
      <c r="BH420" s="506"/>
      <c r="BI420" s="506"/>
    </row>
    <row r="421" spans="1:61" ht="15.75" customHeight="1">
      <c r="A421" s="494" t="s">
        <v>41</v>
      </c>
      <c r="B421" s="503"/>
      <c r="C421" s="733" t="s">
        <v>473</v>
      </c>
      <c r="V421" s="596" t="s">
        <v>41</v>
      </c>
      <c r="W421" s="770" t="s">
        <v>142</v>
      </c>
      <c r="X421" s="763"/>
      <c r="Y421" s="763"/>
      <c r="Z421" s="764">
        <v>53378.839743589742</v>
      </c>
      <c r="AA421" s="763"/>
      <c r="AB421" s="763"/>
      <c r="AC421" s="764"/>
      <c r="AD421" s="772"/>
      <c r="AE421" s="771"/>
      <c r="AF421" s="764">
        <v>39822.400000000001</v>
      </c>
      <c r="AG421" s="765"/>
      <c r="AH421" s="766">
        <v>-13556.439743589741</v>
      </c>
      <c r="AI421" s="767">
        <v>-0.25396654945497821</v>
      </c>
      <c r="AJ421" s="772"/>
      <c r="AK421" s="763"/>
      <c r="AL421" s="764">
        <v>34182.79</v>
      </c>
      <c r="AM421" s="768"/>
      <c r="AN421" s="766">
        <v>5639.6100000000006</v>
      </c>
      <c r="AO421" s="774">
        <v>0.164983899792849</v>
      </c>
      <c r="AP421" s="506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06"/>
      <c r="BC421" s="506"/>
      <c r="BD421" s="506"/>
      <c r="BE421" s="506"/>
      <c r="BF421" s="506"/>
      <c r="BG421" s="506"/>
      <c r="BH421" s="506"/>
      <c r="BI421" s="506"/>
    </row>
    <row r="422" spans="1:61" ht="15.75" customHeight="1">
      <c r="A422" s="494" t="s">
        <v>42</v>
      </c>
      <c r="B422" s="503"/>
      <c r="C422" s="733" t="s">
        <v>473</v>
      </c>
      <c r="V422" s="598" t="s">
        <v>42</v>
      </c>
      <c r="W422" s="775" t="s">
        <v>143</v>
      </c>
      <c r="X422" s="747"/>
      <c r="Y422" s="747"/>
      <c r="Z422" s="748">
        <v>55333.304615384615</v>
      </c>
      <c r="AA422" s="747"/>
      <c r="AB422" s="747"/>
      <c r="AC422" s="748"/>
      <c r="AD422" s="777"/>
      <c r="AE422" s="776"/>
      <c r="AF422" s="748">
        <v>44942.65</v>
      </c>
      <c r="AG422" s="749"/>
      <c r="AH422" s="750">
        <v>-10390.654615384614</v>
      </c>
      <c r="AI422" s="778">
        <v>-0.18778301219507582</v>
      </c>
      <c r="AJ422" s="777"/>
      <c r="AK422" s="747"/>
      <c r="AL422" s="748">
        <v>43473.979999999996</v>
      </c>
      <c r="AM422" s="752"/>
      <c r="AN422" s="750">
        <v>1468.6700000000055</v>
      </c>
      <c r="AO422" s="753">
        <v>3.3782736248211126E-2</v>
      </c>
      <c r="AP422" s="506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06"/>
      <c r="BC422" s="506"/>
      <c r="BD422" s="506"/>
      <c r="BE422" s="506"/>
      <c r="BF422" s="506"/>
      <c r="BG422" s="506"/>
      <c r="BH422" s="506"/>
      <c r="BI422" s="506"/>
    </row>
    <row r="423" spans="1:61" ht="15.75" customHeight="1">
      <c r="A423" s="494" t="s">
        <v>43</v>
      </c>
      <c r="B423" s="503"/>
      <c r="C423" s="733" t="s">
        <v>473</v>
      </c>
      <c r="V423" s="596" t="s">
        <v>43</v>
      </c>
      <c r="W423" s="770" t="s">
        <v>144</v>
      </c>
      <c r="X423" s="763"/>
      <c r="Y423" s="763"/>
      <c r="Z423" s="764">
        <v>25902.400000000001</v>
      </c>
      <c r="AA423" s="763"/>
      <c r="AB423" s="763"/>
      <c r="AC423" s="764"/>
      <c r="AD423" s="772"/>
      <c r="AE423" s="771"/>
      <c r="AF423" s="764">
        <v>32259.46</v>
      </c>
      <c r="AG423" s="765"/>
      <c r="AH423" s="766">
        <v>6357.0599999999977</v>
      </c>
      <c r="AI423" s="767">
        <v>0.24542359009203771</v>
      </c>
      <c r="AJ423" s="772"/>
      <c r="AK423" s="763"/>
      <c r="AL423" s="764">
        <v>38091.160000000003</v>
      </c>
      <c r="AM423" s="768"/>
      <c r="AN423" s="766">
        <v>-5831.7000000000044</v>
      </c>
      <c r="AO423" s="774">
        <v>-0.15309851419594478</v>
      </c>
      <c r="AP423" s="506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06"/>
      <c r="BC423" s="506"/>
      <c r="BD423" s="506"/>
      <c r="BE423" s="506"/>
      <c r="BF423" s="506"/>
      <c r="BG423" s="506"/>
      <c r="BH423" s="506"/>
      <c r="BI423" s="506"/>
    </row>
    <row r="424" spans="1:61" ht="15.75" customHeight="1">
      <c r="A424" s="494" t="s">
        <v>44</v>
      </c>
      <c r="B424" s="503"/>
      <c r="C424" s="733" t="s">
        <v>473</v>
      </c>
      <c r="V424" s="596" t="s">
        <v>44</v>
      </c>
      <c r="W424" s="770" t="s">
        <v>145</v>
      </c>
      <c r="X424" s="763"/>
      <c r="Y424" s="763"/>
      <c r="Z424" s="764">
        <v>37251.8431136</v>
      </c>
      <c r="AA424" s="763"/>
      <c r="AB424" s="763"/>
      <c r="AC424" s="764"/>
      <c r="AD424" s="772"/>
      <c r="AE424" s="771"/>
      <c r="AF424" s="764">
        <v>43948.92</v>
      </c>
      <c r="AG424" s="765"/>
      <c r="AH424" s="766">
        <v>6697.0768863999983</v>
      </c>
      <c r="AI424" s="767">
        <v>0.17977840360749861</v>
      </c>
      <c r="AJ424" s="772"/>
      <c r="AK424" s="763"/>
      <c r="AL424" s="764">
        <v>32188.6</v>
      </c>
      <c r="AM424" s="768"/>
      <c r="AN424" s="766">
        <v>11760.32</v>
      </c>
      <c r="AO424" s="774">
        <v>0.36535667907271518</v>
      </c>
      <c r="AP424" s="506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06"/>
      <c r="BC424" s="506"/>
      <c r="BD424" s="506"/>
      <c r="BE424" s="506"/>
      <c r="BF424" s="506"/>
      <c r="BG424" s="506"/>
      <c r="BH424" s="506"/>
      <c r="BI424" s="506"/>
    </row>
    <row r="425" spans="1:61" ht="15.75" hidden="1" customHeight="1">
      <c r="A425" s="494" t="s">
        <v>20</v>
      </c>
      <c r="B425" s="503"/>
      <c r="C425" s="733" t="s">
        <v>473</v>
      </c>
      <c r="V425" s="596" t="s">
        <v>20</v>
      </c>
      <c r="W425" s="770"/>
      <c r="X425" s="763"/>
      <c r="Y425" s="763"/>
      <c r="Z425" s="764">
        <v>0</v>
      </c>
      <c r="AA425" s="763"/>
      <c r="AB425" s="763"/>
      <c r="AC425" s="764"/>
      <c r="AD425" s="772"/>
      <c r="AE425" s="771"/>
      <c r="AF425" s="764">
        <v>0</v>
      </c>
      <c r="AG425" s="765"/>
      <c r="AH425" s="766">
        <v>0</v>
      </c>
      <c r="AI425" s="767">
        <v>0</v>
      </c>
      <c r="AJ425" s="772"/>
      <c r="AK425" s="763"/>
      <c r="AL425" s="764">
        <v>0</v>
      </c>
      <c r="AM425" s="768"/>
      <c r="AN425" s="766">
        <v>0</v>
      </c>
      <c r="AO425" s="774">
        <v>0</v>
      </c>
      <c r="AP425" s="506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06"/>
      <c r="BC425" s="506"/>
      <c r="BD425" s="506"/>
      <c r="BE425" s="506"/>
      <c r="BF425" s="506"/>
      <c r="BG425" s="506"/>
      <c r="BH425" s="506"/>
      <c r="BI425" s="506"/>
    </row>
    <row r="426" spans="1:61" ht="15.75" hidden="1" customHeight="1">
      <c r="A426" s="494" t="s">
        <v>20</v>
      </c>
      <c r="B426" s="503"/>
      <c r="C426" s="733" t="s">
        <v>473</v>
      </c>
      <c r="V426" s="596" t="s">
        <v>20</v>
      </c>
      <c r="W426" s="770"/>
      <c r="X426" s="763"/>
      <c r="Y426" s="763"/>
      <c r="Z426" s="764">
        <v>0</v>
      </c>
      <c r="AA426" s="763"/>
      <c r="AB426" s="763"/>
      <c r="AC426" s="764"/>
      <c r="AD426" s="772"/>
      <c r="AE426" s="771"/>
      <c r="AF426" s="764">
        <v>0</v>
      </c>
      <c r="AG426" s="765"/>
      <c r="AH426" s="766">
        <v>0</v>
      </c>
      <c r="AI426" s="767">
        <v>0</v>
      </c>
      <c r="AJ426" s="772"/>
      <c r="AK426" s="763"/>
      <c r="AL426" s="764">
        <v>0</v>
      </c>
      <c r="AM426" s="768"/>
      <c r="AN426" s="766">
        <v>0</v>
      </c>
      <c r="AO426" s="774">
        <v>0</v>
      </c>
      <c r="AP426" s="506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06"/>
      <c r="BC426" s="506"/>
      <c r="BD426" s="506"/>
      <c r="BE426" s="506"/>
      <c r="BF426" s="506"/>
      <c r="BG426" s="506"/>
      <c r="BH426" s="506"/>
      <c r="BI426" s="506"/>
    </row>
    <row r="427" spans="1:61" ht="15.75" hidden="1" customHeight="1">
      <c r="A427" s="494" t="s">
        <v>20</v>
      </c>
      <c r="B427" s="503"/>
      <c r="C427" s="733" t="s">
        <v>473</v>
      </c>
      <c r="V427" s="596" t="s">
        <v>20</v>
      </c>
      <c r="W427" s="770"/>
      <c r="X427" s="763"/>
      <c r="Y427" s="763"/>
      <c r="Z427" s="764">
        <v>0</v>
      </c>
      <c r="AA427" s="763"/>
      <c r="AB427" s="763"/>
      <c r="AC427" s="764"/>
      <c r="AD427" s="772"/>
      <c r="AE427" s="771"/>
      <c r="AF427" s="764">
        <v>0</v>
      </c>
      <c r="AG427" s="765"/>
      <c r="AH427" s="766">
        <v>0</v>
      </c>
      <c r="AI427" s="767">
        <v>0</v>
      </c>
      <c r="AJ427" s="772"/>
      <c r="AK427" s="763"/>
      <c r="AL427" s="764">
        <v>0</v>
      </c>
      <c r="AM427" s="768"/>
      <c r="AN427" s="766">
        <v>0</v>
      </c>
      <c r="AO427" s="774">
        <v>0</v>
      </c>
      <c r="AP427" s="506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06"/>
      <c r="BC427" s="506"/>
      <c r="BD427" s="506"/>
      <c r="BE427" s="506"/>
      <c r="BF427" s="506"/>
      <c r="BG427" s="506"/>
      <c r="BH427" s="506"/>
      <c r="BI427" s="506"/>
    </row>
    <row r="428" spans="1:61" ht="15.75" customHeight="1">
      <c r="A428" s="494" t="s">
        <v>45</v>
      </c>
      <c r="B428" s="503"/>
      <c r="C428" s="733" t="s">
        <v>473</v>
      </c>
      <c r="V428" s="598" t="s">
        <v>45</v>
      </c>
      <c r="W428" s="775" t="s">
        <v>146</v>
      </c>
      <c r="X428" s="747"/>
      <c r="Y428" s="788">
        <v>0.10663128509549782</v>
      </c>
      <c r="Z428" s="748">
        <v>48113.663406611187</v>
      </c>
      <c r="AA428" s="747"/>
      <c r="AB428" s="747"/>
      <c r="AC428" s="748"/>
      <c r="AD428" s="777"/>
      <c r="AE428" s="776"/>
      <c r="AF428" s="748">
        <v>42780.740000000005</v>
      </c>
      <c r="AG428" s="749"/>
      <c r="AH428" s="750">
        <v>-5332.9234066111821</v>
      </c>
      <c r="AI428" s="778">
        <v>-0.11084010297745063</v>
      </c>
      <c r="AJ428" s="777"/>
      <c r="AK428" s="747"/>
      <c r="AL428" s="748">
        <v>33924.15</v>
      </c>
      <c r="AM428" s="752"/>
      <c r="AN428" s="750">
        <v>8856.5900000000038</v>
      </c>
      <c r="AO428" s="753">
        <v>0.26107035843197263</v>
      </c>
      <c r="AP428" s="506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06"/>
      <c r="BC428" s="506"/>
      <c r="BD428" s="506"/>
      <c r="BE428" s="506"/>
      <c r="BF428" s="506"/>
      <c r="BG428" s="506"/>
      <c r="BH428" s="506"/>
      <c r="BI428" s="506"/>
    </row>
    <row r="429" spans="1:61" ht="15.75" customHeight="1">
      <c r="A429" s="494" t="s">
        <v>46</v>
      </c>
      <c r="B429" s="503"/>
      <c r="C429" s="733" t="s">
        <v>473</v>
      </c>
      <c r="V429" s="596" t="s">
        <v>46</v>
      </c>
      <c r="W429" s="770" t="s">
        <v>147</v>
      </c>
      <c r="X429" s="763"/>
      <c r="Y429" s="789">
        <v>0.12964861095311631</v>
      </c>
      <c r="Z429" s="764">
        <v>58499.432159580123</v>
      </c>
      <c r="AA429" s="763"/>
      <c r="AB429" s="763"/>
      <c r="AC429" s="764"/>
      <c r="AD429" s="772"/>
      <c r="AE429" s="771"/>
      <c r="AF429" s="764">
        <v>55588.25</v>
      </c>
      <c r="AG429" s="765"/>
      <c r="AH429" s="766">
        <v>-2911.182159580123</v>
      </c>
      <c r="AI429" s="767">
        <v>-4.9764280645301529E-2</v>
      </c>
      <c r="AJ429" s="772"/>
      <c r="AK429" s="763"/>
      <c r="AL429" s="764">
        <v>73262.2</v>
      </c>
      <c r="AM429" s="768"/>
      <c r="AN429" s="766">
        <v>-17673.949999999997</v>
      </c>
      <c r="AO429" s="774">
        <v>-0.24124241423271481</v>
      </c>
      <c r="AP429" s="506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06"/>
      <c r="BC429" s="506"/>
      <c r="BD429" s="506"/>
      <c r="BE429" s="506"/>
      <c r="BF429" s="506"/>
      <c r="BG429" s="506"/>
      <c r="BH429" s="506"/>
      <c r="BI429" s="506"/>
    </row>
    <row r="430" spans="1:61" ht="15.75" customHeight="1">
      <c r="A430" s="494" t="s">
        <v>47</v>
      </c>
      <c r="B430" s="503"/>
      <c r="C430" s="733" t="s">
        <v>473</v>
      </c>
      <c r="V430" s="596" t="s">
        <v>47</v>
      </c>
      <c r="W430" s="770" t="s">
        <v>148</v>
      </c>
      <c r="X430" s="763"/>
      <c r="Y430" s="789">
        <v>6.6797219121496873E-2</v>
      </c>
      <c r="Z430" s="764">
        <v>30139.92483004454</v>
      </c>
      <c r="AA430" s="763"/>
      <c r="AB430" s="763"/>
      <c r="AC430" s="764"/>
      <c r="AD430" s="772"/>
      <c r="AE430" s="771"/>
      <c r="AF430" s="764">
        <v>20871.650000000001</v>
      </c>
      <c r="AG430" s="765"/>
      <c r="AH430" s="766">
        <v>-9268.2748300445382</v>
      </c>
      <c r="AI430" s="767">
        <v>-0.30750822645733988</v>
      </c>
      <c r="AJ430" s="772"/>
      <c r="AK430" s="763"/>
      <c r="AL430" s="764">
        <v>23416.399999999998</v>
      </c>
      <c r="AM430" s="768"/>
      <c r="AN430" s="766">
        <v>-2544.7499999999964</v>
      </c>
      <c r="AO430" s="774">
        <v>-0.10867383543157773</v>
      </c>
      <c r="AP430" s="506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06"/>
      <c r="BC430" s="506"/>
      <c r="BD430" s="506"/>
      <c r="BE430" s="506"/>
      <c r="BF430" s="506"/>
      <c r="BG430" s="506"/>
      <c r="BH430" s="506"/>
      <c r="BI430" s="506"/>
    </row>
    <row r="431" spans="1:61" ht="15.75" customHeight="1">
      <c r="A431" s="494" t="s">
        <v>48</v>
      </c>
      <c r="B431" s="503"/>
      <c r="C431" s="733" t="s">
        <v>473</v>
      </c>
      <c r="V431" s="596" t="s">
        <v>48</v>
      </c>
      <c r="W431" s="770"/>
      <c r="X431" s="763"/>
      <c r="Y431" s="763"/>
      <c r="Z431" s="764">
        <v>13141.176789470897</v>
      </c>
      <c r="AA431" s="763"/>
      <c r="AB431" s="763"/>
      <c r="AC431" s="764"/>
      <c r="AD431" s="772"/>
      <c r="AE431" s="771"/>
      <c r="AF431" s="764">
        <v>10619.84</v>
      </c>
      <c r="AG431" s="765"/>
      <c r="AH431" s="766">
        <v>-2521.3367894708972</v>
      </c>
      <c r="AI431" s="790">
        <v>-0.19186537323590894</v>
      </c>
      <c r="AJ431" s="772"/>
      <c r="AK431" s="763"/>
      <c r="AL431" s="764">
        <v>-11696.03</v>
      </c>
      <c r="AM431" s="768"/>
      <c r="AN431" s="766">
        <v>22315.870000000003</v>
      </c>
      <c r="AO431" s="774">
        <v>-1.907986727120228</v>
      </c>
      <c r="AP431" s="506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06"/>
      <c r="BC431" s="506"/>
      <c r="BD431" s="506"/>
      <c r="BE431" s="506"/>
      <c r="BF431" s="506"/>
      <c r="BG431" s="506"/>
      <c r="BH431" s="506"/>
      <c r="BI431" s="506"/>
    </row>
    <row r="432" spans="1:61" ht="15.75" hidden="1" customHeight="1">
      <c r="A432" s="494" t="s">
        <v>20</v>
      </c>
      <c r="B432" s="503"/>
      <c r="C432" s="733" t="s">
        <v>473</v>
      </c>
      <c r="V432" s="529" t="s">
        <v>20</v>
      </c>
      <c r="W432" s="770"/>
      <c r="X432" s="763"/>
      <c r="Y432" s="771"/>
      <c r="Z432" s="764">
        <v>0</v>
      </c>
      <c r="AA432" s="763"/>
      <c r="AB432" s="763"/>
      <c r="AC432" s="764"/>
      <c r="AD432" s="772"/>
      <c r="AE432" s="771"/>
      <c r="AF432" s="764">
        <v>0</v>
      </c>
      <c r="AG432" s="765"/>
      <c r="AH432" s="766">
        <v>0</v>
      </c>
      <c r="AI432" s="767">
        <v>0</v>
      </c>
      <c r="AJ432" s="772"/>
      <c r="AK432" s="763"/>
      <c r="AL432" s="764">
        <v>0</v>
      </c>
      <c r="AM432" s="768"/>
      <c r="AN432" s="766"/>
      <c r="AO432" s="753"/>
      <c r="AP432" s="506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06"/>
      <c r="BC432" s="506"/>
      <c r="BD432" s="506"/>
      <c r="BE432" s="506"/>
      <c r="BF432" s="506"/>
      <c r="BG432" s="506"/>
      <c r="BH432" s="506"/>
      <c r="BI432" s="506"/>
    </row>
    <row r="433" spans="1:62" ht="15.75" customHeight="1">
      <c r="A433" s="494" t="s">
        <v>49</v>
      </c>
      <c r="B433" s="503"/>
      <c r="C433" s="733" t="s">
        <v>473</v>
      </c>
      <c r="V433" s="780" t="s">
        <v>49</v>
      </c>
      <c r="W433" s="781"/>
      <c r="X433" s="782">
        <v>0.35087401056226164</v>
      </c>
      <c r="Y433" s="781"/>
      <c r="Z433" s="783">
        <v>335302.78465828107</v>
      </c>
      <c r="AA433" s="782"/>
      <c r="AB433" s="781"/>
      <c r="AC433" s="783"/>
      <c r="AD433" s="784">
        <v>0.42116724889879192</v>
      </c>
      <c r="AE433" s="791"/>
      <c r="AF433" s="783">
        <v>305718.82</v>
      </c>
      <c r="AG433" s="785"/>
      <c r="AH433" s="786">
        <v>-29583.964658281067</v>
      </c>
      <c r="AI433" s="782">
        <v>-8.8230596380018525E-2</v>
      </c>
      <c r="AJ433" s="784">
        <v>0.49939753530079256</v>
      </c>
      <c r="AK433" s="781"/>
      <c r="AL433" s="783">
        <v>284337.55999999988</v>
      </c>
      <c r="AM433" s="792"/>
      <c r="AN433" s="786">
        <v>21381.260000000126</v>
      </c>
      <c r="AO433" s="761">
        <v>7.5196748540713843E-2</v>
      </c>
      <c r="AP433" s="506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06"/>
      <c r="BC433" s="506"/>
      <c r="BD433" s="506"/>
      <c r="BE433" s="506"/>
      <c r="BF433" s="506"/>
      <c r="BG433" s="506"/>
      <c r="BH433" s="506"/>
      <c r="BI433" s="506"/>
    </row>
    <row r="434" spans="1:62" ht="15.75" customHeight="1">
      <c r="A434" s="494" t="s">
        <v>50</v>
      </c>
      <c r="B434" s="503"/>
      <c r="C434" s="733" t="s">
        <v>473</v>
      </c>
      <c r="V434" s="703" t="s">
        <v>50</v>
      </c>
      <c r="W434" s="793" t="s">
        <v>138</v>
      </c>
      <c r="X434" s="794"/>
      <c r="Y434" s="794"/>
      <c r="Z434" s="795">
        <v>14838.560455902774</v>
      </c>
      <c r="AA434" s="794"/>
      <c r="AB434" s="794"/>
      <c r="AC434" s="795"/>
      <c r="AD434" s="796"/>
      <c r="AE434" s="797"/>
      <c r="AF434" s="795">
        <v>15551.54</v>
      </c>
      <c r="AG434" s="796"/>
      <c r="AH434" s="798">
        <v>712.97954409722661</v>
      </c>
      <c r="AI434" s="799">
        <v>4.8049104643004881E-2</v>
      </c>
      <c r="AJ434" s="796"/>
      <c r="AK434" s="794"/>
      <c r="AL434" s="795">
        <v>15120.340000000002</v>
      </c>
      <c r="AM434" s="800"/>
      <c r="AN434" s="798">
        <v>431.19999999999891</v>
      </c>
      <c r="AO434" s="769">
        <v>2.8517877243501064E-2</v>
      </c>
      <c r="AP434" s="506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06"/>
      <c r="BC434" s="506"/>
      <c r="BD434" s="506"/>
      <c r="BE434" s="506"/>
      <c r="BF434" s="506"/>
      <c r="BG434" s="506"/>
      <c r="BH434" s="506"/>
      <c r="BI434" s="506"/>
    </row>
    <row r="435" spans="1:62" ht="15.75" customHeight="1">
      <c r="A435" s="494" t="s">
        <v>51</v>
      </c>
      <c r="B435" s="503"/>
      <c r="C435" s="733" t="s">
        <v>473</v>
      </c>
      <c r="V435" s="596" t="s">
        <v>51</v>
      </c>
      <c r="W435" s="770" t="s">
        <v>149</v>
      </c>
      <c r="X435" s="763"/>
      <c r="Y435" s="763"/>
      <c r="Z435" s="764">
        <v>5939.0656258991448</v>
      </c>
      <c r="AA435" s="763"/>
      <c r="AB435" s="763"/>
      <c r="AC435" s="764"/>
      <c r="AD435" s="772"/>
      <c r="AE435" s="771"/>
      <c r="AF435" s="764">
        <v>3957.4100000000003</v>
      </c>
      <c r="AG435" s="765"/>
      <c r="AH435" s="766">
        <v>-1981.6556258991445</v>
      </c>
      <c r="AI435" s="767">
        <v>-0.33366454434473969</v>
      </c>
      <c r="AJ435" s="772"/>
      <c r="AK435" s="763"/>
      <c r="AL435" s="764">
        <v>6731.4500000000007</v>
      </c>
      <c r="AM435" s="768"/>
      <c r="AN435" s="766">
        <v>-2774.0400000000004</v>
      </c>
      <c r="AO435" s="774">
        <v>-0.41210140460079181</v>
      </c>
      <c r="AP435" s="506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06"/>
      <c r="BC435" s="506"/>
      <c r="BD435" s="506"/>
      <c r="BE435" s="506"/>
      <c r="BF435" s="506"/>
      <c r="BG435" s="506"/>
      <c r="BH435" s="506"/>
      <c r="BI435" s="506"/>
    </row>
    <row r="436" spans="1:62" ht="15.75" customHeight="1">
      <c r="A436" s="494" t="s">
        <v>52</v>
      </c>
      <c r="B436" s="503"/>
      <c r="C436" s="733" t="s">
        <v>473</v>
      </c>
      <c r="U436" s="801"/>
      <c r="V436" s="598" t="s">
        <v>52</v>
      </c>
      <c r="W436" s="775" t="s">
        <v>150</v>
      </c>
      <c r="X436" s="747"/>
      <c r="Y436" s="747"/>
      <c r="Z436" s="748">
        <v>26075</v>
      </c>
      <c r="AA436" s="747"/>
      <c r="AB436" s="747"/>
      <c r="AC436" s="748"/>
      <c r="AD436" s="777"/>
      <c r="AE436" s="776"/>
      <c r="AF436" s="748">
        <v>26786.480000000003</v>
      </c>
      <c r="AG436" s="749"/>
      <c r="AH436" s="750">
        <v>711.4800000000032</v>
      </c>
      <c r="AI436" s="778">
        <v>2.7285906040268579E-2</v>
      </c>
      <c r="AJ436" s="777"/>
      <c r="AK436" s="747"/>
      <c r="AL436" s="748">
        <v>21960.5</v>
      </c>
      <c r="AM436" s="752"/>
      <c r="AN436" s="750">
        <v>4825.9800000000032</v>
      </c>
      <c r="AO436" s="753">
        <v>0.21975729150064904</v>
      </c>
      <c r="AP436" s="506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06"/>
      <c r="BC436" s="506"/>
      <c r="BD436" s="506"/>
      <c r="BE436" s="506"/>
      <c r="BF436" s="506"/>
      <c r="BG436" s="506"/>
      <c r="BH436" s="506"/>
      <c r="BI436" s="506"/>
    </row>
    <row r="437" spans="1:62" ht="15.75" customHeight="1">
      <c r="A437" s="494" t="s">
        <v>53</v>
      </c>
      <c r="B437" s="503"/>
      <c r="C437" s="733" t="s">
        <v>473</v>
      </c>
      <c r="U437" s="801"/>
      <c r="V437" s="596" t="s">
        <v>53</v>
      </c>
      <c r="W437" s="770" t="s">
        <v>151</v>
      </c>
      <c r="X437" s="763"/>
      <c r="Y437" s="763"/>
      <c r="Z437" s="764">
        <v>22270.688511111108</v>
      </c>
      <c r="AA437" s="763"/>
      <c r="AB437" s="763"/>
      <c r="AC437" s="764"/>
      <c r="AD437" s="772"/>
      <c r="AE437" s="771"/>
      <c r="AF437" s="764">
        <v>22793.11</v>
      </c>
      <c r="AG437" s="765"/>
      <c r="AH437" s="802">
        <v>522.42148888889278</v>
      </c>
      <c r="AI437" s="767">
        <v>2.3457805924062498E-2</v>
      </c>
      <c r="AJ437" s="772"/>
      <c r="AK437" s="763"/>
      <c r="AL437" s="764">
        <v>19618.09</v>
      </c>
      <c r="AM437" s="768"/>
      <c r="AN437" s="766">
        <v>3175.0200000000004</v>
      </c>
      <c r="AO437" s="774">
        <v>0.16184144328015623</v>
      </c>
      <c r="AP437" s="506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06"/>
      <c r="BC437" s="506"/>
      <c r="BD437" s="506"/>
      <c r="BE437" s="506"/>
      <c r="BF437" s="506"/>
      <c r="BG437" s="506"/>
      <c r="BH437" s="506"/>
      <c r="BI437" s="506"/>
    </row>
    <row r="438" spans="1:62" ht="15.75" customHeight="1">
      <c r="A438" s="494" t="s">
        <v>54</v>
      </c>
      <c r="B438" s="503"/>
      <c r="C438" s="733" t="s">
        <v>473</v>
      </c>
      <c r="U438" s="801"/>
      <c r="V438" s="596" t="s">
        <v>54</v>
      </c>
      <c r="W438" s="770" t="s">
        <v>152</v>
      </c>
      <c r="X438" s="763"/>
      <c r="Y438" s="763"/>
      <c r="Z438" s="764">
        <v>3589.7692131944445</v>
      </c>
      <c r="AA438" s="763"/>
      <c r="AB438" s="763"/>
      <c r="AC438" s="764"/>
      <c r="AD438" s="772"/>
      <c r="AE438" s="771"/>
      <c r="AF438" s="764">
        <v>7708.47</v>
      </c>
      <c r="AG438" s="765"/>
      <c r="AH438" s="766">
        <v>4118.7007868055553</v>
      </c>
      <c r="AI438" s="767">
        <v>1.1473441723403794</v>
      </c>
      <c r="AJ438" s="772"/>
      <c r="AK438" s="763"/>
      <c r="AL438" s="764">
        <v>4039.21</v>
      </c>
      <c r="AM438" s="768"/>
      <c r="AN438" s="766">
        <v>3669.26</v>
      </c>
      <c r="AO438" s="774">
        <v>0.90841030795625877</v>
      </c>
      <c r="AP438" s="506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06"/>
      <c r="BC438" s="506"/>
      <c r="BD438" s="506"/>
      <c r="BE438" s="506"/>
      <c r="BF438" s="506"/>
      <c r="BG438" s="506"/>
      <c r="BH438" s="506"/>
      <c r="BI438" s="506"/>
    </row>
    <row r="439" spans="1:62" ht="15.75" customHeight="1">
      <c r="A439" s="494" t="s">
        <v>55</v>
      </c>
      <c r="B439" s="503"/>
      <c r="C439" s="733" t="s">
        <v>473</v>
      </c>
      <c r="V439" s="596" t="s">
        <v>55</v>
      </c>
      <c r="W439" s="770" t="s">
        <v>153</v>
      </c>
      <c r="X439" s="763"/>
      <c r="Y439" s="763"/>
      <c r="Z439" s="764">
        <v>26436.160651539351</v>
      </c>
      <c r="AA439" s="763"/>
      <c r="AB439" s="763"/>
      <c r="AC439" s="764"/>
      <c r="AD439" s="772"/>
      <c r="AE439" s="771"/>
      <c r="AF439" s="764">
        <v>31322.5</v>
      </c>
      <c r="AG439" s="765"/>
      <c r="AH439" s="766">
        <v>4886.3393484606495</v>
      </c>
      <c r="AI439" s="767">
        <v>0.18483543858234661</v>
      </c>
      <c r="AJ439" s="772"/>
      <c r="AK439" s="763"/>
      <c r="AL439" s="764">
        <v>26024.04</v>
      </c>
      <c r="AM439" s="768"/>
      <c r="AN439" s="766">
        <v>5298.4599999999991</v>
      </c>
      <c r="AO439" s="774">
        <v>0.20359867261193876</v>
      </c>
      <c r="AP439" s="803"/>
      <c r="AQ439" s="803" t="s">
        <v>476</v>
      </c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06"/>
      <c r="BC439" s="506"/>
      <c r="BD439" s="506"/>
      <c r="BE439" s="506"/>
      <c r="BF439" s="506"/>
      <c r="BG439" s="506"/>
      <c r="BH439" s="506"/>
      <c r="BI439" s="506"/>
    </row>
    <row r="440" spans="1:62" ht="15.75" customHeight="1">
      <c r="B440" s="503"/>
      <c r="C440" s="733" t="s">
        <v>473</v>
      </c>
      <c r="V440" s="703" t="s">
        <v>98</v>
      </c>
      <c r="W440" s="793"/>
      <c r="X440" s="794"/>
      <c r="Y440" s="794"/>
      <c r="Z440" s="795">
        <v>0</v>
      </c>
      <c r="AA440" s="794"/>
      <c r="AB440" s="794"/>
      <c r="AC440" s="795"/>
      <c r="AD440" s="796"/>
      <c r="AE440" s="797"/>
      <c r="AF440" s="795">
        <v>0</v>
      </c>
      <c r="AG440" s="804"/>
      <c r="AH440" s="798">
        <v>0</v>
      </c>
      <c r="AI440" s="799">
        <v>0</v>
      </c>
      <c r="AJ440" s="796"/>
      <c r="AK440" s="794"/>
      <c r="AL440" s="795">
        <v>0</v>
      </c>
      <c r="AM440" s="800"/>
      <c r="AN440" s="798">
        <v>0</v>
      </c>
      <c r="AO440" s="769">
        <v>0</v>
      </c>
      <c r="AP440" s="506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06"/>
      <c r="BC440" s="506"/>
      <c r="BD440" s="506"/>
      <c r="BE440" s="506"/>
      <c r="BF440" s="506"/>
      <c r="BG440" s="506"/>
      <c r="BH440" s="506"/>
      <c r="BI440" s="506"/>
    </row>
    <row r="441" spans="1:62" ht="15.75" customHeight="1">
      <c r="A441" s="494" t="s">
        <v>56</v>
      </c>
      <c r="B441" s="503"/>
      <c r="C441" s="733" t="s">
        <v>473</v>
      </c>
      <c r="V441" s="596" t="s">
        <v>56</v>
      </c>
      <c r="W441" s="770" t="s">
        <v>154</v>
      </c>
      <c r="X441" s="763"/>
      <c r="Y441" s="771"/>
      <c r="Z441" s="764">
        <v>6083.333333333333</v>
      </c>
      <c r="AA441" s="763"/>
      <c r="AB441" s="771"/>
      <c r="AC441" s="764"/>
      <c r="AD441" s="772"/>
      <c r="AE441" s="771"/>
      <c r="AF441" s="764">
        <v>4652.8900000000003</v>
      </c>
      <c r="AG441" s="765"/>
      <c r="AH441" s="766">
        <v>-1430.4433333333327</v>
      </c>
      <c r="AI441" s="767">
        <v>-0.23514136986301359</v>
      </c>
      <c r="AJ441" s="772"/>
      <c r="AK441" s="763"/>
      <c r="AL441" s="764">
        <v>8832.08</v>
      </c>
      <c r="AM441" s="768"/>
      <c r="AN441" s="766">
        <v>-4179.1899999999996</v>
      </c>
      <c r="AO441" s="774">
        <v>-0.47318298747293952</v>
      </c>
      <c r="AP441" s="506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06"/>
      <c r="BC441" s="506"/>
      <c r="BD441" s="506"/>
      <c r="BE441" s="506"/>
      <c r="BF441" s="506"/>
      <c r="BG441" s="506"/>
      <c r="BH441" s="506"/>
      <c r="BI441" s="506"/>
      <c r="BJ441" s="506"/>
    </row>
    <row r="442" spans="1:62" ht="15.75" customHeight="1">
      <c r="A442" s="494" t="s">
        <v>57</v>
      </c>
      <c r="B442" s="503"/>
      <c r="C442" s="733" t="s">
        <v>473</v>
      </c>
      <c r="U442" s="506"/>
      <c r="V442" s="596" t="s">
        <v>57</v>
      </c>
      <c r="W442" s="770" t="s">
        <v>155</v>
      </c>
      <c r="X442" s="763"/>
      <c r="Y442" s="763"/>
      <c r="Z442" s="764">
        <v>1555.2749709404429</v>
      </c>
      <c r="AA442" s="763"/>
      <c r="AB442" s="763"/>
      <c r="AC442" s="764"/>
      <c r="AD442" s="772"/>
      <c r="AE442" s="771"/>
      <c r="AF442" s="764">
        <v>893.35</v>
      </c>
      <c r="AG442" s="765"/>
      <c r="AH442" s="766">
        <v>-661.9249709404429</v>
      </c>
      <c r="AI442" s="790">
        <v>-0.42559996354869034</v>
      </c>
      <c r="AJ442" s="772"/>
      <c r="AK442" s="763"/>
      <c r="AL442" s="764">
        <v>619.66999999999996</v>
      </c>
      <c r="AM442" s="768"/>
      <c r="AN442" s="766">
        <v>273.68000000000006</v>
      </c>
      <c r="AO442" s="774">
        <v>0.44165442897025847</v>
      </c>
      <c r="AP442" s="506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06"/>
      <c r="BC442" s="506"/>
      <c r="BD442" s="506"/>
      <c r="BE442" s="506"/>
      <c r="BF442" s="506"/>
      <c r="BG442" s="506"/>
      <c r="BH442" s="506"/>
      <c r="BI442" s="506"/>
      <c r="BJ442" s="506"/>
    </row>
    <row r="443" spans="1:62" ht="15.75" customHeight="1">
      <c r="A443" s="494" t="s">
        <v>58</v>
      </c>
      <c r="B443" s="503"/>
      <c r="C443" s="733" t="s">
        <v>473</v>
      </c>
      <c r="T443" s="506"/>
      <c r="U443" s="506"/>
      <c r="V443" s="596" t="s">
        <v>58</v>
      </c>
      <c r="W443" s="770" t="s">
        <v>156</v>
      </c>
      <c r="X443" s="763"/>
      <c r="Y443" s="763"/>
      <c r="Z443" s="764">
        <v>2587.4465749000001</v>
      </c>
      <c r="AA443" s="763"/>
      <c r="AB443" s="763"/>
      <c r="AC443" s="764"/>
      <c r="AD443" s="772"/>
      <c r="AE443" s="771"/>
      <c r="AF443" s="764">
        <v>1384.8500000000001</v>
      </c>
      <c r="AG443" s="765"/>
      <c r="AH443" s="766">
        <v>-1202.5965749</v>
      </c>
      <c r="AI443" s="767">
        <v>-0.46478121966498109</v>
      </c>
      <c r="AJ443" s="772"/>
      <c r="AK443" s="763"/>
      <c r="AL443" s="764">
        <v>2448.1899999999996</v>
      </c>
      <c r="AM443" s="768"/>
      <c r="AN443" s="766">
        <v>-1063.3399999999995</v>
      </c>
      <c r="AO443" s="774">
        <v>-0.43433720422026051</v>
      </c>
      <c r="AP443" s="506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06"/>
      <c r="BC443" s="506"/>
      <c r="BD443" s="506"/>
      <c r="BE443" s="506"/>
      <c r="BF443" s="506"/>
      <c r="BG443" s="506"/>
      <c r="BH443" s="506"/>
      <c r="BI443" s="506"/>
      <c r="BJ443" s="506"/>
    </row>
    <row r="444" spans="1:62" ht="15.75" customHeight="1">
      <c r="A444" s="494" t="s">
        <v>59</v>
      </c>
      <c r="B444" s="503"/>
      <c r="C444" s="733" t="s">
        <v>473</v>
      </c>
      <c r="T444" s="506"/>
      <c r="U444" s="506"/>
      <c r="V444" s="596" t="s">
        <v>59</v>
      </c>
      <c r="W444" s="770" t="s">
        <v>157</v>
      </c>
      <c r="X444" s="763"/>
      <c r="Y444" s="763"/>
      <c r="Z444" s="764">
        <v>778.11576579027781</v>
      </c>
      <c r="AA444" s="763"/>
      <c r="AB444" s="763"/>
      <c r="AC444" s="764"/>
      <c r="AD444" s="772"/>
      <c r="AE444" s="771"/>
      <c r="AF444" s="764">
        <v>797.78</v>
      </c>
      <c r="AG444" s="765"/>
      <c r="AH444" s="766">
        <v>19.664234209722167</v>
      </c>
      <c r="AI444" s="790">
        <v>2.5271604913120579E-2</v>
      </c>
      <c r="AJ444" s="772"/>
      <c r="AK444" s="763"/>
      <c r="AL444" s="764">
        <v>718.74</v>
      </c>
      <c r="AM444" s="768"/>
      <c r="AN444" s="766">
        <v>79.039999999999964</v>
      </c>
      <c r="AO444" s="774">
        <v>0.10997022567270497</v>
      </c>
      <c r="AP444" s="506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06"/>
      <c r="BC444" s="506"/>
      <c r="BD444" s="506"/>
      <c r="BE444" s="506"/>
      <c r="BF444" s="506"/>
      <c r="BG444" s="506"/>
      <c r="BH444" s="506"/>
      <c r="BI444" s="506"/>
      <c r="BJ444" s="506"/>
    </row>
    <row r="445" spans="1:62" ht="15.75" customHeight="1">
      <c r="A445" s="494" t="s">
        <v>60</v>
      </c>
      <c r="B445" s="503"/>
      <c r="C445" s="733" t="s">
        <v>473</v>
      </c>
      <c r="T445" s="506"/>
      <c r="U445" s="506"/>
      <c r="V445" s="596" t="s">
        <v>60</v>
      </c>
      <c r="W445" s="770" t="s">
        <v>158</v>
      </c>
      <c r="X445" s="763"/>
      <c r="Y445" s="763"/>
      <c r="Z445" s="764">
        <v>462.27621220972219</v>
      </c>
      <c r="AA445" s="763"/>
      <c r="AB445" s="763"/>
      <c r="AC445" s="764"/>
      <c r="AD445" s="772"/>
      <c r="AE445" s="771"/>
      <c r="AF445" s="764">
        <v>-27.62</v>
      </c>
      <c r="AG445" s="765"/>
      <c r="AH445" s="766">
        <v>-489.89621220972219</v>
      </c>
      <c r="AI445" s="767">
        <v>-1.0597478288315418</v>
      </c>
      <c r="AJ445" s="772"/>
      <c r="AK445" s="763"/>
      <c r="AL445" s="764">
        <v>631</v>
      </c>
      <c r="AM445" s="768"/>
      <c r="AN445" s="766">
        <v>-658.62</v>
      </c>
      <c r="AO445" s="774">
        <v>-1.0437717908082409</v>
      </c>
      <c r="AP445" s="506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06"/>
      <c r="BC445" s="506"/>
      <c r="BD445" s="506"/>
      <c r="BE445" s="506"/>
      <c r="BF445" s="506"/>
      <c r="BG445" s="506"/>
      <c r="BH445" s="506"/>
      <c r="BI445" s="506"/>
      <c r="BJ445" s="506"/>
    </row>
    <row r="446" spans="1:62" ht="15.75" customHeight="1">
      <c r="A446" s="494" t="s">
        <v>61</v>
      </c>
      <c r="B446" s="503"/>
      <c r="C446" s="733" t="s">
        <v>473</v>
      </c>
      <c r="T446" s="506"/>
      <c r="U446" s="506"/>
      <c r="V446" s="596" t="s">
        <v>61</v>
      </c>
      <c r="W446" s="770" t="s">
        <v>159</v>
      </c>
      <c r="X446" s="763"/>
      <c r="Y446" s="771"/>
      <c r="Z446" s="764">
        <v>1152.4792607347222</v>
      </c>
      <c r="AA446" s="763"/>
      <c r="AB446" s="771"/>
      <c r="AC446" s="764"/>
      <c r="AD446" s="772"/>
      <c r="AE446" s="771"/>
      <c r="AF446" s="764">
        <v>631.05999999999995</v>
      </c>
      <c r="AG446" s="765"/>
      <c r="AH446" s="766">
        <v>-521.41926073472223</v>
      </c>
      <c r="AI446" s="790">
        <v>-0.4524326627815497</v>
      </c>
      <c r="AJ446" s="772"/>
      <c r="AK446" s="763"/>
      <c r="AL446" s="764">
        <v>441.21999999999997</v>
      </c>
      <c r="AM446" s="768"/>
      <c r="AN446" s="766">
        <v>189.83999999999997</v>
      </c>
      <c r="AO446" s="774">
        <v>0.43026154752731061</v>
      </c>
      <c r="AP446" s="506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06"/>
      <c r="BC446" s="506"/>
      <c r="BD446" s="506"/>
      <c r="BE446" s="506"/>
      <c r="BF446" s="506"/>
      <c r="BG446" s="506"/>
      <c r="BH446" s="506"/>
      <c r="BI446" s="506"/>
      <c r="BJ446" s="506"/>
    </row>
    <row r="447" spans="1:62" ht="15.75" customHeight="1">
      <c r="A447" s="494" t="s">
        <v>62</v>
      </c>
      <c r="B447" s="503"/>
      <c r="C447" s="733" t="s">
        <v>473</v>
      </c>
      <c r="T447" s="506"/>
      <c r="U447" s="506"/>
      <c r="V447" s="596" t="s">
        <v>62</v>
      </c>
      <c r="W447" s="770" t="s">
        <v>160</v>
      </c>
      <c r="X447" s="763"/>
      <c r="Y447" s="771"/>
      <c r="Z447" s="764">
        <v>7644.3785104434319</v>
      </c>
      <c r="AA447" s="763"/>
      <c r="AB447" s="771"/>
      <c r="AC447" s="764"/>
      <c r="AD447" s="772"/>
      <c r="AE447" s="771"/>
      <c r="AF447" s="764">
        <v>2402.5699999999997</v>
      </c>
      <c r="AG447" s="765"/>
      <c r="AH447" s="766">
        <v>-5241.8085104434322</v>
      </c>
      <c r="AI447" s="767">
        <v>-0.68570760896811844</v>
      </c>
      <c r="AJ447" s="772"/>
      <c r="AK447" s="763"/>
      <c r="AL447" s="764">
        <v>11935.449999999999</v>
      </c>
      <c r="AM447" s="768"/>
      <c r="AN447" s="766">
        <v>-9532.8799999999992</v>
      </c>
      <c r="AO447" s="774">
        <v>-0.79870302334641763</v>
      </c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06"/>
      <c r="BC447" s="506"/>
      <c r="BD447" s="506"/>
      <c r="BE447" s="506"/>
      <c r="BF447" s="506"/>
      <c r="BG447" s="506"/>
      <c r="BH447" s="506"/>
      <c r="BI447" s="506"/>
      <c r="BJ447" s="506"/>
    </row>
    <row r="448" spans="1:62" ht="15.75" customHeight="1">
      <c r="A448" s="494" t="s">
        <v>63</v>
      </c>
      <c r="B448" s="503"/>
      <c r="C448" s="733" t="s">
        <v>473</v>
      </c>
      <c r="T448" s="506"/>
      <c r="U448" s="506"/>
      <c r="V448" s="596" t="s">
        <v>63</v>
      </c>
      <c r="W448" s="770" t="s">
        <v>161</v>
      </c>
      <c r="X448" s="763"/>
      <c r="Y448" s="789">
        <v>1.2013914258187893E-3</v>
      </c>
      <c r="Z448" s="764">
        <v>7780.2762857487296</v>
      </c>
      <c r="AA448" s="763"/>
      <c r="AB448" s="771"/>
      <c r="AC448" s="764"/>
      <c r="AD448" s="772"/>
      <c r="AE448" s="771"/>
      <c r="AF448" s="764">
        <v>9504.61</v>
      </c>
      <c r="AG448" s="765"/>
      <c r="AH448" s="766">
        <v>1724.333714251271</v>
      </c>
      <c r="AI448" s="767">
        <v>0.22162885364492307</v>
      </c>
      <c r="AJ448" s="772"/>
      <c r="AK448" s="763"/>
      <c r="AL448" s="764">
        <v>6723.6</v>
      </c>
      <c r="AM448" s="768"/>
      <c r="AN448" s="766">
        <v>2781.01</v>
      </c>
      <c r="AO448" s="774">
        <v>0.41361919209947051</v>
      </c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06"/>
      <c r="BC448" s="506"/>
      <c r="BD448" s="506"/>
      <c r="BE448" s="506"/>
      <c r="BF448" s="506"/>
      <c r="BG448" s="506"/>
      <c r="BH448" s="506"/>
      <c r="BI448" s="506"/>
      <c r="BJ448" s="506"/>
    </row>
    <row r="449" spans="1:62" ht="15.75" hidden="1" customHeight="1">
      <c r="A449" s="494" t="s">
        <v>20</v>
      </c>
      <c r="B449" s="503"/>
      <c r="C449" s="733" t="s">
        <v>473</v>
      </c>
      <c r="T449" s="506"/>
      <c r="U449" s="506"/>
      <c r="V449" s="596" t="s">
        <v>20</v>
      </c>
      <c r="W449" s="770"/>
      <c r="X449" s="763"/>
      <c r="Y449" s="771"/>
      <c r="Z449" s="764">
        <v>0</v>
      </c>
      <c r="AA449" s="763"/>
      <c r="AB449" s="763"/>
      <c r="AC449" s="764"/>
      <c r="AD449" s="772"/>
      <c r="AE449" s="771"/>
      <c r="AF449" s="764">
        <v>0</v>
      </c>
      <c r="AG449" s="765"/>
      <c r="AH449" s="766">
        <v>0</v>
      </c>
      <c r="AI449" s="767">
        <v>0</v>
      </c>
      <c r="AJ449" s="772"/>
      <c r="AK449" s="763"/>
      <c r="AL449" s="764">
        <v>0</v>
      </c>
      <c r="AM449" s="768"/>
      <c r="AN449" s="766">
        <v>0</v>
      </c>
      <c r="AO449" s="774">
        <v>0</v>
      </c>
      <c r="AP449" s="506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06"/>
      <c r="BC449" s="506"/>
      <c r="BD449" s="506"/>
      <c r="BE449" s="506"/>
      <c r="BF449" s="506"/>
      <c r="BG449" s="506"/>
      <c r="BH449" s="506"/>
      <c r="BI449" s="506"/>
      <c r="BJ449" s="506"/>
    </row>
    <row r="450" spans="1:62" ht="15.75" hidden="1" customHeight="1">
      <c r="A450" s="494" t="s">
        <v>20</v>
      </c>
      <c r="B450" s="503"/>
      <c r="C450" s="733" t="s">
        <v>473</v>
      </c>
      <c r="T450" s="506"/>
      <c r="U450" s="506"/>
      <c r="V450" s="596" t="s">
        <v>20</v>
      </c>
      <c r="W450" s="770"/>
      <c r="X450" s="763"/>
      <c r="Y450" s="771"/>
      <c r="Z450" s="764">
        <v>0</v>
      </c>
      <c r="AA450" s="763"/>
      <c r="AB450" s="763"/>
      <c r="AC450" s="764"/>
      <c r="AD450" s="772"/>
      <c r="AE450" s="771"/>
      <c r="AF450" s="764">
        <v>0</v>
      </c>
      <c r="AG450" s="765"/>
      <c r="AH450" s="766">
        <v>0</v>
      </c>
      <c r="AI450" s="767">
        <v>0</v>
      </c>
      <c r="AJ450" s="772"/>
      <c r="AK450" s="763"/>
      <c r="AL450" s="764">
        <v>0</v>
      </c>
      <c r="AM450" s="768"/>
      <c r="AN450" s="766">
        <v>0</v>
      </c>
      <c r="AO450" s="774">
        <v>0</v>
      </c>
      <c r="AP450" s="506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06"/>
      <c r="BC450" s="506"/>
      <c r="BD450" s="506"/>
      <c r="BE450" s="506"/>
      <c r="BF450" s="506"/>
      <c r="BG450" s="506"/>
      <c r="BH450" s="506"/>
      <c r="BI450" s="506"/>
      <c r="BJ450" s="506"/>
    </row>
    <row r="451" spans="1:62" ht="15.75" hidden="1" customHeight="1">
      <c r="A451" s="494" t="s">
        <v>20</v>
      </c>
      <c r="B451" s="503"/>
      <c r="C451" s="733" t="s">
        <v>473</v>
      </c>
      <c r="T451" s="506"/>
      <c r="U451" s="506"/>
      <c r="V451" s="596" t="s">
        <v>20</v>
      </c>
      <c r="W451" s="770"/>
      <c r="X451" s="763"/>
      <c r="Y451" s="771"/>
      <c r="Z451" s="764">
        <v>0</v>
      </c>
      <c r="AA451" s="763"/>
      <c r="AB451" s="763"/>
      <c r="AC451" s="764"/>
      <c r="AD451" s="772"/>
      <c r="AE451" s="771"/>
      <c r="AF451" s="764">
        <v>0</v>
      </c>
      <c r="AG451" s="765"/>
      <c r="AH451" s="766">
        <v>0</v>
      </c>
      <c r="AI451" s="767">
        <v>0</v>
      </c>
      <c r="AJ451" s="772"/>
      <c r="AK451" s="763"/>
      <c r="AL451" s="764">
        <v>0</v>
      </c>
      <c r="AM451" s="768"/>
      <c r="AN451" s="766">
        <v>0</v>
      </c>
      <c r="AO451" s="774">
        <v>0</v>
      </c>
      <c r="AP451" s="506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06"/>
      <c r="BC451" s="506"/>
      <c r="BD451" s="506"/>
      <c r="BE451" s="506"/>
      <c r="BF451" s="506"/>
      <c r="BG451" s="506"/>
      <c r="BH451" s="506"/>
      <c r="BI451" s="506"/>
      <c r="BJ451" s="506"/>
    </row>
    <row r="452" spans="1:62" ht="15.75" customHeight="1">
      <c r="A452" s="494" t="s">
        <v>64</v>
      </c>
      <c r="B452" s="503"/>
      <c r="C452" s="733" t="s">
        <v>473</v>
      </c>
      <c r="T452" s="506"/>
      <c r="U452" s="506"/>
      <c r="V452" s="780" t="s">
        <v>64</v>
      </c>
      <c r="W452" s="805"/>
      <c r="X452" s="782">
        <v>0.13309957088013172</v>
      </c>
      <c r="Y452" s="781"/>
      <c r="Z452" s="783">
        <v>127192.82537174747</v>
      </c>
      <c r="AA452" s="782"/>
      <c r="AB452" s="781"/>
      <c r="AC452" s="783"/>
      <c r="AD452" s="784">
        <v>0.17683113817265173</v>
      </c>
      <c r="AE452" s="781"/>
      <c r="AF452" s="783">
        <v>128359.00000000001</v>
      </c>
      <c r="AG452" s="806"/>
      <c r="AH452" s="807">
        <v>1166.1746282525246</v>
      </c>
      <c r="AI452" s="782">
        <v>9.1685566764016513E-3</v>
      </c>
      <c r="AJ452" s="784">
        <v>0.22102593018463038</v>
      </c>
      <c r="AK452" s="782"/>
      <c r="AL452" s="783">
        <v>125843.58000000002</v>
      </c>
      <c r="AM452" s="792"/>
      <c r="AN452" s="786">
        <v>2515.4200000000037</v>
      </c>
      <c r="AO452" s="808">
        <v>1.9988465045257003E-2</v>
      </c>
      <c r="AP452" s="506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06"/>
      <c r="BC452" s="506"/>
      <c r="BD452" s="506"/>
      <c r="BE452" s="506"/>
      <c r="BF452" s="506"/>
      <c r="BG452" s="506"/>
      <c r="BH452" s="506"/>
      <c r="BI452" s="506"/>
      <c r="BJ452" s="506"/>
    </row>
    <row r="453" spans="1:62" ht="15.75" customHeight="1">
      <c r="A453" s="494" t="s">
        <v>162</v>
      </c>
      <c r="B453" s="503"/>
      <c r="C453" s="733" t="s">
        <v>473</v>
      </c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6"/>
      <c r="S453" s="506"/>
      <c r="T453" s="506"/>
      <c r="U453" s="506"/>
      <c r="V453" s="596" t="s">
        <v>162</v>
      </c>
      <c r="W453" s="770" t="s">
        <v>163</v>
      </c>
      <c r="X453" s="763"/>
      <c r="Y453" s="771"/>
      <c r="Z453" s="764">
        <v>36000</v>
      </c>
      <c r="AA453" s="763"/>
      <c r="AB453" s="771"/>
      <c r="AC453" s="764"/>
      <c r="AD453" s="772"/>
      <c r="AE453" s="771"/>
      <c r="AF453" s="764">
        <v>36000</v>
      </c>
      <c r="AG453" s="765"/>
      <c r="AH453" s="766">
        <v>0</v>
      </c>
      <c r="AI453" s="767">
        <v>0</v>
      </c>
      <c r="AJ453" s="772"/>
      <c r="AK453" s="763"/>
      <c r="AL453" s="764">
        <v>26000</v>
      </c>
      <c r="AM453" s="768"/>
      <c r="AN453" s="766">
        <v>10000</v>
      </c>
      <c r="AO453" s="774">
        <v>0.38461538461538464</v>
      </c>
      <c r="AP453" s="506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06"/>
      <c r="BC453" s="506"/>
      <c r="BD453" s="506"/>
      <c r="BE453" s="506"/>
      <c r="BF453" s="506"/>
      <c r="BG453" s="506"/>
      <c r="BH453" s="506"/>
      <c r="BI453" s="506"/>
      <c r="BJ453" s="506"/>
    </row>
    <row r="454" spans="1:62" ht="15.75" customHeight="1">
      <c r="A454" s="494" t="s">
        <v>164</v>
      </c>
      <c r="B454" s="503"/>
      <c r="C454" s="733" t="s">
        <v>473</v>
      </c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6"/>
      <c r="S454" s="506"/>
      <c r="T454" s="506"/>
      <c r="U454" s="506"/>
      <c r="V454" s="596" t="s">
        <v>164</v>
      </c>
      <c r="W454" s="770" t="s">
        <v>165</v>
      </c>
      <c r="X454" s="763"/>
      <c r="Y454" s="771"/>
      <c r="Z454" s="764">
        <v>5176.92</v>
      </c>
      <c r="AA454" s="763"/>
      <c r="AB454" s="771"/>
      <c r="AC454" s="764"/>
      <c r="AD454" s="772"/>
      <c r="AE454" s="771"/>
      <c r="AF454" s="764">
        <v>5177</v>
      </c>
      <c r="AG454" s="765"/>
      <c r="AH454" s="766">
        <v>7.999999999992724E-2</v>
      </c>
      <c r="AI454" s="767">
        <v>1.5453203835471139E-5</v>
      </c>
      <c r="AJ454" s="772"/>
      <c r="AK454" s="763"/>
      <c r="AL454" s="764">
        <v>4930</v>
      </c>
      <c r="AM454" s="768"/>
      <c r="AN454" s="766">
        <v>247</v>
      </c>
      <c r="AO454" s="774">
        <v>5.0101419878296145E-2</v>
      </c>
      <c r="AP454" s="506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06"/>
      <c r="BC454" s="506"/>
      <c r="BD454" s="506"/>
      <c r="BE454" s="506"/>
      <c r="BF454" s="506"/>
      <c r="BG454" s="506"/>
      <c r="BH454" s="506"/>
      <c r="BI454" s="506"/>
      <c r="BJ454" s="506"/>
    </row>
    <row r="455" spans="1:62" ht="15.75" customHeight="1">
      <c r="A455" s="494" t="s">
        <v>166</v>
      </c>
      <c r="B455" s="503"/>
      <c r="C455" s="733" t="s">
        <v>473</v>
      </c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6"/>
      <c r="S455" s="506"/>
      <c r="T455" s="506"/>
      <c r="U455" s="506"/>
      <c r="V455" s="598" t="s">
        <v>166</v>
      </c>
      <c r="W455" s="775" t="s">
        <v>167</v>
      </c>
      <c r="X455" s="747"/>
      <c r="Y455" s="776"/>
      <c r="Z455" s="748">
        <v>3444.8400000000006</v>
      </c>
      <c r="AA455" s="747"/>
      <c r="AB455" s="776"/>
      <c r="AC455" s="748"/>
      <c r="AD455" s="777"/>
      <c r="AE455" s="776"/>
      <c r="AF455" s="748">
        <v>3445.0000000000005</v>
      </c>
      <c r="AG455" s="749"/>
      <c r="AH455" s="750">
        <v>0.15999999999985448</v>
      </c>
      <c r="AI455" s="778">
        <v>4.6446279072425558E-5</v>
      </c>
      <c r="AJ455" s="777"/>
      <c r="AK455" s="747"/>
      <c r="AL455" s="748">
        <v>3279.99999999999</v>
      </c>
      <c r="AM455" s="752"/>
      <c r="AN455" s="750">
        <v>165.00000000001046</v>
      </c>
      <c r="AO455" s="753">
        <v>5.0304878048783828E-2</v>
      </c>
      <c r="AP455" s="506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06"/>
      <c r="BC455" s="506"/>
      <c r="BD455" s="506"/>
      <c r="BE455" s="506"/>
      <c r="BF455" s="506"/>
      <c r="BG455" s="506"/>
      <c r="BH455" s="506"/>
      <c r="BI455" s="506"/>
      <c r="BJ455" s="506"/>
    </row>
    <row r="456" spans="1:62" ht="15.75" customHeight="1">
      <c r="A456" s="494" t="s">
        <v>168</v>
      </c>
      <c r="B456" s="503"/>
      <c r="C456" s="733" t="s">
        <v>473</v>
      </c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6"/>
      <c r="S456" s="506"/>
      <c r="T456" s="506"/>
      <c r="U456" s="506"/>
      <c r="V456" s="596" t="s">
        <v>168</v>
      </c>
      <c r="W456" s="770"/>
      <c r="X456" s="763"/>
      <c r="Y456" s="771"/>
      <c r="Z456" s="764">
        <v>0</v>
      </c>
      <c r="AA456" s="763"/>
      <c r="AB456" s="771"/>
      <c r="AC456" s="764"/>
      <c r="AD456" s="772"/>
      <c r="AE456" s="771"/>
      <c r="AF456" s="764">
        <v>0</v>
      </c>
      <c r="AG456" s="765"/>
      <c r="AH456" s="766">
        <v>0</v>
      </c>
      <c r="AI456" s="767">
        <v>0</v>
      </c>
      <c r="AJ456" s="772"/>
      <c r="AK456" s="763"/>
      <c r="AL456" s="764">
        <v>0</v>
      </c>
      <c r="AM456" s="768"/>
      <c r="AN456" s="766">
        <v>0</v>
      </c>
      <c r="AO456" s="774">
        <v>0</v>
      </c>
      <c r="AP456" s="506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06"/>
      <c r="BC456" s="506"/>
      <c r="BD456" s="506"/>
      <c r="BE456" s="506"/>
      <c r="BF456" s="506"/>
      <c r="BG456" s="506"/>
      <c r="BH456" s="506"/>
      <c r="BI456" s="506"/>
      <c r="BJ456" s="506"/>
    </row>
    <row r="457" spans="1:62" ht="15.75" customHeight="1">
      <c r="A457" s="494" t="s">
        <v>169</v>
      </c>
      <c r="B457" s="503"/>
      <c r="C457" s="733" t="s">
        <v>473</v>
      </c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6"/>
      <c r="S457" s="506"/>
      <c r="T457" s="506"/>
      <c r="U457" s="506"/>
      <c r="V457" s="598" t="s">
        <v>169</v>
      </c>
      <c r="W457" s="775" t="s">
        <v>170</v>
      </c>
      <c r="X457" s="747"/>
      <c r="Y457" s="776"/>
      <c r="Z457" s="748">
        <v>3893.083333333333</v>
      </c>
      <c r="AA457" s="747"/>
      <c r="AB457" s="776"/>
      <c r="AC457" s="748"/>
      <c r="AD457" s="777"/>
      <c r="AE457" s="776"/>
      <c r="AF457" s="748">
        <v>3893.08</v>
      </c>
      <c r="AG457" s="749"/>
      <c r="AH457" s="750">
        <v>-3.333333333102928E-3</v>
      </c>
      <c r="AI457" s="778">
        <v>-8.5621936334172008E-7</v>
      </c>
      <c r="AJ457" s="777"/>
      <c r="AK457" s="747"/>
      <c r="AL457" s="748">
        <v>4271</v>
      </c>
      <c r="AM457" s="752"/>
      <c r="AN457" s="750">
        <v>-377.92000000000007</v>
      </c>
      <c r="AO457" s="753">
        <v>-8.8485132287520502E-2</v>
      </c>
      <c r="AP457" s="506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06"/>
      <c r="BC457" s="506"/>
      <c r="BD457" s="506"/>
      <c r="BE457" s="506"/>
      <c r="BF457" s="506"/>
      <c r="BG457" s="506"/>
      <c r="BH457" s="506"/>
      <c r="BI457" s="506"/>
      <c r="BJ457" s="506"/>
    </row>
    <row r="458" spans="1:62" ht="15.75" customHeight="1">
      <c r="A458" s="494" t="s">
        <v>171</v>
      </c>
      <c r="B458" s="503"/>
      <c r="C458" s="733" t="s">
        <v>473</v>
      </c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6"/>
      <c r="S458" s="506"/>
      <c r="T458" s="506"/>
      <c r="U458" s="506"/>
      <c r="V458" s="596" t="s">
        <v>171</v>
      </c>
      <c r="W458" s="770" t="s">
        <v>172</v>
      </c>
      <c r="X458" s="809"/>
      <c r="Y458" s="810"/>
      <c r="Z458" s="764">
        <v>3451.2500000000005</v>
      </c>
      <c r="AA458" s="809"/>
      <c r="AB458" s="810"/>
      <c r="AC458" s="764"/>
      <c r="AD458" s="772"/>
      <c r="AE458" s="771"/>
      <c r="AF458" s="811">
        <v>8641.99</v>
      </c>
      <c r="AG458" s="765"/>
      <c r="AH458" s="766">
        <v>5190.74</v>
      </c>
      <c r="AI458" s="767">
        <v>1.5040173850054326</v>
      </c>
      <c r="AJ458" s="772"/>
      <c r="AK458" s="763"/>
      <c r="AL458" s="764">
        <v>1478.46999999999</v>
      </c>
      <c r="AM458" s="768"/>
      <c r="AN458" s="766">
        <v>7163.5200000000095</v>
      </c>
      <c r="AO458" s="774">
        <v>4.8452251313858641</v>
      </c>
      <c r="AP458" s="506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06"/>
      <c r="BC458" s="506"/>
      <c r="BD458" s="506"/>
      <c r="BE458" s="506"/>
      <c r="BF458" s="506"/>
      <c r="BG458" s="506"/>
      <c r="BH458" s="506"/>
      <c r="BI458" s="506"/>
      <c r="BJ458" s="506"/>
    </row>
    <row r="459" spans="1:62" ht="15.75" customHeight="1">
      <c r="A459" s="494" t="s">
        <v>173</v>
      </c>
      <c r="B459" s="503"/>
      <c r="C459" s="733" t="s">
        <v>473</v>
      </c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6"/>
      <c r="S459" s="506"/>
      <c r="T459" s="506"/>
      <c r="U459" s="506"/>
      <c r="V459" s="596" t="s">
        <v>173</v>
      </c>
      <c r="W459" s="770" t="s">
        <v>174</v>
      </c>
      <c r="X459" s="763"/>
      <c r="Y459" s="771"/>
      <c r="Z459" s="764">
        <v>6784.05</v>
      </c>
      <c r="AA459" s="763"/>
      <c r="AB459" s="771"/>
      <c r="AC459" s="764"/>
      <c r="AD459" s="772"/>
      <c r="AE459" s="771"/>
      <c r="AF459" s="764">
        <v>6423.329999999999</v>
      </c>
      <c r="AG459" s="765"/>
      <c r="AH459" s="766">
        <v>-360.72000000000116</v>
      </c>
      <c r="AI459" s="767">
        <v>-5.3171777920269038E-2</v>
      </c>
      <c r="AJ459" s="772"/>
      <c r="AK459" s="763"/>
      <c r="AL459" s="764">
        <v>6550.12</v>
      </c>
      <c r="AM459" s="768"/>
      <c r="AN459" s="766">
        <v>-126.79000000000087</v>
      </c>
      <c r="AO459" s="774">
        <v>-1.9356897278217936E-2</v>
      </c>
      <c r="AP459" s="506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06"/>
      <c r="BC459" s="506"/>
      <c r="BD459" s="506"/>
      <c r="BE459" s="506"/>
      <c r="BF459" s="506"/>
      <c r="BG459" s="506"/>
      <c r="BH459" s="506"/>
      <c r="BI459" s="506"/>
      <c r="BJ459" s="506"/>
    </row>
    <row r="460" spans="1:62" ht="15.75" customHeight="1">
      <c r="A460" s="494" t="s">
        <v>175</v>
      </c>
      <c r="B460" s="503"/>
      <c r="C460" s="733" t="s">
        <v>473</v>
      </c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6"/>
      <c r="S460" s="506"/>
      <c r="T460" s="506"/>
      <c r="U460" s="506"/>
      <c r="V460" s="598" t="s">
        <v>175</v>
      </c>
      <c r="W460" s="775" t="s">
        <v>176</v>
      </c>
      <c r="X460" s="747"/>
      <c r="Y460" s="776"/>
      <c r="Z460" s="748">
        <v>1946.9211566305551</v>
      </c>
      <c r="AA460" s="747"/>
      <c r="AB460" s="776"/>
      <c r="AC460" s="748"/>
      <c r="AD460" s="777"/>
      <c r="AE460" s="776"/>
      <c r="AF460" s="748">
        <v>254.6</v>
      </c>
      <c r="AG460" s="749"/>
      <c r="AH460" s="750">
        <v>-1692.3211566305552</v>
      </c>
      <c r="AI460" s="778">
        <v>-0.86922942455429264</v>
      </c>
      <c r="AJ460" s="777"/>
      <c r="AK460" s="747"/>
      <c r="AL460" s="748">
        <v>1935.3</v>
      </c>
      <c r="AM460" s="752"/>
      <c r="AN460" s="750">
        <v>-1680.7</v>
      </c>
      <c r="AO460" s="753">
        <v>-0.8684441688627087</v>
      </c>
      <c r="AP460" s="506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06"/>
      <c r="BC460" s="506"/>
      <c r="BD460" s="506"/>
      <c r="BE460" s="506"/>
      <c r="BF460" s="506"/>
      <c r="BG460" s="506"/>
      <c r="BH460" s="506"/>
      <c r="BI460" s="506"/>
      <c r="BJ460" s="506"/>
    </row>
    <row r="461" spans="1:62" ht="15.75" customHeight="1">
      <c r="A461" s="494" t="s">
        <v>177</v>
      </c>
      <c r="B461" s="503"/>
      <c r="C461" s="733" t="s">
        <v>473</v>
      </c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6"/>
      <c r="S461" s="506"/>
      <c r="T461" s="506"/>
      <c r="U461" s="812"/>
      <c r="V461" s="596" t="s">
        <v>177</v>
      </c>
      <c r="W461" s="770" t="s">
        <v>178</v>
      </c>
      <c r="X461" s="763"/>
      <c r="Y461" s="771"/>
      <c r="Z461" s="764">
        <v>1000</v>
      </c>
      <c r="AA461" s="763"/>
      <c r="AB461" s="771"/>
      <c r="AC461" s="764"/>
      <c r="AD461" s="772"/>
      <c r="AE461" s="771"/>
      <c r="AF461" s="764">
        <v>830.07</v>
      </c>
      <c r="AG461" s="765"/>
      <c r="AH461" s="766">
        <v>-169.92999999999995</v>
      </c>
      <c r="AI461" s="813">
        <v>-0.16992999999999994</v>
      </c>
      <c r="AJ461" s="763"/>
      <c r="AK461" s="763"/>
      <c r="AL461" s="764">
        <v>548.94000000000005</v>
      </c>
      <c r="AM461" s="768"/>
      <c r="AN461" s="766">
        <v>281.13</v>
      </c>
      <c r="AO461" s="774">
        <v>0.51213247349437097</v>
      </c>
      <c r="AP461" s="506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06"/>
      <c r="BC461" s="506"/>
      <c r="BD461" s="506"/>
      <c r="BE461" s="506"/>
      <c r="BF461" s="506"/>
      <c r="BG461" s="506"/>
      <c r="BH461" s="506"/>
      <c r="BI461" s="506"/>
      <c r="BJ461" s="506"/>
    </row>
    <row r="462" spans="1:62" ht="15.75" customHeight="1">
      <c r="A462" s="494" t="s">
        <v>179</v>
      </c>
      <c r="B462" s="503"/>
      <c r="C462" s="733" t="s">
        <v>473</v>
      </c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6"/>
      <c r="S462" s="506"/>
      <c r="T462" s="506"/>
      <c r="U462" s="812"/>
      <c r="V462" s="596" t="s">
        <v>179</v>
      </c>
      <c r="W462" s="770" t="s">
        <v>180</v>
      </c>
      <c r="X462" s="763"/>
      <c r="Y462" s="771"/>
      <c r="Z462" s="764">
        <v>0</v>
      </c>
      <c r="AA462" s="763"/>
      <c r="AB462" s="771"/>
      <c r="AC462" s="764"/>
      <c r="AD462" s="772"/>
      <c r="AE462" s="771"/>
      <c r="AF462" s="764">
        <v>0</v>
      </c>
      <c r="AG462" s="765"/>
      <c r="AH462" s="766">
        <v>0</v>
      </c>
      <c r="AI462" s="790">
        <v>0</v>
      </c>
      <c r="AJ462" s="763"/>
      <c r="AK462" s="763"/>
      <c r="AL462" s="764">
        <v>0</v>
      </c>
      <c r="AM462" s="768"/>
      <c r="AN462" s="766">
        <v>0</v>
      </c>
      <c r="AO462" s="774">
        <v>0</v>
      </c>
      <c r="AP462" s="506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06"/>
      <c r="BC462" s="506"/>
      <c r="BD462" s="506"/>
      <c r="BE462" s="506"/>
      <c r="BF462" s="506"/>
      <c r="BG462" s="506"/>
      <c r="BH462" s="506"/>
      <c r="BI462" s="506"/>
      <c r="BJ462" s="506"/>
    </row>
    <row r="463" spans="1:62" ht="15.75" hidden="1" customHeight="1">
      <c r="A463" s="494" t="s">
        <v>20</v>
      </c>
      <c r="B463" s="503"/>
      <c r="C463" s="733" t="s">
        <v>473</v>
      </c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6"/>
      <c r="S463" s="506"/>
      <c r="T463" s="506"/>
      <c r="U463" s="812"/>
      <c r="V463" s="596" t="s">
        <v>20</v>
      </c>
      <c r="W463" s="770"/>
      <c r="X463" s="763"/>
      <c r="Y463" s="771"/>
      <c r="Z463" s="764">
        <v>0</v>
      </c>
      <c r="AA463" s="763"/>
      <c r="AB463" s="763"/>
      <c r="AC463" s="764"/>
      <c r="AD463" s="772"/>
      <c r="AE463" s="771"/>
      <c r="AF463" s="764">
        <v>0</v>
      </c>
      <c r="AG463" s="765"/>
      <c r="AH463" s="766">
        <v>0</v>
      </c>
      <c r="AI463" s="767">
        <v>0</v>
      </c>
      <c r="AJ463" s="772"/>
      <c r="AK463" s="763"/>
      <c r="AL463" s="764">
        <v>0</v>
      </c>
      <c r="AM463" s="768"/>
      <c r="AN463" s="766">
        <v>0</v>
      </c>
      <c r="AO463" s="774">
        <v>1</v>
      </c>
      <c r="AP463" s="506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06"/>
      <c r="BC463" s="506"/>
      <c r="BD463" s="506"/>
      <c r="BE463" s="506"/>
      <c r="BF463" s="506"/>
      <c r="BG463" s="506"/>
      <c r="BH463" s="506"/>
      <c r="BI463" s="506"/>
      <c r="BJ463" s="506"/>
    </row>
    <row r="464" spans="1:62" ht="15.75" hidden="1" customHeight="1">
      <c r="A464" s="494" t="s">
        <v>20</v>
      </c>
      <c r="B464" s="503"/>
      <c r="C464" s="733" t="s">
        <v>473</v>
      </c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6"/>
      <c r="S464" s="506"/>
      <c r="T464" s="506"/>
      <c r="U464" s="812"/>
      <c r="V464" s="596" t="s">
        <v>20</v>
      </c>
      <c r="W464" s="770"/>
      <c r="X464" s="763"/>
      <c r="Y464" s="771"/>
      <c r="Z464" s="764">
        <v>0</v>
      </c>
      <c r="AA464" s="763"/>
      <c r="AB464" s="763"/>
      <c r="AC464" s="764"/>
      <c r="AD464" s="772"/>
      <c r="AE464" s="771"/>
      <c r="AF464" s="764">
        <v>0</v>
      </c>
      <c r="AG464" s="765"/>
      <c r="AH464" s="766">
        <v>0</v>
      </c>
      <c r="AI464" s="767">
        <v>0</v>
      </c>
      <c r="AJ464" s="772"/>
      <c r="AK464" s="763"/>
      <c r="AL464" s="764">
        <v>0</v>
      </c>
      <c r="AM464" s="768"/>
      <c r="AN464" s="766">
        <v>0</v>
      </c>
      <c r="AO464" s="774">
        <v>2</v>
      </c>
      <c r="AP464" s="506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06"/>
      <c r="BC464" s="506"/>
      <c r="BD464" s="506"/>
      <c r="BE464" s="506"/>
      <c r="BF464" s="506"/>
      <c r="BG464" s="506"/>
      <c r="BH464" s="506"/>
      <c r="BI464" s="506"/>
      <c r="BJ464" s="506"/>
    </row>
    <row r="465" spans="1:62" ht="15.75" hidden="1" customHeight="1">
      <c r="A465" s="494" t="s">
        <v>20</v>
      </c>
      <c r="B465" s="503"/>
      <c r="C465" s="733" t="s">
        <v>473</v>
      </c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6"/>
      <c r="S465" s="506"/>
      <c r="T465" s="506"/>
      <c r="U465" s="506"/>
      <c r="V465" s="596" t="s">
        <v>20</v>
      </c>
      <c r="W465" s="770"/>
      <c r="X465" s="763"/>
      <c r="Y465" s="771"/>
      <c r="Z465" s="764">
        <v>0</v>
      </c>
      <c r="AA465" s="763"/>
      <c r="AB465" s="763"/>
      <c r="AC465" s="764"/>
      <c r="AD465" s="772"/>
      <c r="AE465" s="771"/>
      <c r="AF465" s="764">
        <v>0</v>
      </c>
      <c r="AG465" s="765"/>
      <c r="AH465" s="766">
        <v>0</v>
      </c>
      <c r="AI465" s="767">
        <v>0</v>
      </c>
      <c r="AJ465" s="772"/>
      <c r="AK465" s="763"/>
      <c r="AL465" s="764">
        <v>0</v>
      </c>
      <c r="AM465" s="768"/>
      <c r="AN465" s="766">
        <v>0</v>
      </c>
      <c r="AO465" s="774">
        <v>3</v>
      </c>
      <c r="AP465" s="506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06"/>
      <c r="BC465" s="506"/>
      <c r="BD465" s="506"/>
      <c r="BE465" s="506"/>
      <c r="BF465" s="506"/>
      <c r="BG465" s="506"/>
      <c r="BH465" s="506"/>
      <c r="BI465" s="506"/>
      <c r="BJ465" s="506"/>
    </row>
    <row r="466" spans="1:62" ht="15.75" customHeight="1">
      <c r="A466" s="494" t="s">
        <v>181</v>
      </c>
      <c r="B466" s="503"/>
      <c r="C466" s="733" t="s">
        <v>473</v>
      </c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6"/>
      <c r="S466" s="506"/>
      <c r="T466" s="506"/>
      <c r="U466" s="506"/>
      <c r="V466" s="780" t="s">
        <v>181</v>
      </c>
      <c r="W466" s="781"/>
      <c r="X466" s="782">
        <v>6.4562232847467302E-2</v>
      </c>
      <c r="Y466" s="781"/>
      <c r="Z466" s="783">
        <v>61697.064489963894</v>
      </c>
      <c r="AA466" s="782"/>
      <c r="AB466" s="781"/>
      <c r="AC466" s="783"/>
      <c r="AD466" s="784">
        <v>8.9084504616849566E-2</v>
      </c>
      <c r="AE466" s="781"/>
      <c r="AF466" s="783">
        <v>64665.07</v>
      </c>
      <c r="AG466" s="806"/>
      <c r="AH466" s="807">
        <v>2968.0055100361101</v>
      </c>
      <c r="AI466" s="782">
        <v>4.8106105769730879E-2</v>
      </c>
      <c r="AJ466" s="784">
        <v>8.6050530738696757E-2</v>
      </c>
      <c r="AK466" s="782"/>
      <c r="AL466" s="783">
        <v>48993.829999999987</v>
      </c>
      <c r="AM466" s="792"/>
      <c r="AN466" s="786">
        <v>15671.240000000018</v>
      </c>
      <c r="AO466" s="808">
        <v>0.31986150092777033</v>
      </c>
      <c r="AP466" s="506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06"/>
      <c r="BC466" s="506"/>
      <c r="BD466" s="506"/>
      <c r="BE466" s="506"/>
      <c r="BF466" s="506"/>
      <c r="BG466" s="506"/>
      <c r="BH466" s="506"/>
      <c r="BI466" s="506"/>
      <c r="BJ466" s="506"/>
    </row>
    <row r="467" spans="1:62" ht="15.75" customHeight="1">
      <c r="A467" s="494" t="s">
        <v>475</v>
      </c>
      <c r="B467" s="503"/>
      <c r="C467" s="733" t="s">
        <v>473</v>
      </c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6"/>
      <c r="S467" s="506"/>
      <c r="T467" s="506"/>
      <c r="U467" s="506"/>
      <c r="V467" s="596"/>
      <c r="W467" s="763"/>
      <c r="X467" s="763"/>
      <c r="Y467" s="763"/>
      <c r="Z467" s="814"/>
      <c r="AA467" s="763"/>
      <c r="AB467" s="763"/>
      <c r="AC467" s="814"/>
      <c r="AD467" s="772"/>
      <c r="AE467" s="763"/>
      <c r="AF467" s="814"/>
      <c r="AG467" s="772"/>
      <c r="AH467" s="766">
        <v>0</v>
      </c>
      <c r="AI467" s="767"/>
      <c r="AJ467" s="772"/>
      <c r="AK467" s="763"/>
      <c r="AL467" s="814"/>
      <c r="AM467" s="815"/>
      <c r="AN467" s="766">
        <v>0</v>
      </c>
      <c r="AO467" s="816">
        <v>0</v>
      </c>
      <c r="AP467" s="506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06"/>
      <c r="BC467" s="506"/>
      <c r="BD467" s="506"/>
      <c r="BE467" s="506"/>
      <c r="BF467" s="506"/>
      <c r="BG467" s="506"/>
      <c r="BH467" s="506"/>
      <c r="BI467" s="506"/>
      <c r="BJ467" s="506"/>
    </row>
    <row r="468" spans="1:62" ht="15.75" customHeight="1">
      <c r="A468" s="494" t="s">
        <v>65</v>
      </c>
      <c r="B468" s="503"/>
      <c r="C468" s="733" t="s">
        <v>473</v>
      </c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6"/>
      <c r="S468" s="506"/>
      <c r="T468" s="506"/>
      <c r="U468" s="506"/>
      <c r="V468" s="780" t="s">
        <v>65</v>
      </c>
      <c r="W468" s="781"/>
      <c r="X468" s="782">
        <v>0.76867927328020491</v>
      </c>
      <c r="Y468" s="781"/>
      <c r="Z468" s="783">
        <v>734566.51983695792</v>
      </c>
      <c r="AA468" s="782"/>
      <c r="AB468" s="781"/>
      <c r="AC468" s="783"/>
      <c r="AD468" s="784">
        <v>0.93313540471860135</v>
      </c>
      <c r="AE468" s="781"/>
      <c r="AF468" s="783">
        <v>677348.62</v>
      </c>
      <c r="AG468" s="806"/>
      <c r="AH468" s="807">
        <v>-57217.89983695792</v>
      </c>
      <c r="AI468" s="782">
        <v>-7.7893421891400416E-2</v>
      </c>
      <c r="AJ468" s="784">
        <v>1.0090147174773927</v>
      </c>
      <c r="AK468" s="782"/>
      <c r="AL468" s="783">
        <v>574493.78999999992</v>
      </c>
      <c r="AM468" s="792"/>
      <c r="AN468" s="786">
        <v>102854.83000000007</v>
      </c>
      <c r="AO468" s="761">
        <v>0.17903558191638605</v>
      </c>
      <c r="AP468" s="506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06"/>
      <c r="BC468" s="506"/>
      <c r="BD468" s="506"/>
      <c r="BE468" s="506"/>
      <c r="BF468" s="506"/>
      <c r="BG468" s="506"/>
      <c r="BH468" s="506"/>
      <c r="BI468" s="506"/>
      <c r="BJ468" s="506"/>
    </row>
    <row r="469" spans="1:62" ht="15.75" customHeight="1">
      <c r="A469" s="494" t="s">
        <v>182</v>
      </c>
      <c r="B469" s="503"/>
      <c r="C469" s="733" t="s">
        <v>473</v>
      </c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6"/>
      <c r="S469" s="506"/>
      <c r="T469" s="506"/>
      <c r="U469" s="506"/>
      <c r="V469" s="596" t="s">
        <v>182</v>
      </c>
      <c r="W469" s="810"/>
      <c r="X469" s="810"/>
      <c r="Y469" s="763"/>
      <c r="Z469" s="795">
        <v>0</v>
      </c>
      <c r="AA469" s="817"/>
      <c r="AB469" s="818"/>
      <c r="AC469" s="795"/>
      <c r="AD469" s="819"/>
      <c r="AE469" s="818"/>
      <c r="AF469" s="764">
        <v>39288.01</v>
      </c>
      <c r="AG469" s="820"/>
      <c r="AH469" s="766">
        <v>39288.01</v>
      </c>
      <c r="AI469" s="813" t="e">
        <v>#DIV/0!</v>
      </c>
      <c r="AJ469" s="819"/>
      <c r="AK469" s="817"/>
      <c r="AL469" s="821">
        <v>130416.22</v>
      </c>
      <c r="AM469" s="822"/>
      <c r="AN469" s="766">
        <v>-91128.209999999992</v>
      </c>
      <c r="AO469" s="774">
        <v>-0.69874905130665488</v>
      </c>
      <c r="AP469" s="506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06"/>
      <c r="BC469" s="506"/>
      <c r="BD469" s="506"/>
      <c r="BE469" s="506"/>
      <c r="BF469" s="506"/>
      <c r="BG469" s="506"/>
      <c r="BH469" s="506"/>
      <c r="BI469" s="506"/>
      <c r="BJ469" s="506"/>
    </row>
    <row r="470" spans="1:62" ht="15.75" customHeight="1">
      <c r="A470" s="494" t="s">
        <v>69</v>
      </c>
      <c r="B470" s="503"/>
      <c r="C470" s="733" t="s">
        <v>473</v>
      </c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6"/>
      <c r="S470" s="506"/>
      <c r="T470" s="506"/>
      <c r="U470" s="506"/>
      <c r="V470" s="596" t="s">
        <v>69</v>
      </c>
      <c r="W470" s="763"/>
      <c r="X470" s="763"/>
      <c r="Y470" s="763"/>
      <c r="Z470" s="764">
        <v>93286.91203174906</v>
      </c>
      <c r="AA470" s="809"/>
      <c r="AB470" s="766"/>
      <c r="AC470" s="764"/>
      <c r="AD470" s="823"/>
      <c r="AE470" s="824"/>
      <c r="AF470" s="764">
        <v>106078.85</v>
      </c>
      <c r="AG470" s="825"/>
      <c r="AH470" s="766">
        <v>12791.937968250946</v>
      </c>
      <c r="AI470" s="790">
        <v>0.13712468008263975</v>
      </c>
      <c r="AJ470" s="826"/>
      <c r="AK470" s="809"/>
      <c r="AL470" s="827">
        <v>39086.080000000002</v>
      </c>
      <c r="AM470" s="823"/>
      <c r="AN470" s="766">
        <v>66992.77</v>
      </c>
      <c r="AO470" s="774">
        <v>1.7139802712372283</v>
      </c>
      <c r="AP470" s="506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06"/>
      <c r="BC470" s="506"/>
      <c r="BD470" s="506"/>
      <c r="BE470" s="506"/>
      <c r="BF470" s="506"/>
      <c r="BG470" s="506"/>
      <c r="BH470" s="506"/>
      <c r="BI470" s="506"/>
      <c r="BJ470" s="506"/>
    </row>
    <row r="471" spans="1:62" ht="15.75" customHeight="1">
      <c r="A471" s="494" t="s">
        <v>197</v>
      </c>
      <c r="B471" s="503"/>
      <c r="C471" s="733" t="s">
        <v>473</v>
      </c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6"/>
      <c r="S471" s="506"/>
      <c r="T471" s="506"/>
      <c r="U471" s="506"/>
      <c r="V471" s="596" t="s">
        <v>197</v>
      </c>
      <c r="W471" s="763"/>
      <c r="X471" s="763"/>
      <c r="Y471" s="763"/>
      <c r="Z471" s="764">
        <v>0</v>
      </c>
      <c r="AA471" s="809"/>
      <c r="AB471" s="810"/>
      <c r="AC471" s="764"/>
      <c r="AD471" s="826"/>
      <c r="AF471" s="764">
        <v>695</v>
      </c>
      <c r="AG471" s="825"/>
      <c r="AH471" s="766">
        <v>695</v>
      </c>
      <c r="AI471" s="790" t="e">
        <v>#DIV/0!</v>
      </c>
      <c r="AJ471" s="826"/>
      <c r="AK471" s="809"/>
      <c r="AL471" s="827">
        <v>0</v>
      </c>
      <c r="AM471" s="823"/>
      <c r="AN471" s="766">
        <v>695</v>
      </c>
      <c r="AO471" s="774">
        <v>0</v>
      </c>
      <c r="AP471" s="506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06"/>
      <c r="BC471" s="506"/>
      <c r="BD471" s="506"/>
      <c r="BE471" s="506"/>
      <c r="BF471" s="506"/>
      <c r="BG471" s="506"/>
      <c r="BH471" s="506"/>
      <c r="BI471" s="506"/>
      <c r="BJ471" s="506"/>
    </row>
    <row r="472" spans="1:62" ht="15.75" customHeight="1">
      <c r="A472" s="494" t="s">
        <v>194</v>
      </c>
      <c r="B472" s="503"/>
      <c r="C472" s="733" t="s">
        <v>473</v>
      </c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  <c r="S472" s="506"/>
      <c r="T472" s="506"/>
      <c r="U472" s="506"/>
      <c r="V472" s="596" t="s">
        <v>194</v>
      </c>
      <c r="W472" s="763"/>
      <c r="X472" s="763"/>
      <c r="Y472" s="763"/>
      <c r="Z472" s="764">
        <v>0</v>
      </c>
      <c r="AA472" s="809"/>
      <c r="AB472" s="810"/>
      <c r="AC472" s="764"/>
      <c r="AD472" s="826"/>
      <c r="AE472" s="810"/>
      <c r="AF472" s="764">
        <v>0</v>
      </c>
      <c r="AG472" s="825"/>
      <c r="AH472" s="766">
        <v>0</v>
      </c>
      <c r="AI472" s="790">
        <v>0</v>
      </c>
      <c r="AJ472" s="826"/>
      <c r="AK472" s="809"/>
      <c r="AL472" s="827">
        <v>0</v>
      </c>
      <c r="AM472" s="823"/>
      <c r="AN472" s="766">
        <v>0</v>
      </c>
      <c r="AO472" s="774">
        <v>0</v>
      </c>
      <c r="AP472" s="506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06"/>
      <c r="BC472" s="506"/>
      <c r="BD472" s="506"/>
      <c r="BE472" s="506"/>
      <c r="BF472" s="506"/>
      <c r="BG472" s="506"/>
      <c r="BH472" s="506"/>
      <c r="BI472" s="506"/>
      <c r="BJ472" s="506"/>
    </row>
    <row r="473" spans="1:62" ht="15.75" customHeight="1">
      <c r="A473" s="494" t="s">
        <v>68</v>
      </c>
      <c r="B473" s="503"/>
      <c r="C473" s="733" t="s">
        <v>473</v>
      </c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6"/>
      <c r="S473" s="506"/>
      <c r="T473" s="506"/>
      <c r="U473" s="506"/>
      <c r="V473" s="596" t="s">
        <v>68</v>
      </c>
      <c r="W473" s="763"/>
      <c r="X473" s="763"/>
      <c r="Y473" s="763"/>
      <c r="Z473" s="764">
        <v>0</v>
      </c>
      <c r="AA473" s="809"/>
      <c r="AB473" s="810"/>
      <c r="AC473" s="764"/>
      <c r="AD473" s="826"/>
      <c r="AE473" s="810"/>
      <c r="AF473" s="764">
        <v>0</v>
      </c>
      <c r="AG473" s="825"/>
      <c r="AH473" s="766">
        <v>0</v>
      </c>
      <c r="AI473" s="790">
        <v>0</v>
      </c>
      <c r="AJ473" s="826"/>
      <c r="AK473" s="809"/>
      <c r="AL473" s="827">
        <v>0</v>
      </c>
      <c r="AM473" s="823"/>
      <c r="AN473" s="766">
        <v>0</v>
      </c>
      <c r="AO473" s="774">
        <v>0</v>
      </c>
      <c r="AP473" s="506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06"/>
      <c r="BC473" s="506"/>
      <c r="BD473" s="506"/>
      <c r="BE473" s="506"/>
      <c r="BF473" s="506"/>
      <c r="BG473" s="506"/>
      <c r="BH473" s="506"/>
      <c r="BI473" s="506"/>
      <c r="BJ473" s="506"/>
    </row>
    <row r="474" spans="1:62" ht="15.75" customHeight="1">
      <c r="A474" s="494" t="s">
        <v>331</v>
      </c>
      <c r="B474" s="503"/>
      <c r="C474" s="733" t="s">
        <v>473</v>
      </c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6"/>
      <c r="S474" s="506"/>
      <c r="T474" s="506"/>
      <c r="U474" s="506"/>
      <c r="V474" s="596" t="s">
        <v>331</v>
      </c>
      <c r="W474" s="763"/>
      <c r="X474" s="763"/>
      <c r="Y474" s="763"/>
      <c r="Z474" s="764">
        <v>0</v>
      </c>
      <c r="AA474" s="809"/>
      <c r="AB474" s="810"/>
      <c r="AC474" s="764"/>
      <c r="AD474" s="826"/>
      <c r="AE474" s="810"/>
      <c r="AF474" s="764">
        <v>0</v>
      </c>
      <c r="AG474" s="825"/>
      <c r="AH474" s="766">
        <v>0</v>
      </c>
      <c r="AI474" s="790">
        <v>0</v>
      </c>
      <c r="AJ474" s="826"/>
      <c r="AK474" s="809"/>
      <c r="AL474" s="827">
        <v>0</v>
      </c>
      <c r="AM474" s="823"/>
      <c r="AN474" s="766">
        <v>0</v>
      </c>
      <c r="AO474" s="774">
        <v>0</v>
      </c>
      <c r="AP474" s="506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06"/>
      <c r="BC474" s="506"/>
      <c r="BD474" s="506"/>
      <c r="BE474" s="506"/>
      <c r="BF474" s="506"/>
      <c r="BG474" s="506"/>
      <c r="BH474" s="506"/>
      <c r="BI474" s="506"/>
      <c r="BJ474" s="506"/>
    </row>
    <row r="475" spans="1:62" ht="15.75" customHeight="1">
      <c r="A475" s="494" t="s">
        <v>81</v>
      </c>
      <c r="B475" s="503"/>
      <c r="C475" s="733" t="s">
        <v>473</v>
      </c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6"/>
      <c r="S475" s="506"/>
      <c r="T475" s="506"/>
      <c r="U475" s="506"/>
      <c r="V475" s="596" t="s">
        <v>81</v>
      </c>
      <c r="W475" s="763"/>
      <c r="X475" s="763"/>
      <c r="Y475" s="763"/>
      <c r="Z475" s="764">
        <v>0</v>
      </c>
      <c r="AA475" s="809"/>
      <c r="AB475" s="810"/>
      <c r="AC475" s="764"/>
      <c r="AD475" s="826"/>
      <c r="AE475" s="810"/>
      <c r="AF475" s="764">
        <v>0</v>
      </c>
      <c r="AG475" s="825"/>
      <c r="AH475" s="766">
        <v>0</v>
      </c>
      <c r="AI475" s="790">
        <v>0</v>
      </c>
      <c r="AJ475" s="826"/>
      <c r="AK475" s="809"/>
      <c r="AL475" s="827">
        <v>0</v>
      </c>
      <c r="AM475" s="823"/>
      <c r="AN475" s="766">
        <v>0</v>
      </c>
      <c r="AO475" s="774">
        <v>0</v>
      </c>
      <c r="AP475" s="506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06"/>
      <c r="BC475" s="506"/>
      <c r="BD475" s="506"/>
      <c r="BE475" s="506"/>
      <c r="BF475" s="506"/>
      <c r="BG475" s="506"/>
      <c r="BH475" s="506"/>
      <c r="BI475" s="506"/>
      <c r="BJ475" s="506"/>
    </row>
    <row r="476" spans="1:62" ht="15.75" customHeight="1">
      <c r="A476" s="494" t="s">
        <v>82</v>
      </c>
      <c r="B476" s="503"/>
      <c r="C476" s="733" t="s">
        <v>473</v>
      </c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6"/>
      <c r="S476" s="506"/>
      <c r="T476" s="506"/>
      <c r="U476" s="506"/>
      <c r="V476" s="596" t="s">
        <v>82</v>
      </c>
      <c r="W476" s="763"/>
      <c r="X476" s="763"/>
      <c r="Y476" s="763"/>
      <c r="Z476" s="764">
        <v>0</v>
      </c>
      <c r="AA476" s="809"/>
      <c r="AB476" s="810"/>
      <c r="AC476" s="764"/>
      <c r="AD476" s="826"/>
      <c r="AE476" s="810"/>
      <c r="AF476" s="764">
        <v>0</v>
      </c>
      <c r="AG476" s="825"/>
      <c r="AH476" s="766">
        <v>0</v>
      </c>
      <c r="AI476" s="790">
        <v>0</v>
      </c>
      <c r="AJ476" s="826"/>
      <c r="AK476" s="809"/>
      <c r="AL476" s="827">
        <v>0</v>
      </c>
      <c r="AM476" s="823"/>
      <c r="AN476" s="766">
        <v>0</v>
      </c>
      <c r="AO476" s="774">
        <v>0</v>
      </c>
      <c r="AP476" s="506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06"/>
      <c r="BC476" s="506"/>
      <c r="BD476" s="506"/>
      <c r="BE476" s="506"/>
      <c r="BF476" s="506"/>
      <c r="BG476" s="506"/>
      <c r="BH476" s="506"/>
      <c r="BI476" s="506"/>
      <c r="BJ476" s="506"/>
    </row>
    <row r="477" spans="1:62" ht="15.75" hidden="1" customHeight="1">
      <c r="A477" s="494" t="s">
        <v>20</v>
      </c>
      <c r="B477" s="503"/>
      <c r="C477" s="733" t="s">
        <v>473</v>
      </c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6"/>
      <c r="S477" s="506"/>
      <c r="T477" s="506"/>
      <c r="U477" s="506"/>
      <c r="V477" s="596" t="s">
        <v>20</v>
      </c>
      <c r="W477" s="763"/>
      <c r="X477" s="763"/>
      <c r="Y477" s="763"/>
      <c r="Z477" s="764">
        <v>0</v>
      </c>
      <c r="AA477" s="763"/>
      <c r="AB477" s="763"/>
      <c r="AC477" s="764"/>
      <c r="AD477" s="772"/>
      <c r="AE477" s="771"/>
      <c r="AF477" s="764">
        <v>0</v>
      </c>
      <c r="AG477" s="765"/>
      <c r="AH477" s="766">
        <v>0</v>
      </c>
      <c r="AI477" s="767">
        <v>0</v>
      </c>
      <c r="AJ477" s="772"/>
      <c r="AK477" s="763"/>
      <c r="AL477" s="764">
        <v>0</v>
      </c>
      <c r="AM477" s="823"/>
      <c r="AN477" s="766">
        <v>0</v>
      </c>
      <c r="AO477" s="774">
        <v>0</v>
      </c>
      <c r="AP477" s="506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06"/>
      <c r="BC477" s="506"/>
      <c r="BD477" s="506"/>
      <c r="BE477" s="506"/>
      <c r="BF477" s="506"/>
      <c r="BG477" s="506"/>
      <c r="BH477" s="506"/>
      <c r="BI477" s="506"/>
      <c r="BJ477" s="506"/>
    </row>
    <row r="478" spans="1:62" ht="15.75" hidden="1" customHeight="1">
      <c r="A478" s="494" t="s">
        <v>20</v>
      </c>
      <c r="B478" s="503"/>
      <c r="C478" s="733" t="s">
        <v>473</v>
      </c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6"/>
      <c r="S478" s="506"/>
      <c r="T478" s="506"/>
      <c r="U478" s="506"/>
      <c r="V478" s="596" t="s">
        <v>20</v>
      </c>
      <c r="W478" s="763"/>
      <c r="X478" s="763"/>
      <c r="Y478" s="763"/>
      <c r="Z478" s="764">
        <v>0</v>
      </c>
      <c r="AA478" s="763"/>
      <c r="AB478" s="763"/>
      <c r="AC478" s="764"/>
      <c r="AD478" s="772"/>
      <c r="AE478" s="771"/>
      <c r="AF478" s="764">
        <v>0</v>
      </c>
      <c r="AG478" s="765"/>
      <c r="AH478" s="766">
        <v>0</v>
      </c>
      <c r="AI478" s="767">
        <v>0</v>
      </c>
      <c r="AJ478" s="772"/>
      <c r="AK478" s="763"/>
      <c r="AL478" s="764">
        <v>0</v>
      </c>
      <c r="AM478" s="823"/>
      <c r="AN478" s="766">
        <v>0</v>
      </c>
      <c r="AO478" s="774">
        <v>0</v>
      </c>
      <c r="AP478" s="506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06"/>
      <c r="BC478" s="506"/>
      <c r="BD478" s="506"/>
      <c r="BE478" s="506"/>
      <c r="BF478" s="506"/>
      <c r="BG478" s="506"/>
      <c r="BH478" s="506"/>
      <c r="BI478" s="506"/>
      <c r="BJ478" s="506"/>
    </row>
    <row r="479" spans="1:62" ht="15.75" hidden="1" customHeight="1">
      <c r="A479" s="494" t="s">
        <v>20</v>
      </c>
      <c r="B479" s="503"/>
      <c r="C479" s="733" t="s">
        <v>473</v>
      </c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6"/>
      <c r="S479" s="506"/>
      <c r="T479" s="506"/>
      <c r="U479" s="506"/>
      <c r="V479" s="596" t="s">
        <v>20</v>
      </c>
      <c r="W479" s="763"/>
      <c r="X479" s="763"/>
      <c r="Y479" s="763"/>
      <c r="Z479" s="764">
        <v>0</v>
      </c>
      <c r="AA479" s="763"/>
      <c r="AB479" s="763"/>
      <c r="AC479" s="764"/>
      <c r="AD479" s="772"/>
      <c r="AE479" s="771"/>
      <c r="AF479" s="764">
        <v>0</v>
      </c>
      <c r="AG479" s="765"/>
      <c r="AH479" s="766">
        <v>0</v>
      </c>
      <c r="AI479" s="767">
        <v>0</v>
      </c>
      <c r="AJ479" s="772"/>
      <c r="AK479" s="763"/>
      <c r="AL479" s="764">
        <v>0</v>
      </c>
      <c r="AM479" s="823"/>
      <c r="AN479" s="766">
        <v>0</v>
      </c>
      <c r="AO479" s="774">
        <v>0</v>
      </c>
      <c r="AP479" s="506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06"/>
      <c r="BC479" s="506"/>
      <c r="BD479" s="506"/>
      <c r="BE479" s="506"/>
      <c r="BF479" s="506"/>
      <c r="BG479" s="506"/>
      <c r="BH479" s="506"/>
      <c r="BI479" s="506"/>
      <c r="BJ479" s="506"/>
    </row>
    <row r="480" spans="1:62" ht="15.75" customHeight="1">
      <c r="A480" s="494" t="s">
        <v>70</v>
      </c>
      <c r="B480" s="503"/>
      <c r="C480" s="733" t="s">
        <v>473</v>
      </c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6"/>
      <c r="S480" s="506"/>
      <c r="T480" s="506"/>
      <c r="U480" s="506"/>
      <c r="V480" s="598" t="s">
        <v>70</v>
      </c>
      <c r="W480" s="763"/>
      <c r="X480" s="763"/>
      <c r="Y480" s="763"/>
      <c r="Z480" s="764">
        <v>51787.592249999994</v>
      </c>
      <c r="AA480" s="809"/>
      <c r="AB480" s="810"/>
      <c r="AC480" s="764"/>
      <c r="AD480" s="828">
        <v>85.102204408817641</v>
      </c>
      <c r="AE480" s="809">
        <v>1.1086570593149541</v>
      </c>
      <c r="AF480" s="764">
        <v>42466</v>
      </c>
      <c r="AG480" s="825"/>
      <c r="AH480" s="766">
        <v>-9321.5922499999942</v>
      </c>
      <c r="AI480" s="790">
        <v>-0.17999663326691917</v>
      </c>
      <c r="AJ480" s="826"/>
      <c r="AK480" s="809"/>
      <c r="AL480" s="827">
        <v>20244</v>
      </c>
      <c r="AM480" s="823"/>
      <c r="AN480" s="766">
        <v>22222</v>
      </c>
      <c r="AO480" s="774">
        <v>1.0977079628531912</v>
      </c>
      <c r="AP480" s="506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06"/>
      <c r="BC480" s="506"/>
      <c r="BD480" s="506"/>
      <c r="BE480" s="506"/>
      <c r="BF480" s="506"/>
      <c r="BG480" s="506"/>
      <c r="BH480" s="506"/>
      <c r="BI480" s="506"/>
      <c r="BJ480" s="506"/>
    </row>
    <row r="481" spans="1:62" ht="15.75" customHeight="1">
      <c r="A481" s="494" t="s">
        <v>183</v>
      </c>
      <c r="B481" s="503"/>
      <c r="C481" s="733" t="s">
        <v>473</v>
      </c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6"/>
      <c r="S481" s="506"/>
      <c r="T481" s="506"/>
      <c r="U481" s="506"/>
      <c r="V481" s="780" t="s">
        <v>183</v>
      </c>
      <c r="W481" s="781"/>
      <c r="X481" s="782">
        <v>0.15181166240401553</v>
      </c>
      <c r="Y481" s="805"/>
      <c r="Z481" s="783">
        <v>145074.50428174905</v>
      </c>
      <c r="AA481" s="782"/>
      <c r="AB481" s="805"/>
      <c r="AC481" s="783"/>
      <c r="AD481" s="782">
        <v>0.25972153149412458</v>
      </c>
      <c r="AE481" s="805"/>
      <c r="AF481" s="783">
        <v>188527.86000000002</v>
      </c>
      <c r="AG481" s="806"/>
      <c r="AH481" s="786">
        <v>43453.355718250968</v>
      </c>
      <c r="AI481" s="782">
        <v>0.29952441287588516</v>
      </c>
      <c r="AJ481" s="829"/>
      <c r="AK481" s="830"/>
      <c r="AL481" s="783">
        <v>189746.3</v>
      </c>
      <c r="AM481" s="831"/>
      <c r="AN481" s="786">
        <v>-1218.4399999999732</v>
      </c>
      <c r="AO481" s="808">
        <v>-6.4214163859847243E-3</v>
      </c>
      <c r="AP481" s="506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06"/>
      <c r="BC481" s="506"/>
      <c r="BD481" s="506"/>
      <c r="BE481" s="506"/>
      <c r="BF481" s="506"/>
      <c r="BG481" s="506"/>
      <c r="BH481" s="506"/>
      <c r="BI481" s="506"/>
      <c r="BJ481" s="506"/>
    </row>
    <row r="482" spans="1:62" ht="6" customHeight="1" thickBot="1">
      <c r="A482" s="494" t="s">
        <v>475</v>
      </c>
      <c r="B482" s="503"/>
      <c r="C482" s="733" t="s">
        <v>473</v>
      </c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6"/>
      <c r="S482" s="506"/>
      <c r="T482" s="506"/>
      <c r="U482" s="506"/>
      <c r="V482" s="832"/>
      <c r="W482" s="833"/>
      <c r="X482" s="833"/>
      <c r="Y482" s="834"/>
      <c r="Z482" s="835"/>
      <c r="AA482" s="833"/>
      <c r="AB482" s="836"/>
      <c r="AC482" s="835"/>
      <c r="AD482" s="833"/>
      <c r="AE482" s="836"/>
      <c r="AF482" s="837"/>
      <c r="AG482" s="838"/>
      <c r="AH482" s="839"/>
      <c r="AI482" s="840"/>
      <c r="AJ482" s="841"/>
      <c r="AK482" s="842"/>
      <c r="AL482" s="837"/>
      <c r="AM482" s="843"/>
      <c r="AN482" s="839">
        <v>0</v>
      </c>
      <c r="AO482" s="844">
        <v>0</v>
      </c>
      <c r="AP482" s="506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06"/>
      <c r="BC482" s="506"/>
      <c r="BD482" s="506"/>
      <c r="BE482" s="506"/>
      <c r="BF482" s="506"/>
      <c r="BG482" s="506"/>
      <c r="BH482" s="506"/>
      <c r="BI482" s="506"/>
      <c r="BJ482" s="506"/>
    </row>
    <row r="483" spans="1:62" ht="15.75" customHeight="1" thickTop="1" thickBot="1">
      <c r="A483" s="494" t="s">
        <v>184</v>
      </c>
      <c r="B483" s="503"/>
      <c r="C483" s="733" t="s">
        <v>473</v>
      </c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6"/>
      <c r="S483" s="506"/>
      <c r="T483" s="506"/>
      <c r="U483" s="506"/>
      <c r="V483" s="845" t="s">
        <v>184</v>
      </c>
      <c r="W483" s="846"/>
      <c r="X483" s="847" t="s">
        <v>185</v>
      </c>
      <c r="Y483" s="848">
        <v>5.6535903320137151E-2</v>
      </c>
      <c r="Z483" s="849">
        <v>366129.58811093809</v>
      </c>
      <c r="AA483" s="847"/>
      <c r="AB483" s="848"/>
      <c r="AC483" s="849"/>
      <c r="AD483" s="847" t="s">
        <v>185</v>
      </c>
      <c r="AE483" s="848">
        <v>4.0254102204977063E-2</v>
      </c>
      <c r="AF483" s="850">
        <v>237063.84</v>
      </c>
      <c r="AG483" s="851"/>
      <c r="AH483" s="851">
        <v>-129065.74811093809</v>
      </c>
      <c r="AI483" s="852">
        <v>-0.35251384291790938</v>
      </c>
      <c r="AJ483" s="853" t="s">
        <v>185</v>
      </c>
      <c r="AK483" s="848">
        <v>5.8078109455533052E-2</v>
      </c>
      <c r="AL483" s="850">
        <v>184613.6699999994</v>
      </c>
      <c r="AM483" s="854"/>
      <c r="AN483" s="850">
        <v>52450.170000000595</v>
      </c>
      <c r="AO483" s="855">
        <v>0.28410772615051078</v>
      </c>
      <c r="AP483" s="506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06"/>
      <c r="BC483" s="506"/>
      <c r="BD483" s="506"/>
      <c r="BE483" s="506"/>
      <c r="BF483" s="506"/>
      <c r="BG483" s="506"/>
      <c r="BH483" s="506"/>
      <c r="BI483" s="506"/>
      <c r="BJ483" s="506"/>
    </row>
    <row r="484" spans="1:62" ht="8.25" customHeight="1" thickTop="1">
      <c r="A484" s="494" t="s">
        <v>475</v>
      </c>
      <c r="B484" s="503"/>
      <c r="C484" s="733" t="s">
        <v>473</v>
      </c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6"/>
      <c r="S484" s="506"/>
      <c r="T484" s="506"/>
      <c r="U484" s="506"/>
      <c r="V484" s="495"/>
      <c r="W484" s="495"/>
      <c r="X484" s="495"/>
      <c r="Y484" s="495"/>
      <c r="Z484" s="570"/>
      <c r="AA484" s="509"/>
      <c r="AB484" s="509"/>
      <c r="AC484" s="570"/>
      <c r="AD484" s="509"/>
      <c r="AE484" s="509"/>
      <c r="AF484" s="856"/>
      <c r="AG484" s="509"/>
      <c r="AH484" s="509"/>
      <c r="AI484" s="509"/>
      <c r="AJ484" s="509"/>
      <c r="AK484" s="509"/>
      <c r="AL484" s="570"/>
      <c r="AM484" s="509"/>
      <c r="AN484" s="509"/>
      <c r="AO484" s="509"/>
      <c r="AP484" s="506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06"/>
      <c r="BC484" s="506"/>
      <c r="BD484" s="506"/>
      <c r="BE484" s="506"/>
      <c r="BF484" s="506"/>
      <c r="BG484" s="506"/>
      <c r="BH484" s="506"/>
      <c r="BI484" s="506"/>
      <c r="BJ484" s="506"/>
    </row>
    <row r="485" spans="1:62" ht="18" customHeight="1">
      <c r="A485" s="494" t="s">
        <v>477</v>
      </c>
      <c r="B485" s="503"/>
      <c r="C485" s="733" t="s">
        <v>473</v>
      </c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6"/>
      <c r="S485" s="506"/>
      <c r="T485" s="506"/>
      <c r="U485" s="506"/>
      <c r="V485" s="857" t="s">
        <v>477</v>
      </c>
      <c r="W485" s="857"/>
      <c r="X485" s="857"/>
      <c r="Y485" s="857"/>
      <c r="Z485" s="857"/>
      <c r="AA485" s="857"/>
      <c r="AB485" s="857"/>
      <c r="AC485" s="857"/>
      <c r="AD485" s="857"/>
      <c r="AE485" s="858" t="s">
        <v>186</v>
      </c>
      <c r="AF485" s="857"/>
      <c r="AG485" s="857"/>
      <c r="AH485" s="857"/>
      <c r="AI485" s="857"/>
      <c r="AJ485" s="859"/>
      <c r="AK485" s="860"/>
      <c r="AL485" s="857"/>
      <c r="AM485" s="857"/>
      <c r="AN485" s="857"/>
      <c r="AO485" s="861" t="s">
        <v>481</v>
      </c>
      <c r="AP485" s="506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06"/>
      <c r="BC485" s="506"/>
      <c r="BD485" s="506"/>
      <c r="BE485" s="506"/>
      <c r="BF485" s="506"/>
      <c r="BG485" s="506"/>
      <c r="BH485" s="506"/>
      <c r="BI485" s="506"/>
      <c r="BJ485" s="506"/>
    </row>
    <row r="486" spans="1:62" ht="3" customHeight="1">
      <c r="A486" s="494" t="s">
        <v>475</v>
      </c>
      <c r="B486" s="503"/>
      <c r="C486" s="733" t="s">
        <v>473</v>
      </c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6"/>
      <c r="S486" s="506"/>
      <c r="T486" s="506"/>
      <c r="U486" s="506"/>
      <c r="V486" s="495"/>
      <c r="W486" s="495"/>
      <c r="X486" s="495"/>
      <c r="Y486" s="495"/>
      <c r="Z486" s="570"/>
      <c r="AA486" s="509"/>
      <c r="AB486" s="509"/>
      <c r="AC486" s="570"/>
      <c r="AD486" s="509"/>
      <c r="AE486" s="509"/>
      <c r="AF486" s="856"/>
      <c r="AG486" s="509"/>
      <c r="AH486" s="509"/>
      <c r="AI486" s="509"/>
      <c r="AJ486" s="509"/>
      <c r="AK486" s="509"/>
      <c r="AL486" s="570"/>
      <c r="AM486" s="509"/>
      <c r="AN486" s="509"/>
      <c r="AO486" s="509"/>
      <c r="AP486" s="506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06"/>
      <c r="BC486" s="506"/>
      <c r="BD486" s="506"/>
      <c r="BE486" s="506"/>
      <c r="BF486" s="506"/>
      <c r="BG486" s="506"/>
      <c r="BH486" s="506"/>
      <c r="BI486" s="506"/>
      <c r="BJ486" s="506"/>
    </row>
    <row r="487" spans="1:62" ht="3" customHeight="1">
      <c r="A487" s="494" t="s">
        <v>475</v>
      </c>
      <c r="B487" s="503"/>
      <c r="C487" s="733" t="s">
        <v>473</v>
      </c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6"/>
      <c r="S487" s="506"/>
      <c r="T487" s="506"/>
      <c r="U487" s="506"/>
      <c r="V487" s="495"/>
      <c r="W487" s="495"/>
      <c r="X487" s="495"/>
      <c r="Y487" s="495"/>
      <c r="Z487" s="570"/>
      <c r="AA487" s="509"/>
      <c r="AB487" s="509"/>
      <c r="AC487" s="570"/>
      <c r="AD487" s="509"/>
      <c r="AE487" s="509"/>
      <c r="AF487" s="856"/>
      <c r="AG487" s="509"/>
      <c r="AH487" s="509"/>
      <c r="AI487" s="509"/>
      <c r="AJ487" s="509"/>
      <c r="AK487" s="509"/>
      <c r="AL487" s="570"/>
      <c r="AM487" s="509"/>
      <c r="AN487" s="509"/>
      <c r="AO487" s="509"/>
      <c r="AP487" s="506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06"/>
      <c r="BC487" s="506"/>
      <c r="BD487" s="506"/>
      <c r="BE487" s="506"/>
      <c r="BF487" s="506"/>
      <c r="BG487" s="506"/>
      <c r="BH487" s="506"/>
      <c r="BI487" s="506"/>
      <c r="BJ487" s="506"/>
    </row>
    <row r="488" spans="1:62" ht="3" customHeight="1" thickBot="1">
      <c r="A488" s="494" t="s">
        <v>475</v>
      </c>
      <c r="B488" s="503"/>
      <c r="C488" s="733" t="s">
        <v>473</v>
      </c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6"/>
      <c r="S488" s="506"/>
      <c r="T488" s="506"/>
      <c r="U488" s="506"/>
      <c r="V488" s="495"/>
      <c r="W488" s="495"/>
      <c r="X488" s="495"/>
      <c r="Y488" s="495"/>
      <c r="Z488" s="570"/>
      <c r="AA488" s="509"/>
      <c r="AB488" s="509"/>
      <c r="AC488" s="570"/>
      <c r="AD488" s="509"/>
      <c r="AE488" s="509"/>
      <c r="AF488" s="856"/>
      <c r="AG488" s="509"/>
      <c r="AH488" s="509"/>
      <c r="AI488" s="509"/>
      <c r="AJ488" s="509"/>
      <c r="AK488" s="509"/>
      <c r="AL488" s="570"/>
      <c r="AM488" s="509"/>
      <c r="AN488" s="509"/>
      <c r="AO488" s="509"/>
      <c r="AP488" s="506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06"/>
      <c r="BC488" s="506"/>
      <c r="BD488" s="506"/>
      <c r="BE488" s="506"/>
      <c r="BF488" s="506"/>
      <c r="BG488" s="506"/>
      <c r="BH488" s="506"/>
      <c r="BI488" s="506"/>
      <c r="BJ488" s="506"/>
    </row>
    <row r="489" spans="1:62" ht="15.75" customHeight="1" thickTop="1" thickBot="1">
      <c r="A489" s="494" t="s">
        <v>184</v>
      </c>
      <c r="B489" s="503"/>
      <c r="C489" s="733" t="s">
        <v>473</v>
      </c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6"/>
      <c r="S489" s="506"/>
      <c r="T489" s="506"/>
      <c r="U489" s="506"/>
      <c r="V489" s="845" t="s">
        <v>184</v>
      </c>
      <c r="W489" s="846"/>
      <c r="X489" s="847" t="s">
        <v>185</v>
      </c>
      <c r="Y489" s="848">
        <v>5.6535903320137151E-2</v>
      </c>
      <c r="Z489" s="849">
        <v>366129.58811093809</v>
      </c>
      <c r="AA489" s="847"/>
      <c r="AB489" s="848"/>
      <c r="AC489" s="849"/>
      <c r="AD489" s="847" t="s">
        <v>185</v>
      </c>
      <c r="AE489" s="848">
        <v>4.0254102204977063E-2</v>
      </c>
      <c r="AF489" s="849">
        <v>237063.84</v>
      </c>
      <c r="AG489" s="850"/>
      <c r="AH489" s="851">
        <v>-129065.74811093809</v>
      </c>
      <c r="AI489" s="852">
        <v>-0.35251384291790938</v>
      </c>
      <c r="AJ489" s="847" t="s">
        <v>185</v>
      </c>
      <c r="AK489" s="848">
        <v>5.8078109455533052E-2</v>
      </c>
      <c r="AL489" s="862">
        <v>184613.6699999994</v>
      </c>
      <c r="AM489" s="863"/>
      <c r="AN489" s="864">
        <v>52450.170000000595</v>
      </c>
      <c r="AO489" s="865">
        <v>0.28410772615051078</v>
      </c>
      <c r="AP489" s="506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06"/>
      <c r="BC489" s="506"/>
      <c r="BD489" s="506"/>
      <c r="BE489" s="506"/>
      <c r="BF489" s="506"/>
      <c r="BG489" s="506"/>
      <c r="BH489" s="506"/>
      <c r="BI489" s="506"/>
      <c r="BJ489" s="506"/>
    </row>
    <row r="490" spans="1:62" ht="15.75" customHeight="1" thickTop="1">
      <c r="A490" s="494" t="s">
        <v>475</v>
      </c>
      <c r="B490" s="503"/>
      <c r="C490" s="733" t="s">
        <v>473</v>
      </c>
      <c r="D490" s="506"/>
      <c r="E490" s="506"/>
      <c r="F490" s="653"/>
      <c r="G490" s="506"/>
      <c r="H490" s="506"/>
      <c r="I490" s="653"/>
      <c r="J490" s="506"/>
      <c r="K490" s="506"/>
      <c r="L490" s="506"/>
      <c r="M490" s="653"/>
      <c r="N490" s="506"/>
      <c r="O490" s="506"/>
      <c r="P490" s="506"/>
      <c r="Q490" s="653"/>
      <c r="R490" s="653"/>
      <c r="S490" s="653"/>
      <c r="T490" s="812"/>
      <c r="U490" s="812"/>
      <c r="V490" s="866"/>
      <c r="W490" s="506"/>
      <c r="X490" s="506"/>
      <c r="Y490" s="506"/>
      <c r="Z490" s="867"/>
      <c r="AA490" s="506"/>
      <c r="AB490" s="506"/>
      <c r="AC490" s="868"/>
      <c r="AD490" s="506"/>
      <c r="AE490" s="506"/>
      <c r="AF490" s="868"/>
      <c r="AG490" s="506"/>
      <c r="AH490" s="506"/>
      <c r="AI490" s="868"/>
      <c r="AJ490" s="506"/>
      <c r="AK490" s="506"/>
      <c r="AL490" s="869"/>
      <c r="AM490" s="870"/>
      <c r="AN490" s="506"/>
      <c r="AO490" s="871"/>
      <c r="AP490" s="506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06"/>
      <c r="BC490" s="506"/>
      <c r="BD490" s="506"/>
      <c r="BE490" s="506"/>
      <c r="BF490" s="506"/>
      <c r="BG490" s="506"/>
      <c r="BH490" s="506"/>
      <c r="BI490" s="506"/>
      <c r="BJ490" s="506"/>
    </row>
    <row r="491" spans="1:62" ht="15.75" customHeight="1">
      <c r="A491" s="494" t="s">
        <v>187</v>
      </c>
      <c r="B491" s="503"/>
      <c r="C491" s="733" t="s">
        <v>473</v>
      </c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6"/>
      <c r="S491" s="506"/>
      <c r="T491" s="506"/>
      <c r="U491" s="506"/>
      <c r="V491" s="596" t="s">
        <v>187</v>
      </c>
      <c r="W491" s="770"/>
      <c r="X491" s="763"/>
      <c r="Y491" s="771"/>
      <c r="Z491" s="764">
        <v>6315</v>
      </c>
      <c r="AA491" s="763"/>
      <c r="AB491" s="771"/>
      <c r="AC491" s="764"/>
      <c r="AD491" s="763"/>
      <c r="AE491" s="771"/>
      <c r="AF491" s="764">
        <v>6315</v>
      </c>
      <c r="AG491" s="763"/>
      <c r="AH491" s="766">
        <v>0</v>
      </c>
      <c r="AI491" s="790">
        <v>0</v>
      </c>
      <c r="AJ491" s="763"/>
      <c r="AK491" s="763"/>
      <c r="AL491" s="764">
        <v>4314.5</v>
      </c>
      <c r="AM491" s="768"/>
      <c r="AN491" s="766">
        <v>2000.5</v>
      </c>
      <c r="AO491" s="774">
        <v>0.46366902306176844</v>
      </c>
      <c r="AP491" s="506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06"/>
      <c r="BC491" s="506"/>
      <c r="BD491" s="506"/>
      <c r="BE491" s="506"/>
      <c r="BF491" s="506"/>
      <c r="BG491" s="506"/>
      <c r="BH491" s="506"/>
      <c r="BI491" s="506"/>
      <c r="BJ491" s="506"/>
    </row>
    <row r="492" spans="1:62" ht="15.75" customHeight="1">
      <c r="A492" s="494" t="s">
        <v>188</v>
      </c>
      <c r="B492" s="503"/>
      <c r="C492" s="733" t="s">
        <v>473</v>
      </c>
      <c r="D492" s="506"/>
      <c r="E492" s="506"/>
      <c r="F492" s="653"/>
      <c r="G492" s="506"/>
      <c r="H492" s="506"/>
      <c r="I492" s="653"/>
      <c r="J492" s="506"/>
      <c r="K492" s="506"/>
      <c r="L492" s="506"/>
      <c r="M492" s="653"/>
      <c r="N492" s="506"/>
      <c r="O492" s="506"/>
      <c r="P492" s="506"/>
      <c r="Q492" s="653"/>
      <c r="R492" s="653"/>
      <c r="S492" s="653"/>
      <c r="T492" s="506"/>
      <c r="U492" s="506"/>
      <c r="V492" s="596" t="s">
        <v>188</v>
      </c>
      <c r="W492" s="506"/>
      <c r="X492" s="506"/>
      <c r="Y492" s="506"/>
      <c r="Z492" s="764">
        <v>0</v>
      </c>
      <c r="AA492" s="506"/>
      <c r="AB492" s="506"/>
      <c r="AC492" s="764"/>
      <c r="AD492" s="506"/>
      <c r="AE492" s="509"/>
      <c r="AF492" s="764">
        <v>0</v>
      </c>
      <c r="AG492" s="506"/>
      <c r="AH492" s="766">
        <v>0</v>
      </c>
      <c r="AI492" s="790">
        <v>0</v>
      </c>
      <c r="AJ492" s="506"/>
      <c r="AK492" s="506"/>
      <c r="AL492" s="764">
        <v>0</v>
      </c>
      <c r="AM492" s="870"/>
      <c r="AN492" s="766">
        <v>0</v>
      </c>
      <c r="AO492" s="774">
        <v>0</v>
      </c>
      <c r="AP492" s="506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06"/>
      <c r="BC492" s="506"/>
      <c r="BD492" s="506"/>
      <c r="BE492" s="506"/>
      <c r="BF492" s="506"/>
      <c r="BG492" s="506"/>
      <c r="BH492" s="506"/>
      <c r="BI492" s="506"/>
      <c r="BJ492" s="506"/>
    </row>
    <row r="493" spans="1:62" ht="15.75" customHeight="1">
      <c r="A493" s="494" t="s">
        <v>189</v>
      </c>
      <c r="B493" s="503"/>
      <c r="C493" s="733" t="s">
        <v>473</v>
      </c>
      <c r="D493" s="506"/>
      <c r="E493" s="506"/>
      <c r="F493" s="653"/>
      <c r="G493" s="506"/>
      <c r="H493" s="506"/>
      <c r="I493" s="653"/>
      <c r="J493" s="506"/>
      <c r="K493" s="506"/>
      <c r="L493" s="506"/>
      <c r="M493" s="653"/>
      <c r="N493" s="506"/>
      <c r="O493" s="506"/>
      <c r="P493" s="506"/>
      <c r="Q493" s="653"/>
      <c r="R493" s="653"/>
      <c r="S493" s="653"/>
      <c r="T493" s="506"/>
      <c r="U493" s="506"/>
      <c r="V493" s="596" t="s">
        <v>189</v>
      </c>
      <c r="W493" s="509"/>
      <c r="X493" s="509"/>
      <c r="Y493" s="509"/>
      <c r="Z493" s="764">
        <v>0</v>
      </c>
      <c r="AA493" s="506"/>
      <c r="AB493" s="506"/>
      <c r="AC493" s="764"/>
      <c r="AD493" s="506"/>
      <c r="AE493" s="509"/>
      <c r="AF493" s="764">
        <v>-917.02</v>
      </c>
      <c r="AG493" s="506"/>
      <c r="AH493" s="766">
        <v>-917.02</v>
      </c>
      <c r="AI493" s="790">
        <v>0</v>
      </c>
      <c r="AJ493" s="506"/>
      <c r="AK493" s="506"/>
      <c r="AL493" s="764">
        <v>0</v>
      </c>
      <c r="AM493" s="870"/>
      <c r="AN493" s="766">
        <v>-917.02</v>
      </c>
      <c r="AO493" s="774">
        <v>0</v>
      </c>
      <c r="AP493" s="506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06"/>
      <c r="BC493" s="506"/>
      <c r="BD493" s="506"/>
      <c r="BE493" s="506"/>
      <c r="BF493" s="506"/>
      <c r="BG493" s="506"/>
      <c r="BH493" s="506"/>
      <c r="BI493" s="506"/>
      <c r="BJ493" s="506"/>
    </row>
    <row r="494" spans="1:62" ht="15.75" customHeight="1">
      <c r="A494" s="494" t="s">
        <v>190</v>
      </c>
      <c r="B494" s="503"/>
      <c r="C494" s="733" t="s">
        <v>473</v>
      </c>
      <c r="D494" s="506"/>
      <c r="E494" s="506"/>
      <c r="F494" s="653"/>
      <c r="G494" s="506"/>
      <c r="H494" s="506"/>
      <c r="I494" s="653"/>
      <c r="J494" s="506"/>
      <c r="K494" s="506"/>
      <c r="L494" s="506"/>
      <c r="M494" s="653"/>
      <c r="N494" s="506"/>
      <c r="O494" s="506"/>
      <c r="P494" s="506"/>
      <c r="Q494" s="653"/>
      <c r="R494" s="653"/>
      <c r="S494" s="653"/>
      <c r="T494" s="506"/>
      <c r="U494" s="506"/>
      <c r="V494" s="596" t="s">
        <v>190</v>
      </c>
      <c r="W494" s="509"/>
      <c r="X494" s="509"/>
      <c r="Y494" s="509"/>
      <c r="Z494" s="764">
        <v>0</v>
      </c>
      <c r="AA494" s="506"/>
      <c r="AB494" s="506"/>
      <c r="AC494" s="764"/>
      <c r="AD494" s="506"/>
      <c r="AE494" s="509"/>
      <c r="AF494" s="764">
        <v>0</v>
      </c>
      <c r="AG494" s="506"/>
      <c r="AH494" s="766">
        <v>0</v>
      </c>
      <c r="AI494" s="790">
        <v>0</v>
      </c>
      <c r="AJ494" s="506"/>
      <c r="AK494" s="506"/>
      <c r="AL494" s="764">
        <v>0</v>
      </c>
      <c r="AM494" s="870"/>
      <c r="AN494" s="766">
        <v>0</v>
      </c>
      <c r="AO494" s="774">
        <v>0</v>
      </c>
      <c r="AP494" s="506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06"/>
      <c r="BC494" s="506"/>
      <c r="BD494" s="506"/>
      <c r="BE494" s="506"/>
      <c r="BF494" s="506"/>
      <c r="BG494" s="506"/>
      <c r="BH494" s="506"/>
      <c r="BI494" s="506"/>
      <c r="BJ494" s="506"/>
    </row>
    <row r="495" spans="1:62" ht="15.75" hidden="1" customHeight="1">
      <c r="A495" s="494" t="s">
        <v>20</v>
      </c>
      <c r="B495" s="503"/>
      <c r="C495" s="733" t="s">
        <v>473</v>
      </c>
      <c r="D495" s="506"/>
      <c r="E495" s="506"/>
      <c r="F495" s="653"/>
      <c r="G495" s="506"/>
      <c r="H495" s="506"/>
      <c r="I495" s="653"/>
      <c r="J495" s="506"/>
      <c r="K495" s="506"/>
      <c r="L495" s="506"/>
      <c r="M495" s="653"/>
      <c r="N495" s="506"/>
      <c r="O495" s="506"/>
      <c r="P495" s="506"/>
      <c r="Q495" s="653"/>
      <c r="R495" s="653"/>
      <c r="S495" s="653"/>
      <c r="T495" s="506"/>
      <c r="U495" s="506"/>
      <c r="V495" s="596" t="s">
        <v>20</v>
      </c>
      <c r="W495" s="509"/>
      <c r="X495" s="509"/>
      <c r="Y495" s="509"/>
      <c r="Z495" s="764">
        <v>0</v>
      </c>
      <c r="AA495" s="763"/>
      <c r="AB495" s="763"/>
      <c r="AC495" s="764"/>
      <c r="AD495" s="772"/>
      <c r="AE495" s="771"/>
      <c r="AF495" s="764">
        <v>0</v>
      </c>
      <c r="AG495" s="765"/>
      <c r="AH495" s="766">
        <v>0</v>
      </c>
      <c r="AI495" s="767">
        <v>0</v>
      </c>
      <c r="AJ495" s="772"/>
      <c r="AK495" s="763"/>
      <c r="AL495" s="764">
        <v>0</v>
      </c>
      <c r="AM495" s="870"/>
      <c r="AN495" s="766">
        <v>0</v>
      </c>
      <c r="AO495" s="774">
        <v>0</v>
      </c>
      <c r="AP495" s="506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06"/>
      <c r="BC495" s="506"/>
      <c r="BD495" s="506"/>
      <c r="BE495" s="506"/>
      <c r="BF495" s="506"/>
      <c r="BG495" s="506"/>
      <c r="BH495" s="506"/>
      <c r="BI495" s="506"/>
      <c r="BJ495" s="506"/>
    </row>
    <row r="496" spans="1:62" ht="15.75" customHeight="1" thickBot="1">
      <c r="A496" s="596" t="s">
        <v>216</v>
      </c>
      <c r="B496" s="503"/>
      <c r="C496" s="733" t="s">
        <v>473</v>
      </c>
      <c r="D496" s="506"/>
      <c r="E496" s="506"/>
      <c r="F496" s="653"/>
      <c r="G496" s="506"/>
      <c r="H496" s="506"/>
      <c r="I496" s="653"/>
      <c r="J496" s="506"/>
      <c r="K496" s="506"/>
      <c r="L496" s="506"/>
      <c r="M496" s="653"/>
      <c r="N496" s="506"/>
      <c r="O496" s="506"/>
      <c r="P496" s="506"/>
      <c r="Q496" s="653"/>
      <c r="R496" s="653"/>
      <c r="S496" s="653"/>
      <c r="T496" s="506"/>
      <c r="U496" s="506"/>
      <c r="V496" s="596" t="s">
        <v>216</v>
      </c>
      <c r="W496" s="509"/>
      <c r="X496" s="509"/>
      <c r="Y496" s="509"/>
      <c r="Z496" s="764">
        <v>-4666.666666666667</v>
      </c>
      <c r="AA496" s="763"/>
      <c r="AB496" s="763"/>
      <c r="AC496" s="764"/>
      <c r="AD496" s="772"/>
      <c r="AE496" s="771"/>
      <c r="AF496" s="764">
        <v>-4354.1000000000004</v>
      </c>
      <c r="AG496" s="765"/>
      <c r="AH496" s="766">
        <v>312.56666666666661</v>
      </c>
      <c r="AI496" s="767">
        <v>-6.6978571428571415E-2</v>
      </c>
      <c r="AJ496" s="772"/>
      <c r="AK496" s="763"/>
      <c r="AL496" s="764">
        <v>0</v>
      </c>
      <c r="AM496" s="870"/>
      <c r="AN496" s="766">
        <v>-4354.1000000000004</v>
      </c>
      <c r="AO496" s="774">
        <v>0</v>
      </c>
      <c r="AP496" s="506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06"/>
      <c r="BC496" s="506"/>
      <c r="BD496" s="506"/>
      <c r="BE496" s="506"/>
      <c r="BF496" s="506"/>
      <c r="BG496" s="506"/>
      <c r="BH496" s="506"/>
      <c r="BI496" s="506"/>
      <c r="BJ496" s="506"/>
    </row>
    <row r="497" spans="1:62" ht="15.75" hidden="1" customHeight="1">
      <c r="A497" s="494" t="s">
        <v>20</v>
      </c>
      <c r="B497" s="503"/>
      <c r="C497" s="733" t="s">
        <v>473</v>
      </c>
      <c r="D497" s="506"/>
      <c r="E497" s="506"/>
      <c r="F497" s="653"/>
      <c r="G497" s="506"/>
      <c r="H497" s="506"/>
      <c r="I497" s="653"/>
      <c r="J497" s="506"/>
      <c r="K497" s="506"/>
      <c r="L497" s="506"/>
      <c r="M497" s="653"/>
      <c r="N497" s="506"/>
      <c r="O497" s="506"/>
      <c r="P497" s="506"/>
      <c r="Q497" s="653"/>
      <c r="R497" s="653"/>
      <c r="S497" s="653"/>
      <c r="T497" s="506"/>
      <c r="U497" s="506"/>
      <c r="V497" s="596" t="s">
        <v>20</v>
      </c>
      <c r="W497" s="509"/>
      <c r="X497" s="506"/>
      <c r="Y497" s="509"/>
      <c r="Z497" s="764">
        <v>0</v>
      </c>
      <c r="AA497" s="763"/>
      <c r="AB497" s="763"/>
      <c r="AC497" s="764"/>
      <c r="AD497" s="772"/>
      <c r="AE497" s="771"/>
      <c r="AF497" s="764">
        <v>0</v>
      </c>
      <c r="AG497" s="765"/>
      <c r="AH497" s="766">
        <v>0</v>
      </c>
      <c r="AI497" s="767">
        <v>0</v>
      </c>
      <c r="AJ497" s="772"/>
      <c r="AK497" s="763"/>
      <c r="AL497" s="764">
        <v>0</v>
      </c>
      <c r="AM497" s="870"/>
      <c r="AN497" s="766">
        <v>0</v>
      </c>
      <c r="AO497" s="774">
        <v>0</v>
      </c>
      <c r="AP497" s="506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06"/>
      <c r="BC497" s="506"/>
      <c r="BD497" s="506"/>
      <c r="BE497" s="506"/>
      <c r="BF497" s="506"/>
      <c r="BG497" s="506"/>
      <c r="BH497" s="506"/>
      <c r="BI497" s="506"/>
      <c r="BJ497" s="506"/>
    </row>
    <row r="498" spans="1:62" ht="15.75" customHeight="1" thickTop="1" thickBot="1">
      <c r="A498" s="494" t="s">
        <v>191</v>
      </c>
      <c r="B498" s="503"/>
      <c r="C498" s="733" t="s">
        <v>473</v>
      </c>
      <c r="D498" s="506"/>
      <c r="E498" s="506"/>
      <c r="F498" s="653"/>
      <c r="G498" s="506"/>
      <c r="H498" s="506"/>
      <c r="I498" s="653"/>
      <c r="J498" s="506"/>
      <c r="K498" s="506"/>
      <c r="L498" s="506"/>
      <c r="M498" s="653"/>
      <c r="N498" s="506"/>
      <c r="O498" s="506"/>
      <c r="P498" s="506"/>
      <c r="Q498" s="653"/>
      <c r="R498" s="653"/>
      <c r="S498" s="653"/>
      <c r="T498" s="506"/>
      <c r="U498" s="506"/>
      <c r="V498" s="845" t="s">
        <v>191</v>
      </c>
      <c r="W498" s="846"/>
      <c r="X498" s="847" t="s">
        <v>185</v>
      </c>
      <c r="Y498" s="848">
        <v>5.6281375915090456E-2</v>
      </c>
      <c r="Z498" s="849">
        <v>364481.25477760477</v>
      </c>
      <c r="AA498" s="847"/>
      <c r="AB498" s="848"/>
      <c r="AC498" s="849"/>
      <c r="AD498" s="847" t="s">
        <v>185</v>
      </c>
      <c r="AE498" s="848">
        <v>4.007684846518389E-2</v>
      </c>
      <c r="AF498" s="850">
        <v>236019.96</v>
      </c>
      <c r="AG498" s="851"/>
      <c r="AH498" s="851">
        <v>-128461.29477760478</v>
      </c>
      <c r="AI498" s="852">
        <v>-0.35244966124797805</v>
      </c>
      <c r="AJ498" s="853" t="s">
        <v>185</v>
      </c>
      <c r="AK498" s="848">
        <v>5.672079933193333E-2</v>
      </c>
      <c r="AL498" s="850">
        <v>180299.1699999994</v>
      </c>
      <c r="AM498" s="854"/>
      <c r="AN498" s="850">
        <v>55720.79000000059</v>
      </c>
      <c r="AO498" s="872">
        <v>0.3090462923373456</v>
      </c>
      <c r="AP498" s="506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06"/>
      <c r="BC498" s="506"/>
      <c r="BD498" s="506"/>
      <c r="BE498" s="506"/>
      <c r="BF498" s="506"/>
      <c r="BG498" s="506"/>
      <c r="BH498" s="506"/>
      <c r="BI498" s="506"/>
      <c r="BJ498" s="506"/>
    </row>
    <row r="499" spans="1:62" ht="15.75" customHeight="1" thickTop="1">
      <c r="A499" s="494" t="s">
        <v>475</v>
      </c>
      <c r="B499" s="503"/>
      <c r="C499" s="506"/>
      <c r="D499" s="506"/>
      <c r="E499" s="506"/>
      <c r="F499" s="653"/>
      <c r="G499" s="506"/>
      <c r="H499" s="506"/>
      <c r="I499" s="653"/>
      <c r="J499" s="506"/>
      <c r="K499" s="506"/>
      <c r="L499" s="506"/>
      <c r="M499" s="653"/>
      <c r="N499" s="506"/>
      <c r="O499" s="506"/>
      <c r="P499" s="506"/>
      <c r="Q499" s="653"/>
      <c r="R499" s="653"/>
      <c r="S499" s="653"/>
      <c r="T499" s="506"/>
      <c r="U499" s="506"/>
      <c r="V499" s="506"/>
      <c r="W499" s="506"/>
      <c r="X499" s="506"/>
      <c r="Y499" s="506"/>
      <c r="Z499" s="506"/>
      <c r="AA499" s="506"/>
      <c r="AB499" s="506"/>
      <c r="AC499" s="506"/>
      <c r="AD499" s="506"/>
      <c r="AE499" s="873"/>
      <c r="AF499" s="874"/>
      <c r="AG499" s="506"/>
      <c r="AH499" s="506"/>
      <c r="AI499" s="506"/>
      <c r="AJ499" s="506"/>
      <c r="AK499" s="506"/>
      <c r="AL499" s="506"/>
      <c r="AM499" s="506"/>
      <c r="AN499" s="506"/>
      <c r="AO499" s="506"/>
      <c r="AP499" s="506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06"/>
      <c r="BC499" s="506"/>
      <c r="BD499" s="506"/>
      <c r="BE499" s="506"/>
      <c r="BF499" s="506"/>
      <c r="BG499" s="506"/>
      <c r="BH499" s="506"/>
      <c r="BI499" s="506"/>
      <c r="BJ499" s="506"/>
    </row>
    <row r="500" spans="1:62" ht="15.75" customHeight="1">
      <c r="B500" s="503"/>
      <c r="T500" s="506"/>
      <c r="U500" s="506"/>
      <c r="V500" s="506"/>
      <c r="W500" s="506"/>
      <c r="X500" s="506"/>
      <c r="Y500" s="506"/>
      <c r="Z500" s="653"/>
      <c r="AA500" s="506"/>
      <c r="AB500" s="506"/>
      <c r="AC500" s="653"/>
      <c r="AE500" s="506" t="s">
        <v>478</v>
      </c>
      <c r="AF500" s="766">
        <v>160386</v>
      </c>
      <c r="AG500" s="506"/>
      <c r="AH500" s="506"/>
      <c r="AI500" s="506"/>
      <c r="AJ500" s="875"/>
      <c r="AK500" s="876"/>
      <c r="AL500" s="877"/>
      <c r="AM500" s="506"/>
      <c r="AN500" s="506"/>
      <c r="AO500" s="506"/>
      <c r="AP500" s="506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06"/>
      <c r="BC500" s="506"/>
      <c r="BD500" s="506"/>
      <c r="BE500" s="506"/>
      <c r="BF500" s="506"/>
      <c r="BG500" s="506"/>
      <c r="BH500" s="506"/>
      <c r="BI500" s="506"/>
      <c r="BJ500" s="506"/>
    </row>
    <row r="501" spans="1:62" ht="15.75" customHeight="1">
      <c r="B501" s="503"/>
      <c r="C501" s="506"/>
      <c r="S501" s="653"/>
      <c r="W501" s="506"/>
      <c r="X501" s="506"/>
      <c r="Y501" s="506"/>
      <c r="Z501" s="653"/>
      <c r="AA501" s="506"/>
      <c r="AB501" s="506"/>
      <c r="AC501" s="653"/>
      <c r="AD501" s="506"/>
      <c r="AE501" s="506"/>
      <c r="AF501" s="878"/>
      <c r="AG501" s="506"/>
      <c r="AH501" s="506"/>
      <c r="AI501" s="506"/>
      <c r="AJ501" s="506"/>
      <c r="AL501" s="877"/>
      <c r="AM501" s="506"/>
      <c r="AN501" s="506"/>
      <c r="AO501" s="506"/>
      <c r="AP501" s="506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06"/>
      <c r="BC501" s="506"/>
      <c r="BD501" s="506"/>
      <c r="BE501" s="506"/>
      <c r="BF501" s="506"/>
      <c r="BG501" s="506"/>
      <c r="BH501" s="506"/>
      <c r="BI501" s="506"/>
      <c r="BJ501" s="506"/>
    </row>
    <row r="502" spans="1:62" ht="15.75" customHeight="1">
      <c r="B502" s="503"/>
      <c r="C502" s="763"/>
      <c r="W502" s="506"/>
      <c r="X502" s="506"/>
      <c r="Y502" s="506"/>
      <c r="AE502" s="506"/>
      <c r="AF502" s="878"/>
      <c r="AM502" s="506"/>
      <c r="AN502" s="506"/>
      <c r="AO502" s="506"/>
      <c r="AP502" s="506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06"/>
      <c r="BC502" s="506"/>
      <c r="BD502" s="506"/>
      <c r="BE502" s="506"/>
      <c r="BF502" s="506"/>
      <c r="BG502" s="506"/>
      <c r="BH502" s="506"/>
      <c r="BI502" s="506"/>
      <c r="BJ502" s="506"/>
    </row>
    <row r="503" spans="1:62" ht="15.75" customHeight="1">
      <c r="B503" s="503"/>
      <c r="C503" s="763"/>
      <c r="W503" s="506"/>
      <c r="X503" s="506"/>
      <c r="Y503" s="506"/>
      <c r="Z503" s="506"/>
      <c r="AA503" s="506"/>
      <c r="AB503" s="506"/>
      <c r="AC503" s="506"/>
      <c r="AD503" s="506"/>
      <c r="AE503" s="653"/>
      <c r="AF503" s="878"/>
      <c r="AG503" s="506"/>
      <c r="AH503" s="506"/>
      <c r="AI503" s="506"/>
      <c r="AJ503" s="879"/>
      <c r="AK503" s="876"/>
      <c r="AL503" s="877"/>
      <c r="AM503" s="506"/>
      <c r="AN503" s="506"/>
      <c r="AO503" s="506"/>
      <c r="AP503" s="506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06"/>
      <c r="BC503" s="506"/>
      <c r="BD503" s="506"/>
      <c r="BE503" s="506"/>
      <c r="BF503" s="506"/>
      <c r="BG503" s="506"/>
      <c r="BH503" s="506"/>
      <c r="BI503" s="506"/>
      <c r="BJ503" s="506"/>
    </row>
    <row r="504" spans="1:62" ht="15.75" customHeight="1">
      <c r="B504" s="503"/>
      <c r="C504" s="763"/>
      <c r="W504" s="506"/>
      <c r="X504" s="506"/>
      <c r="Y504" s="506"/>
      <c r="Z504" s="506"/>
      <c r="AA504" s="506"/>
      <c r="AB504" s="506"/>
      <c r="AC504" s="506"/>
      <c r="AD504" s="506"/>
      <c r="AE504" s="506"/>
      <c r="AF504" s="878"/>
      <c r="AG504" s="506"/>
      <c r="AH504" s="506"/>
      <c r="AI504" s="506"/>
      <c r="AJ504" s="506"/>
      <c r="AK504" s="506"/>
      <c r="AL504" s="506"/>
      <c r="AM504" s="506"/>
      <c r="AN504" s="506"/>
      <c r="AO504" s="506"/>
      <c r="AP504" s="506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06"/>
      <c r="BC504" s="506"/>
      <c r="BD504" s="506"/>
      <c r="BE504" s="506"/>
      <c r="BF504" s="506"/>
      <c r="BG504" s="506"/>
      <c r="BH504" s="506"/>
      <c r="BI504" s="506"/>
      <c r="BJ504" s="506"/>
    </row>
    <row r="505" spans="1:62" ht="15.75" customHeight="1">
      <c r="B505" s="503"/>
      <c r="C505" s="763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878"/>
      <c r="AG505" s="506"/>
      <c r="AH505" s="506"/>
      <c r="AI505" s="506"/>
      <c r="AJ505" s="506"/>
      <c r="AK505" s="506"/>
      <c r="AL505" s="506"/>
      <c r="AM505" s="506"/>
      <c r="AN505" s="506"/>
      <c r="AO505" s="506"/>
      <c r="AP505" s="506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06"/>
      <c r="BC505" s="506"/>
      <c r="BD505" s="506"/>
      <c r="BE505" s="506"/>
      <c r="BF505" s="506"/>
      <c r="BG505" s="506"/>
      <c r="BH505" s="506"/>
      <c r="BI505" s="506"/>
      <c r="BJ505" s="506"/>
    </row>
    <row r="506" spans="1:62" ht="15.75" customHeight="1">
      <c r="B506" s="503"/>
      <c r="C506" s="763"/>
      <c r="W506" s="506"/>
      <c r="X506" s="506"/>
      <c r="Y506" s="506"/>
      <c r="Z506" s="506"/>
      <c r="AA506" s="506"/>
      <c r="AB506" s="506"/>
      <c r="AC506" s="506"/>
      <c r="AD506" s="506"/>
      <c r="AE506" s="506"/>
      <c r="AF506" s="878"/>
      <c r="AG506" s="506"/>
      <c r="AH506" s="506"/>
      <c r="AI506" s="506"/>
      <c r="AJ506" s="506"/>
      <c r="AK506" s="506"/>
      <c r="AL506" s="506"/>
      <c r="AM506" s="506"/>
      <c r="AN506" s="506"/>
      <c r="AO506" s="506"/>
      <c r="AP506" s="506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06"/>
      <c r="BC506" s="506"/>
      <c r="BD506" s="506"/>
      <c r="BE506" s="506"/>
      <c r="BF506" s="506"/>
      <c r="BG506" s="506"/>
      <c r="BH506" s="506"/>
      <c r="BI506" s="506"/>
      <c r="BJ506" s="506"/>
    </row>
    <row r="507" spans="1:62" ht="15.75" customHeight="1">
      <c r="B507" s="503"/>
      <c r="C507" s="763"/>
      <c r="W507" s="506"/>
      <c r="X507" s="506"/>
      <c r="Y507" s="506"/>
      <c r="Z507" s="506"/>
      <c r="AA507" s="506"/>
      <c r="AB507" s="506"/>
      <c r="AC507" s="506"/>
      <c r="AD507" s="506"/>
      <c r="AE507" s="506"/>
      <c r="AF507" s="878"/>
      <c r="AG507" s="506"/>
      <c r="AH507" s="506"/>
      <c r="AI507" s="506"/>
      <c r="AJ507" s="506"/>
      <c r="AK507" s="506"/>
      <c r="AL507" s="506"/>
      <c r="AM507" s="506"/>
      <c r="AN507" s="506"/>
      <c r="AO507" s="506"/>
      <c r="AP507" s="506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06"/>
      <c r="BC507" s="506"/>
      <c r="BD507" s="506"/>
      <c r="BE507" s="506"/>
      <c r="BF507" s="506"/>
      <c r="BG507" s="506"/>
      <c r="BH507" s="506"/>
      <c r="BI507" s="506"/>
      <c r="BJ507" s="506"/>
    </row>
    <row r="508" spans="1:62" ht="15.75" customHeight="1">
      <c r="B508" s="503"/>
      <c r="C508" s="763"/>
      <c r="W508" s="506"/>
      <c r="X508" s="506"/>
      <c r="Y508" s="506"/>
      <c r="Z508" s="506"/>
      <c r="AA508" s="506"/>
      <c r="AB508" s="506"/>
      <c r="AC508" s="506"/>
      <c r="AD508" s="506"/>
      <c r="AE508" s="506"/>
      <c r="AF508" s="653"/>
      <c r="AG508" s="506"/>
      <c r="AH508" s="506"/>
      <c r="AI508" s="506"/>
      <c r="AJ508" s="506"/>
      <c r="AK508" s="506"/>
      <c r="AL508" s="506"/>
      <c r="AM508" s="506"/>
      <c r="AN508" s="506"/>
      <c r="AO508" s="506"/>
      <c r="AP508" s="506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06"/>
      <c r="BC508" s="506"/>
      <c r="BD508" s="506"/>
      <c r="BE508" s="506"/>
      <c r="BF508" s="506"/>
      <c r="BG508" s="506"/>
      <c r="BH508" s="506"/>
      <c r="BI508" s="506"/>
      <c r="BJ508" s="506"/>
    </row>
    <row r="509" spans="1:62" ht="15.75" customHeight="1">
      <c r="B509" s="503"/>
      <c r="C509" s="763"/>
      <c r="W509" s="506"/>
      <c r="X509" s="506"/>
      <c r="Y509" s="506"/>
      <c r="Z509" s="506"/>
      <c r="AA509" s="506"/>
      <c r="AB509" s="506"/>
      <c r="AC509" s="506"/>
      <c r="AD509" s="506"/>
      <c r="AE509" s="506"/>
      <c r="AF509" s="878"/>
      <c r="AG509" s="506"/>
      <c r="AH509" s="506"/>
      <c r="AI509" s="506"/>
      <c r="AJ509" s="506"/>
      <c r="AK509" s="506"/>
      <c r="AL509" s="506"/>
      <c r="AM509" s="506"/>
      <c r="AN509" s="506"/>
      <c r="AO509" s="506"/>
      <c r="AP509" s="506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06"/>
      <c r="BC509" s="506"/>
      <c r="BD509" s="506"/>
      <c r="BE509" s="506"/>
      <c r="BF509" s="506"/>
      <c r="BG509" s="506"/>
      <c r="BH509" s="506"/>
      <c r="BI509" s="506"/>
      <c r="BJ509" s="506"/>
    </row>
    <row r="510" spans="1:62" ht="15.75" customHeight="1">
      <c r="B510" s="503"/>
      <c r="C510" s="763"/>
      <c r="W510" s="506"/>
      <c r="X510" s="506"/>
      <c r="Y510" s="506"/>
      <c r="Z510" s="506"/>
      <c r="AA510" s="506"/>
      <c r="AB510" s="506"/>
      <c r="AC510" s="506"/>
      <c r="AD510" s="506"/>
      <c r="AE510" s="506"/>
      <c r="AF510" s="880"/>
      <c r="AG510" s="506"/>
      <c r="AH510" s="506"/>
      <c r="AI510" s="506"/>
      <c r="AJ510" s="506"/>
      <c r="AK510" s="506"/>
      <c r="AL510" s="506"/>
      <c r="AM510" s="506"/>
      <c r="AN510" s="506"/>
      <c r="AO510" s="506"/>
      <c r="AP510" s="506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06"/>
      <c r="BC510" s="506"/>
      <c r="BD510" s="506"/>
      <c r="BE510" s="506"/>
      <c r="BF510" s="506"/>
      <c r="BG510" s="506"/>
      <c r="BH510" s="506"/>
      <c r="BI510" s="506"/>
      <c r="BJ510" s="506"/>
    </row>
    <row r="511" spans="1:62" ht="15.75" customHeight="1">
      <c r="B511" s="503"/>
      <c r="C511" s="763"/>
      <c r="W511" s="506"/>
      <c r="X511" s="506"/>
      <c r="Y511" s="506"/>
      <c r="Z511" s="506"/>
      <c r="AA511" s="506"/>
      <c r="AB511" s="506"/>
      <c r="AC511" s="506"/>
      <c r="AD511" s="506"/>
      <c r="AE511" s="506"/>
      <c r="AF511" s="878"/>
      <c r="AG511" s="506"/>
      <c r="AH511" s="506"/>
      <c r="AI511" s="506"/>
      <c r="AJ511" s="506"/>
      <c r="AK511" s="506"/>
      <c r="AL511" s="506"/>
      <c r="AM511" s="506"/>
      <c r="AN511" s="506"/>
      <c r="AO511" s="506"/>
      <c r="AP511" s="506"/>
      <c r="AQ511" s="506"/>
      <c r="AR511" s="506"/>
      <c r="AS511" s="506"/>
      <c r="AT511" s="506"/>
      <c r="AU511" s="506"/>
      <c r="AV511" s="506"/>
      <c r="AW511" s="506"/>
      <c r="AX511" s="506"/>
      <c r="AY511" s="506"/>
      <c r="AZ511" s="506"/>
      <c r="BA511" s="506"/>
      <c r="BB511" s="506"/>
      <c r="BC511" s="506"/>
      <c r="BD511" s="506"/>
      <c r="BE511" s="506"/>
      <c r="BF511" s="506"/>
      <c r="BG511" s="506"/>
      <c r="BH511" s="506"/>
      <c r="BI511" s="506"/>
      <c r="BJ511" s="506"/>
    </row>
    <row r="512" spans="1:62" ht="15.75" customHeight="1">
      <c r="B512" s="503"/>
      <c r="C512" s="763"/>
      <c r="W512" s="506"/>
      <c r="X512" s="506"/>
      <c r="Y512" s="506"/>
      <c r="Z512" s="506"/>
      <c r="AA512" s="506"/>
      <c r="AB512" s="506"/>
      <c r="AC512" s="506"/>
      <c r="AD512" s="506"/>
      <c r="AE512" s="506"/>
      <c r="AF512" s="506"/>
      <c r="AG512" s="506"/>
      <c r="AH512" s="506"/>
      <c r="AI512" s="506"/>
      <c r="AJ512" s="506"/>
      <c r="AK512" s="506"/>
      <c r="AL512" s="506"/>
      <c r="AM512" s="506"/>
      <c r="AN512" s="506"/>
      <c r="AO512" s="506"/>
      <c r="AP512" s="506"/>
      <c r="AQ512" s="506"/>
      <c r="AR512" s="506"/>
      <c r="AS512" s="506"/>
      <c r="AT512" s="506"/>
      <c r="AU512" s="506"/>
      <c r="AV512" s="506"/>
      <c r="AW512" s="506"/>
      <c r="AX512" s="506"/>
      <c r="AY512" s="506"/>
      <c r="AZ512" s="506"/>
      <c r="BA512" s="506"/>
      <c r="BB512" s="506"/>
      <c r="BC512" s="506"/>
      <c r="BD512" s="506"/>
      <c r="BE512" s="506"/>
      <c r="BF512" s="506"/>
      <c r="BG512" s="506"/>
      <c r="BH512" s="506"/>
      <c r="BI512" s="506"/>
      <c r="BJ512" s="506"/>
    </row>
    <row r="513" spans="2:62" ht="15.75" customHeight="1">
      <c r="B513" s="503"/>
      <c r="C513" s="763"/>
      <c r="W513" s="506"/>
      <c r="X513" s="506"/>
      <c r="Y513" s="506"/>
      <c r="Z513" s="506"/>
      <c r="AA513" s="506"/>
      <c r="AB513" s="506"/>
      <c r="AC513" s="506"/>
      <c r="AD513" s="506"/>
      <c r="AE513" s="506"/>
      <c r="AF513" s="880"/>
      <c r="AG513" s="506"/>
      <c r="AH513" s="506"/>
      <c r="AI513" s="506"/>
      <c r="AJ513" s="506"/>
      <c r="AK513" s="506"/>
      <c r="AL513" s="506"/>
      <c r="AM513" s="506"/>
      <c r="AN513" s="506"/>
      <c r="AO513" s="506"/>
      <c r="AP513" s="506"/>
      <c r="AQ513" s="506"/>
      <c r="AR513" s="506"/>
      <c r="AS513" s="506"/>
      <c r="AT513" s="506"/>
      <c r="AU513" s="506"/>
      <c r="AV513" s="506"/>
      <c r="AW513" s="506"/>
      <c r="AX513" s="506"/>
      <c r="AY513" s="506"/>
      <c r="AZ513" s="506"/>
      <c r="BA513" s="506"/>
      <c r="BB513" s="506"/>
      <c r="BC513" s="506"/>
      <c r="BD513" s="506"/>
      <c r="BE513" s="506"/>
      <c r="BF513" s="506"/>
      <c r="BG513" s="506"/>
      <c r="BH513" s="506"/>
      <c r="BI513" s="506"/>
      <c r="BJ513" s="506"/>
    </row>
    <row r="514" spans="2:62" ht="15.75" customHeight="1">
      <c r="B514" s="503"/>
      <c r="C514" s="763"/>
      <c r="W514" s="506"/>
      <c r="X514" s="506"/>
      <c r="Y514" s="506"/>
      <c r="Z514" s="506"/>
      <c r="AA514" s="506"/>
      <c r="AB514" s="506"/>
      <c r="AC514" s="506"/>
      <c r="AD514" s="506"/>
      <c r="AE514" s="506"/>
      <c r="AF514" s="506"/>
      <c r="AG514" s="506"/>
      <c r="AH514" s="506"/>
      <c r="AI514" s="506"/>
      <c r="AJ514" s="506"/>
      <c r="AK514" s="506"/>
      <c r="AL514" s="506"/>
      <c r="AM514" s="506"/>
      <c r="AN514" s="506"/>
      <c r="AO514" s="506"/>
      <c r="AP514" s="506"/>
      <c r="AQ514" s="506"/>
      <c r="AR514" s="506"/>
      <c r="AS514" s="506"/>
      <c r="AT514" s="506"/>
      <c r="AU514" s="506"/>
      <c r="AV514" s="506"/>
      <c r="AW514" s="506"/>
      <c r="AX514" s="506"/>
      <c r="AY514" s="506"/>
      <c r="AZ514" s="506"/>
      <c r="BA514" s="506"/>
      <c r="BB514" s="506"/>
      <c r="BC514" s="506"/>
      <c r="BD514" s="506"/>
      <c r="BE514" s="506"/>
      <c r="BF514" s="506"/>
      <c r="BG514" s="506"/>
      <c r="BH514" s="506"/>
      <c r="BI514" s="506"/>
      <c r="BJ514" s="506"/>
    </row>
    <row r="515" spans="2:62" ht="15.75" customHeight="1">
      <c r="B515" s="503"/>
      <c r="C515" s="763"/>
      <c r="W515" s="506"/>
      <c r="X515" s="506"/>
      <c r="Y515" s="506"/>
      <c r="Z515" s="506"/>
      <c r="AA515" s="506"/>
      <c r="AB515" s="506"/>
      <c r="AC515" s="506"/>
      <c r="AD515" s="506"/>
      <c r="AE515" s="506"/>
      <c r="AF515" s="506"/>
      <c r="AG515" s="506"/>
      <c r="AH515" s="506"/>
      <c r="AI515" s="506"/>
      <c r="AJ515" s="506"/>
      <c r="AK515" s="506"/>
      <c r="AL515" s="506"/>
      <c r="AM515" s="506"/>
      <c r="AN515" s="506"/>
      <c r="AO515" s="506"/>
      <c r="AP515" s="506"/>
      <c r="AQ515" s="506"/>
      <c r="AR515" s="506"/>
      <c r="AS515" s="506"/>
      <c r="AT515" s="506"/>
      <c r="AU515" s="506"/>
      <c r="AV515" s="506"/>
      <c r="AW515" s="506"/>
      <c r="AX515" s="506"/>
      <c r="AY515" s="506"/>
      <c r="AZ515" s="506"/>
      <c r="BA515" s="506"/>
      <c r="BB515" s="506"/>
      <c r="BC515" s="506"/>
      <c r="BD515" s="506"/>
      <c r="BE515" s="506"/>
      <c r="BF515" s="506"/>
      <c r="BG515" s="506"/>
      <c r="BH515" s="506"/>
      <c r="BI515" s="506"/>
      <c r="BJ515" s="506"/>
    </row>
    <row r="516" spans="2:62" ht="15.75" customHeight="1">
      <c r="B516" s="503"/>
      <c r="W516" s="506"/>
      <c r="X516" s="506"/>
      <c r="Y516" s="506"/>
      <c r="Z516" s="506"/>
      <c r="AA516" s="506"/>
      <c r="AB516" s="506"/>
      <c r="AC516" s="506"/>
      <c r="AD516" s="506"/>
      <c r="AE516" s="506"/>
      <c r="AF516" s="506"/>
      <c r="AG516" s="506"/>
      <c r="AH516" s="506"/>
      <c r="AI516" s="506"/>
      <c r="AJ516" s="506"/>
      <c r="AK516" s="506"/>
      <c r="AL516" s="506"/>
      <c r="AM516" s="506"/>
      <c r="AN516" s="506"/>
      <c r="AO516" s="506"/>
      <c r="AP516" s="506"/>
      <c r="AQ516" s="506"/>
      <c r="AR516" s="506"/>
      <c r="AS516" s="506"/>
      <c r="AT516" s="506"/>
      <c r="AU516" s="506"/>
      <c r="AV516" s="506"/>
      <c r="AW516" s="506"/>
      <c r="AX516" s="506"/>
      <c r="AY516" s="506"/>
      <c r="AZ516" s="506"/>
      <c r="BA516" s="506"/>
      <c r="BB516" s="506"/>
      <c r="BC516" s="506"/>
      <c r="BD516" s="506"/>
      <c r="BE516" s="506"/>
      <c r="BF516" s="506"/>
      <c r="BG516" s="506"/>
      <c r="BH516" s="506"/>
      <c r="BI516" s="506"/>
      <c r="BJ516" s="506"/>
    </row>
    <row r="517" spans="2:62" ht="15.75" customHeight="1">
      <c r="B517" s="503"/>
      <c r="W517" s="506"/>
      <c r="X517" s="506"/>
      <c r="Y517" s="506"/>
      <c r="Z517" s="506"/>
      <c r="AA517" s="506"/>
      <c r="AB517" s="506"/>
      <c r="AC517" s="506"/>
      <c r="AD517" s="506"/>
      <c r="AE517" s="506"/>
      <c r="AF517" s="506"/>
      <c r="AG517" s="506"/>
      <c r="AH517" s="506"/>
      <c r="AI517" s="506"/>
      <c r="AJ517" s="506"/>
      <c r="AK517" s="506"/>
      <c r="AL517" s="506"/>
      <c r="AM517" s="506"/>
      <c r="AN517" s="506"/>
      <c r="AO517" s="506"/>
      <c r="AP517" s="506"/>
      <c r="AQ517" s="506"/>
      <c r="AR517" s="506"/>
      <c r="AS517" s="506"/>
      <c r="AT517" s="506"/>
      <c r="AU517" s="506"/>
      <c r="AV517" s="506"/>
      <c r="AW517" s="506"/>
      <c r="AX517" s="506"/>
      <c r="AY517" s="506"/>
      <c r="AZ517" s="506"/>
      <c r="BA517" s="506"/>
      <c r="BB517" s="506"/>
      <c r="BC517" s="506"/>
      <c r="BD517" s="506"/>
      <c r="BE517" s="506"/>
      <c r="BF517" s="506"/>
      <c r="BG517" s="506"/>
      <c r="BH517" s="506"/>
      <c r="BI517" s="506"/>
      <c r="BJ517" s="506"/>
    </row>
    <row r="518" spans="2:62" ht="15.75" customHeight="1">
      <c r="B518" s="503"/>
      <c r="W518" s="506"/>
      <c r="X518" s="506"/>
      <c r="Y518" s="506"/>
      <c r="Z518" s="506"/>
      <c r="AA518" s="506"/>
      <c r="AB518" s="506"/>
      <c r="AC518" s="506"/>
      <c r="AD518" s="506"/>
      <c r="AE518" s="506"/>
      <c r="AF518" s="506"/>
      <c r="AG518" s="506"/>
      <c r="AH518" s="506"/>
      <c r="AI518" s="506"/>
      <c r="AJ518" s="506"/>
      <c r="AK518" s="506"/>
      <c r="AL518" s="506"/>
      <c r="AM518" s="506"/>
      <c r="AN518" s="506"/>
      <c r="AO518" s="506"/>
      <c r="AP518" s="506"/>
      <c r="AQ518" s="506"/>
      <c r="AR518" s="506"/>
      <c r="AS518" s="506"/>
      <c r="AT518" s="506"/>
      <c r="AU518" s="506"/>
      <c r="AV518" s="506"/>
      <c r="AW518" s="506"/>
      <c r="AX518" s="506"/>
      <c r="AY518" s="506"/>
      <c r="AZ518" s="506"/>
      <c r="BA518" s="506"/>
      <c r="BB518" s="506"/>
      <c r="BC518" s="506"/>
      <c r="BD518" s="506"/>
      <c r="BE518" s="506"/>
      <c r="BF518" s="506"/>
      <c r="BG518" s="506"/>
      <c r="BH518" s="506"/>
      <c r="BI518" s="506"/>
      <c r="BJ518" s="506"/>
    </row>
    <row r="519" spans="2:62" ht="15.75" customHeight="1">
      <c r="B519" s="503"/>
      <c r="W519" s="506"/>
      <c r="X519" s="506"/>
      <c r="Y519" s="506"/>
      <c r="Z519" s="506"/>
      <c r="AA519" s="506"/>
      <c r="AB519" s="506"/>
      <c r="AC519" s="506"/>
      <c r="AD519" s="506"/>
      <c r="AE519" s="506"/>
      <c r="AF519" s="506"/>
      <c r="AG519" s="506"/>
      <c r="AH519" s="506"/>
      <c r="AI519" s="506"/>
      <c r="AJ519" s="506"/>
      <c r="AK519" s="506"/>
      <c r="AL519" s="506"/>
      <c r="AM519" s="506"/>
      <c r="AN519" s="506"/>
      <c r="AO519" s="506"/>
      <c r="AP519" s="506"/>
      <c r="AQ519" s="506"/>
      <c r="AR519" s="506"/>
      <c r="AS519" s="506"/>
      <c r="AT519" s="506"/>
      <c r="AU519" s="506"/>
      <c r="AV519" s="506"/>
      <c r="AW519" s="506"/>
      <c r="AX519" s="506"/>
      <c r="AY519" s="506"/>
      <c r="AZ519" s="506"/>
      <c r="BA519" s="506"/>
      <c r="BB519" s="506"/>
      <c r="BC519" s="506"/>
      <c r="BD519" s="506"/>
      <c r="BE519" s="506"/>
      <c r="BF519" s="506"/>
      <c r="BG519" s="506"/>
      <c r="BH519" s="506"/>
      <c r="BI519" s="506"/>
      <c r="BJ519" s="506"/>
    </row>
    <row r="520" spans="2:62" ht="15.75" customHeight="1">
      <c r="B520" s="503"/>
      <c r="W520" s="506"/>
      <c r="X520" s="506"/>
      <c r="Y520" s="506"/>
      <c r="Z520" s="506"/>
      <c r="AA520" s="506"/>
      <c r="AB520" s="506"/>
      <c r="AC520" s="506"/>
      <c r="AD520" s="506"/>
      <c r="AE520" s="506"/>
      <c r="AF520" s="506"/>
      <c r="AG520" s="506"/>
      <c r="AH520" s="506"/>
      <c r="AI520" s="506"/>
      <c r="AJ520" s="506"/>
      <c r="AK520" s="506"/>
      <c r="AL520" s="506"/>
      <c r="AM520" s="506"/>
      <c r="AN520" s="506"/>
      <c r="AO520" s="506"/>
      <c r="AP520" s="506"/>
      <c r="AQ520" s="506"/>
      <c r="AR520" s="506"/>
      <c r="AS520" s="506"/>
      <c r="AT520" s="506"/>
      <c r="AU520" s="506"/>
      <c r="AV520" s="506"/>
      <c r="AW520" s="506"/>
      <c r="AX520" s="506"/>
      <c r="AY520" s="506"/>
      <c r="AZ520" s="506"/>
      <c r="BA520" s="506"/>
      <c r="BB520" s="506"/>
      <c r="BC520" s="506"/>
      <c r="BD520" s="506"/>
      <c r="BE520" s="506"/>
      <c r="BF520" s="506"/>
      <c r="BG520" s="506"/>
      <c r="BH520" s="506"/>
      <c r="BI520" s="506"/>
      <c r="BJ520" s="506"/>
    </row>
    <row r="521" spans="2:62" ht="15.75" customHeight="1">
      <c r="B521" s="503"/>
      <c r="W521" s="506"/>
      <c r="X521" s="506"/>
      <c r="Y521" s="506"/>
      <c r="Z521" s="506"/>
      <c r="AA521" s="506"/>
      <c r="AB521" s="506"/>
      <c r="AC521" s="506"/>
      <c r="AD521" s="506"/>
      <c r="AE521" s="506"/>
      <c r="AF521" s="506"/>
      <c r="AG521" s="506"/>
      <c r="AH521" s="506"/>
      <c r="AI521" s="506"/>
      <c r="AJ521" s="506"/>
      <c r="AK521" s="506"/>
      <c r="AL521" s="506"/>
      <c r="AM521" s="506"/>
      <c r="AN521" s="506"/>
      <c r="AO521" s="506"/>
      <c r="AP521" s="506"/>
      <c r="AQ521" s="506"/>
      <c r="AR521" s="506"/>
      <c r="AS521" s="506"/>
      <c r="AT521" s="506"/>
      <c r="AU521" s="506"/>
      <c r="AV521" s="506"/>
      <c r="AW521" s="506"/>
      <c r="AX521" s="506"/>
      <c r="AY521" s="506"/>
      <c r="AZ521" s="506"/>
      <c r="BA521" s="506"/>
      <c r="BB521" s="506"/>
      <c r="BC521" s="506"/>
      <c r="BD521" s="506"/>
      <c r="BE521" s="506"/>
      <c r="BF521" s="506"/>
      <c r="BG521" s="506"/>
      <c r="BH521" s="506"/>
      <c r="BI521" s="506"/>
      <c r="BJ521" s="506"/>
    </row>
    <row r="522" spans="2:62" ht="15.75" customHeight="1">
      <c r="B522" s="503"/>
      <c r="W522" s="506"/>
      <c r="X522" s="506"/>
      <c r="Y522" s="506"/>
      <c r="Z522" s="506"/>
      <c r="AA522" s="506"/>
      <c r="AB522" s="506"/>
      <c r="AC522" s="506"/>
      <c r="AD522" s="506"/>
      <c r="AE522" s="506"/>
      <c r="AF522" s="506"/>
      <c r="AG522" s="506"/>
      <c r="AH522" s="506"/>
      <c r="AI522" s="506"/>
      <c r="AJ522" s="506"/>
      <c r="AK522" s="506"/>
      <c r="AL522" s="506"/>
      <c r="AM522" s="506"/>
      <c r="AN522" s="506"/>
      <c r="AO522" s="506"/>
      <c r="AP522" s="506"/>
      <c r="AQ522" s="506"/>
      <c r="AR522" s="506"/>
      <c r="AS522" s="506"/>
      <c r="AT522" s="506"/>
      <c r="AU522" s="506"/>
      <c r="AV522" s="506"/>
      <c r="AW522" s="506"/>
      <c r="AX522" s="506"/>
      <c r="AY522" s="506"/>
      <c r="AZ522" s="506"/>
      <c r="BA522" s="506"/>
      <c r="BB522" s="506"/>
      <c r="BC522" s="506"/>
      <c r="BD522" s="506"/>
      <c r="BE522" s="506"/>
      <c r="BF522" s="506"/>
      <c r="BG522" s="506"/>
      <c r="BH522" s="506"/>
      <c r="BI522" s="506"/>
      <c r="BJ522" s="506"/>
    </row>
    <row r="523" spans="2:62" ht="15.75" customHeight="1">
      <c r="B523" s="503"/>
      <c r="W523" s="506"/>
      <c r="X523" s="506"/>
      <c r="Y523" s="506"/>
      <c r="Z523" s="506"/>
      <c r="AA523" s="506"/>
      <c r="AB523" s="506"/>
      <c r="AC523" s="506"/>
      <c r="AD523" s="506"/>
      <c r="AE523" s="506"/>
      <c r="AF523" s="506"/>
      <c r="AG523" s="506"/>
      <c r="AH523" s="506"/>
      <c r="AI523" s="506"/>
      <c r="AJ523" s="506"/>
      <c r="AK523" s="506"/>
      <c r="AL523" s="506"/>
      <c r="AM523" s="506"/>
      <c r="AN523" s="506"/>
      <c r="AO523" s="506"/>
      <c r="AP523" s="506"/>
      <c r="AQ523" s="506"/>
      <c r="AR523" s="506"/>
      <c r="AS523" s="506"/>
      <c r="AT523" s="506"/>
      <c r="AU523" s="506"/>
      <c r="AV523" s="506"/>
      <c r="AW523" s="506"/>
      <c r="AX523" s="506"/>
      <c r="AY523" s="506"/>
      <c r="AZ523" s="506"/>
      <c r="BA523" s="506"/>
      <c r="BB523" s="506"/>
      <c r="BC523" s="506"/>
      <c r="BD523" s="506"/>
      <c r="BE523" s="506"/>
      <c r="BF523" s="506"/>
      <c r="BG523" s="506"/>
      <c r="BH523" s="506"/>
      <c r="BI523" s="506"/>
      <c r="BJ523" s="506"/>
    </row>
    <row r="524" spans="2:62" ht="15.75" customHeight="1">
      <c r="B524" s="503"/>
      <c r="W524" s="506"/>
      <c r="X524" s="506"/>
      <c r="Y524" s="506"/>
      <c r="Z524" s="506"/>
      <c r="AA524" s="506"/>
      <c r="AB524" s="506"/>
      <c r="AC524" s="506"/>
      <c r="AD524" s="506"/>
      <c r="AE524" s="506"/>
      <c r="AF524" s="506"/>
      <c r="AG524" s="506"/>
      <c r="AH524" s="506"/>
      <c r="AI524" s="506"/>
      <c r="AJ524" s="506"/>
      <c r="AK524" s="506"/>
      <c r="AL524" s="506"/>
      <c r="AM524" s="506"/>
      <c r="AN524" s="506"/>
      <c r="AO524" s="506"/>
      <c r="AP524" s="506"/>
      <c r="AQ524" s="506"/>
      <c r="AR524" s="506"/>
      <c r="AS524" s="506"/>
      <c r="AT524" s="506"/>
      <c r="AU524" s="506"/>
      <c r="AV524" s="506"/>
      <c r="AW524" s="506"/>
      <c r="AX524" s="506"/>
      <c r="AY524" s="506"/>
      <c r="AZ524" s="506"/>
      <c r="BA524" s="506"/>
      <c r="BB524" s="506"/>
      <c r="BC524" s="506"/>
      <c r="BD524" s="506"/>
      <c r="BE524" s="506"/>
      <c r="BF524" s="506"/>
      <c r="BG524" s="506"/>
      <c r="BH524" s="506"/>
      <c r="BI524" s="506"/>
      <c r="BJ524" s="506"/>
    </row>
    <row r="525" spans="2:62" ht="15.75" customHeight="1">
      <c r="B525" s="503"/>
      <c r="C525" s="763"/>
      <c r="W525" s="506"/>
      <c r="X525" s="506"/>
      <c r="Y525" s="506"/>
      <c r="Z525" s="506"/>
      <c r="AA525" s="506"/>
      <c r="AB525" s="506"/>
      <c r="AC525" s="506"/>
      <c r="AD525" s="506"/>
      <c r="AE525" s="506"/>
      <c r="AF525" s="506"/>
      <c r="AG525" s="506"/>
      <c r="AH525" s="506"/>
      <c r="AI525" s="506"/>
      <c r="AJ525" s="506"/>
      <c r="AK525" s="506"/>
      <c r="AL525" s="506"/>
      <c r="AM525" s="506"/>
      <c r="AN525" s="506"/>
      <c r="AO525" s="506"/>
      <c r="AP525" s="506"/>
      <c r="AQ525" s="506"/>
      <c r="AR525" s="506"/>
      <c r="AS525" s="506"/>
      <c r="AT525" s="506"/>
      <c r="AU525" s="506"/>
      <c r="AV525" s="506"/>
      <c r="AW525" s="506"/>
      <c r="AX525" s="506"/>
      <c r="AY525" s="506"/>
      <c r="AZ525" s="506"/>
      <c r="BA525" s="506"/>
      <c r="BB525" s="506"/>
      <c r="BC525" s="506"/>
      <c r="BD525" s="506"/>
      <c r="BE525" s="506"/>
      <c r="BF525" s="506"/>
      <c r="BG525" s="506"/>
      <c r="BH525" s="506"/>
      <c r="BI525" s="506"/>
      <c r="BJ525" s="506"/>
    </row>
    <row r="526" spans="2:62" ht="15.75" customHeight="1">
      <c r="B526" s="503"/>
      <c r="C526" s="763"/>
      <c r="W526" s="506"/>
      <c r="X526" s="506"/>
      <c r="Y526" s="506"/>
      <c r="Z526" s="506"/>
      <c r="AA526" s="506"/>
      <c r="AB526" s="506"/>
      <c r="AC526" s="506"/>
      <c r="AD526" s="506"/>
      <c r="AE526" s="506"/>
      <c r="AF526" s="506"/>
      <c r="AG526" s="506"/>
      <c r="AH526" s="506"/>
      <c r="AI526" s="506"/>
      <c r="AJ526" s="506"/>
      <c r="AK526" s="506"/>
      <c r="AL526" s="506"/>
      <c r="AM526" s="506"/>
      <c r="AN526" s="506"/>
      <c r="AO526" s="506"/>
      <c r="AP526" s="506"/>
      <c r="AQ526" s="506"/>
      <c r="AR526" s="506"/>
      <c r="AS526" s="506"/>
      <c r="AT526" s="506"/>
      <c r="AU526" s="506"/>
      <c r="AV526" s="506"/>
      <c r="AW526" s="506"/>
      <c r="AX526" s="506"/>
      <c r="AY526" s="506"/>
      <c r="AZ526" s="506"/>
      <c r="BA526" s="506"/>
      <c r="BB526" s="506"/>
      <c r="BC526" s="506"/>
      <c r="BD526" s="506"/>
      <c r="BE526" s="506"/>
      <c r="BF526" s="506"/>
      <c r="BG526" s="506"/>
      <c r="BH526" s="506"/>
      <c r="BI526" s="506"/>
      <c r="BJ526" s="506"/>
    </row>
    <row r="527" spans="2:62" ht="15.75" customHeight="1">
      <c r="B527" s="503"/>
      <c r="C527" s="763"/>
      <c r="W527" s="506"/>
      <c r="X527" s="506"/>
      <c r="Y527" s="506"/>
      <c r="Z527" s="506"/>
      <c r="AA527" s="506"/>
      <c r="AB527" s="506"/>
      <c r="AC527" s="506"/>
      <c r="AD527" s="506"/>
      <c r="AE527" s="506"/>
      <c r="AF527" s="506"/>
      <c r="AG527" s="506"/>
      <c r="AH527" s="506"/>
      <c r="AI527" s="506"/>
      <c r="AJ527" s="506"/>
      <c r="AK527" s="506"/>
      <c r="AL527" s="506"/>
      <c r="AM527" s="506"/>
      <c r="AN527" s="506"/>
      <c r="AO527" s="506"/>
      <c r="AP527" s="506"/>
      <c r="AQ527" s="506"/>
      <c r="AR527" s="506"/>
      <c r="AS527" s="506"/>
      <c r="AT527" s="506"/>
      <c r="AU527" s="506"/>
      <c r="AV527" s="506"/>
      <c r="AW527" s="506"/>
      <c r="AX527" s="506"/>
      <c r="AY527" s="506"/>
      <c r="AZ527" s="506"/>
      <c r="BA527" s="506"/>
      <c r="BB527" s="506"/>
      <c r="BC527" s="506"/>
      <c r="BD527" s="506"/>
      <c r="BE527" s="506"/>
      <c r="BF527" s="506"/>
      <c r="BG527" s="506"/>
      <c r="BH527" s="506"/>
      <c r="BI527" s="506"/>
      <c r="BJ527" s="506"/>
    </row>
    <row r="528" spans="2:62" ht="15.75" customHeight="1">
      <c r="B528" s="503"/>
      <c r="C528" s="763"/>
      <c r="W528" s="506"/>
      <c r="X528" s="506"/>
      <c r="Y528" s="506"/>
      <c r="Z528" s="506"/>
      <c r="AA528" s="506"/>
      <c r="AB528" s="506"/>
      <c r="AC528" s="506"/>
      <c r="AD528" s="506"/>
      <c r="AE528" s="506"/>
      <c r="AF528" s="506"/>
      <c r="AG528" s="506"/>
      <c r="AH528" s="506"/>
      <c r="AI528" s="506"/>
      <c r="AJ528" s="506"/>
      <c r="AK528" s="506"/>
      <c r="AL528" s="506"/>
      <c r="AM528" s="506"/>
      <c r="AN528" s="506"/>
      <c r="AO528" s="506"/>
      <c r="AP528" s="506"/>
      <c r="AQ528" s="506"/>
      <c r="AR528" s="506"/>
      <c r="AS528" s="506"/>
      <c r="AT528" s="506"/>
      <c r="AU528" s="506"/>
      <c r="AV528" s="506"/>
      <c r="AW528" s="506"/>
      <c r="AX528" s="506"/>
      <c r="AY528" s="506"/>
      <c r="AZ528" s="506"/>
      <c r="BA528" s="506"/>
      <c r="BB528" s="506"/>
      <c r="BC528" s="506"/>
      <c r="BD528" s="506"/>
      <c r="BE528" s="506"/>
      <c r="BF528" s="506"/>
      <c r="BG528" s="506"/>
      <c r="BH528" s="506"/>
      <c r="BI528" s="506"/>
      <c r="BJ528" s="506"/>
    </row>
    <row r="529" spans="2:62" ht="15.75" customHeight="1">
      <c r="B529" s="503"/>
      <c r="C529" s="763"/>
      <c r="W529" s="506"/>
      <c r="X529" s="506"/>
      <c r="Y529" s="506"/>
      <c r="Z529" s="506"/>
      <c r="AA529" s="506"/>
      <c r="AB529" s="506"/>
      <c r="AC529" s="506"/>
      <c r="AD529" s="506"/>
      <c r="AE529" s="506"/>
      <c r="AF529" s="506"/>
      <c r="AG529" s="506"/>
      <c r="AH529" s="506"/>
      <c r="AI529" s="506"/>
      <c r="AJ529" s="506"/>
      <c r="AK529" s="506"/>
      <c r="AL529" s="506"/>
      <c r="AM529" s="506"/>
      <c r="AN529" s="506"/>
      <c r="AO529" s="506"/>
      <c r="AP529" s="506"/>
      <c r="AQ529" s="506"/>
      <c r="AR529" s="506"/>
      <c r="AS529" s="506"/>
      <c r="AT529" s="506"/>
      <c r="AU529" s="506"/>
      <c r="AV529" s="506"/>
      <c r="AW529" s="506"/>
      <c r="AX529" s="506"/>
      <c r="AY529" s="506"/>
      <c r="AZ529" s="506"/>
      <c r="BA529" s="506"/>
      <c r="BB529" s="506"/>
      <c r="BC529" s="506"/>
      <c r="BD529" s="506"/>
      <c r="BE529" s="506"/>
      <c r="BF529" s="506"/>
      <c r="BG529" s="506"/>
      <c r="BH529" s="506"/>
      <c r="BI529" s="506"/>
      <c r="BJ529" s="506"/>
    </row>
    <row r="530" spans="2:62" ht="15.75" customHeight="1">
      <c r="B530" s="503"/>
      <c r="C530" s="763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06"/>
      <c r="AG530" s="506"/>
      <c r="AH530" s="506"/>
      <c r="AI530" s="506"/>
      <c r="AJ530" s="506"/>
      <c r="AK530" s="506"/>
      <c r="AL530" s="506"/>
      <c r="AM530" s="506"/>
      <c r="AN530" s="506"/>
      <c r="AO530" s="506"/>
      <c r="AP530" s="506"/>
      <c r="AQ530" s="506"/>
      <c r="AR530" s="506"/>
      <c r="AS530" s="506"/>
      <c r="AT530" s="506"/>
      <c r="AU530" s="506"/>
      <c r="AV530" s="506"/>
      <c r="AW530" s="506"/>
      <c r="AX530" s="506"/>
      <c r="AY530" s="506"/>
      <c r="AZ530" s="506"/>
      <c r="BA530" s="506"/>
      <c r="BB530" s="506"/>
      <c r="BC530" s="506"/>
      <c r="BD530" s="506"/>
      <c r="BE530" s="506"/>
      <c r="BF530" s="506"/>
      <c r="BG530" s="506"/>
      <c r="BH530" s="506"/>
      <c r="BI530" s="506"/>
      <c r="BJ530" s="506"/>
    </row>
    <row r="531" spans="2:62" ht="15.75" customHeight="1">
      <c r="B531" s="503"/>
      <c r="C531" s="763"/>
      <c r="W531" s="506"/>
      <c r="X531" s="506"/>
      <c r="Y531" s="506"/>
      <c r="Z531" s="506"/>
      <c r="AA531" s="506"/>
      <c r="AB531" s="506"/>
      <c r="AC531" s="506"/>
      <c r="AD531" s="506"/>
      <c r="AE531" s="506"/>
      <c r="AF531" s="506"/>
      <c r="AG531" s="506"/>
      <c r="AH531" s="506"/>
      <c r="AI531" s="506"/>
      <c r="AJ531" s="506"/>
      <c r="AK531" s="506"/>
      <c r="AL531" s="506"/>
      <c r="AM531" s="506"/>
      <c r="AN531" s="506"/>
      <c r="AO531" s="506"/>
      <c r="AP531" s="506"/>
      <c r="AQ531" s="506"/>
      <c r="AR531" s="506"/>
      <c r="AS531" s="506"/>
      <c r="AT531" s="506"/>
      <c r="AU531" s="506"/>
      <c r="AV531" s="506"/>
      <c r="AW531" s="506"/>
      <c r="AX531" s="506"/>
      <c r="AY531" s="506"/>
      <c r="AZ531" s="506"/>
      <c r="BA531" s="506"/>
      <c r="BB531" s="506"/>
      <c r="BC531" s="506"/>
      <c r="BD531" s="506"/>
      <c r="BE531" s="506"/>
      <c r="BF531" s="506"/>
      <c r="BG531" s="506"/>
      <c r="BH531" s="506"/>
      <c r="BI531" s="506"/>
      <c r="BJ531" s="506"/>
    </row>
    <row r="532" spans="2:62" ht="15.75" customHeight="1">
      <c r="B532" s="503"/>
      <c r="C532" s="763"/>
      <c r="W532" s="506"/>
      <c r="X532" s="506"/>
      <c r="Y532" s="506"/>
      <c r="Z532" s="506"/>
      <c r="AA532" s="506"/>
      <c r="AB532" s="506"/>
      <c r="AC532" s="506"/>
      <c r="AD532" s="506"/>
      <c r="AE532" s="506"/>
      <c r="AF532" s="506"/>
      <c r="AG532" s="506"/>
      <c r="AH532" s="506"/>
      <c r="AI532" s="506"/>
      <c r="AJ532" s="506"/>
      <c r="AK532" s="506"/>
      <c r="AL532" s="506"/>
      <c r="AM532" s="506"/>
      <c r="AN532" s="506"/>
      <c r="AO532" s="506"/>
      <c r="AP532" s="506"/>
      <c r="AQ532" s="506"/>
      <c r="AR532" s="506"/>
      <c r="AS532" s="506"/>
      <c r="AT532" s="506"/>
      <c r="AU532" s="506"/>
      <c r="AV532" s="506"/>
      <c r="AW532" s="506"/>
      <c r="AX532" s="506"/>
      <c r="AY532" s="506"/>
      <c r="AZ532" s="506"/>
      <c r="BA532" s="506"/>
      <c r="BB532" s="506"/>
      <c r="BC532" s="506"/>
      <c r="BD532" s="506"/>
      <c r="BE532" s="506"/>
      <c r="BF532" s="506"/>
      <c r="BG532" s="506"/>
      <c r="BH532" s="506"/>
      <c r="BI532" s="506"/>
      <c r="BJ532" s="506"/>
    </row>
    <row r="533" spans="2:62" ht="15.75" customHeight="1">
      <c r="B533" s="503"/>
      <c r="C533" s="763"/>
      <c r="W533" s="506"/>
      <c r="X533" s="506"/>
      <c r="Y533" s="506"/>
      <c r="Z533" s="506"/>
      <c r="AA533" s="506"/>
      <c r="AB533" s="506"/>
      <c r="AC533" s="506"/>
      <c r="AD533" s="506"/>
      <c r="AE533" s="506"/>
      <c r="AF533" s="506"/>
      <c r="AG533" s="506"/>
      <c r="AH533" s="506"/>
      <c r="AI533" s="506"/>
      <c r="AJ533" s="506"/>
      <c r="AK533" s="506"/>
      <c r="AL533" s="506"/>
      <c r="AM533" s="506"/>
      <c r="AN533" s="506"/>
      <c r="AO533" s="506"/>
      <c r="AP533" s="506"/>
      <c r="AQ533" s="506"/>
      <c r="AR533" s="506"/>
      <c r="AS533" s="506"/>
      <c r="AT533" s="506"/>
      <c r="AU533" s="506"/>
      <c r="AV533" s="506"/>
      <c r="AW533" s="506"/>
      <c r="AX533" s="506"/>
      <c r="AY533" s="506"/>
      <c r="AZ533" s="506"/>
      <c r="BA533" s="506"/>
      <c r="BB533" s="506"/>
      <c r="BC533" s="506"/>
      <c r="BD533" s="506"/>
      <c r="BE533" s="506"/>
      <c r="BF533" s="506"/>
      <c r="BG533" s="506"/>
      <c r="BH533" s="506"/>
      <c r="BI533" s="506"/>
      <c r="BJ533" s="506"/>
    </row>
    <row r="534" spans="2:62" ht="15.75" customHeight="1">
      <c r="B534" s="503"/>
      <c r="C534" s="763"/>
      <c r="W534" s="506"/>
      <c r="X534" s="506"/>
      <c r="Y534" s="506"/>
      <c r="Z534" s="506"/>
      <c r="AA534" s="506"/>
      <c r="AB534" s="506"/>
      <c r="AC534" s="506"/>
      <c r="AD534" s="506"/>
      <c r="AE534" s="506"/>
      <c r="AF534" s="506"/>
      <c r="AG534" s="506"/>
      <c r="AH534" s="506"/>
      <c r="AI534" s="506"/>
      <c r="AJ534" s="506"/>
      <c r="AK534" s="506"/>
      <c r="AL534" s="506"/>
      <c r="AM534" s="506"/>
      <c r="AN534" s="506"/>
      <c r="AO534" s="506"/>
      <c r="AP534" s="506"/>
      <c r="AQ534" s="506"/>
      <c r="AR534" s="506"/>
      <c r="AS534" s="506"/>
      <c r="AT534" s="506"/>
      <c r="AU534" s="506"/>
      <c r="AV534" s="506"/>
      <c r="AW534" s="506"/>
      <c r="AX534" s="506"/>
      <c r="AY534" s="506"/>
      <c r="AZ534" s="506"/>
      <c r="BA534" s="506"/>
      <c r="BB534" s="506"/>
      <c r="BC534" s="506"/>
      <c r="BD534" s="506"/>
      <c r="BE534" s="506"/>
      <c r="BF534" s="506"/>
      <c r="BG534" s="506"/>
      <c r="BH534" s="506"/>
      <c r="BI534" s="506"/>
      <c r="BJ534" s="506"/>
    </row>
    <row r="535" spans="2:62" ht="15.75" customHeight="1">
      <c r="B535" s="503"/>
      <c r="W535" s="506"/>
      <c r="X535" s="506"/>
      <c r="Y535" s="506"/>
      <c r="Z535" s="506"/>
      <c r="AA535" s="506"/>
      <c r="AB535" s="506"/>
      <c r="AC535" s="506"/>
      <c r="AD535" s="506"/>
      <c r="AE535" s="506"/>
      <c r="AF535" s="506"/>
      <c r="AG535" s="506"/>
      <c r="AH535" s="506"/>
      <c r="AI535" s="506"/>
      <c r="AJ535" s="506"/>
      <c r="AK535" s="506"/>
      <c r="AL535" s="506"/>
      <c r="AM535" s="506"/>
      <c r="AN535" s="506"/>
      <c r="AO535" s="506"/>
      <c r="AP535" s="506"/>
      <c r="AQ535" s="506"/>
      <c r="AR535" s="506"/>
      <c r="AS535" s="506"/>
      <c r="AT535" s="506"/>
      <c r="AU535" s="506"/>
      <c r="AV535" s="506"/>
      <c r="AW535" s="506"/>
      <c r="AX535" s="506"/>
      <c r="AY535" s="506"/>
      <c r="AZ535" s="506"/>
      <c r="BA535" s="506"/>
      <c r="BB535" s="506"/>
      <c r="BC535" s="506"/>
      <c r="BD535" s="506"/>
      <c r="BE535" s="506"/>
      <c r="BF535" s="506"/>
      <c r="BG535" s="506"/>
      <c r="BH535" s="506"/>
      <c r="BI535" s="506"/>
      <c r="BJ535" s="506"/>
    </row>
    <row r="536" spans="2:62" ht="15.75" customHeight="1">
      <c r="B536" s="503"/>
      <c r="W536" s="506"/>
      <c r="X536" s="506"/>
      <c r="Y536" s="506"/>
      <c r="Z536" s="506"/>
      <c r="AA536" s="506"/>
      <c r="AB536" s="506"/>
      <c r="AC536" s="506"/>
      <c r="AD536" s="506"/>
      <c r="AE536" s="506"/>
      <c r="AF536" s="506"/>
      <c r="AG536" s="506"/>
      <c r="AH536" s="506"/>
      <c r="AI536" s="506"/>
      <c r="AJ536" s="506"/>
      <c r="AK536" s="506"/>
      <c r="AL536" s="506"/>
      <c r="AM536" s="506"/>
      <c r="AN536" s="506"/>
      <c r="AO536" s="506"/>
      <c r="AP536" s="506"/>
      <c r="AQ536" s="506"/>
      <c r="AR536" s="506"/>
      <c r="AS536" s="506"/>
      <c r="AT536" s="506"/>
      <c r="AU536" s="506"/>
      <c r="AV536" s="506"/>
      <c r="AW536" s="506"/>
      <c r="AX536" s="506"/>
      <c r="AY536" s="506"/>
      <c r="AZ536" s="506"/>
      <c r="BA536" s="506"/>
      <c r="BB536" s="506"/>
      <c r="BC536" s="506"/>
      <c r="BD536" s="506"/>
      <c r="BE536" s="506"/>
      <c r="BF536" s="506"/>
      <c r="BG536" s="506"/>
      <c r="BH536" s="506"/>
      <c r="BI536" s="506"/>
      <c r="BJ536" s="506"/>
    </row>
    <row r="537" spans="2:62" ht="15.75" customHeight="1">
      <c r="B537" s="503"/>
      <c r="W537" s="506"/>
      <c r="X537" s="506"/>
      <c r="Y537" s="506"/>
      <c r="Z537" s="506"/>
      <c r="AA537" s="506"/>
      <c r="AB537" s="506"/>
      <c r="AC537" s="506"/>
      <c r="AD537" s="506"/>
      <c r="AE537" s="506"/>
      <c r="AF537" s="506"/>
      <c r="AG537" s="506"/>
      <c r="AH537" s="506"/>
      <c r="AI537" s="506"/>
      <c r="AJ537" s="506"/>
      <c r="AK537" s="506"/>
      <c r="AL537" s="506"/>
      <c r="AM537" s="506"/>
      <c r="AN537" s="506"/>
      <c r="AO537" s="506"/>
      <c r="AP537" s="506"/>
      <c r="AQ537" s="506"/>
      <c r="AR537" s="506"/>
      <c r="AS537" s="506"/>
      <c r="AT537" s="506"/>
      <c r="AU537" s="506"/>
      <c r="AV537" s="506"/>
      <c r="AW537" s="506"/>
      <c r="AX537" s="506"/>
      <c r="AY537" s="506"/>
      <c r="AZ537" s="506"/>
      <c r="BA537" s="506"/>
      <c r="BB537" s="506"/>
      <c r="BC537" s="506"/>
      <c r="BD537" s="506"/>
      <c r="BE537" s="506"/>
      <c r="BF537" s="506"/>
      <c r="BG537" s="506"/>
      <c r="BH537" s="506"/>
      <c r="BI537" s="506"/>
      <c r="BJ537" s="506"/>
    </row>
    <row r="538" spans="2:62" ht="15.75" customHeight="1">
      <c r="B538" s="503"/>
      <c r="W538" s="506"/>
      <c r="X538" s="506"/>
      <c r="Y538" s="506"/>
      <c r="Z538" s="506"/>
      <c r="AA538" s="506"/>
      <c r="AB538" s="506"/>
      <c r="AC538" s="506"/>
      <c r="AD538" s="506"/>
      <c r="AE538" s="506"/>
      <c r="AF538" s="506"/>
      <c r="AG538" s="506"/>
      <c r="AH538" s="506"/>
      <c r="AI538" s="506"/>
      <c r="AJ538" s="506"/>
      <c r="AK538" s="506"/>
      <c r="AL538" s="506"/>
      <c r="AM538" s="506"/>
      <c r="AN538" s="506"/>
      <c r="AO538" s="506"/>
      <c r="AP538" s="506"/>
      <c r="AQ538" s="506"/>
      <c r="AR538" s="506"/>
      <c r="AS538" s="506"/>
      <c r="AT538" s="506"/>
      <c r="AU538" s="506"/>
      <c r="AV538" s="506"/>
      <c r="AW538" s="506"/>
      <c r="AX538" s="506"/>
      <c r="AY538" s="506"/>
      <c r="AZ538" s="506"/>
      <c r="BA538" s="506"/>
      <c r="BB538" s="506"/>
      <c r="BC538" s="506"/>
      <c r="BD538" s="506"/>
      <c r="BE538" s="506"/>
      <c r="BF538" s="506"/>
      <c r="BG538" s="506"/>
      <c r="BH538" s="506"/>
      <c r="BI538" s="506"/>
      <c r="BJ538" s="506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:D113">
    <cfRule type="expression" dxfId="185" priority="62" stopIfTrue="1">
      <formula>"esterreur(reference)"</formula>
    </cfRule>
  </conditionalFormatting>
  <conditionalFormatting sqref="D172:D181">
    <cfRule type="expression" dxfId="184" priority="59" stopIfTrue="1">
      <formula>"esterreur(reference)"</formula>
    </cfRule>
  </conditionalFormatting>
  <conditionalFormatting sqref="D400">
    <cfRule type="expression" dxfId="183" priority="3" stopIfTrue="1">
      <formula>"esterreur(reference)"</formula>
    </cfRule>
  </conditionalFormatting>
  <conditionalFormatting sqref="E186">
    <cfRule type="expression" dxfId="182" priority="60" stopIfTrue="1">
      <formula>"esterreur(reference)"</formula>
    </cfRule>
  </conditionalFormatting>
  <conditionalFormatting sqref="F5">
    <cfRule type="expression" dxfId="181" priority="57" stopIfTrue="1">
      <formula>"esterreur(reference)"</formula>
    </cfRule>
  </conditionalFormatting>
  <conditionalFormatting sqref="F83:F85">
    <cfRule type="expression" dxfId="180" priority="56" stopIfTrue="1">
      <formula>"esterreur(reference)"</formula>
    </cfRule>
  </conditionalFormatting>
  <conditionalFormatting sqref="F101">
    <cfRule type="expression" dxfId="179" priority="61" stopIfTrue="1">
      <formula>"esterreur(reference)"</formula>
    </cfRule>
  </conditionalFormatting>
  <conditionalFormatting sqref="F184">
    <cfRule type="expression" dxfId="178" priority="25" stopIfTrue="1">
      <formula>"esterreur(reference)"</formula>
    </cfRule>
  </conditionalFormatting>
  <conditionalFormatting sqref="G31:G32">
    <cfRule type="expression" dxfId="177" priority="54" stopIfTrue="1">
      <formula>"esterreur(reference)"</formula>
    </cfRule>
  </conditionalFormatting>
  <conditionalFormatting sqref="G112:G113">
    <cfRule type="expression" dxfId="176" priority="51" stopIfTrue="1">
      <formula>"esterreur(reference)"</formula>
    </cfRule>
  </conditionalFormatting>
  <conditionalFormatting sqref="G172:G181">
    <cfRule type="expression" dxfId="175" priority="58" stopIfTrue="1">
      <formula>"esterreur(reference)"</formula>
    </cfRule>
  </conditionalFormatting>
  <conditionalFormatting sqref="H25:H26 H28:H72">
    <cfRule type="expression" dxfId="174" priority="53" stopIfTrue="1">
      <formula>"esterreur(reference)"</formula>
    </cfRule>
  </conditionalFormatting>
  <conditionalFormatting sqref="H360 J360:L360">
    <cfRule type="expression" dxfId="173" priority="13" stopIfTrue="1">
      <formula>"esterreur(reference)"</formula>
    </cfRule>
  </conditionalFormatting>
  <conditionalFormatting sqref="H197:L197">
    <cfRule type="expression" dxfId="172" priority="15" stopIfTrue="1">
      <formula>"esterreur(reference)"</formula>
    </cfRule>
  </conditionalFormatting>
  <conditionalFormatting sqref="H396:L399">
    <cfRule type="expression" dxfId="171" priority="11" stopIfTrue="1">
      <formula>"esterreur(reference)"</formula>
    </cfRule>
  </conditionalFormatting>
  <conditionalFormatting sqref="I16:I18 I20 I24:I30">
    <cfRule type="expression" dxfId="170" priority="55" stopIfTrue="1">
      <formula>"esterreur(reference)"</formula>
    </cfRule>
  </conditionalFormatting>
  <conditionalFormatting sqref="I377:L377 J378:L394 H378:H395">
    <cfRule type="expression" dxfId="169" priority="12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168" priority="4" stopIfTrue="1">
      <formula>"esterreur(reference)"</formula>
    </cfRule>
  </conditionalFormatting>
  <conditionalFormatting sqref="K395">
    <cfRule type="expression" dxfId="167" priority="14" stopIfTrue="1">
      <formula>"esterreur(reference)"</formula>
    </cfRule>
  </conditionalFormatting>
  <conditionalFormatting sqref="K5:L5">
    <cfRule type="expression" dxfId="166" priority="24" stopIfTrue="1">
      <formula>"esterreur(reference)"</formula>
    </cfRule>
  </conditionalFormatting>
  <conditionalFormatting sqref="K244:L244">
    <cfRule type="expression" dxfId="165" priority="21" stopIfTrue="1">
      <formula>"esterreur(reference)"</formula>
    </cfRule>
  </conditionalFormatting>
  <conditionalFormatting sqref="K247:L247">
    <cfRule type="expression" dxfId="164" priority="22" stopIfTrue="1">
      <formula>"esterreur(reference)"</formula>
    </cfRule>
  </conditionalFormatting>
  <conditionalFormatting sqref="L42:L48">
    <cfRule type="expression" dxfId="163" priority="17" stopIfTrue="1">
      <formula>"esterreur(reference)"</formula>
    </cfRule>
  </conditionalFormatting>
  <conditionalFormatting sqref="L75:L82">
    <cfRule type="expression" dxfId="162" priority="6" stopIfTrue="1">
      <formula>"esterreur(reference)"</formula>
    </cfRule>
  </conditionalFormatting>
  <conditionalFormatting sqref="L156:L162">
    <cfRule type="expression" dxfId="161" priority="20" stopIfTrue="1">
      <formula>"esterreur(reference)"</formula>
    </cfRule>
  </conditionalFormatting>
  <conditionalFormatting sqref="L198:L209">
    <cfRule type="expression" dxfId="160" priority="18" stopIfTrue="1">
      <formula>"esterreur(reference)"</formula>
    </cfRule>
  </conditionalFormatting>
  <conditionalFormatting sqref="L211:L228">
    <cfRule type="expression" dxfId="159" priority="19" stopIfTrue="1">
      <formula>"esterreur(reference)"</formula>
    </cfRule>
  </conditionalFormatting>
  <conditionalFormatting sqref="L254:L265">
    <cfRule type="expression" dxfId="158" priority="23" stopIfTrue="1">
      <formula>"esterreur(reference)"</formula>
    </cfRule>
  </conditionalFormatting>
  <conditionalFormatting sqref="L331:L348">
    <cfRule type="expression" dxfId="157" priority="16" stopIfTrue="1">
      <formula>"esterreur(reference)"</formula>
    </cfRule>
  </conditionalFormatting>
  <conditionalFormatting sqref="L356:L357 H357:I357 K357 J357:J358 H359:L359">
    <cfRule type="expression" dxfId="156" priority="10" stopIfTrue="1">
      <formula>"esterreur(reference)"</formula>
    </cfRule>
  </conditionalFormatting>
  <conditionalFormatting sqref="M95:M97">
    <cfRule type="expression" dxfId="155" priority="5" stopIfTrue="1">
      <formula>"esterreur(reference)"</formula>
    </cfRule>
  </conditionalFormatting>
  <conditionalFormatting sqref="N197:N209">
    <cfRule type="expression" dxfId="154" priority="1" stopIfTrue="1">
      <formula>"esterreur(reference)"</formula>
    </cfRule>
  </conditionalFormatting>
  <conditionalFormatting sqref="N318:N328">
    <cfRule type="expression" dxfId="153" priority="2" stopIfTrue="1">
      <formula>"esterreur(reference)"</formula>
    </cfRule>
  </conditionalFormatting>
  <conditionalFormatting sqref="O295:P303 O304:Q306 O307:P308 O309:Q317 Q318:Q329 O318:P348 O349:Q349 O352:Q352 O353:P353">
    <cfRule type="expression" dxfId="152" priority="46" stopIfTrue="1">
      <formula>"esterreur(reference)"</formula>
    </cfRule>
  </conditionalFormatting>
  <conditionalFormatting sqref="O197:Q197">
    <cfRule type="expression" dxfId="151" priority="35" stopIfTrue="1">
      <formula>"esterreur(reference)"</formula>
    </cfRule>
  </conditionalFormatting>
  <conditionalFormatting sqref="O243:Q243 O252:Q253 O254:P284 Q282:Q285 O285 O288:Q288 O289:P289">
    <cfRule type="expression" dxfId="150" priority="41" stopIfTrue="1">
      <formula>"esterreur(reference)"</formula>
    </cfRule>
  </conditionalFormatting>
  <conditionalFormatting sqref="O359:Q394">
    <cfRule type="expression" dxfId="149" priority="48" stopIfTrue="1">
      <formula>"esterreur(reference)"</formula>
    </cfRule>
  </conditionalFormatting>
  <conditionalFormatting sqref="O396:Q399">
    <cfRule type="expression" dxfId="148" priority="49" stopIfTrue="1">
      <formula>"esterreur(reference)"</formula>
    </cfRule>
  </conditionalFormatting>
  <conditionalFormatting sqref="P5">
    <cfRule type="expression" dxfId="147" priority="29" stopIfTrue="1">
      <formula>"esterreur(reference)"</formula>
    </cfRule>
  </conditionalFormatting>
  <conditionalFormatting sqref="P175">
    <cfRule type="expression" dxfId="146" priority="38" stopIfTrue="1">
      <formula>"esterreur(reference)"</formula>
    </cfRule>
  </conditionalFormatting>
  <conditionalFormatting sqref="P178">
    <cfRule type="expression" dxfId="145" priority="39" stopIfTrue="1">
      <formula>"esterreur(reference)"</formula>
    </cfRule>
  </conditionalFormatting>
  <conditionalFormatting sqref="P181">
    <cfRule type="expression" dxfId="144" priority="40" stopIfTrue="1">
      <formula>"esterreur(reference)"</formula>
    </cfRule>
  </conditionalFormatting>
  <conditionalFormatting sqref="P395">
    <cfRule type="expression" dxfId="143" priority="50" stopIfTrue="1">
      <formula>"esterreur(reference)"</formula>
    </cfRule>
  </conditionalFormatting>
  <conditionalFormatting sqref="P93:Q96 O97:Q98 O156:P157 O164:Q164 O165:P165">
    <cfRule type="expression" dxfId="142" priority="32" stopIfTrue="1">
      <formula>"esterreur(reference)"</formula>
    </cfRule>
  </conditionalFormatting>
  <conditionalFormatting sqref="P99:Q100">
    <cfRule type="expression" dxfId="141" priority="31" stopIfTrue="1">
      <formula>"esterreur(reference)"</formula>
    </cfRule>
  </conditionalFormatting>
  <conditionalFormatting sqref="P172:Q173 O172:O196 Q174:Q175 P176:Q176 Q177:Q178 P179:Q179 Q180:Q181 P182:Q196 O198:P229 O232:Q232 O233:P233">
    <cfRule type="expression" dxfId="140" priority="34" stopIfTrue="1">
      <formula>"esterreur(reference)"</formula>
    </cfRule>
  </conditionalFormatting>
  <conditionalFormatting sqref="P241:Q241">
    <cfRule type="expression" dxfId="139" priority="45" stopIfTrue="1">
      <formula>"esterreur(reference)"</formula>
    </cfRule>
  </conditionalFormatting>
  <conditionalFormatting sqref="P244:Q244">
    <cfRule type="expression" dxfId="138" priority="42" stopIfTrue="1">
      <formula>"esterreur(reference)"</formula>
    </cfRule>
  </conditionalFormatting>
  <conditionalFormatting sqref="P247:Q247">
    <cfRule type="expression" dxfId="137" priority="43" stopIfTrue="1">
      <formula>"esterreur(reference)"</formula>
    </cfRule>
  </conditionalFormatting>
  <conditionalFormatting sqref="Q5:Q14 O13:O14 O16 Q16:Q24 O18:O24 O25:Q26 O27 Q27 O28:Q72 O83:Q85">
    <cfRule type="expression" dxfId="136" priority="28" stopIfTrue="1">
      <formula>"esterreur(reference)"</formula>
    </cfRule>
  </conditionalFormatting>
  <conditionalFormatting sqref="Q75:Q82">
    <cfRule type="expression" dxfId="135" priority="30" stopIfTrue="1">
      <formula>"esterreur(reference)"</formula>
    </cfRule>
  </conditionalFormatting>
  <conditionalFormatting sqref="Q156:Q162">
    <cfRule type="expression" dxfId="134" priority="33" stopIfTrue="1">
      <formula>"esterreur(reference)"</formula>
    </cfRule>
  </conditionalFormatting>
  <conditionalFormatting sqref="Q198:Q209">
    <cfRule type="expression" dxfId="133" priority="36" stopIfTrue="1">
      <formula>"esterreur(reference)"</formula>
    </cfRule>
  </conditionalFormatting>
  <conditionalFormatting sqref="Q211:Q228">
    <cfRule type="expression" dxfId="132" priority="37" stopIfTrue="1">
      <formula>"esterreur(reference)"</formula>
    </cfRule>
  </conditionalFormatting>
  <conditionalFormatting sqref="Q254:Q265">
    <cfRule type="expression" dxfId="131" priority="44" stopIfTrue="1">
      <formula>"esterreur(reference)"</formula>
    </cfRule>
  </conditionalFormatting>
  <conditionalFormatting sqref="Q331:Q348">
    <cfRule type="expression" dxfId="130" priority="47" stopIfTrue="1">
      <formula>"esterreur(reference)"</formula>
    </cfRule>
  </conditionalFormatting>
  <conditionalFormatting sqref="R312">
    <cfRule type="expression" dxfId="129" priority="7" stopIfTrue="1">
      <formula>"esterreur(reference)"</formula>
    </cfRule>
  </conditionalFormatting>
  <conditionalFormatting sqref="S186">
    <cfRule type="expression" dxfId="128" priority="26" stopIfTrue="1">
      <formula>"esterreur(reference)"</formula>
    </cfRule>
  </conditionalFormatting>
  <conditionalFormatting sqref="AG409:AI418 AH420:AI432 AH434:AI451 AH453:AI460 AH461:AH462 AH463:AI465 AH467:AI467 AH491:AI497">
    <cfRule type="cellIs" dxfId="127" priority="8" operator="greaterThan">
      <formula>0</formula>
    </cfRule>
  </conditionalFormatting>
  <conditionalFormatting sqref="AH469:AI476 AH480:AI480">
    <cfRule type="cellIs" dxfId="126" priority="9" operator="lessThan">
      <formula>0</formula>
    </cfRule>
  </conditionalFormatting>
  <conditionalFormatting sqref="AH477:AI479">
    <cfRule type="cellIs" dxfId="125" priority="52" operator="greaterThan">
      <formula>0</formula>
    </cfRule>
  </conditionalFormatting>
  <conditionalFormatting sqref="AO409:AO418">
    <cfRule type="cellIs" dxfId="124" priority="27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CE52-961E-48D2-9C9D-F98E6CB96CD1}">
  <sheetPr>
    <tabColor rgb="FFFFC000"/>
  </sheetPr>
  <dimension ref="A1:BJ693"/>
  <sheetViews>
    <sheetView topLeftCell="C122" zoomScale="80" zoomScaleNormal="80" workbookViewId="0">
      <selection activeCell="J163" sqref="J163"/>
    </sheetView>
  </sheetViews>
  <sheetFormatPr defaultColWidth="12.59765625" defaultRowHeight="15" customHeight="1"/>
  <cols>
    <col min="1" max="1" width="37.5" style="494" hidden="1" customWidth="1"/>
    <col min="2" max="2" width="21.8984375" style="494" hidden="1" customWidth="1"/>
    <col min="3" max="3" width="31.19921875" style="494" customWidth="1"/>
    <col min="4" max="4" width="16.5" style="494" customWidth="1"/>
    <col min="5" max="5" width="14.59765625" style="494" customWidth="1"/>
    <col min="6" max="6" width="14" style="494" customWidth="1"/>
    <col min="7" max="7" width="17.69921875" style="494" hidden="1" customWidth="1"/>
    <col min="8" max="8" width="15.09765625" style="494" hidden="1" customWidth="1"/>
    <col min="9" max="9" width="14" style="494" hidden="1" customWidth="1"/>
    <col min="10" max="10" width="15.59765625" style="494" customWidth="1"/>
    <col min="11" max="11" width="15.5" style="494" customWidth="1"/>
    <col min="12" max="12" width="14.8984375" style="494" customWidth="1"/>
    <col min="13" max="14" width="16.19921875" style="494" customWidth="1"/>
    <col min="15" max="15" width="15.5" style="494" customWidth="1"/>
    <col min="16" max="16" width="14.59765625" style="494" customWidth="1"/>
    <col min="17" max="17" width="14" style="494" customWidth="1"/>
    <col min="18" max="18" width="14.69921875" style="494" customWidth="1"/>
    <col min="19" max="19" width="19" style="494" customWidth="1"/>
    <col min="20" max="20" width="4.59765625" style="494" customWidth="1"/>
    <col min="21" max="21" width="31.69921875" style="494" customWidth="1"/>
    <col min="22" max="22" width="34" style="494" customWidth="1"/>
    <col min="23" max="23" width="12.19921875" style="494" customWidth="1"/>
    <col min="24" max="24" width="13.69921875" style="494" customWidth="1"/>
    <col min="25" max="25" width="15.09765625" style="494" customWidth="1"/>
    <col min="26" max="26" width="15" style="494" customWidth="1"/>
    <col min="27" max="27" width="11.09765625" style="494" hidden="1" customWidth="1"/>
    <col min="28" max="28" width="9.3984375" style="494" hidden="1" customWidth="1"/>
    <col min="29" max="29" width="14.5" style="494" hidden="1" customWidth="1"/>
    <col min="30" max="30" width="13.5" style="494" customWidth="1"/>
    <col min="31" max="31" width="14.19921875" style="494" customWidth="1"/>
    <col min="32" max="32" width="14.09765625" style="494" customWidth="1"/>
    <col min="33" max="33" width="9" style="494" customWidth="1"/>
    <col min="34" max="34" width="13.5" style="494" customWidth="1"/>
    <col min="35" max="35" width="11.5" style="494" bestFit="1" customWidth="1"/>
    <col min="36" max="36" width="10.8984375" style="494" customWidth="1"/>
    <col min="37" max="37" width="11.3984375" style="494" customWidth="1"/>
    <col min="38" max="38" width="12.69921875" style="494" customWidth="1"/>
    <col min="39" max="39" width="9" style="494" customWidth="1"/>
    <col min="40" max="40" width="11" style="494" customWidth="1"/>
    <col min="41" max="41" width="14.69921875" style="494" customWidth="1"/>
    <col min="42" max="42" width="11" style="494" customWidth="1"/>
    <col min="43" max="43" width="48.3984375" style="494" customWidth="1"/>
    <col min="44" max="62" width="11" style="494" customWidth="1"/>
    <col min="63" max="16384" width="12.59765625" style="494"/>
  </cols>
  <sheetData>
    <row r="1" spans="1:40" ht="36" thickBot="1">
      <c r="B1" s="495"/>
      <c r="C1" s="496" t="s">
        <v>477</v>
      </c>
      <c r="D1" s="497"/>
      <c r="E1" s="498"/>
      <c r="F1" s="497"/>
      <c r="G1" s="497"/>
      <c r="H1" s="495"/>
      <c r="I1" s="497"/>
      <c r="J1" s="495"/>
      <c r="K1" s="499" t="s">
        <v>0</v>
      </c>
      <c r="L1" s="497"/>
      <c r="M1" s="497"/>
      <c r="N1" s="500"/>
      <c r="O1" s="496"/>
      <c r="P1" s="501"/>
      <c r="Q1" s="496"/>
      <c r="R1" s="501"/>
      <c r="S1" s="502" t="s">
        <v>484</v>
      </c>
      <c r="T1" s="497" t="s">
        <v>1</v>
      </c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</row>
    <row r="2" spans="1:40" ht="15" customHeight="1" thickTop="1" thickBot="1">
      <c r="B2" s="503"/>
      <c r="C2" s="504"/>
      <c r="D2" s="505" t="s">
        <v>2</v>
      </c>
      <c r="E2" s="505" t="s">
        <v>3</v>
      </c>
      <c r="F2" s="505" t="s">
        <v>4</v>
      </c>
      <c r="G2" s="505"/>
      <c r="H2" s="505"/>
      <c r="I2" s="505"/>
      <c r="J2" s="505" t="s">
        <v>218</v>
      </c>
      <c r="K2" s="505"/>
      <c r="L2" s="505" t="s">
        <v>219</v>
      </c>
      <c r="M2" s="506"/>
      <c r="N2" s="506"/>
      <c r="O2" s="505" t="s">
        <v>2</v>
      </c>
      <c r="P2" s="505" t="s">
        <v>3</v>
      </c>
      <c r="Q2" s="505" t="s">
        <v>4</v>
      </c>
      <c r="R2" s="506"/>
      <c r="S2" s="506"/>
      <c r="T2" s="506"/>
      <c r="U2" s="506"/>
      <c r="V2" s="507" t="s">
        <v>220</v>
      </c>
      <c r="W2" s="508"/>
    </row>
    <row r="3" spans="1:40" ht="21.6" thickTop="1">
      <c r="B3" s="509"/>
      <c r="C3" s="510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221</v>
      </c>
      <c r="N3" s="513"/>
      <c r="O3" s="511" t="s">
        <v>8</v>
      </c>
      <c r="P3" s="512"/>
      <c r="Q3" s="513"/>
      <c r="R3" s="514" t="s">
        <v>222</v>
      </c>
      <c r="S3" s="513"/>
      <c r="T3" s="509"/>
      <c r="U3" s="509"/>
      <c r="V3" s="515" t="s">
        <v>223</v>
      </c>
      <c r="W3" s="516">
        <v>0.45</v>
      </c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  <c r="AM3" s="509"/>
      <c r="AN3" s="509"/>
    </row>
    <row r="4" spans="1:40" ht="20.399999999999999">
      <c r="B4" s="509"/>
      <c r="C4" s="517"/>
      <c r="D4" s="518" t="s">
        <v>10</v>
      </c>
      <c r="E4" s="519" t="s">
        <v>11</v>
      </c>
      <c r="F4" s="520" t="s">
        <v>12</v>
      </c>
      <c r="G4" s="521"/>
      <c r="H4" s="519"/>
      <c r="I4" s="520"/>
      <c r="J4" s="521" t="s">
        <v>224</v>
      </c>
      <c r="K4" s="519" t="s">
        <v>13</v>
      </c>
      <c r="L4" s="520" t="s">
        <v>12</v>
      </c>
      <c r="M4" s="521" t="s">
        <v>224</v>
      </c>
      <c r="N4" s="520" t="s">
        <v>12</v>
      </c>
      <c r="O4" s="519" t="s">
        <v>10</v>
      </c>
      <c r="P4" s="519" t="s">
        <v>11</v>
      </c>
      <c r="Q4" s="520" t="s">
        <v>12</v>
      </c>
      <c r="R4" s="521" t="s">
        <v>224</v>
      </c>
      <c r="S4" s="520" t="s">
        <v>12</v>
      </c>
      <c r="T4" s="509"/>
      <c r="U4" s="509"/>
      <c r="V4" s="515" t="s">
        <v>225</v>
      </c>
      <c r="W4" s="516">
        <v>0.1</v>
      </c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509"/>
      <c r="AK4" s="509"/>
      <c r="AL4" s="509"/>
      <c r="AM4" s="509"/>
      <c r="AN4" s="509"/>
    </row>
    <row r="5" spans="1:40" ht="20.399999999999999">
      <c r="A5" s="494" t="s">
        <v>226</v>
      </c>
      <c r="B5" s="509" t="s">
        <v>0</v>
      </c>
      <c r="C5" s="522" t="s">
        <v>15</v>
      </c>
      <c r="D5" s="523"/>
      <c r="E5" s="523"/>
      <c r="F5" s="524">
        <v>3729070.9819317264</v>
      </c>
      <c r="G5" s="523"/>
      <c r="H5" s="523"/>
      <c r="I5" s="525"/>
      <c r="J5" s="522"/>
      <c r="K5" s="526"/>
      <c r="L5" s="524">
        <v>3906259.7900000005</v>
      </c>
      <c r="M5" s="527"/>
      <c r="N5" s="528"/>
      <c r="O5" s="522"/>
      <c r="P5" s="526"/>
      <c r="Q5" s="524">
        <v>2808157.66</v>
      </c>
      <c r="R5" s="527"/>
      <c r="S5" s="528"/>
      <c r="T5" s="509"/>
      <c r="U5" s="509"/>
      <c r="V5" s="515" t="s">
        <v>227</v>
      </c>
      <c r="W5" s="516">
        <v>0.22500000000000001</v>
      </c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1:40" ht="20.399999999999999">
      <c r="A6" s="494" t="s">
        <v>228</v>
      </c>
      <c r="B6" s="509" t="s">
        <v>0</v>
      </c>
      <c r="C6" s="529" t="s">
        <v>16</v>
      </c>
      <c r="D6" s="530">
        <v>14</v>
      </c>
      <c r="E6" s="530">
        <v>2166.7201867134227</v>
      </c>
      <c r="F6" s="530">
        <v>30334.082613987917</v>
      </c>
      <c r="G6" s="531"/>
      <c r="H6" s="530"/>
      <c r="I6" s="530"/>
      <c r="J6" s="531">
        <v>18</v>
      </c>
      <c r="K6" s="530">
        <v>1997.7755555555534</v>
      </c>
      <c r="L6" s="532">
        <v>35959.959999999963</v>
      </c>
      <c r="M6" s="531">
        <v>4</v>
      </c>
      <c r="N6" s="532">
        <v>5625.8773860120455</v>
      </c>
      <c r="O6" s="531">
        <v>12</v>
      </c>
      <c r="P6" s="530">
        <v>2048.0299999999916</v>
      </c>
      <c r="Q6" s="532">
        <v>24576.359999999899</v>
      </c>
      <c r="R6" s="531">
        <v>6</v>
      </c>
      <c r="S6" s="532">
        <v>11383.600000000064</v>
      </c>
      <c r="T6" s="509"/>
      <c r="U6" s="509"/>
      <c r="V6" s="515" t="s">
        <v>229</v>
      </c>
      <c r="W6" s="516">
        <v>2.5000000000000001E-2</v>
      </c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</row>
    <row r="7" spans="1:40" ht="20.399999999999999">
      <c r="A7" s="494" t="s">
        <v>230</v>
      </c>
      <c r="B7" s="509" t="s">
        <v>0</v>
      </c>
      <c r="C7" s="529" t="s">
        <v>17</v>
      </c>
      <c r="D7" s="530">
        <v>57.04</v>
      </c>
      <c r="E7" s="530">
        <v>2873.2446535640911</v>
      </c>
      <c r="F7" s="530">
        <v>163889.87503929576</v>
      </c>
      <c r="G7" s="531"/>
      <c r="H7" s="530"/>
      <c r="I7" s="530"/>
      <c r="J7" s="531">
        <v>51</v>
      </c>
      <c r="K7" s="530">
        <v>2441.8603921568651</v>
      </c>
      <c r="L7" s="532">
        <v>124534.88000000012</v>
      </c>
      <c r="M7" s="531">
        <v>-6.0399999999999991</v>
      </c>
      <c r="N7" s="532">
        <v>-39354.995039295638</v>
      </c>
      <c r="O7" s="531">
        <v>34</v>
      </c>
      <c r="P7" s="530">
        <v>2504.176764705885</v>
      </c>
      <c r="Q7" s="532">
        <v>85142.010000000097</v>
      </c>
      <c r="R7" s="531">
        <v>17</v>
      </c>
      <c r="S7" s="532">
        <v>39392.870000000024</v>
      </c>
      <c r="T7" s="509"/>
      <c r="U7" s="509"/>
      <c r="V7" s="515" t="s">
        <v>231</v>
      </c>
      <c r="W7" s="516">
        <v>0.2</v>
      </c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</row>
    <row r="8" spans="1:40" ht="21" thickBot="1">
      <c r="A8" s="494" t="s">
        <v>232</v>
      </c>
      <c r="B8" s="509" t="s">
        <v>0</v>
      </c>
      <c r="C8" s="529" t="s">
        <v>18</v>
      </c>
      <c r="D8" s="530">
        <v>0</v>
      </c>
      <c r="E8" s="530">
        <v>0</v>
      </c>
      <c r="F8" s="530">
        <v>0</v>
      </c>
      <c r="G8" s="531"/>
      <c r="H8" s="530"/>
      <c r="I8" s="530"/>
      <c r="J8" s="531">
        <v>0</v>
      </c>
      <c r="K8" s="530">
        <v>0</v>
      </c>
      <c r="L8" s="532">
        <v>0</v>
      </c>
      <c r="M8" s="531">
        <v>0</v>
      </c>
      <c r="N8" s="532">
        <v>0</v>
      </c>
      <c r="O8" s="531">
        <v>0</v>
      </c>
      <c r="P8" s="530">
        <v>0</v>
      </c>
      <c r="Q8" s="532">
        <v>0</v>
      </c>
      <c r="R8" s="531">
        <v>0</v>
      </c>
      <c r="S8" s="532">
        <v>0</v>
      </c>
      <c r="T8" s="509"/>
      <c r="U8" s="509"/>
      <c r="V8" s="533"/>
      <c r="W8" s="534">
        <v>1</v>
      </c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</row>
    <row r="9" spans="1:40" ht="21" thickTop="1">
      <c r="A9" s="494" t="s">
        <v>233</v>
      </c>
      <c r="B9" s="509" t="s">
        <v>0</v>
      </c>
      <c r="C9" s="529" t="s">
        <v>19</v>
      </c>
      <c r="D9" s="530">
        <v>0</v>
      </c>
      <c r="E9" s="530">
        <v>0</v>
      </c>
      <c r="F9" s="530">
        <v>0</v>
      </c>
      <c r="G9" s="531"/>
      <c r="H9" s="530"/>
      <c r="I9" s="530"/>
      <c r="J9" s="531">
        <v>0</v>
      </c>
      <c r="K9" s="530">
        <v>0</v>
      </c>
      <c r="L9" s="532">
        <v>0</v>
      </c>
      <c r="M9" s="531">
        <v>0</v>
      </c>
      <c r="N9" s="532">
        <v>0</v>
      </c>
      <c r="O9" s="531">
        <v>0</v>
      </c>
      <c r="P9" s="530">
        <v>0</v>
      </c>
      <c r="Q9" s="532">
        <v>0</v>
      </c>
      <c r="R9" s="531">
        <v>0</v>
      </c>
      <c r="S9" s="532">
        <v>0</v>
      </c>
      <c r="T9" s="509"/>
      <c r="U9" s="509"/>
      <c r="V9" s="509"/>
      <c r="W9" s="509"/>
      <c r="X9" s="509"/>
      <c r="Y9" s="509"/>
      <c r="Z9" s="509"/>
      <c r="AA9" s="509"/>
      <c r="AB9" s="509"/>
      <c r="AC9" s="509"/>
      <c r="AD9" s="509"/>
      <c r="AE9" s="509"/>
      <c r="AF9" s="509"/>
      <c r="AG9" s="509"/>
      <c r="AH9" s="509"/>
      <c r="AI9" s="509"/>
      <c r="AJ9" s="509"/>
      <c r="AK9" s="509"/>
      <c r="AL9" s="509"/>
      <c r="AM9" s="509"/>
      <c r="AN9" s="509"/>
    </row>
    <row r="10" spans="1:40" ht="20.25" hidden="1" customHeight="1">
      <c r="A10" s="494" t="s">
        <v>234</v>
      </c>
      <c r="B10" s="509" t="s">
        <v>0</v>
      </c>
      <c r="C10" s="529" t="s">
        <v>20</v>
      </c>
      <c r="D10" s="530">
        <v>0</v>
      </c>
      <c r="E10" s="530">
        <v>0</v>
      </c>
      <c r="F10" s="530">
        <v>0</v>
      </c>
      <c r="G10" s="531"/>
      <c r="H10" s="530"/>
      <c r="I10" s="530"/>
      <c r="J10" s="531">
        <v>0</v>
      </c>
      <c r="K10" s="530">
        <v>0</v>
      </c>
      <c r="L10" s="532">
        <v>0</v>
      </c>
      <c r="M10" s="531">
        <v>0</v>
      </c>
      <c r="N10" s="532">
        <v>0</v>
      </c>
      <c r="O10" s="531">
        <v>0</v>
      </c>
      <c r="P10" s="530">
        <v>0</v>
      </c>
      <c r="Q10" s="532">
        <v>0</v>
      </c>
      <c r="R10" s="531">
        <v>0</v>
      </c>
      <c r="S10" s="532">
        <v>0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 ht="20.25" hidden="1" customHeight="1">
      <c r="A11" s="494" t="s">
        <v>234</v>
      </c>
      <c r="B11" s="509" t="s">
        <v>0</v>
      </c>
      <c r="C11" s="529" t="s">
        <v>20</v>
      </c>
      <c r="D11" s="530">
        <v>0</v>
      </c>
      <c r="E11" s="530">
        <v>0</v>
      </c>
      <c r="F11" s="530">
        <v>0</v>
      </c>
      <c r="G11" s="531"/>
      <c r="H11" s="530"/>
      <c r="I11" s="530"/>
      <c r="J11" s="531">
        <v>0</v>
      </c>
      <c r="K11" s="530">
        <v>0</v>
      </c>
      <c r="L11" s="532">
        <v>0</v>
      </c>
      <c r="M11" s="531">
        <v>0</v>
      </c>
      <c r="N11" s="532">
        <v>0</v>
      </c>
      <c r="O11" s="531">
        <v>0</v>
      </c>
      <c r="P11" s="530">
        <v>0</v>
      </c>
      <c r="Q11" s="532">
        <v>0</v>
      </c>
      <c r="R11" s="531">
        <v>0</v>
      </c>
      <c r="S11" s="532">
        <v>0</v>
      </c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  <c r="AG11" s="509"/>
      <c r="AH11" s="509"/>
      <c r="AI11" s="509"/>
      <c r="AJ11" s="509"/>
      <c r="AK11" s="509"/>
      <c r="AL11" s="509"/>
      <c r="AM11" s="509"/>
      <c r="AN11" s="509"/>
    </row>
    <row r="12" spans="1:40" ht="20.25" hidden="1" customHeight="1">
      <c r="A12" s="494" t="s">
        <v>234</v>
      </c>
      <c r="B12" s="509" t="s">
        <v>0</v>
      </c>
      <c r="C12" s="529" t="s">
        <v>20</v>
      </c>
      <c r="D12" s="530">
        <v>0</v>
      </c>
      <c r="E12" s="530">
        <v>0</v>
      </c>
      <c r="F12" s="530">
        <v>0</v>
      </c>
      <c r="G12" s="531"/>
      <c r="H12" s="530"/>
      <c r="I12" s="530"/>
      <c r="J12" s="531">
        <v>0</v>
      </c>
      <c r="K12" s="530">
        <v>0</v>
      </c>
      <c r="L12" s="532">
        <v>0</v>
      </c>
      <c r="M12" s="531">
        <v>0</v>
      </c>
      <c r="N12" s="532">
        <v>0</v>
      </c>
      <c r="O12" s="531">
        <v>0</v>
      </c>
      <c r="P12" s="530">
        <v>0</v>
      </c>
      <c r="Q12" s="532">
        <v>0</v>
      </c>
      <c r="R12" s="531">
        <v>0</v>
      </c>
      <c r="S12" s="532">
        <v>0</v>
      </c>
      <c r="T12" s="509"/>
      <c r="U12" s="509"/>
      <c r="V12" s="509"/>
      <c r="W12" s="509"/>
      <c r="X12" s="509"/>
      <c r="Y12" s="509"/>
      <c r="Z12" s="509"/>
      <c r="AA12" s="509"/>
      <c r="AB12" s="509"/>
      <c r="AC12" s="509"/>
      <c r="AD12" s="509"/>
      <c r="AE12" s="509"/>
      <c r="AF12" s="509"/>
      <c r="AG12" s="509"/>
      <c r="AH12" s="509"/>
      <c r="AI12" s="509"/>
      <c r="AJ12" s="509"/>
      <c r="AK12" s="509"/>
      <c r="AL12" s="509"/>
      <c r="AM12" s="509"/>
      <c r="AN12" s="509"/>
    </row>
    <row r="13" spans="1:40" ht="21">
      <c r="A13" s="494" t="s">
        <v>235</v>
      </c>
      <c r="B13" s="509" t="s">
        <v>0</v>
      </c>
      <c r="C13" s="535" t="s">
        <v>21</v>
      </c>
      <c r="D13" s="536">
        <v>71.039999999999992</v>
      </c>
      <c r="E13" s="536">
        <v>2734.0084129122142</v>
      </c>
      <c r="F13" s="537">
        <v>194223.95765328367</v>
      </c>
      <c r="G13" s="538"/>
      <c r="H13" s="536"/>
      <c r="I13" s="537"/>
      <c r="J13" s="538">
        <v>69</v>
      </c>
      <c r="K13" s="536">
        <v>2326.0121739130445</v>
      </c>
      <c r="L13" s="537">
        <v>160494.84000000008</v>
      </c>
      <c r="M13" s="538">
        <v>-2.0399999999999991</v>
      </c>
      <c r="N13" s="537">
        <v>-33729.117653283596</v>
      </c>
      <c r="O13" s="538">
        <v>46</v>
      </c>
      <c r="P13" s="536">
        <v>2385.1819565217388</v>
      </c>
      <c r="Q13" s="537">
        <v>109718.37</v>
      </c>
      <c r="R13" s="538">
        <v>23</v>
      </c>
      <c r="S13" s="537">
        <v>50776.470000000088</v>
      </c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09"/>
      <c r="AI13" s="509"/>
      <c r="AJ13" s="509"/>
      <c r="AK13" s="509"/>
      <c r="AL13" s="509"/>
      <c r="AM13" s="509"/>
      <c r="AN13" s="509"/>
    </row>
    <row r="14" spans="1:40" ht="20.399999999999999">
      <c r="A14" s="494" t="s">
        <v>0</v>
      </c>
      <c r="B14" s="509" t="s">
        <v>0</v>
      </c>
      <c r="C14" s="529"/>
      <c r="D14" s="509"/>
      <c r="E14" s="530"/>
      <c r="F14" s="539"/>
      <c r="G14" s="529"/>
      <c r="H14" s="530"/>
      <c r="I14" s="539"/>
      <c r="J14" s="529"/>
      <c r="K14" s="530"/>
      <c r="L14" s="539"/>
      <c r="M14" s="540">
        <v>-2.8716216216216207E-2</v>
      </c>
      <c r="N14" s="541">
        <v>-0.17366095336958731</v>
      </c>
      <c r="O14" s="529"/>
      <c r="P14" s="530"/>
      <c r="Q14" s="539"/>
      <c r="R14" s="540">
        <v>0.5</v>
      </c>
      <c r="S14" s="541">
        <v>0.46278913913868835</v>
      </c>
      <c r="T14" s="509"/>
      <c r="U14" s="509"/>
      <c r="V14" s="509"/>
      <c r="W14" s="530"/>
      <c r="X14" s="530"/>
      <c r="Y14" s="509"/>
      <c r="Z14" s="509"/>
      <c r="AA14" s="509"/>
      <c r="AB14" s="509"/>
      <c r="AC14" s="509"/>
      <c r="AD14" s="509">
        <v>20</v>
      </c>
      <c r="AE14" s="509">
        <v>1000</v>
      </c>
      <c r="AF14" s="509">
        <v>20000</v>
      </c>
      <c r="AG14" s="509"/>
      <c r="AH14" s="509"/>
      <c r="AI14" s="509"/>
      <c r="AJ14" s="509"/>
      <c r="AK14" s="509"/>
      <c r="AL14" s="509"/>
      <c r="AM14" s="509"/>
      <c r="AN14" s="509"/>
    </row>
    <row r="15" spans="1:40" ht="21">
      <c r="A15" s="494" t="s">
        <v>236</v>
      </c>
      <c r="B15" s="509" t="s">
        <v>0</v>
      </c>
      <c r="C15" s="542" t="s">
        <v>22</v>
      </c>
      <c r="D15" s="526">
        <v>5.6350000000000007</v>
      </c>
      <c r="E15" s="526">
        <v>2535.1215876200376</v>
      </c>
      <c r="F15" s="524">
        <v>14285.410146238914</v>
      </c>
      <c r="G15" s="543"/>
      <c r="H15" s="526"/>
      <c r="I15" s="524"/>
      <c r="J15" s="544">
        <v>5</v>
      </c>
      <c r="K15" s="545">
        <v>1165.5820000000008</v>
      </c>
      <c r="L15" s="545">
        <v>5827.9100000000035</v>
      </c>
      <c r="M15" s="543">
        <v>-0.63500000000000068</v>
      </c>
      <c r="N15" s="524">
        <v>-8457.50014623891</v>
      </c>
      <c r="O15" s="544">
        <v>7</v>
      </c>
      <c r="P15" s="545">
        <v>2567.5442857142712</v>
      </c>
      <c r="Q15" s="545">
        <v>17972.809999999899</v>
      </c>
      <c r="R15" s="543">
        <v>-2</v>
      </c>
      <c r="S15" s="524">
        <v>-12144.899999999896</v>
      </c>
      <c r="T15" s="509"/>
      <c r="V15" s="530"/>
      <c r="W15" s="509"/>
      <c r="X15" s="509"/>
      <c r="Y15" s="509"/>
      <c r="Z15" s="509"/>
      <c r="AA15" s="509"/>
      <c r="AB15" s="509"/>
      <c r="AC15" s="509"/>
      <c r="AD15" s="509">
        <v>25</v>
      </c>
      <c r="AE15" s="509">
        <v>800</v>
      </c>
      <c r="AF15" s="509">
        <v>20000</v>
      </c>
      <c r="AG15" s="509"/>
      <c r="AH15" s="509"/>
      <c r="AI15" s="509"/>
      <c r="AJ15" s="509"/>
      <c r="AK15" s="509"/>
      <c r="AL15" s="509"/>
      <c r="AM15" s="509"/>
      <c r="AN15" s="509"/>
    </row>
    <row r="16" spans="1:40" ht="21">
      <c r="A16" s="494" t="s">
        <v>0</v>
      </c>
      <c r="B16" s="509" t="s">
        <v>0</v>
      </c>
      <c r="C16" s="529"/>
      <c r="D16" s="509"/>
      <c r="E16" s="530"/>
      <c r="F16" s="539"/>
      <c r="G16" s="529"/>
      <c r="H16" s="530"/>
      <c r="I16" s="539"/>
      <c r="J16" s="529"/>
      <c r="K16" s="530"/>
      <c r="L16" s="532"/>
      <c r="M16" s="546"/>
      <c r="N16" s="547"/>
      <c r="O16" s="529"/>
      <c r="P16" s="530"/>
      <c r="Q16" s="532"/>
      <c r="R16" s="546"/>
      <c r="S16" s="547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09"/>
      <c r="AK16" s="509"/>
      <c r="AL16" s="509"/>
      <c r="AM16" s="509"/>
      <c r="AN16" s="509"/>
    </row>
    <row r="17" spans="1:40" ht="21">
      <c r="A17" s="494" t="s">
        <v>237</v>
      </c>
      <c r="B17" s="509" t="s">
        <v>0</v>
      </c>
      <c r="C17" s="548" t="s">
        <v>23</v>
      </c>
      <c r="D17" s="530">
        <v>5.1749999999999998</v>
      </c>
      <c r="E17" s="530">
        <v>2664.4640678584237</v>
      </c>
      <c r="F17" s="530">
        <v>13788.601551167343</v>
      </c>
      <c r="G17" s="531"/>
      <c r="H17" s="530"/>
      <c r="I17" s="530"/>
      <c r="J17" s="543">
        <v>0</v>
      </c>
      <c r="K17" s="530">
        <v>0</v>
      </c>
      <c r="L17" s="532">
        <v>0</v>
      </c>
      <c r="M17" s="543">
        <v>-5.1749999999999998</v>
      </c>
      <c r="N17" s="532">
        <v>-13788.601551167343</v>
      </c>
      <c r="O17" s="543">
        <v>3</v>
      </c>
      <c r="P17" s="530">
        <v>1222.9133333333332</v>
      </c>
      <c r="Q17" s="532">
        <v>3668.74</v>
      </c>
      <c r="R17" s="531">
        <v>-3</v>
      </c>
      <c r="S17" s="532">
        <v>-3668.74</v>
      </c>
      <c r="T17" s="509"/>
      <c r="U17" s="509"/>
      <c r="V17" s="549"/>
      <c r="W17" s="509"/>
      <c r="X17" s="509"/>
      <c r="Y17" s="509"/>
      <c r="Z17" s="509"/>
      <c r="AA17" s="530"/>
      <c r="AB17" s="509"/>
      <c r="AC17" s="509"/>
      <c r="AD17" s="509"/>
      <c r="AE17" s="509"/>
      <c r="AF17" s="509"/>
      <c r="AG17" s="509"/>
      <c r="AH17" s="509"/>
      <c r="AI17" s="509"/>
      <c r="AJ17" s="509"/>
      <c r="AK17" s="509"/>
      <c r="AL17" s="509"/>
      <c r="AM17" s="509"/>
      <c r="AN17" s="509"/>
    </row>
    <row r="18" spans="1:40" ht="21">
      <c r="A18" s="494" t="s">
        <v>0</v>
      </c>
      <c r="B18" s="509" t="s">
        <v>0</v>
      </c>
      <c r="C18" s="535"/>
      <c r="D18" s="550"/>
      <c r="E18" s="550"/>
      <c r="F18" s="551"/>
      <c r="G18" s="552"/>
      <c r="H18" s="550"/>
      <c r="I18" s="551"/>
      <c r="J18" s="531"/>
      <c r="K18" s="550"/>
      <c r="L18" s="551"/>
      <c r="M18" s="531"/>
      <c r="N18" s="551"/>
      <c r="O18" s="531"/>
      <c r="P18" s="550"/>
      <c r="Q18" s="551"/>
      <c r="R18" s="552"/>
      <c r="S18" s="551"/>
      <c r="T18" s="509"/>
      <c r="U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09"/>
      <c r="AK18" s="509"/>
      <c r="AL18" s="509"/>
      <c r="AM18" s="509"/>
      <c r="AN18" s="509"/>
    </row>
    <row r="19" spans="1:40" ht="21">
      <c r="A19" s="494" t="s">
        <v>238</v>
      </c>
      <c r="B19" s="509" t="s">
        <v>0</v>
      </c>
      <c r="C19" s="542" t="s">
        <v>24</v>
      </c>
      <c r="D19" s="530">
        <v>0</v>
      </c>
      <c r="E19" s="530">
        <v>0</v>
      </c>
      <c r="F19" s="530">
        <v>9775</v>
      </c>
      <c r="G19" s="531"/>
      <c r="H19" s="530"/>
      <c r="I19" s="530"/>
      <c r="J19" s="543"/>
      <c r="K19" s="530"/>
      <c r="L19" s="532">
        <v>9930</v>
      </c>
      <c r="M19" s="531"/>
      <c r="N19" s="532">
        <v>155</v>
      </c>
      <c r="O19" s="543"/>
      <c r="P19" s="530"/>
      <c r="Q19" s="532">
        <v>12671.609999999901</v>
      </c>
      <c r="R19" s="531">
        <v>0</v>
      </c>
      <c r="S19" s="532">
        <v>-2741.6099999999005</v>
      </c>
      <c r="T19" s="509"/>
      <c r="W19" s="530"/>
      <c r="X19" s="553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</row>
    <row r="20" spans="1:40" ht="21">
      <c r="A20" s="494" t="s">
        <v>0</v>
      </c>
      <c r="B20" s="509" t="s">
        <v>0</v>
      </c>
      <c r="C20" s="535"/>
      <c r="D20" s="550"/>
      <c r="E20" s="550"/>
      <c r="F20" s="551"/>
      <c r="G20" s="552"/>
      <c r="H20" s="550"/>
      <c r="I20" s="551"/>
      <c r="J20" s="531"/>
      <c r="K20" s="550"/>
      <c r="L20" s="551"/>
      <c r="M20" s="552"/>
      <c r="N20" s="551"/>
      <c r="O20" s="531"/>
      <c r="P20" s="550"/>
      <c r="Q20" s="551"/>
      <c r="R20" s="552"/>
      <c r="S20" s="551"/>
      <c r="T20" s="509"/>
      <c r="U20" s="509"/>
      <c r="W20" s="530"/>
      <c r="X20" s="553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</row>
    <row r="21" spans="1:40" ht="15.75" customHeight="1">
      <c r="A21" s="494" t="s">
        <v>239</v>
      </c>
      <c r="B21" s="509" t="s">
        <v>0</v>
      </c>
      <c r="C21" s="529" t="s">
        <v>25</v>
      </c>
      <c r="D21" s="530">
        <v>0</v>
      </c>
      <c r="E21" s="530">
        <v>0</v>
      </c>
      <c r="F21" s="530">
        <v>15335</v>
      </c>
      <c r="G21" s="531"/>
      <c r="H21" s="530"/>
      <c r="I21" s="530"/>
      <c r="J21" s="531"/>
      <c r="K21" s="530">
        <v>10.810810810810811</v>
      </c>
      <c r="L21" s="532">
        <v>800</v>
      </c>
      <c r="M21" s="531"/>
      <c r="N21" s="532">
        <v>-14535</v>
      </c>
      <c r="O21" s="531"/>
      <c r="P21" s="530"/>
      <c r="Q21" s="532">
        <v>7236.22</v>
      </c>
      <c r="R21" s="531">
        <v>-10.810810810810811</v>
      </c>
      <c r="S21" s="532">
        <v>-6436.22</v>
      </c>
      <c r="T21" s="509"/>
      <c r="U21" s="509"/>
      <c r="W21" s="509"/>
      <c r="X21" s="553"/>
      <c r="Y21" s="509"/>
      <c r="Z21" s="509"/>
      <c r="AA21" s="509"/>
      <c r="AB21" s="509"/>
      <c r="AC21" s="509"/>
      <c r="AD21" s="509"/>
      <c r="AE21" s="509"/>
      <c r="AF21" s="509"/>
      <c r="AG21" s="509"/>
      <c r="AH21" s="509"/>
      <c r="AI21" s="509"/>
      <c r="AJ21" s="509"/>
      <c r="AK21" s="509"/>
      <c r="AL21" s="509"/>
      <c r="AM21" s="509"/>
      <c r="AN21" s="509"/>
    </row>
    <row r="22" spans="1:40" ht="18" customHeight="1">
      <c r="A22" s="494" t="s">
        <v>240</v>
      </c>
      <c r="B22" s="509" t="s">
        <v>0</v>
      </c>
      <c r="C22" s="529" t="s">
        <v>26</v>
      </c>
      <c r="D22" s="530">
        <v>0</v>
      </c>
      <c r="E22" s="530">
        <v>0</v>
      </c>
      <c r="F22" s="530">
        <v>82809</v>
      </c>
      <c r="G22" s="531"/>
      <c r="H22" s="530"/>
      <c r="I22" s="530"/>
      <c r="J22" s="531"/>
      <c r="K22" s="530">
        <v>791.51256756756754</v>
      </c>
      <c r="L22" s="532">
        <v>58571.93</v>
      </c>
      <c r="M22" s="531"/>
      <c r="N22" s="532">
        <v>-24237.07</v>
      </c>
      <c r="O22" s="531"/>
      <c r="P22" s="530"/>
      <c r="Q22" s="532">
        <v>53155.27</v>
      </c>
      <c r="R22" s="531">
        <v>-791.51256756756754</v>
      </c>
      <c r="S22" s="532">
        <v>5416.6600000000035</v>
      </c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</row>
    <row r="23" spans="1:40" ht="19.5" customHeight="1">
      <c r="A23" s="494" t="s">
        <v>241</v>
      </c>
      <c r="B23" s="509" t="s">
        <v>0</v>
      </c>
      <c r="C23" s="529" t="s">
        <v>27</v>
      </c>
      <c r="D23" s="530">
        <v>0</v>
      </c>
      <c r="E23" s="530">
        <v>0</v>
      </c>
      <c r="F23" s="530">
        <v>1533.5</v>
      </c>
      <c r="G23" s="531"/>
      <c r="H23" s="530"/>
      <c r="I23" s="530"/>
      <c r="J23" s="531"/>
      <c r="K23" s="530">
        <v>0</v>
      </c>
      <c r="L23" s="532">
        <v>0</v>
      </c>
      <c r="M23" s="543"/>
      <c r="N23" s="532">
        <v>-1533.5</v>
      </c>
      <c r="O23" s="531"/>
      <c r="P23" s="530"/>
      <c r="Q23" s="532">
        <v>1745.17</v>
      </c>
      <c r="R23" s="531">
        <v>0</v>
      </c>
      <c r="S23" s="532">
        <v>-1745.17</v>
      </c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</row>
    <row r="24" spans="1:40" ht="18" customHeight="1">
      <c r="A24" s="494" t="s">
        <v>242</v>
      </c>
      <c r="B24" s="509" t="s">
        <v>0</v>
      </c>
      <c r="C24" s="535" t="s">
        <v>28</v>
      </c>
      <c r="D24" s="536">
        <v>76.674999999999997</v>
      </c>
      <c r="E24" s="536">
        <v>1300</v>
      </c>
      <c r="F24" s="537">
        <v>99677.5</v>
      </c>
      <c r="G24" s="538"/>
      <c r="H24" s="536"/>
      <c r="I24" s="537"/>
      <c r="J24" s="538">
        <v>74</v>
      </c>
      <c r="K24" s="536">
        <v>802.32337837837838</v>
      </c>
      <c r="L24" s="537">
        <v>59371.93</v>
      </c>
      <c r="M24" s="554">
        <v>-2.6749999999999972</v>
      </c>
      <c r="N24" s="537">
        <v>-40305.57</v>
      </c>
      <c r="O24" s="538">
        <v>53</v>
      </c>
      <c r="P24" s="536">
        <v>1172.3898113207547</v>
      </c>
      <c r="Q24" s="537">
        <v>62136.659999999996</v>
      </c>
      <c r="R24" s="552"/>
      <c r="S24" s="537">
        <v>-2764.7299999999959</v>
      </c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  <c r="AJ24" s="509"/>
      <c r="AK24" s="509"/>
      <c r="AL24" s="509"/>
      <c r="AM24" s="509"/>
      <c r="AN24" s="509"/>
    </row>
    <row r="25" spans="1:40" ht="15.75" customHeight="1">
      <c r="A25" s="494" t="s">
        <v>0</v>
      </c>
      <c r="B25" s="509" t="s">
        <v>0</v>
      </c>
      <c r="C25" s="529"/>
      <c r="D25" s="509"/>
      <c r="E25" s="509"/>
      <c r="F25" s="555"/>
      <c r="G25" s="529"/>
      <c r="H25" s="509"/>
      <c r="I25" s="555"/>
      <c r="J25" s="529"/>
      <c r="K25" s="509"/>
      <c r="L25" s="555"/>
      <c r="M25" s="546"/>
      <c r="N25" s="547">
        <v>-0.4043597602267312</v>
      </c>
      <c r="O25" s="529"/>
      <c r="P25" s="509"/>
      <c r="Q25" s="555"/>
      <c r="R25" s="556"/>
      <c r="S25" s="547">
        <v>-4.449434520619544E-2</v>
      </c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</row>
    <row r="26" spans="1:40" ht="15.75" customHeight="1" thickBot="1">
      <c r="A26" s="494" t="s">
        <v>0</v>
      </c>
      <c r="B26" s="509" t="s">
        <v>0</v>
      </c>
      <c r="C26" s="529"/>
      <c r="D26" s="509"/>
      <c r="E26" s="509"/>
      <c r="F26" s="539"/>
      <c r="G26" s="529"/>
      <c r="H26" s="509"/>
      <c r="I26" s="539"/>
      <c r="J26" s="529"/>
      <c r="K26" s="509"/>
      <c r="L26" s="539"/>
      <c r="M26" s="529"/>
      <c r="N26" s="539"/>
      <c r="O26" s="529"/>
      <c r="P26" s="509"/>
      <c r="Q26" s="539"/>
      <c r="R26" s="529"/>
      <c r="S26" s="539"/>
      <c r="T26" s="509"/>
      <c r="U26" s="509"/>
      <c r="V26" s="509"/>
      <c r="W26" s="509"/>
      <c r="X26" s="509"/>
      <c r="Y26" s="509"/>
      <c r="Z26" s="509"/>
      <c r="AA26" s="509"/>
      <c r="AB26" s="509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</row>
    <row r="27" spans="1:40" ht="18" customHeight="1" thickTop="1">
      <c r="A27" s="494" t="s">
        <v>243</v>
      </c>
      <c r="B27" s="509" t="s">
        <v>0</v>
      </c>
      <c r="C27" s="557" t="s">
        <v>29</v>
      </c>
      <c r="D27" s="558">
        <v>81.849999999999994</v>
      </c>
      <c r="E27" s="559">
        <v>4053.151733056689</v>
      </c>
      <c r="F27" s="560">
        <v>331750.46935068996</v>
      </c>
      <c r="G27" s="561"/>
      <c r="H27" s="559"/>
      <c r="I27" s="560"/>
      <c r="J27" s="561">
        <v>74</v>
      </c>
      <c r="K27" s="559">
        <v>3184.1172972972986</v>
      </c>
      <c r="L27" s="560">
        <v>235624.68000000008</v>
      </c>
      <c r="M27" s="561">
        <v>-7.8499999999999943</v>
      </c>
      <c r="N27" s="560">
        <v>-96125.789350689884</v>
      </c>
      <c r="O27" s="561">
        <v>56</v>
      </c>
      <c r="P27" s="559">
        <v>3681.5748214285677</v>
      </c>
      <c r="Q27" s="560">
        <v>206168.1899999998</v>
      </c>
      <c r="R27" s="561">
        <v>18</v>
      </c>
      <c r="S27" s="560">
        <v>29456.490000000282</v>
      </c>
      <c r="T27" s="509"/>
      <c r="U27" s="509"/>
      <c r="V27" s="509"/>
      <c r="W27" s="509"/>
      <c r="X27" s="509"/>
      <c r="Y27" s="509"/>
      <c r="Z27" s="509"/>
      <c r="AA27" s="509"/>
      <c r="AB27" s="509"/>
      <c r="AC27" s="509"/>
      <c r="AD27" s="509"/>
      <c r="AE27" s="509"/>
      <c r="AF27" s="509"/>
      <c r="AG27" s="509"/>
      <c r="AH27" s="509"/>
      <c r="AI27" s="509"/>
      <c r="AJ27" s="509"/>
      <c r="AK27" s="509"/>
      <c r="AL27" s="509"/>
      <c r="AM27" s="509"/>
      <c r="AN27" s="509"/>
    </row>
    <row r="28" spans="1:40" ht="22.5" customHeight="1" thickBot="1">
      <c r="A28" s="494" t="s">
        <v>0</v>
      </c>
      <c r="B28" s="509" t="s">
        <v>0</v>
      </c>
      <c r="C28" s="562"/>
      <c r="D28" s="563"/>
      <c r="E28" s="563"/>
      <c r="F28" s="564"/>
      <c r="G28" s="562"/>
      <c r="H28" s="563"/>
      <c r="I28" s="564"/>
      <c r="J28" s="562"/>
      <c r="K28" s="563"/>
      <c r="L28" s="565">
        <v>0.71024671181677723</v>
      </c>
      <c r="M28" s="566">
        <v>-9.5907147220525291E-2</v>
      </c>
      <c r="N28" s="567">
        <v>-0.28975328818322277</v>
      </c>
      <c r="O28" s="562"/>
      <c r="P28" s="563"/>
      <c r="Q28" s="564"/>
      <c r="R28" s="566">
        <v>0.32142857142857145</v>
      </c>
      <c r="S28" s="567">
        <v>0.14287601787647411</v>
      </c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</row>
    <row r="29" spans="1:40" ht="15.75" customHeight="1" thickTop="1">
      <c r="A29" s="494" t="s">
        <v>0</v>
      </c>
      <c r="B29" s="509" t="s">
        <v>0</v>
      </c>
      <c r="C29" s="548"/>
      <c r="D29" s="568"/>
      <c r="E29" s="568"/>
      <c r="F29" s="569"/>
      <c r="G29" s="548"/>
      <c r="H29" s="568"/>
      <c r="I29" s="569"/>
      <c r="J29" s="548"/>
      <c r="K29" s="568"/>
      <c r="L29" s="569"/>
      <c r="M29" s="546"/>
      <c r="N29" s="547"/>
      <c r="O29" s="548"/>
      <c r="P29" s="568"/>
      <c r="Q29" s="569"/>
      <c r="R29" s="546"/>
      <c r="S29" s="547"/>
      <c r="T29" s="509"/>
      <c r="U29" s="570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</row>
    <row r="30" spans="1:40" ht="15.75" customHeight="1">
      <c r="A30" s="494" t="s">
        <v>244</v>
      </c>
      <c r="B30" s="509" t="s">
        <v>0</v>
      </c>
      <c r="C30" s="571" t="s">
        <v>30</v>
      </c>
      <c r="D30" s="509"/>
      <c r="E30" s="572"/>
      <c r="F30" s="555"/>
      <c r="G30" s="529"/>
      <c r="H30" s="572"/>
      <c r="I30" s="555"/>
      <c r="J30" s="529"/>
      <c r="K30" s="572"/>
      <c r="L30" s="539"/>
      <c r="M30" s="529"/>
      <c r="N30" s="539"/>
      <c r="O30" s="529"/>
      <c r="P30" s="572"/>
      <c r="Q30" s="539"/>
      <c r="R30" s="529"/>
      <c r="S30" s="539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09"/>
      <c r="AM30" s="509"/>
      <c r="AN30" s="509"/>
    </row>
    <row r="31" spans="1:40" ht="15.75" customHeight="1">
      <c r="A31" s="494" t="s">
        <v>245</v>
      </c>
      <c r="B31" s="509" t="s">
        <v>0</v>
      </c>
      <c r="C31" s="529" t="s">
        <v>31</v>
      </c>
      <c r="D31" s="573">
        <v>0.34</v>
      </c>
      <c r="E31" s="570">
        <v>924.59321880453456</v>
      </c>
      <c r="F31" s="530">
        <v>70893.185051837689</v>
      </c>
      <c r="G31" s="574"/>
      <c r="H31" s="570"/>
      <c r="I31" s="530"/>
      <c r="J31" s="574">
        <v>0.21053998926785408</v>
      </c>
      <c r="K31" s="570">
        <v>473.21067567567565</v>
      </c>
      <c r="L31" s="530">
        <v>35017.589999999997</v>
      </c>
      <c r="M31" s="529"/>
      <c r="N31" s="555">
        <v>-35875.595051837692</v>
      </c>
      <c r="O31" s="575">
        <v>0.31816470351078191</v>
      </c>
      <c r="P31" s="570">
        <v>788.56773584905659</v>
      </c>
      <c r="Q31" s="532">
        <v>41794.089999999997</v>
      </c>
      <c r="R31" s="529"/>
      <c r="S31" s="555">
        <v>-6776.5</v>
      </c>
      <c r="T31" s="509"/>
      <c r="U31" s="509"/>
      <c r="V31" s="509"/>
      <c r="W31" s="509"/>
      <c r="X31" s="509"/>
      <c r="Y31" s="509"/>
      <c r="Z31" s="509"/>
      <c r="AA31" s="509"/>
      <c r="AB31" s="509"/>
      <c r="AC31" s="509"/>
      <c r="AD31" s="509"/>
      <c r="AE31" s="509"/>
      <c r="AF31" s="509"/>
      <c r="AG31" s="509"/>
      <c r="AH31" s="509"/>
      <c r="AI31" s="509"/>
      <c r="AJ31" s="509"/>
      <c r="AK31" s="509"/>
      <c r="AL31" s="509"/>
      <c r="AM31" s="509"/>
      <c r="AN31" s="509"/>
    </row>
    <row r="32" spans="1:40" ht="15.75" customHeight="1">
      <c r="A32" s="494" t="s">
        <v>246</v>
      </c>
      <c r="B32" s="509" t="s">
        <v>0</v>
      </c>
      <c r="C32" s="522" t="s">
        <v>32</v>
      </c>
      <c r="D32" s="576">
        <v>0.3</v>
      </c>
      <c r="E32" s="577">
        <v>390</v>
      </c>
      <c r="F32" s="524">
        <v>29903.25</v>
      </c>
      <c r="G32" s="578"/>
      <c r="H32" s="577"/>
      <c r="I32" s="524"/>
      <c r="J32" s="578">
        <v>0.29999833254536273</v>
      </c>
      <c r="K32" s="577">
        <v>240.69567567567566</v>
      </c>
      <c r="L32" s="524">
        <v>17811.48</v>
      </c>
      <c r="M32" s="522"/>
      <c r="N32" s="579">
        <v>-12091.77</v>
      </c>
      <c r="O32" s="580">
        <v>0.29997186845897417</v>
      </c>
      <c r="P32" s="577">
        <v>351.68396226415092</v>
      </c>
      <c r="Q32" s="524">
        <v>18639.25</v>
      </c>
      <c r="R32" s="522"/>
      <c r="S32" s="579">
        <v>-827.77000000000044</v>
      </c>
      <c r="T32" s="509"/>
      <c r="Z32" s="509"/>
      <c r="AA32" s="509"/>
      <c r="AB32" s="509"/>
      <c r="AC32" s="509"/>
      <c r="AD32" s="509"/>
      <c r="AE32" s="509"/>
      <c r="AF32" s="509"/>
      <c r="AG32" s="509"/>
      <c r="AH32" s="509"/>
      <c r="AI32" s="509"/>
      <c r="AJ32" s="509"/>
      <c r="AK32" s="509"/>
      <c r="AL32" s="509"/>
      <c r="AM32" s="509"/>
      <c r="AN32" s="509"/>
    </row>
    <row r="33" spans="1:40" ht="15.75" customHeight="1">
      <c r="A33" s="494" t="s">
        <v>247</v>
      </c>
      <c r="B33" s="509" t="s">
        <v>0</v>
      </c>
      <c r="C33" s="529" t="s">
        <v>33</v>
      </c>
      <c r="D33" s="581"/>
      <c r="E33" s="570">
        <v>115</v>
      </c>
      <c r="F33" s="530">
        <v>8817.625</v>
      </c>
      <c r="G33" s="582"/>
      <c r="H33" s="570"/>
      <c r="I33" s="530"/>
      <c r="J33" s="529"/>
      <c r="K33" s="570">
        <v>153.52486486486487</v>
      </c>
      <c r="L33" s="530">
        <v>11360.84</v>
      </c>
      <c r="M33" s="529"/>
      <c r="N33" s="555">
        <v>2543.2150000000001</v>
      </c>
      <c r="O33" s="529"/>
      <c r="P33" s="570">
        <v>112.82150943396226</v>
      </c>
      <c r="Q33" s="532">
        <v>5979.54</v>
      </c>
      <c r="R33" s="529"/>
      <c r="S33" s="555">
        <v>5381.3</v>
      </c>
      <c r="T33" s="509"/>
      <c r="Z33" s="509"/>
      <c r="AA33" s="509"/>
      <c r="AB33" s="509"/>
      <c r="AC33" s="509"/>
      <c r="AD33" s="509"/>
      <c r="AE33" s="509"/>
      <c r="AF33" s="509"/>
      <c r="AG33" s="509"/>
      <c r="AH33" s="509"/>
      <c r="AI33" s="509"/>
      <c r="AJ33" s="509"/>
      <c r="AK33" s="509"/>
      <c r="AL33" s="509"/>
      <c r="AM33" s="509"/>
      <c r="AN33" s="509"/>
    </row>
    <row r="34" spans="1:40" ht="15.75" customHeight="1">
      <c r="A34" s="494" t="s">
        <v>248</v>
      </c>
      <c r="B34" s="509" t="s">
        <v>0</v>
      </c>
      <c r="C34" s="529" t="s">
        <v>34</v>
      </c>
      <c r="D34" s="581"/>
      <c r="E34" s="570">
        <v>3</v>
      </c>
      <c r="F34" s="530">
        <v>230.02499999999998</v>
      </c>
      <c r="G34" s="582"/>
      <c r="H34" s="570"/>
      <c r="I34" s="530"/>
      <c r="J34" s="529"/>
      <c r="K34" s="570">
        <v>13.206486486486487</v>
      </c>
      <c r="L34" s="530">
        <v>977.28</v>
      </c>
      <c r="M34" s="529"/>
      <c r="N34" s="555">
        <v>747.255</v>
      </c>
      <c r="O34" s="529"/>
      <c r="P34" s="570">
        <v>0</v>
      </c>
      <c r="Q34" s="532">
        <v>0</v>
      </c>
      <c r="R34" s="529"/>
      <c r="S34" s="555">
        <v>977.28</v>
      </c>
      <c r="T34" s="509"/>
      <c r="Z34" s="509"/>
      <c r="AA34" s="509"/>
      <c r="AB34" s="509"/>
      <c r="AC34" s="509"/>
      <c r="AD34" s="509"/>
      <c r="AE34" s="509"/>
      <c r="AF34" s="509"/>
      <c r="AG34" s="509"/>
      <c r="AH34" s="509"/>
      <c r="AI34" s="509"/>
      <c r="AJ34" s="509"/>
      <c r="AK34" s="509"/>
      <c r="AL34" s="509"/>
      <c r="AM34" s="509"/>
      <c r="AN34" s="509"/>
    </row>
    <row r="35" spans="1:40" ht="15.75" customHeight="1">
      <c r="A35" s="494" t="s">
        <v>249</v>
      </c>
      <c r="B35" s="509" t="s">
        <v>0</v>
      </c>
      <c r="C35" s="522" t="s">
        <v>35</v>
      </c>
      <c r="D35" s="583"/>
      <c r="E35" s="577">
        <v>85.05</v>
      </c>
      <c r="F35" s="524">
        <v>6521.2087499999998</v>
      </c>
      <c r="G35" s="584"/>
      <c r="H35" s="577"/>
      <c r="I35" s="524"/>
      <c r="J35" s="522"/>
      <c r="K35" s="577">
        <v>132.78283783783783</v>
      </c>
      <c r="L35" s="524">
        <v>9825.93</v>
      </c>
      <c r="M35" s="522"/>
      <c r="N35" s="579">
        <v>3304.7212500000005</v>
      </c>
      <c r="O35" s="522"/>
      <c r="P35" s="577">
        <v>66.649056603773587</v>
      </c>
      <c r="Q35" s="532">
        <v>3532.4</v>
      </c>
      <c r="R35" s="522"/>
      <c r="S35" s="579">
        <v>6293.5300000000007</v>
      </c>
      <c r="T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509"/>
      <c r="AK35" s="509"/>
      <c r="AL35" s="509"/>
      <c r="AM35" s="509"/>
      <c r="AN35" s="509"/>
    </row>
    <row r="36" spans="1:40" ht="15.75" customHeight="1">
      <c r="A36" s="494" t="s">
        <v>250</v>
      </c>
      <c r="B36" s="509" t="s">
        <v>0</v>
      </c>
      <c r="C36" s="529" t="s">
        <v>36</v>
      </c>
      <c r="D36" s="581"/>
      <c r="E36" s="570">
        <v>26.977502445386371</v>
      </c>
      <c r="F36" s="530">
        <v>2068.5</v>
      </c>
      <c r="G36" s="582"/>
      <c r="H36" s="570"/>
      <c r="I36" s="530"/>
      <c r="J36" s="529"/>
      <c r="K36" s="570">
        <v>164.58405405405406</v>
      </c>
      <c r="L36" s="585">
        <v>12179.220000000001</v>
      </c>
      <c r="M36" s="509"/>
      <c r="N36" s="555">
        <v>10110.720000000001</v>
      </c>
      <c r="O36" s="529"/>
      <c r="P36" s="570">
        <v>56.458679245282831</v>
      </c>
      <c r="Q36" s="551">
        <v>2992.3099999999899</v>
      </c>
      <c r="R36" s="529"/>
      <c r="S36" s="555">
        <v>9186.9100000000108</v>
      </c>
      <c r="T36" s="509"/>
      <c r="U36" s="494" t="s">
        <v>479</v>
      </c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</row>
    <row r="37" spans="1:40" ht="15.75" customHeight="1">
      <c r="A37" s="494" t="s">
        <v>251</v>
      </c>
      <c r="B37" s="509" t="s">
        <v>0</v>
      </c>
      <c r="C37" s="529" t="s">
        <v>37</v>
      </c>
      <c r="D37" s="581"/>
      <c r="E37" s="570">
        <v>234.37934533420278</v>
      </c>
      <c r="F37" s="530">
        <v>17971.036303499997</v>
      </c>
      <c r="G37" s="582"/>
      <c r="H37" s="570"/>
      <c r="I37" s="530"/>
      <c r="J37" s="529"/>
      <c r="K37" s="570">
        <v>644.70648648648648</v>
      </c>
      <c r="L37" s="586">
        <v>47708.28</v>
      </c>
      <c r="M37" s="509"/>
      <c r="N37" s="555">
        <v>29737.243696500002</v>
      </c>
      <c r="O37" s="529"/>
      <c r="P37" s="570">
        <v>110.78396226415094</v>
      </c>
      <c r="Q37" s="532">
        <v>5871.55</v>
      </c>
      <c r="R37" s="529"/>
      <c r="S37" s="555">
        <v>41836.729999999996</v>
      </c>
      <c r="T37" s="509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</row>
    <row r="38" spans="1:40" ht="15.75" hidden="1" customHeight="1">
      <c r="A38" s="494" t="s">
        <v>234</v>
      </c>
      <c r="B38" s="509" t="s">
        <v>0</v>
      </c>
      <c r="C38" s="529" t="s">
        <v>20</v>
      </c>
      <c r="D38" s="581"/>
      <c r="E38" s="570">
        <v>0</v>
      </c>
      <c r="F38" s="530">
        <v>0</v>
      </c>
      <c r="G38" s="582"/>
      <c r="H38" s="570"/>
      <c r="I38" s="530"/>
      <c r="J38" s="529"/>
      <c r="K38" s="570">
        <v>0</v>
      </c>
      <c r="L38" s="586">
        <v>0</v>
      </c>
      <c r="M38" s="509"/>
      <c r="N38" s="555">
        <v>0</v>
      </c>
      <c r="O38" s="529"/>
      <c r="P38" s="570">
        <v>0</v>
      </c>
      <c r="Q38" s="532">
        <v>0</v>
      </c>
      <c r="R38" s="529"/>
      <c r="S38" s="555">
        <v>0</v>
      </c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09"/>
      <c r="AK38" s="509"/>
      <c r="AL38" s="509"/>
      <c r="AM38" s="509"/>
      <c r="AN38" s="509"/>
    </row>
    <row r="39" spans="1:40" ht="15.75" hidden="1" customHeight="1">
      <c r="A39" s="494" t="s">
        <v>234</v>
      </c>
      <c r="B39" s="509" t="s">
        <v>0</v>
      </c>
      <c r="C39" s="529" t="s">
        <v>20</v>
      </c>
      <c r="D39" s="581"/>
      <c r="E39" s="570">
        <v>0</v>
      </c>
      <c r="F39" s="530">
        <v>0</v>
      </c>
      <c r="G39" s="582"/>
      <c r="H39" s="570"/>
      <c r="I39" s="530"/>
      <c r="J39" s="529"/>
      <c r="K39" s="570">
        <v>0</v>
      </c>
      <c r="L39" s="586">
        <v>0</v>
      </c>
      <c r="M39" s="509"/>
      <c r="N39" s="555">
        <v>0</v>
      </c>
      <c r="O39" s="529"/>
      <c r="P39" s="570">
        <v>0</v>
      </c>
      <c r="Q39" s="532">
        <v>0</v>
      </c>
      <c r="R39" s="529"/>
      <c r="S39" s="555">
        <v>0</v>
      </c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</row>
    <row r="40" spans="1:40" ht="15.75" hidden="1" customHeight="1">
      <c r="A40" s="494" t="s">
        <v>234</v>
      </c>
      <c r="B40" s="509" t="s">
        <v>0</v>
      </c>
      <c r="C40" s="529" t="s">
        <v>20</v>
      </c>
      <c r="D40" s="581"/>
      <c r="E40" s="570">
        <v>0</v>
      </c>
      <c r="F40" s="530">
        <v>0</v>
      </c>
      <c r="G40" s="582"/>
      <c r="H40" s="570"/>
      <c r="I40" s="530"/>
      <c r="J40" s="529"/>
      <c r="K40" s="570">
        <v>0</v>
      </c>
      <c r="L40" s="587">
        <v>0</v>
      </c>
      <c r="M40" s="509"/>
      <c r="N40" s="555">
        <v>0</v>
      </c>
      <c r="O40" s="529"/>
      <c r="P40" s="570">
        <v>0</v>
      </c>
      <c r="Q40" s="532">
        <v>0</v>
      </c>
      <c r="R40" s="529"/>
      <c r="S40" s="555">
        <v>0</v>
      </c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</row>
    <row r="41" spans="1:40" ht="15.75" customHeight="1">
      <c r="A41" s="494" t="s">
        <v>252</v>
      </c>
      <c r="B41" s="509" t="s">
        <v>0</v>
      </c>
      <c r="C41" s="588" t="s">
        <v>38</v>
      </c>
      <c r="D41" s="589" t="s">
        <v>39</v>
      </c>
      <c r="E41" s="590">
        <v>0.41116695440495538</v>
      </c>
      <c r="F41" s="591">
        <v>136404.83010533769</v>
      </c>
      <c r="G41" s="592"/>
      <c r="H41" s="590"/>
      <c r="I41" s="591"/>
      <c r="J41" s="592" t="s">
        <v>39</v>
      </c>
      <c r="K41" s="590">
        <v>0.57243842198533679</v>
      </c>
      <c r="L41" s="591">
        <v>134880.62</v>
      </c>
      <c r="M41" s="593"/>
      <c r="N41" s="591">
        <v>-1524.2101053376973</v>
      </c>
      <c r="O41" s="592" t="s">
        <v>39</v>
      </c>
      <c r="P41" s="590">
        <v>0.3822565450082287</v>
      </c>
      <c r="Q41" s="594">
        <v>78809.13999999997</v>
      </c>
      <c r="R41" s="595"/>
      <c r="S41" s="591">
        <v>56071.480000000025</v>
      </c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</row>
    <row r="42" spans="1:40" ht="15.75" customHeight="1">
      <c r="A42" s="494" t="s">
        <v>253</v>
      </c>
      <c r="B42" s="509" t="s">
        <v>0</v>
      </c>
      <c r="C42" s="596" t="s">
        <v>41</v>
      </c>
      <c r="D42" s="509"/>
      <c r="E42" s="509"/>
      <c r="F42" s="530">
        <v>21133.479166666668</v>
      </c>
      <c r="G42" s="529"/>
      <c r="H42" s="509"/>
      <c r="I42" s="530"/>
      <c r="J42" s="529"/>
      <c r="K42" s="509"/>
      <c r="L42" s="532">
        <v>11905.98</v>
      </c>
      <c r="M42" s="529"/>
      <c r="N42" s="555">
        <v>-9227.4991666666683</v>
      </c>
      <c r="O42" s="529"/>
      <c r="P42" s="597">
        <v>6.5705189534816272E-2</v>
      </c>
      <c r="Q42" s="532">
        <v>13546.32</v>
      </c>
      <c r="R42" s="529"/>
      <c r="S42" s="555">
        <v>-1640.3400000000001</v>
      </c>
      <c r="T42" s="509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09"/>
      <c r="AK42" s="509"/>
      <c r="AL42" s="509"/>
      <c r="AM42" s="509"/>
      <c r="AN42" s="509"/>
    </row>
    <row r="43" spans="1:40" ht="15.75" customHeight="1">
      <c r="A43" s="494" t="s">
        <v>254</v>
      </c>
      <c r="B43" s="509" t="s">
        <v>0</v>
      </c>
      <c r="C43" s="598" t="s">
        <v>42</v>
      </c>
      <c r="D43" s="581"/>
      <c r="E43" s="509"/>
      <c r="F43" s="524">
        <v>13954.388846153846</v>
      </c>
      <c r="G43" s="582"/>
      <c r="H43" s="509"/>
      <c r="I43" s="524"/>
      <c r="J43" s="529"/>
      <c r="K43" s="509"/>
      <c r="L43" s="532">
        <v>9609.39</v>
      </c>
      <c r="M43" s="529"/>
      <c r="N43" s="555">
        <v>-4344.9988461538469</v>
      </c>
      <c r="O43" s="529"/>
      <c r="P43" s="509"/>
      <c r="Q43" s="532">
        <v>12202.83</v>
      </c>
      <c r="R43" s="529"/>
      <c r="S43" s="555">
        <v>-2593.4400000000005</v>
      </c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</row>
    <row r="44" spans="1:40" ht="15.75" customHeight="1">
      <c r="A44" s="494" t="s">
        <v>255</v>
      </c>
      <c r="B44" s="509" t="s">
        <v>0</v>
      </c>
      <c r="C44" s="596" t="s">
        <v>43</v>
      </c>
      <c r="D44" s="599"/>
      <c r="E44" s="600"/>
      <c r="F44" s="530">
        <v>3330.4423076923076</v>
      </c>
      <c r="G44" s="601"/>
      <c r="H44" s="600"/>
      <c r="I44" s="530"/>
      <c r="J44" s="517"/>
      <c r="K44" s="600"/>
      <c r="L44" s="551">
        <v>3925.06</v>
      </c>
      <c r="M44" s="517"/>
      <c r="N44" s="602">
        <v>594.61769230769232</v>
      </c>
      <c r="O44" s="517"/>
      <c r="P44" s="600"/>
      <c r="Q44" s="551">
        <v>14212.21</v>
      </c>
      <c r="R44" s="517"/>
      <c r="S44" s="602">
        <v>-10287.15</v>
      </c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</row>
    <row r="45" spans="1:40" ht="15.75" customHeight="1">
      <c r="A45" s="494" t="s">
        <v>256</v>
      </c>
      <c r="B45" s="509" t="s">
        <v>0</v>
      </c>
      <c r="C45" s="596" t="s">
        <v>44</v>
      </c>
      <c r="D45" s="581"/>
      <c r="E45" s="509"/>
      <c r="F45" s="530">
        <v>0</v>
      </c>
      <c r="G45" s="582"/>
      <c r="H45" s="509"/>
      <c r="I45" s="530"/>
      <c r="J45" s="529"/>
      <c r="K45" s="509"/>
      <c r="L45" s="532">
        <v>0</v>
      </c>
      <c r="M45" s="529"/>
      <c r="N45" s="555">
        <v>0</v>
      </c>
      <c r="O45" s="529"/>
      <c r="P45" s="509"/>
      <c r="Q45" s="532">
        <v>0</v>
      </c>
      <c r="R45" s="529"/>
      <c r="S45" s="555">
        <v>0</v>
      </c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</row>
    <row r="46" spans="1:40" ht="15.75" hidden="1" customHeight="1">
      <c r="A46" s="494" t="s">
        <v>234</v>
      </c>
      <c r="B46" s="509" t="s">
        <v>0</v>
      </c>
      <c r="C46" s="596" t="s">
        <v>20</v>
      </c>
      <c r="D46" s="581"/>
      <c r="E46" s="509"/>
      <c r="F46" s="530">
        <v>0</v>
      </c>
      <c r="G46" s="582"/>
      <c r="H46" s="509"/>
      <c r="I46" s="530"/>
      <c r="J46" s="529"/>
      <c r="K46" s="509"/>
      <c r="L46" s="532">
        <v>0</v>
      </c>
      <c r="M46" s="529"/>
      <c r="N46" s="555">
        <v>0</v>
      </c>
      <c r="O46" s="529"/>
      <c r="P46" s="509"/>
      <c r="Q46" s="532">
        <v>0</v>
      </c>
      <c r="R46" s="529"/>
      <c r="S46" s="555">
        <v>0</v>
      </c>
      <c r="T46" s="509"/>
      <c r="U46" s="509"/>
      <c r="V46" s="509"/>
      <c r="W46" s="509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</row>
    <row r="47" spans="1:40" ht="15.75" hidden="1" customHeight="1">
      <c r="A47" s="494" t="s">
        <v>234</v>
      </c>
      <c r="B47" s="509" t="s">
        <v>0</v>
      </c>
      <c r="C47" s="596" t="s">
        <v>20</v>
      </c>
      <c r="D47" s="581"/>
      <c r="E47" s="509"/>
      <c r="F47" s="530">
        <v>0</v>
      </c>
      <c r="G47" s="582"/>
      <c r="H47" s="509"/>
      <c r="I47" s="530"/>
      <c r="J47" s="529"/>
      <c r="K47" s="509"/>
      <c r="L47" s="532">
        <v>0</v>
      </c>
      <c r="M47" s="529"/>
      <c r="N47" s="555">
        <v>0</v>
      </c>
      <c r="O47" s="529"/>
      <c r="P47" s="509"/>
      <c r="Q47" s="532">
        <v>0</v>
      </c>
      <c r="R47" s="529"/>
      <c r="S47" s="555">
        <v>0</v>
      </c>
      <c r="T47" s="509"/>
      <c r="U47" s="509"/>
      <c r="V47" s="509"/>
      <c r="W47" s="509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09"/>
      <c r="AK47" s="509"/>
      <c r="AL47" s="509"/>
      <c r="AM47" s="509"/>
      <c r="AN47" s="509"/>
    </row>
    <row r="48" spans="1:40" ht="15.75" hidden="1" customHeight="1">
      <c r="A48" s="494" t="s">
        <v>234</v>
      </c>
      <c r="B48" s="509" t="s">
        <v>0</v>
      </c>
      <c r="C48" s="596" t="s">
        <v>20</v>
      </c>
      <c r="D48" s="581"/>
      <c r="E48" s="509"/>
      <c r="F48" s="530">
        <v>0</v>
      </c>
      <c r="G48" s="582"/>
      <c r="H48" s="509"/>
      <c r="I48" s="530"/>
      <c r="J48" s="529"/>
      <c r="K48" s="509"/>
      <c r="L48" s="532">
        <v>0</v>
      </c>
      <c r="M48" s="529"/>
      <c r="N48" s="555">
        <v>0</v>
      </c>
      <c r="O48" s="529"/>
      <c r="P48" s="509"/>
      <c r="Q48" s="532">
        <v>0</v>
      </c>
      <c r="R48" s="529"/>
      <c r="S48" s="555">
        <v>0</v>
      </c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</row>
    <row r="49" spans="1:40" ht="15.75" customHeight="1">
      <c r="A49" s="494" t="s">
        <v>257</v>
      </c>
      <c r="B49" s="509" t="s">
        <v>0</v>
      </c>
      <c r="C49" s="598" t="s">
        <v>45</v>
      </c>
      <c r="D49" s="581"/>
      <c r="E49" s="509"/>
      <c r="F49" s="524">
        <v>14002.317973150264</v>
      </c>
      <c r="G49" s="582"/>
      <c r="H49" s="509"/>
      <c r="I49" s="524"/>
      <c r="J49" s="529"/>
      <c r="K49" s="509"/>
      <c r="L49" s="524">
        <v>14577.13</v>
      </c>
      <c r="M49" s="529"/>
      <c r="N49" s="555">
        <v>574.81202684973505</v>
      </c>
      <c r="O49" s="529"/>
      <c r="P49" s="509"/>
      <c r="Q49" s="524">
        <v>12615.57</v>
      </c>
      <c r="R49" s="529"/>
      <c r="S49" s="555">
        <v>1961.5599999999995</v>
      </c>
      <c r="T49" s="509"/>
      <c r="U49" s="509"/>
      <c r="V49" s="509"/>
      <c r="W49" s="509"/>
      <c r="X49" s="506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09"/>
      <c r="AK49" s="509"/>
      <c r="AL49" s="509"/>
      <c r="AM49" s="509"/>
      <c r="AN49" s="509"/>
    </row>
    <row r="50" spans="1:40" ht="15.75" customHeight="1">
      <c r="A50" s="494" t="s">
        <v>258</v>
      </c>
      <c r="B50" s="509" t="s">
        <v>0</v>
      </c>
      <c r="C50" s="596" t="s">
        <v>46</v>
      </c>
      <c r="D50" s="599"/>
      <c r="E50" s="600"/>
      <c r="F50" s="530">
        <v>17024.844760306049</v>
      </c>
      <c r="G50" s="601"/>
      <c r="H50" s="600"/>
      <c r="I50" s="530"/>
      <c r="J50" s="517"/>
      <c r="K50" s="600"/>
      <c r="L50" s="532">
        <v>16512.36</v>
      </c>
      <c r="M50" s="517"/>
      <c r="N50" s="602">
        <v>-512.48476030604797</v>
      </c>
      <c r="O50" s="517"/>
      <c r="P50" s="600"/>
      <c r="Q50" s="532">
        <v>12626.31</v>
      </c>
      <c r="R50" s="517"/>
      <c r="S50" s="602">
        <v>3886.0500000000011</v>
      </c>
      <c r="T50" s="509"/>
      <c r="U50" s="509"/>
      <c r="V50" s="509"/>
      <c r="W50" s="509"/>
      <c r="X50" s="506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9"/>
      <c r="AK50" s="509"/>
      <c r="AL50" s="509"/>
      <c r="AM50" s="509"/>
      <c r="AN50" s="509"/>
    </row>
    <row r="51" spans="1:40" ht="15.75" customHeight="1">
      <c r="A51" s="494" t="s">
        <v>259</v>
      </c>
      <c r="B51" s="509" t="s">
        <v>0</v>
      </c>
      <c r="C51" s="596" t="s">
        <v>47</v>
      </c>
      <c r="D51" s="581"/>
      <c r="E51" s="509"/>
      <c r="F51" s="530">
        <v>8771.4961047663764</v>
      </c>
      <c r="G51" s="582"/>
      <c r="H51" s="509"/>
      <c r="I51" s="530"/>
      <c r="J51" s="529"/>
      <c r="K51" s="509"/>
      <c r="L51" s="532">
        <v>8805.59</v>
      </c>
      <c r="M51" s="529"/>
      <c r="N51" s="555">
        <v>34.093895233623698</v>
      </c>
      <c r="O51" s="529"/>
      <c r="P51" s="509"/>
      <c r="Q51" s="532">
        <v>6414.78</v>
      </c>
      <c r="R51" s="529"/>
      <c r="S51" s="555">
        <v>2390.8100000000004</v>
      </c>
      <c r="T51" s="509"/>
      <c r="U51" s="509"/>
      <c r="V51" s="509"/>
      <c r="W51" s="509"/>
      <c r="X51" s="506"/>
      <c r="Y51" s="509"/>
      <c r="Z51" s="509"/>
      <c r="AA51" s="509"/>
      <c r="AB51" s="509"/>
      <c r="AC51" s="509"/>
      <c r="AD51" s="509"/>
      <c r="AE51" s="509"/>
      <c r="AF51" s="509"/>
      <c r="AG51" s="509"/>
      <c r="AH51" s="509"/>
      <c r="AI51" s="509"/>
      <c r="AJ51" s="509"/>
      <c r="AK51" s="509"/>
      <c r="AL51" s="509"/>
      <c r="AM51" s="509"/>
      <c r="AN51" s="509"/>
    </row>
    <row r="52" spans="1:40" ht="15.75" customHeight="1">
      <c r="A52" s="494" t="s">
        <v>260</v>
      </c>
      <c r="B52" s="509" t="s">
        <v>0</v>
      </c>
      <c r="C52" s="596" t="s">
        <v>48</v>
      </c>
      <c r="D52" s="581"/>
      <c r="E52" s="509"/>
      <c r="F52" s="530">
        <v>3824.4216490542567</v>
      </c>
      <c r="G52" s="582"/>
      <c r="H52" s="509"/>
      <c r="I52" s="530"/>
      <c r="J52" s="529"/>
      <c r="K52" s="509"/>
      <c r="L52" s="532">
        <v>3234.85</v>
      </c>
      <c r="M52" s="529"/>
      <c r="N52" s="555">
        <v>-589.5716490542568</v>
      </c>
      <c r="O52" s="529"/>
      <c r="P52" s="509"/>
      <c r="Q52" s="532">
        <v>2337.2399999999998</v>
      </c>
      <c r="R52" s="529"/>
      <c r="S52" s="555">
        <v>897.61000000000013</v>
      </c>
      <c r="T52" s="509"/>
      <c r="U52" s="509"/>
      <c r="V52" s="509"/>
      <c r="W52" s="509"/>
      <c r="X52" s="506"/>
      <c r="Y52" s="509"/>
      <c r="Z52" s="509"/>
      <c r="AA52" s="509"/>
      <c r="AB52" s="509"/>
      <c r="AC52" s="509"/>
      <c r="AD52" s="509"/>
      <c r="AE52" s="509"/>
      <c r="AF52" s="509"/>
      <c r="AG52" s="509"/>
      <c r="AH52" s="509"/>
      <c r="AI52" s="509"/>
      <c r="AJ52" s="509"/>
      <c r="AK52" s="509"/>
      <c r="AL52" s="509"/>
      <c r="AM52" s="509"/>
      <c r="AN52" s="509"/>
    </row>
    <row r="53" spans="1:40" ht="15.75" hidden="1" customHeight="1">
      <c r="A53" s="494" t="s">
        <v>234</v>
      </c>
      <c r="B53" s="509" t="s">
        <v>0</v>
      </c>
      <c r="C53" s="529" t="s">
        <v>20</v>
      </c>
      <c r="D53" s="583" t="e">
        <v>#N/A</v>
      </c>
      <c r="E53" s="603"/>
      <c r="F53" s="530">
        <v>0</v>
      </c>
      <c r="G53" s="584"/>
      <c r="H53" s="603"/>
      <c r="I53" s="530"/>
      <c r="J53" s="522"/>
      <c r="K53" s="603"/>
      <c r="L53" s="532">
        <v>0</v>
      </c>
      <c r="M53" s="522"/>
      <c r="N53" s="579">
        <v>0</v>
      </c>
      <c r="O53" s="522"/>
      <c r="P53" s="603"/>
      <c r="Q53" s="532">
        <v>0</v>
      </c>
      <c r="R53" s="522"/>
      <c r="S53" s="579">
        <v>0</v>
      </c>
      <c r="T53" s="509"/>
      <c r="U53" s="509"/>
      <c r="V53" s="509"/>
      <c r="W53" s="509"/>
      <c r="X53" s="506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09"/>
      <c r="AK53" s="509"/>
      <c r="AL53" s="509"/>
      <c r="AM53" s="509"/>
      <c r="AN53" s="509"/>
    </row>
    <row r="54" spans="1:40" ht="15.75" customHeight="1">
      <c r="A54" s="494" t="s">
        <v>261</v>
      </c>
      <c r="B54" s="509" t="s">
        <v>0</v>
      </c>
      <c r="C54" s="588" t="s">
        <v>49</v>
      </c>
      <c r="D54" s="589" t="s">
        <v>39</v>
      </c>
      <c r="E54" s="590">
        <v>0.24729849205146015</v>
      </c>
      <c r="F54" s="591">
        <v>82041.39080778978</v>
      </c>
      <c r="G54" s="592"/>
      <c r="H54" s="590"/>
      <c r="I54" s="591"/>
      <c r="J54" s="592" t="s">
        <v>39</v>
      </c>
      <c r="K54" s="590">
        <v>0.29101518567579582</v>
      </c>
      <c r="L54" s="591">
        <v>68570.36</v>
      </c>
      <c r="M54" s="595"/>
      <c r="N54" s="591">
        <v>-13471.030807789768</v>
      </c>
      <c r="O54" s="592" t="s">
        <v>39</v>
      </c>
      <c r="P54" s="590">
        <v>0.35871324281403488</v>
      </c>
      <c r="Q54" s="591">
        <v>73955.260000000009</v>
      </c>
      <c r="R54" s="595"/>
      <c r="S54" s="591">
        <v>-5384.9</v>
      </c>
      <c r="T54" s="570"/>
      <c r="U54" s="509"/>
      <c r="V54" s="509"/>
      <c r="W54" s="509"/>
      <c r="X54" s="506"/>
      <c r="Y54" s="509"/>
      <c r="Z54" s="509"/>
      <c r="AA54" s="509"/>
      <c r="AB54" s="509"/>
      <c r="AC54" s="509"/>
      <c r="AD54" s="509"/>
      <c r="AE54" s="509"/>
      <c r="AF54" s="509"/>
      <c r="AG54" s="509"/>
      <c r="AH54" s="509"/>
      <c r="AI54" s="509"/>
      <c r="AJ54" s="509"/>
      <c r="AK54" s="509"/>
      <c r="AL54" s="509"/>
      <c r="AM54" s="509"/>
      <c r="AN54" s="509"/>
    </row>
    <row r="55" spans="1:40" ht="15.75" hidden="1" customHeight="1">
      <c r="A55" s="494" t="s">
        <v>262</v>
      </c>
      <c r="B55" s="509" t="s">
        <v>0</v>
      </c>
      <c r="C55" s="529" t="s">
        <v>50</v>
      </c>
      <c r="D55" s="581"/>
      <c r="E55" s="509"/>
      <c r="F55" s="530">
        <v>0</v>
      </c>
      <c r="G55" s="582"/>
      <c r="H55" s="509"/>
      <c r="I55" s="530"/>
      <c r="J55" s="529"/>
      <c r="K55" s="509"/>
      <c r="L55" s="532">
        <v>0</v>
      </c>
      <c r="M55" s="529"/>
      <c r="N55" s="555">
        <v>0</v>
      </c>
      <c r="O55" s="529"/>
      <c r="P55" s="509"/>
      <c r="Q55" s="532">
        <v>0</v>
      </c>
      <c r="R55" s="529"/>
      <c r="S55" s="555">
        <v>0</v>
      </c>
      <c r="T55" s="570"/>
      <c r="U55" s="509"/>
      <c r="V55" s="509"/>
      <c r="W55" s="509"/>
      <c r="X55" s="506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</row>
    <row r="56" spans="1:40" ht="15.75" hidden="1" customHeight="1">
      <c r="A56" s="494" t="s">
        <v>263</v>
      </c>
      <c r="B56" s="509" t="s">
        <v>0</v>
      </c>
      <c r="C56" s="529" t="s">
        <v>51</v>
      </c>
      <c r="D56" s="581"/>
      <c r="E56" s="509"/>
      <c r="F56" s="530">
        <v>0</v>
      </c>
      <c r="G56" s="582"/>
      <c r="H56" s="509"/>
      <c r="I56" s="530"/>
      <c r="J56" s="529"/>
      <c r="K56" s="509"/>
      <c r="L56" s="532">
        <v>0</v>
      </c>
      <c r="M56" s="529"/>
      <c r="N56" s="555">
        <v>0</v>
      </c>
      <c r="O56" s="529"/>
      <c r="P56" s="509"/>
      <c r="Q56" s="532">
        <v>0</v>
      </c>
      <c r="R56" s="529"/>
      <c r="S56" s="555">
        <v>0</v>
      </c>
      <c r="T56" s="570"/>
      <c r="U56" s="509"/>
      <c r="V56" s="509"/>
      <c r="W56" s="509"/>
      <c r="X56" s="506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</row>
    <row r="57" spans="1:40" ht="15.75" customHeight="1">
      <c r="A57" s="494" t="s">
        <v>264</v>
      </c>
      <c r="B57" s="509" t="s">
        <v>0</v>
      </c>
      <c r="C57" s="522" t="s">
        <v>52</v>
      </c>
      <c r="D57" s="583"/>
      <c r="E57" s="603"/>
      <c r="F57" s="524">
        <v>9200</v>
      </c>
      <c r="G57" s="584"/>
      <c r="H57" s="603"/>
      <c r="I57" s="524"/>
      <c r="J57" s="522"/>
      <c r="K57" s="603"/>
      <c r="L57" s="524">
        <v>7403.65</v>
      </c>
      <c r="M57" s="522"/>
      <c r="N57" s="579">
        <v>-1796.3500000000004</v>
      </c>
      <c r="O57" s="522"/>
      <c r="P57" s="603"/>
      <c r="Q57" s="524">
        <v>7607.19</v>
      </c>
      <c r="R57" s="522"/>
      <c r="S57" s="579">
        <v>-203.53999999999996</v>
      </c>
      <c r="T57" s="604"/>
      <c r="U57" s="509"/>
      <c r="V57" s="509"/>
      <c r="W57" s="509"/>
      <c r="X57" s="506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09"/>
      <c r="AK57" s="509"/>
      <c r="AL57" s="509"/>
      <c r="AM57" s="509"/>
      <c r="AN57" s="509"/>
    </row>
    <row r="58" spans="1:40" ht="15.75" customHeight="1">
      <c r="A58" s="494" t="s">
        <v>265</v>
      </c>
      <c r="B58" s="509" t="s">
        <v>0</v>
      </c>
      <c r="C58" s="529" t="s">
        <v>53</v>
      </c>
      <c r="D58" s="581"/>
      <c r="E58" s="509"/>
      <c r="F58" s="530">
        <v>9039.6954662222215</v>
      </c>
      <c r="G58" s="582"/>
      <c r="H58" s="509"/>
      <c r="I58" s="530"/>
      <c r="J58" s="529"/>
      <c r="K58" s="509"/>
      <c r="L58" s="532">
        <v>7461.29</v>
      </c>
      <c r="M58" s="529"/>
      <c r="N58" s="555">
        <v>-1578.4054662222215</v>
      </c>
      <c r="O58" s="529"/>
      <c r="P58" s="509"/>
      <c r="Q58" s="532">
        <v>9434.75</v>
      </c>
      <c r="R58" s="529"/>
      <c r="S58" s="555">
        <v>-1973.46</v>
      </c>
      <c r="T58" s="570"/>
      <c r="U58" s="509"/>
      <c r="V58" s="509"/>
      <c r="W58" s="509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09"/>
      <c r="AK58" s="509"/>
      <c r="AL58" s="509"/>
      <c r="AM58" s="509"/>
      <c r="AN58" s="509"/>
    </row>
    <row r="59" spans="1:40" ht="15.75" customHeight="1">
      <c r="A59" s="494" t="s">
        <v>266</v>
      </c>
      <c r="B59" s="509" t="s">
        <v>0</v>
      </c>
      <c r="C59" s="529" t="s">
        <v>54</v>
      </c>
      <c r="D59" s="581"/>
      <c r="E59" s="509"/>
      <c r="F59" s="530">
        <v>1105.2258848911197</v>
      </c>
      <c r="G59" s="582"/>
      <c r="H59" s="509"/>
      <c r="I59" s="530"/>
      <c r="J59" s="529"/>
      <c r="K59" s="509"/>
      <c r="L59" s="532">
        <v>1278.4000000000001</v>
      </c>
      <c r="M59" s="529"/>
      <c r="N59" s="555">
        <v>173.17411510888041</v>
      </c>
      <c r="O59" s="529"/>
      <c r="P59" s="509"/>
      <c r="Q59" s="532">
        <v>3463.39</v>
      </c>
      <c r="R59" s="529"/>
      <c r="S59" s="555">
        <v>-2184.9899999999998</v>
      </c>
      <c r="T59" s="509"/>
      <c r="U59" s="509"/>
      <c r="V59" s="509"/>
      <c r="W59" s="509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09"/>
      <c r="AK59" s="509"/>
      <c r="AL59" s="509"/>
      <c r="AM59" s="509"/>
      <c r="AN59" s="509"/>
    </row>
    <row r="60" spans="1:40" ht="15.75" customHeight="1">
      <c r="A60" s="494" t="s">
        <v>267</v>
      </c>
      <c r="B60" s="509" t="s">
        <v>0</v>
      </c>
      <c r="C60" s="522" t="s">
        <v>55</v>
      </c>
      <c r="D60" s="583"/>
      <c r="E60" s="603"/>
      <c r="F60" s="524">
        <v>6711.4186422074081</v>
      </c>
      <c r="G60" s="584"/>
      <c r="H60" s="603"/>
      <c r="I60" s="524"/>
      <c r="J60" s="522"/>
      <c r="K60" s="603"/>
      <c r="L60" s="524">
        <v>7123.34</v>
      </c>
      <c r="M60" s="522"/>
      <c r="N60" s="579">
        <v>411.92135779259206</v>
      </c>
      <c r="O60" s="522"/>
      <c r="P60" s="603"/>
      <c r="Q60" s="524">
        <v>6186.31</v>
      </c>
      <c r="R60" s="522"/>
      <c r="S60" s="579">
        <v>937.02999999999975</v>
      </c>
      <c r="T60" s="509"/>
      <c r="U60" s="509"/>
      <c r="V60" s="509"/>
      <c r="W60" s="509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09"/>
      <c r="AK60" s="509"/>
      <c r="AL60" s="509"/>
      <c r="AM60" s="509"/>
      <c r="AN60" s="509"/>
    </row>
    <row r="61" spans="1:40" ht="15.75" customHeight="1">
      <c r="A61" s="494" t="s">
        <v>268</v>
      </c>
      <c r="B61" s="509" t="s">
        <v>0</v>
      </c>
      <c r="C61" s="529" t="s">
        <v>56</v>
      </c>
      <c r="D61" s="581"/>
      <c r="E61" s="509"/>
      <c r="F61" s="530">
        <v>125</v>
      </c>
      <c r="G61" s="582"/>
      <c r="H61" s="509"/>
      <c r="I61" s="530"/>
      <c r="J61" s="529"/>
      <c r="K61" s="509"/>
      <c r="L61" s="532">
        <v>17.22</v>
      </c>
      <c r="M61" s="529"/>
      <c r="N61" s="555">
        <v>-107.78</v>
      </c>
      <c r="O61" s="529"/>
      <c r="P61" s="509"/>
      <c r="Q61" s="532">
        <v>0</v>
      </c>
      <c r="R61" s="529"/>
      <c r="S61" s="555">
        <v>17.22</v>
      </c>
      <c r="T61" s="509"/>
      <c r="U61" s="509"/>
      <c r="V61" s="509"/>
      <c r="W61" s="509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09"/>
      <c r="AK61" s="509"/>
      <c r="AL61" s="509"/>
      <c r="AM61" s="509"/>
      <c r="AN61" s="509"/>
    </row>
    <row r="62" spans="1:40" ht="15.75" customHeight="1">
      <c r="A62" s="494" t="s">
        <v>269</v>
      </c>
      <c r="B62" s="509" t="s">
        <v>0</v>
      </c>
      <c r="C62" s="529" t="s">
        <v>57</v>
      </c>
      <c r="D62" s="581"/>
      <c r="E62" s="509"/>
      <c r="F62" s="530">
        <v>83.333333333333329</v>
      </c>
      <c r="G62" s="582"/>
      <c r="H62" s="509"/>
      <c r="I62" s="530"/>
      <c r="J62" s="529"/>
      <c r="K62" s="509"/>
      <c r="L62" s="532">
        <v>0</v>
      </c>
      <c r="M62" s="529"/>
      <c r="N62" s="555">
        <v>-83.333333333333329</v>
      </c>
      <c r="O62" s="529"/>
      <c r="P62" s="509"/>
      <c r="Q62" s="532">
        <v>0</v>
      </c>
      <c r="R62" s="529"/>
      <c r="S62" s="555">
        <v>0</v>
      </c>
      <c r="T62" s="509"/>
      <c r="U62" s="509"/>
      <c r="V62" s="509"/>
      <c r="W62" s="509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09"/>
      <c r="AK62" s="509"/>
      <c r="AL62" s="509"/>
      <c r="AM62" s="509"/>
      <c r="AN62" s="509"/>
    </row>
    <row r="63" spans="1:40" ht="15.75" customHeight="1">
      <c r="A63" s="494" t="s">
        <v>270</v>
      </c>
      <c r="B63" s="509" t="s">
        <v>0</v>
      </c>
      <c r="C63" s="529" t="s">
        <v>58</v>
      </c>
      <c r="D63" s="581"/>
      <c r="E63" s="509"/>
      <c r="F63" s="530">
        <v>756.94660196799998</v>
      </c>
      <c r="G63" s="582"/>
      <c r="H63" s="509"/>
      <c r="I63" s="530"/>
      <c r="J63" s="529"/>
      <c r="K63" s="509"/>
      <c r="L63" s="532">
        <v>885.48</v>
      </c>
      <c r="M63" s="529"/>
      <c r="N63" s="555">
        <v>128.53339803200004</v>
      </c>
      <c r="O63" s="529"/>
      <c r="P63" s="509"/>
      <c r="Q63" s="532">
        <v>536.74</v>
      </c>
      <c r="R63" s="529"/>
      <c r="S63" s="555">
        <v>348.74</v>
      </c>
      <c r="T63" s="509"/>
      <c r="U63" s="509"/>
      <c r="V63" s="509"/>
      <c r="W63" s="509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09"/>
      <c r="AK63" s="509"/>
      <c r="AL63" s="509"/>
      <c r="AM63" s="509"/>
      <c r="AN63" s="509"/>
    </row>
    <row r="64" spans="1:40" ht="15.75" customHeight="1">
      <c r="A64" s="494" t="s">
        <v>271</v>
      </c>
      <c r="B64" s="509" t="s">
        <v>0</v>
      </c>
      <c r="C64" s="529" t="s">
        <v>59</v>
      </c>
      <c r="D64" s="581"/>
      <c r="E64" s="509"/>
      <c r="F64" s="530">
        <v>309.40348505288893</v>
      </c>
      <c r="G64" s="582"/>
      <c r="H64" s="509"/>
      <c r="I64" s="530"/>
      <c r="J64" s="529"/>
      <c r="K64" s="509"/>
      <c r="L64" s="532">
        <v>340.16</v>
      </c>
      <c r="M64" s="529"/>
      <c r="N64" s="555">
        <v>30.7565149471111</v>
      </c>
      <c r="O64" s="529"/>
      <c r="P64" s="509"/>
      <c r="Q64" s="532">
        <v>338.47</v>
      </c>
      <c r="R64" s="529"/>
      <c r="S64" s="555">
        <v>1.6899999999999977</v>
      </c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09"/>
      <c r="AK64" s="509"/>
      <c r="AL64" s="509"/>
      <c r="AM64" s="509"/>
      <c r="AN64" s="509"/>
    </row>
    <row r="65" spans="1:40" ht="15.75" customHeight="1">
      <c r="A65" s="494" t="s">
        <v>272</v>
      </c>
      <c r="B65" s="509" t="s">
        <v>0</v>
      </c>
      <c r="C65" s="529" t="s">
        <v>60</v>
      </c>
      <c r="D65" s="581"/>
      <c r="E65" s="509"/>
      <c r="F65" s="530">
        <v>113.12880990711112</v>
      </c>
      <c r="G65" s="582"/>
      <c r="H65" s="509"/>
      <c r="I65" s="530"/>
      <c r="J65" s="529"/>
      <c r="K65" s="509"/>
      <c r="L65" s="532">
        <v>10.56</v>
      </c>
      <c r="M65" s="529"/>
      <c r="N65" s="555">
        <v>-102.56880990711112</v>
      </c>
      <c r="O65" s="529"/>
      <c r="P65" s="509"/>
      <c r="Q65" s="532">
        <v>115.6</v>
      </c>
      <c r="R65" s="529"/>
      <c r="S65" s="555">
        <v>-105.03999999999999</v>
      </c>
      <c r="T65" s="509"/>
      <c r="U65" s="509"/>
      <c r="V65" s="509"/>
      <c r="W65" s="509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09"/>
      <c r="AK65" s="509"/>
      <c r="AL65" s="509"/>
      <c r="AM65" s="509"/>
      <c r="AN65" s="509"/>
    </row>
    <row r="66" spans="1:40" ht="15.75" customHeight="1">
      <c r="A66" s="494" t="s">
        <v>273</v>
      </c>
      <c r="B66" s="509" t="s">
        <v>0</v>
      </c>
      <c r="C66" s="529" t="s">
        <v>61</v>
      </c>
      <c r="D66" s="581"/>
      <c r="E66" s="509"/>
      <c r="F66" s="530">
        <v>282.46260343511113</v>
      </c>
      <c r="G66" s="582"/>
      <c r="H66" s="509"/>
      <c r="I66" s="530"/>
      <c r="J66" s="529"/>
      <c r="K66" s="509"/>
      <c r="L66" s="532">
        <v>105.31</v>
      </c>
      <c r="M66" s="529"/>
      <c r="N66" s="555">
        <v>-177.15260343511113</v>
      </c>
      <c r="O66" s="529"/>
      <c r="P66" s="509"/>
      <c r="Q66" s="532">
        <v>78.52</v>
      </c>
      <c r="R66" s="529"/>
      <c r="S66" s="555">
        <v>26.790000000000006</v>
      </c>
      <c r="T66" s="509"/>
      <c r="U66" s="509"/>
      <c r="V66" s="509"/>
      <c r="W66" s="509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09"/>
      <c r="AK66" s="509"/>
      <c r="AL66" s="509"/>
      <c r="AM66" s="509"/>
      <c r="AN66" s="509"/>
    </row>
    <row r="67" spans="1:40" ht="15.75" customHeight="1">
      <c r="A67" s="494" t="s">
        <v>274</v>
      </c>
      <c r="B67" s="509" t="s">
        <v>0</v>
      </c>
      <c r="C67" s="529" t="s">
        <v>62</v>
      </c>
      <c r="D67" s="581"/>
      <c r="E67" s="509"/>
      <c r="F67" s="530">
        <v>1899.1075000000001</v>
      </c>
      <c r="G67" s="582"/>
      <c r="H67" s="509"/>
      <c r="I67" s="530"/>
      <c r="J67" s="529"/>
      <c r="K67" s="509"/>
      <c r="L67" s="532">
        <v>1174.1300000000001</v>
      </c>
      <c r="M67" s="529"/>
      <c r="N67" s="555">
        <v>-724.97749999999996</v>
      </c>
      <c r="O67" s="529"/>
      <c r="P67" s="509"/>
      <c r="Q67" s="532">
        <v>783.47</v>
      </c>
      <c r="R67" s="529"/>
      <c r="S67" s="555">
        <v>390.66000000000008</v>
      </c>
      <c r="T67" s="509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09"/>
      <c r="AK67" s="509"/>
      <c r="AL67" s="509"/>
      <c r="AM67" s="509"/>
      <c r="AN67" s="509"/>
    </row>
    <row r="68" spans="1:40" ht="15.75" customHeight="1">
      <c r="A68" s="494" t="s">
        <v>275</v>
      </c>
      <c r="B68" s="509" t="s">
        <v>0</v>
      </c>
      <c r="C68" s="529" t="s">
        <v>63</v>
      </c>
      <c r="D68" s="581"/>
      <c r="E68" s="509"/>
      <c r="F68" s="530">
        <v>3363.2959290092826</v>
      </c>
      <c r="G68" s="582"/>
      <c r="H68" s="509"/>
      <c r="I68" s="530"/>
      <c r="J68" s="529"/>
      <c r="K68" s="509"/>
      <c r="L68" s="532">
        <v>4750.5</v>
      </c>
      <c r="M68" s="529"/>
      <c r="N68" s="555">
        <v>1387.2040709907174</v>
      </c>
      <c r="O68" s="529"/>
      <c r="P68" s="509"/>
      <c r="Q68" s="532">
        <v>7746.73</v>
      </c>
      <c r="R68" s="529"/>
      <c r="S68" s="555">
        <v>-2996.2299999999996</v>
      </c>
      <c r="T68" s="509"/>
      <c r="X68" s="509"/>
      <c r="Y68" s="509"/>
      <c r="Z68" s="509"/>
      <c r="AA68" s="509"/>
      <c r="AB68" s="509"/>
      <c r="AC68" s="509"/>
      <c r="AD68" s="509"/>
      <c r="AE68" s="509"/>
      <c r="AF68" s="509"/>
      <c r="AG68" s="509"/>
      <c r="AH68" s="509"/>
      <c r="AI68" s="509"/>
      <c r="AJ68" s="509"/>
      <c r="AK68" s="509"/>
      <c r="AL68" s="509"/>
      <c r="AM68" s="509"/>
      <c r="AN68" s="509"/>
    </row>
    <row r="69" spans="1:40" ht="15.75" hidden="1" customHeight="1">
      <c r="A69" s="494" t="s">
        <v>234</v>
      </c>
      <c r="B69" s="509" t="s">
        <v>0</v>
      </c>
      <c r="C69" s="529" t="s">
        <v>20</v>
      </c>
      <c r="D69" s="581"/>
      <c r="E69" s="509"/>
      <c r="F69" s="530">
        <v>0</v>
      </c>
      <c r="G69" s="582"/>
      <c r="H69" s="509"/>
      <c r="I69" s="530"/>
      <c r="J69" s="529"/>
      <c r="K69" s="509"/>
      <c r="L69" s="532"/>
      <c r="M69" s="529"/>
      <c r="N69" s="555">
        <v>0</v>
      </c>
      <c r="O69" s="529"/>
      <c r="P69" s="509"/>
      <c r="Q69" s="532">
        <v>0</v>
      </c>
      <c r="R69" s="529"/>
      <c r="S69" s="555">
        <v>0</v>
      </c>
      <c r="T69" s="509"/>
      <c r="X69" s="509"/>
      <c r="Y69" s="509"/>
      <c r="Z69" s="509"/>
      <c r="AA69" s="509"/>
      <c r="AB69" s="509"/>
      <c r="AC69" s="509"/>
      <c r="AD69" s="509"/>
      <c r="AE69" s="509"/>
      <c r="AF69" s="509"/>
      <c r="AG69" s="509"/>
      <c r="AH69" s="509"/>
      <c r="AI69" s="509"/>
      <c r="AJ69" s="509"/>
      <c r="AK69" s="509"/>
      <c r="AL69" s="509"/>
      <c r="AM69" s="509"/>
      <c r="AN69" s="509"/>
    </row>
    <row r="70" spans="1:40" ht="15.75" hidden="1" customHeight="1">
      <c r="A70" s="494" t="s">
        <v>234</v>
      </c>
      <c r="B70" s="509" t="s">
        <v>0</v>
      </c>
      <c r="C70" s="529" t="s">
        <v>20</v>
      </c>
      <c r="D70" s="581"/>
      <c r="E70" s="509"/>
      <c r="F70" s="530">
        <v>0</v>
      </c>
      <c r="G70" s="582"/>
      <c r="H70" s="509"/>
      <c r="I70" s="530"/>
      <c r="J70" s="529"/>
      <c r="K70" s="509"/>
      <c r="L70" s="532">
        <v>0</v>
      </c>
      <c r="M70" s="529"/>
      <c r="N70" s="555">
        <v>0</v>
      </c>
      <c r="O70" s="529"/>
      <c r="P70" s="509"/>
      <c r="Q70" s="532">
        <v>0</v>
      </c>
      <c r="R70" s="529"/>
      <c r="S70" s="555">
        <v>0</v>
      </c>
      <c r="T70" s="509"/>
      <c r="X70" s="509"/>
      <c r="Y70" s="509"/>
      <c r="Z70" s="509"/>
      <c r="AA70" s="509"/>
      <c r="AB70" s="509"/>
      <c r="AC70" s="509"/>
      <c r="AD70" s="509"/>
      <c r="AE70" s="509"/>
      <c r="AF70" s="509"/>
      <c r="AG70" s="509"/>
      <c r="AH70" s="509"/>
      <c r="AI70" s="509"/>
      <c r="AJ70" s="509"/>
      <c r="AK70" s="509"/>
      <c r="AL70" s="509"/>
      <c r="AM70" s="509"/>
      <c r="AN70" s="509"/>
    </row>
    <row r="71" spans="1:40" ht="15.75" hidden="1" customHeight="1">
      <c r="A71" s="494" t="s">
        <v>234</v>
      </c>
      <c r="B71" s="509" t="s">
        <v>0</v>
      </c>
      <c r="C71" s="529" t="s">
        <v>20</v>
      </c>
      <c r="D71" s="581"/>
      <c r="E71" s="509"/>
      <c r="F71" s="530">
        <v>0</v>
      </c>
      <c r="G71" s="582"/>
      <c r="H71" s="509"/>
      <c r="I71" s="530"/>
      <c r="J71" s="529"/>
      <c r="K71" s="509"/>
      <c r="L71" s="532">
        <v>0</v>
      </c>
      <c r="M71" s="529"/>
      <c r="N71" s="555">
        <v>0</v>
      </c>
      <c r="O71" s="529"/>
      <c r="P71" s="509"/>
      <c r="Q71" s="532">
        <v>0</v>
      </c>
      <c r="R71" s="529"/>
      <c r="S71" s="555">
        <v>0</v>
      </c>
      <c r="T71" s="509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09"/>
      <c r="AK71" s="509"/>
      <c r="AL71" s="509"/>
      <c r="AM71" s="509"/>
      <c r="AN71" s="509"/>
    </row>
    <row r="72" spans="1:40" ht="15.75" customHeight="1">
      <c r="A72" s="494" t="s">
        <v>276</v>
      </c>
      <c r="B72" s="509" t="s">
        <v>0</v>
      </c>
      <c r="C72" s="588" t="s">
        <v>64</v>
      </c>
      <c r="D72" s="589" t="s">
        <v>39</v>
      </c>
      <c r="E72" s="590">
        <v>9.9439251195615114E-2</v>
      </c>
      <c r="F72" s="591">
        <v>32989.018256026473</v>
      </c>
      <c r="G72" s="592"/>
      <c r="H72" s="590"/>
      <c r="I72" s="591"/>
      <c r="J72" s="592" t="s">
        <v>39</v>
      </c>
      <c r="K72" s="590">
        <v>0.12965551825895316</v>
      </c>
      <c r="L72" s="591">
        <v>30550.040000000005</v>
      </c>
      <c r="M72" s="595"/>
      <c r="N72" s="591">
        <v>-2438.9782560264771</v>
      </c>
      <c r="O72" s="592" t="s">
        <v>39</v>
      </c>
      <c r="P72" s="590">
        <v>0.17602700979234495</v>
      </c>
      <c r="Q72" s="591">
        <v>36291.17</v>
      </c>
      <c r="R72" s="595"/>
      <c r="S72" s="591">
        <v>-5741.1299999999992</v>
      </c>
      <c r="T72" s="509"/>
      <c r="X72" s="509"/>
      <c r="Y72" s="509"/>
      <c r="Z72" s="509"/>
      <c r="AA72" s="509"/>
      <c r="AB72" s="509"/>
      <c r="AC72" s="509"/>
      <c r="AD72" s="509"/>
      <c r="AE72" s="509"/>
      <c r="AF72" s="509"/>
      <c r="AG72" s="509"/>
      <c r="AH72" s="509"/>
      <c r="AI72" s="509"/>
      <c r="AJ72" s="509"/>
      <c r="AK72" s="509"/>
      <c r="AL72" s="509"/>
      <c r="AM72" s="509"/>
      <c r="AN72" s="509"/>
    </row>
    <row r="73" spans="1:40" ht="15.75" customHeight="1">
      <c r="A73" s="494" t="s">
        <v>0</v>
      </c>
      <c r="B73" s="509" t="s">
        <v>0</v>
      </c>
      <c r="C73" s="522"/>
      <c r="D73" s="583"/>
      <c r="E73" s="603"/>
      <c r="F73" s="555"/>
      <c r="G73" s="584"/>
      <c r="H73" s="603"/>
      <c r="I73" s="555"/>
      <c r="J73" s="522"/>
      <c r="K73" s="603"/>
      <c r="L73" s="579"/>
      <c r="M73" s="522"/>
      <c r="N73" s="579"/>
      <c r="O73" s="522"/>
      <c r="P73" s="603"/>
      <c r="Q73" s="579"/>
      <c r="R73" s="522"/>
      <c r="S73" s="579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</row>
    <row r="74" spans="1:40" ht="15.75" customHeight="1">
      <c r="A74" s="494" t="s">
        <v>277</v>
      </c>
      <c r="B74" s="509" t="s">
        <v>0</v>
      </c>
      <c r="C74" s="588" t="s">
        <v>65</v>
      </c>
      <c r="D74" s="589" t="s">
        <v>39</v>
      </c>
      <c r="E74" s="590">
        <v>0.75790469765203061</v>
      </c>
      <c r="F74" s="591">
        <v>251435.23916915394</v>
      </c>
      <c r="G74" s="592"/>
      <c r="H74" s="590"/>
      <c r="I74" s="591"/>
      <c r="J74" s="592" t="s">
        <v>39</v>
      </c>
      <c r="K74" s="590">
        <v>0.99310912592008571</v>
      </c>
      <c r="L74" s="591">
        <v>234001.02</v>
      </c>
      <c r="M74" s="595"/>
      <c r="N74" s="605">
        <v>-17434.219169153948</v>
      </c>
      <c r="O74" s="592" t="s">
        <v>39</v>
      </c>
      <c r="P74" s="590">
        <v>0.91699679761460839</v>
      </c>
      <c r="Q74" s="591">
        <v>189055.56999999995</v>
      </c>
      <c r="R74" s="595"/>
      <c r="S74" s="605">
        <v>44945.450000000041</v>
      </c>
      <c r="T74" s="509"/>
      <c r="U74" s="509"/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</row>
    <row r="75" spans="1:40" ht="15.75" customHeight="1">
      <c r="A75" s="494" t="s">
        <v>278</v>
      </c>
      <c r="B75" s="509" t="s">
        <v>0</v>
      </c>
      <c r="C75" s="529" t="s">
        <v>197</v>
      </c>
      <c r="D75" s="581"/>
      <c r="E75" s="509"/>
      <c r="F75" s="530">
        <v>0</v>
      </c>
      <c r="G75" s="582"/>
      <c r="H75" s="509"/>
      <c r="I75" s="530"/>
      <c r="J75" s="529"/>
      <c r="K75" s="509"/>
      <c r="L75" s="532">
        <v>0</v>
      </c>
      <c r="M75" s="529"/>
      <c r="N75" s="555">
        <v>0</v>
      </c>
      <c r="O75" s="529"/>
      <c r="P75" s="509"/>
      <c r="Q75" s="532">
        <v>0</v>
      </c>
      <c r="R75" s="529"/>
      <c r="S75" s="555"/>
      <c r="T75" s="509"/>
      <c r="U75" s="509"/>
      <c r="V75" s="509"/>
      <c r="W75" s="509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09"/>
      <c r="AK75" s="509"/>
      <c r="AL75" s="509"/>
      <c r="AM75" s="509"/>
      <c r="AN75" s="509"/>
    </row>
    <row r="76" spans="1:40" ht="15.75" customHeight="1">
      <c r="A76" s="494" t="s">
        <v>279</v>
      </c>
      <c r="B76" s="509" t="s">
        <v>0</v>
      </c>
      <c r="C76" s="529" t="s">
        <v>194</v>
      </c>
      <c r="D76" s="581"/>
      <c r="E76" s="509"/>
      <c r="F76" s="530">
        <v>0</v>
      </c>
      <c r="G76" s="582"/>
      <c r="H76" s="509"/>
      <c r="I76" s="530"/>
      <c r="J76" s="529"/>
      <c r="K76" s="509"/>
      <c r="L76" s="532">
        <v>0</v>
      </c>
      <c r="M76" s="529"/>
      <c r="N76" s="555">
        <v>0</v>
      </c>
      <c r="O76" s="529"/>
      <c r="P76" s="509"/>
      <c r="Q76" s="532">
        <v>0</v>
      </c>
      <c r="R76" s="529"/>
      <c r="S76" s="555">
        <v>0</v>
      </c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09"/>
      <c r="AK76" s="509"/>
      <c r="AL76" s="509"/>
      <c r="AM76" s="509"/>
      <c r="AN76" s="509"/>
    </row>
    <row r="77" spans="1:40" ht="15.75" customHeight="1">
      <c r="A77" s="494" t="s">
        <v>280</v>
      </c>
      <c r="B77" s="509" t="s">
        <v>0</v>
      </c>
      <c r="C77" s="529" t="s">
        <v>68</v>
      </c>
      <c r="D77" s="581"/>
      <c r="E77" s="509"/>
      <c r="F77" s="530">
        <v>0</v>
      </c>
      <c r="G77" s="582"/>
      <c r="H77" s="509"/>
      <c r="I77" s="530"/>
      <c r="J77" s="529"/>
      <c r="K77" s="509"/>
      <c r="L77" s="532">
        <v>0</v>
      </c>
      <c r="M77" s="529"/>
      <c r="N77" s="555">
        <v>0</v>
      </c>
      <c r="O77" s="529"/>
      <c r="P77" s="509"/>
      <c r="Q77" s="532">
        <v>0</v>
      </c>
      <c r="R77" s="529"/>
      <c r="S77" s="555">
        <v>0</v>
      </c>
      <c r="T77" s="509"/>
      <c r="U77" s="509"/>
      <c r="V77" s="509"/>
      <c r="W77" s="509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09"/>
      <c r="AK77" s="509"/>
      <c r="AL77" s="509"/>
      <c r="AM77" s="509"/>
      <c r="AN77" s="509"/>
    </row>
    <row r="78" spans="1:40" ht="15.75" customHeight="1">
      <c r="A78" s="494" t="s">
        <v>281</v>
      </c>
      <c r="B78" s="509" t="s">
        <v>0</v>
      </c>
      <c r="C78" s="529" t="s">
        <v>69</v>
      </c>
      <c r="D78" s="581"/>
      <c r="E78" s="606">
        <v>1317.1167116887973</v>
      </c>
      <c r="F78" s="530">
        <v>107806.00285172804</v>
      </c>
      <c r="G78" s="582"/>
      <c r="H78" s="509"/>
      <c r="I78" s="530"/>
      <c r="J78" s="607"/>
      <c r="K78" s="606">
        <v>1338.4418918918918</v>
      </c>
      <c r="L78" s="532">
        <v>99044.7</v>
      </c>
      <c r="M78" s="529"/>
      <c r="N78" s="555">
        <v>-8761.3028517280472</v>
      </c>
      <c r="O78" s="529"/>
      <c r="P78" s="509"/>
      <c r="Q78" s="532">
        <v>67424.75</v>
      </c>
      <c r="R78" s="529"/>
      <c r="S78" s="555">
        <v>31619.949999999997</v>
      </c>
      <c r="T78" s="509"/>
      <c r="U78" s="509"/>
      <c r="V78" s="509"/>
      <c r="W78" s="509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09"/>
      <c r="AK78" s="509"/>
      <c r="AL78" s="509"/>
      <c r="AM78" s="509"/>
      <c r="AN78" s="509"/>
    </row>
    <row r="79" spans="1:40" ht="15.75" hidden="1" customHeight="1">
      <c r="A79" s="494" t="s">
        <v>234</v>
      </c>
      <c r="B79" s="509" t="s">
        <v>0</v>
      </c>
      <c r="C79" s="529" t="s">
        <v>20</v>
      </c>
      <c r="D79" s="581"/>
      <c r="E79" s="509"/>
      <c r="F79" s="530">
        <v>0</v>
      </c>
      <c r="G79" s="582"/>
      <c r="H79" s="509"/>
      <c r="I79" s="530"/>
      <c r="J79" s="529"/>
      <c r="K79" s="509"/>
      <c r="L79" s="532">
        <v>0</v>
      </c>
      <c r="M79" s="529"/>
      <c r="N79" s="555">
        <v>0</v>
      </c>
      <c r="O79" s="529"/>
      <c r="P79" s="509"/>
      <c r="Q79" s="532">
        <v>0</v>
      </c>
      <c r="R79" s="529"/>
      <c r="S79" s="555">
        <v>0</v>
      </c>
      <c r="T79" s="509"/>
      <c r="U79" s="509"/>
      <c r="V79" s="509"/>
      <c r="W79" s="509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09"/>
      <c r="AK79" s="509"/>
      <c r="AL79" s="509"/>
      <c r="AM79" s="509"/>
      <c r="AN79" s="509"/>
    </row>
    <row r="80" spans="1:40" ht="15.75" hidden="1" customHeight="1">
      <c r="A80" s="494" t="s">
        <v>234</v>
      </c>
      <c r="B80" s="509" t="s">
        <v>0</v>
      </c>
      <c r="C80" s="529" t="s">
        <v>20</v>
      </c>
      <c r="D80" s="581"/>
      <c r="E80" s="509"/>
      <c r="F80" s="530">
        <v>0</v>
      </c>
      <c r="G80" s="582"/>
      <c r="H80" s="509"/>
      <c r="I80" s="530"/>
      <c r="J80" s="529"/>
      <c r="K80" s="509"/>
      <c r="L80" s="532">
        <v>0</v>
      </c>
      <c r="M80" s="529"/>
      <c r="N80" s="555">
        <v>0</v>
      </c>
      <c r="O80" s="529"/>
      <c r="P80" s="509"/>
      <c r="Q80" s="532">
        <v>0</v>
      </c>
      <c r="R80" s="529"/>
      <c r="S80" s="555">
        <v>0</v>
      </c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09"/>
      <c r="AK80" s="509"/>
      <c r="AL80" s="509"/>
      <c r="AM80" s="509"/>
      <c r="AN80" s="509"/>
    </row>
    <row r="81" spans="1:40" ht="15.75" hidden="1" customHeight="1">
      <c r="A81" s="494" t="s">
        <v>234</v>
      </c>
      <c r="B81" s="509" t="s">
        <v>0</v>
      </c>
      <c r="C81" s="529" t="s">
        <v>20</v>
      </c>
      <c r="D81" s="581"/>
      <c r="E81" s="509"/>
      <c r="F81" s="530">
        <v>0</v>
      </c>
      <c r="G81" s="582"/>
      <c r="H81" s="509"/>
      <c r="I81" s="530"/>
      <c r="J81" s="529"/>
      <c r="K81" s="509"/>
      <c r="L81" s="532">
        <v>0</v>
      </c>
      <c r="M81" s="529"/>
      <c r="N81" s="555">
        <v>0</v>
      </c>
      <c r="O81" s="529"/>
      <c r="P81" s="509"/>
      <c r="Q81" s="532">
        <v>0</v>
      </c>
      <c r="R81" s="529"/>
      <c r="S81" s="555">
        <v>0</v>
      </c>
      <c r="T81" s="509"/>
      <c r="U81" s="509"/>
      <c r="V81" s="509"/>
      <c r="W81" s="509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09"/>
      <c r="AK81" s="509"/>
      <c r="AL81" s="509"/>
      <c r="AM81" s="509"/>
      <c r="AN81" s="509"/>
    </row>
    <row r="82" spans="1:40" ht="15.75" customHeight="1">
      <c r="A82" s="608" t="s">
        <v>282</v>
      </c>
      <c r="B82" s="609" t="s">
        <v>0</v>
      </c>
      <c r="C82" s="529" t="s">
        <v>70</v>
      </c>
      <c r="D82" s="610">
        <v>0.95</v>
      </c>
      <c r="E82" s="611">
        <v>474.04999999999995</v>
      </c>
      <c r="F82" s="530">
        <v>36347.783749999995</v>
      </c>
      <c r="G82" s="582"/>
      <c r="H82" s="509"/>
      <c r="I82" s="530"/>
      <c r="J82" s="612">
        <v>0.9290112897707834</v>
      </c>
      <c r="K82" s="611">
        <v>440.35135135135135</v>
      </c>
      <c r="L82" s="532">
        <v>32586</v>
      </c>
      <c r="M82" s="529"/>
      <c r="N82" s="555">
        <v>-3761.7837499999951</v>
      </c>
      <c r="O82" s="529"/>
      <c r="P82" s="509"/>
      <c r="Q82" s="532">
        <v>23301</v>
      </c>
      <c r="R82" s="529"/>
      <c r="S82" s="555">
        <v>9285</v>
      </c>
      <c r="T82" s="509"/>
      <c r="U82" s="509"/>
      <c r="V82" s="509"/>
      <c r="W82" s="509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09"/>
      <c r="AK82" s="509"/>
      <c r="AL82" s="509"/>
      <c r="AM82" s="509"/>
      <c r="AN82" s="509"/>
    </row>
    <row r="83" spans="1:40" ht="15.75" customHeight="1">
      <c r="A83" s="494" t="s">
        <v>283</v>
      </c>
      <c r="B83" s="509" t="s">
        <v>0</v>
      </c>
      <c r="C83" s="588" t="s">
        <v>71</v>
      </c>
      <c r="D83" s="589"/>
      <c r="E83" s="590"/>
      <c r="F83" s="591">
        <v>144153.78660172803</v>
      </c>
      <c r="G83" s="592"/>
      <c r="H83" s="590"/>
      <c r="I83" s="591"/>
      <c r="J83" s="592"/>
      <c r="K83" s="590"/>
      <c r="L83" s="591">
        <v>131630.70000000001</v>
      </c>
      <c r="M83" s="595"/>
      <c r="N83" s="591">
        <v>-12523.086601728042</v>
      </c>
      <c r="O83" s="592"/>
      <c r="P83" s="590"/>
      <c r="Q83" s="591">
        <v>90725.75</v>
      </c>
      <c r="R83" s="595"/>
      <c r="S83" s="591">
        <v>40904.949999999997</v>
      </c>
      <c r="T83" s="509"/>
      <c r="U83" s="509"/>
      <c r="V83" s="509"/>
      <c r="W83" s="509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09"/>
      <c r="AK83" s="509"/>
      <c r="AL83" s="509"/>
      <c r="AM83" s="509"/>
      <c r="AN83" s="509"/>
    </row>
    <row r="84" spans="1:40" ht="15.75" customHeight="1">
      <c r="A84" s="494" t="s">
        <v>0</v>
      </c>
      <c r="B84" s="509" t="s">
        <v>0</v>
      </c>
      <c r="C84" s="613"/>
      <c r="D84" s="614"/>
      <c r="E84" s="615"/>
      <c r="F84" s="616"/>
      <c r="G84" s="617"/>
      <c r="H84" s="615"/>
      <c r="I84" s="616"/>
      <c r="J84" s="618"/>
      <c r="K84" s="619"/>
      <c r="L84" s="616"/>
      <c r="M84" s="618"/>
      <c r="N84" s="620"/>
      <c r="O84" s="618"/>
      <c r="P84" s="619"/>
      <c r="Q84" s="616"/>
      <c r="R84" s="618"/>
      <c r="S84" s="620"/>
      <c r="T84" s="509"/>
      <c r="U84" s="509"/>
      <c r="V84" s="509"/>
      <c r="W84" s="509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09"/>
      <c r="AK84" s="509"/>
      <c r="AL84" s="509"/>
      <c r="AM84" s="509"/>
      <c r="AN84" s="509"/>
    </row>
    <row r="85" spans="1:40" ht="22.5" customHeight="1" thickBot="1">
      <c r="A85" s="494" t="s">
        <v>284</v>
      </c>
      <c r="B85" s="509" t="s">
        <v>0</v>
      </c>
      <c r="C85" s="621" t="s">
        <v>72</v>
      </c>
      <c r="D85" s="622"/>
      <c r="E85" s="623"/>
      <c r="F85" s="624">
        <v>224469.01678326406</v>
      </c>
      <c r="G85" s="625"/>
      <c r="H85" s="623"/>
      <c r="I85" s="624"/>
      <c r="J85" s="625"/>
      <c r="K85" s="622"/>
      <c r="L85" s="624">
        <v>133254.3600000001</v>
      </c>
      <c r="M85" s="625"/>
      <c r="N85" s="624">
        <v>-91214.656783263985</v>
      </c>
      <c r="O85" s="625"/>
      <c r="P85" s="626">
        <v>3.8401821783752642E-2</v>
      </c>
      <c r="Q85" s="624">
        <v>107838.36999999985</v>
      </c>
      <c r="R85" s="625"/>
      <c r="S85" s="624">
        <v>25415.990000000253</v>
      </c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09"/>
    </row>
    <row r="86" spans="1:40" ht="15.75" customHeight="1" thickTop="1">
      <c r="B86" s="627"/>
      <c r="C86" s="627"/>
      <c r="D86" s="627"/>
      <c r="E86" s="627"/>
      <c r="F86" s="627"/>
      <c r="G86" s="627"/>
      <c r="H86" s="627"/>
      <c r="I86" s="627"/>
      <c r="J86" s="628"/>
      <c r="K86" s="627"/>
      <c r="L86" s="629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27"/>
      <c r="AB86" s="627"/>
      <c r="AC86" s="627"/>
      <c r="AD86" s="627"/>
      <c r="AE86" s="627"/>
      <c r="AF86" s="627"/>
      <c r="AG86" s="627"/>
      <c r="AH86" s="627"/>
      <c r="AI86" s="627"/>
      <c r="AJ86" s="627"/>
      <c r="AK86" s="627"/>
      <c r="AL86" s="627"/>
      <c r="AM86" s="627"/>
      <c r="AN86" s="627"/>
    </row>
    <row r="87" spans="1:40" ht="12.75" customHeight="1">
      <c r="B87" s="627"/>
      <c r="C87" s="627"/>
      <c r="D87" s="627"/>
      <c r="E87" s="627"/>
      <c r="F87" s="627"/>
      <c r="G87" s="627"/>
      <c r="H87" s="627"/>
      <c r="I87" s="630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27"/>
      <c r="AB87" s="627"/>
      <c r="AC87" s="627"/>
      <c r="AD87" s="627"/>
      <c r="AE87" s="627"/>
      <c r="AF87" s="627"/>
      <c r="AG87" s="627"/>
      <c r="AH87" s="627"/>
      <c r="AI87" s="627"/>
      <c r="AJ87" s="627"/>
      <c r="AK87" s="627"/>
      <c r="AL87" s="627"/>
      <c r="AM87" s="627"/>
      <c r="AN87" s="627"/>
    </row>
    <row r="88" spans="1:40" ht="15.75" hidden="1" customHeight="1">
      <c r="B88" s="503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</row>
    <row r="89" spans="1:40" ht="33" customHeight="1">
      <c r="B89" s="495"/>
      <c r="C89" s="631" t="s">
        <v>477</v>
      </c>
      <c r="D89" s="497"/>
      <c r="E89" s="497"/>
      <c r="F89" s="497"/>
      <c r="G89" s="497"/>
      <c r="H89" s="495"/>
      <c r="I89" s="495"/>
      <c r="J89" s="495"/>
      <c r="K89" s="499" t="s">
        <v>73</v>
      </c>
      <c r="L89" s="497"/>
      <c r="M89" s="497"/>
      <c r="N89" s="495"/>
      <c r="O89" s="495"/>
      <c r="P89" s="497"/>
      <c r="Q89" s="495"/>
      <c r="R89" s="497"/>
      <c r="S89" s="632" t="s">
        <v>484</v>
      </c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</row>
    <row r="90" spans="1:40" ht="15.75" customHeight="1" thickBot="1">
      <c r="B90" s="503"/>
      <c r="C90" s="504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</row>
    <row r="91" spans="1:40" ht="15.75" customHeight="1" thickTop="1">
      <c r="B91" s="509"/>
      <c r="C91" s="510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221</v>
      </c>
      <c r="N91" s="513"/>
      <c r="O91" s="511" t="s">
        <v>8</v>
      </c>
      <c r="P91" s="512"/>
      <c r="Q91" s="513"/>
      <c r="R91" s="514" t="s">
        <v>222</v>
      </c>
      <c r="S91" s="513"/>
      <c r="T91" s="509"/>
      <c r="U91" s="509"/>
      <c r="V91" s="509"/>
      <c r="W91" s="509"/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09"/>
      <c r="AK91" s="509"/>
      <c r="AL91" s="509"/>
      <c r="AM91" s="509"/>
      <c r="AN91" s="509"/>
    </row>
    <row r="92" spans="1:40" ht="15.75" customHeight="1">
      <c r="B92" s="509"/>
      <c r="C92" s="529"/>
      <c r="D92" s="518" t="s">
        <v>10</v>
      </c>
      <c r="E92" s="519" t="s">
        <v>11</v>
      </c>
      <c r="F92" s="520" t="s">
        <v>12</v>
      </c>
      <c r="G92" s="521"/>
      <c r="H92" s="519"/>
      <c r="I92" s="520"/>
      <c r="J92" s="521" t="s">
        <v>224</v>
      </c>
      <c r="K92" s="519" t="s">
        <v>13</v>
      </c>
      <c r="L92" s="520" t="s">
        <v>12</v>
      </c>
      <c r="M92" s="521" t="s">
        <v>224</v>
      </c>
      <c r="N92" s="520" t="s">
        <v>12</v>
      </c>
      <c r="O92" s="519" t="s">
        <v>10</v>
      </c>
      <c r="P92" s="519" t="s">
        <v>11</v>
      </c>
      <c r="Q92" s="520" t="s">
        <v>12</v>
      </c>
      <c r="R92" s="521" t="s">
        <v>224</v>
      </c>
      <c r="S92" s="520" t="s">
        <v>12</v>
      </c>
      <c r="T92" s="509"/>
      <c r="U92" s="509"/>
      <c r="V92" s="509"/>
      <c r="W92" s="509"/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09"/>
      <c r="AK92" s="509"/>
      <c r="AL92" s="509"/>
      <c r="AM92" s="509"/>
      <c r="AN92" s="509"/>
    </row>
    <row r="93" spans="1:40" ht="24" customHeight="1">
      <c r="A93" s="494" t="s">
        <v>285</v>
      </c>
      <c r="B93" s="509" t="s">
        <v>73</v>
      </c>
      <c r="C93" s="522" t="s">
        <v>15</v>
      </c>
      <c r="D93" s="526"/>
      <c r="E93" s="526"/>
      <c r="F93" s="524">
        <v>2139236.7932183691</v>
      </c>
      <c r="G93" s="543"/>
      <c r="H93" s="526"/>
      <c r="I93" s="524"/>
      <c r="J93" s="522"/>
      <c r="K93" s="526"/>
      <c r="L93" s="524">
        <v>1785178.6300000001</v>
      </c>
      <c r="M93" s="633"/>
      <c r="N93" s="634"/>
      <c r="O93" s="522"/>
      <c r="P93" s="526"/>
      <c r="Q93" s="524">
        <v>1554686.55</v>
      </c>
      <c r="R93" s="633"/>
      <c r="S93" s="634"/>
      <c r="T93" s="509"/>
      <c r="U93" s="509"/>
      <c r="V93" s="509"/>
      <c r="W93" s="509"/>
      <c r="X93" s="509"/>
      <c r="Y93" s="509"/>
      <c r="Z93" s="509"/>
      <c r="AA93" s="509"/>
      <c r="AB93" s="509"/>
      <c r="AC93" s="509"/>
      <c r="AD93" s="509"/>
      <c r="AE93" s="509"/>
      <c r="AF93" s="509"/>
      <c r="AG93" s="509"/>
      <c r="AH93" s="509"/>
      <c r="AI93" s="509"/>
      <c r="AJ93" s="509"/>
      <c r="AK93" s="509"/>
      <c r="AL93" s="509"/>
      <c r="AM93" s="509"/>
      <c r="AN93" s="509"/>
    </row>
    <row r="94" spans="1:40" ht="21.75" customHeight="1">
      <c r="A94" s="494" t="s">
        <v>286</v>
      </c>
      <c r="B94" s="509" t="s">
        <v>73</v>
      </c>
      <c r="C94" s="529" t="s">
        <v>75</v>
      </c>
      <c r="D94" s="530">
        <v>39.467999999999996</v>
      </c>
      <c r="E94" s="530">
        <v>1800</v>
      </c>
      <c r="F94" s="530">
        <v>71042.399999999994</v>
      </c>
      <c r="G94" s="531"/>
      <c r="H94" s="530"/>
      <c r="I94" s="530"/>
      <c r="J94" s="531">
        <v>38</v>
      </c>
      <c r="K94" s="530">
        <v>23.055789473685046</v>
      </c>
      <c r="L94" s="532">
        <v>876.12000000003172</v>
      </c>
      <c r="M94" s="531">
        <v>-1.4679999999999964</v>
      </c>
      <c r="N94" s="532">
        <v>-70166.27999999997</v>
      </c>
      <c r="O94" s="531">
        <v>15</v>
      </c>
      <c r="P94" s="530">
        <v>1755.5306666666665</v>
      </c>
      <c r="Q94" s="532">
        <v>26332.959999999999</v>
      </c>
      <c r="R94" s="531">
        <v>23</v>
      </c>
      <c r="S94" s="532">
        <v>-25456.839999999967</v>
      </c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09"/>
      <c r="AK94" s="509"/>
      <c r="AL94" s="509"/>
      <c r="AM94" s="509"/>
      <c r="AN94" s="509"/>
    </row>
    <row r="95" spans="1:40" ht="18.75" customHeight="1">
      <c r="A95" s="494" t="s">
        <v>287</v>
      </c>
      <c r="B95" s="509" t="s">
        <v>73</v>
      </c>
      <c r="C95" s="529" t="s">
        <v>76</v>
      </c>
      <c r="D95" s="530">
        <v>2.2263999999999999</v>
      </c>
      <c r="E95" s="530">
        <v>1800</v>
      </c>
      <c r="F95" s="530">
        <v>4007.52</v>
      </c>
      <c r="G95" s="531"/>
      <c r="H95" s="530"/>
      <c r="I95" s="530"/>
      <c r="J95" s="531">
        <v>2</v>
      </c>
      <c r="K95" s="530">
        <v>-811.44999999999982</v>
      </c>
      <c r="L95" s="532">
        <v>-1622.8999999999996</v>
      </c>
      <c r="M95" s="531">
        <v>-0.22639999999999993</v>
      </c>
      <c r="N95" s="532">
        <v>-5630.42</v>
      </c>
      <c r="O95" s="531">
        <v>10</v>
      </c>
      <c r="P95" s="530">
        <v>2407.5810000000001</v>
      </c>
      <c r="Q95" s="532">
        <v>24075.81</v>
      </c>
      <c r="R95" s="531">
        <v>-8</v>
      </c>
      <c r="S95" s="532">
        <v>-25698.71</v>
      </c>
      <c r="T95" s="509"/>
      <c r="U95" s="509"/>
      <c r="V95" s="635"/>
      <c r="W95" s="509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09"/>
      <c r="AK95" s="509"/>
      <c r="AL95" s="509"/>
      <c r="AM95" s="509"/>
      <c r="AN95" s="509"/>
    </row>
    <row r="96" spans="1:40" ht="18.75" customHeight="1">
      <c r="A96" s="494" t="s">
        <v>482</v>
      </c>
      <c r="B96" s="509" t="s">
        <v>73</v>
      </c>
      <c r="C96" s="529" t="s">
        <v>288</v>
      </c>
      <c r="D96" s="530">
        <v>1.3155999999999999</v>
      </c>
      <c r="E96" s="526">
        <v>1800</v>
      </c>
      <c r="F96" s="530">
        <v>2368.08</v>
      </c>
      <c r="G96" s="531"/>
      <c r="H96" s="530"/>
      <c r="I96" s="530"/>
      <c r="J96" s="531">
        <v>0</v>
      </c>
      <c r="K96" s="530">
        <v>0</v>
      </c>
      <c r="L96" s="532">
        <v>0</v>
      </c>
      <c r="M96" s="531">
        <v>-1.3155999999999999</v>
      </c>
      <c r="N96" s="532">
        <v>-2368.08</v>
      </c>
      <c r="O96" s="531">
        <v>0</v>
      </c>
      <c r="P96" s="530">
        <v>0</v>
      </c>
      <c r="Q96" s="532">
        <v>0</v>
      </c>
      <c r="R96" s="531">
        <v>0</v>
      </c>
      <c r="S96" s="532">
        <v>0</v>
      </c>
      <c r="T96" s="509"/>
      <c r="U96" s="509"/>
      <c r="V96" s="635"/>
      <c r="W96" s="509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09"/>
      <c r="AK96" s="509"/>
      <c r="AL96" s="509"/>
      <c r="AM96" s="509"/>
      <c r="AN96" s="509"/>
    </row>
    <row r="97" spans="1:40" ht="15.75" customHeight="1">
      <c r="A97" s="494" t="s">
        <v>483</v>
      </c>
      <c r="B97" s="509" t="s">
        <v>73</v>
      </c>
      <c r="C97" s="535" t="s">
        <v>77</v>
      </c>
      <c r="D97" s="536">
        <v>43.009999999999991</v>
      </c>
      <c r="E97" s="530">
        <v>1800.0000000000005</v>
      </c>
      <c r="F97" s="537">
        <v>77418</v>
      </c>
      <c r="G97" s="538"/>
      <c r="H97" s="536"/>
      <c r="I97" s="537"/>
      <c r="J97" s="538">
        <v>40</v>
      </c>
      <c r="K97" s="536">
        <v>-18.669499999999196</v>
      </c>
      <c r="L97" s="537">
        <v>-746.77999999996791</v>
      </c>
      <c r="M97" s="538">
        <v>-3.0099999999999909</v>
      </c>
      <c r="N97" s="537">
        <v>-78164.77999999997</v>
      </c>
      <c r="O97" s="538">
        <v>25</v>
      </c>
      <c r="P97" s="536">
        <v>2016.3508000000002</v>
      </c>
      <c r="Q97" s="537">
        <v>50408.770000000004</v>
      </c>
      <c r="R97" s="538">
        <v>15</v>
      </c>
      <c r="S97" s="537">
        <v>-51155.549999999967</v>
      </c>
      <c r="T97" s="509"/>
      <c r="U97" s="509"/>
      <c r="V97" s="509"/>
      <c r="W97" s="509"/>
      <c r="X97" s="509"/>
      <c r="Y97" s="509"/>
      <c r="Z97" s="509"/>
      <c r="AA97" s="509"/>
      <c r="AB97" s="509"/>
      <c r="AC97" s="570"/>
      <c r="AD97" s="509"/>
      <c r="AE97" s="509"/>
      <c r="AF97" s="570"/>
      <c r="AG97" s="509"/>
      <c r="AH97" s="509"/>
      <c r="AI97" s="509"/>
      <c r="AJ97" s="509"/>
      <c r="AK97" s="509"/>
      <c r="AL97" s="509"/>
      <c r="AM97" s="509"/>
      <c r="AN97" s="509"/>
    </row>
    <row r="98" spans="1:40" ht="15.75" customHeight="1">
      <c r="A98" s="494" t="s">
        <v>73</v>
      </c>
      <c r="B98" s="509" t="s">
        <v>73</v>
      </c>
      <c r="C98" s="529"/>
      <c r="D98" s="509"/>
      <c r="E98" s="530">
        <v>0</v>
      </c>
      <c r="F98" s="539"/>
      <c r="G98" s="529"/>
      <c r="H98" s="509"/>
      <c r="I98" s="539"/>
      <c r="J98" s="529"/>
      <c r="K98" s="509"/>
      <c r="L98" s="539"/>
      <c r="M98" s="636">
        <v>-6.9983724715182313E-2</v>
      </c>
      <c r="N98" s="637">
        <v>-1.0096460771396829</v>
      </c>
      <c r="O98" s="529"/>
      <c r="P98" s="509">
        <v>0</v>
      </c>
      <c r="Q98" s="539"/>
      <c r="R98" s="636">
        <v>0.6</v>
      </c>
      <c r="S98" s="637">
        <v>-1.0148144856539836</v>
      </c>
      <c r="T98" s="509"/>
      <c r="U98" s="509"/>
      <c r="V98" s="509"/>
      <c r="W98" s="509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09"/>
      <c r="AK98" s="509"/>
      <c r="AL98" s="509"/>
      <c r="AM98" s="509"/>
      <c r="AN98" s="509"/>
    </row>
    <row r="99" spans="1:40" ht="15.75" customHeight="1">
      <c r="A99" s="494" t="s">
        <v>73</v>
      </c>
      <c r="B99" s="509" t="s">
        <v>73</v>
      </c>
      <c r="C99" s="529"/>
      <c r="D99" s="530">
        <v>0</v>
      </c>
      <c r="E99" s="530">
        <v>0</v>
      </c>
      <c r="F99" s="530">
        <v>0</v>
      </c>
      <c r="G99" s="531"/>
      <c r="H99" s="530"/>
      <c r="I99" s="530"/>
      <c r="J99" s="531"/>
      <c r="K99" s="530"/>
      <c r="L99" s="532"/>
      <c r="M99" s="531"/>
      <c r="N99" s="532"/>
      <c r="O99" s="531"/>
      <c r="P99" s="530"/>
      <c r="Q99" s="532"/>
      <c r="R99" s="531"/>
      <c r="S99" s="532"/>
      <c r="T99" s="509"/>
      <c r="U99" s="509"/>
      <c r="V99" s="509"/>
      <c r="W99" s="530"/>
      <c r="X99" s="530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09"/>
      <c r="AK99" s="509"/>
      <c r="AL99" s="509"/>
      <c r="AM99" s="509"/>
      <c r="AN99" s="509"/>
    </row>
    <row r="100" spans="1:40" ht="15.75" customHeight="1">
      <c r="A100" s="494" t="s">
        <v>289</v>
      </c>
      <c r="B100" s="509" t="s">
        <v>73</v>
      </c>
      <c r="C100" s="529" t="s">
        <v>78</v>
      </c>
      <c r="D100" s="530">
        <v>44.021999999999998</v>
      </c>
      <c r="E100" s="530">
        <v>400</v>
      </c>
      <c r="F100" s="530">
        <v>17608.8</v>
      </c>
      <c r="G100" s="531"/>
      <c r="H100" s="530"/>
      <c r="I100" s="530"/>
      <c r="J100" s="531">
        <v>47</v>
      </c>
      <c r="K100" s="530">
        <v>-663.5046808510657</v>
      </c>
      <c r="L100" s="532">
        <v>-31184.720000000088</v>
      </c>
      <c r="M100" s="531">
        <v>2.9780000000000015</v>
      </c>
      <c r="N100" s="532">
        <v>-48793.520000000091</v>
      </c>
      <c r="O100" s="531">
        <v>43</v>
      </c>
      <c r="P100" s="530">
        <v>409.93325581395351</v>
      </c>
      <c r="Q100" s="532">
        <v>17627.13</v>
      </c>
      <c r="R100" s="531">
        <v>4</v>
      </c>
      <c r="S100" s="532">
        <v>-48811.850000000093</v>
      </c>
      <c r="T100" s="509"/>
      <c r="U100" s="509"/>
      <c r="V100" s="509"/>
      <c r="W100" s="509"/>
      <c r="X100" s="509"/>
      <c r="Y100" s="509"/>
      <c r="Z100" s="509"/>
      <c r="AA100" s="509"/>
      <c r="AB100" s="509"/>
      <c r="AC100" s="570"/>
      <c r="AD100" s="509"/>
      <c r="AE100" s="509"/>
      <c r="AF100" s="638"/>
      <c r="AG100" s="509"/>
      <c r="AH100" s="509"/>
      <c r="AI100" s="509"/>
      <c r="AJ100" s="509"/>
      <c r="AK100" s="509"/>
      <c r="AL100" s="509"/>
      <c r="AM100" s="509"/>
      <c r="AN100" s="509"/>
    </row>
    <row r="101" spans="1:40" ht="15.75" customHeight="1">
      <c r="A101" s="494" t="s">
        <v>73</v>
      </c>
      <c r="B101" s="509" t="s">
        <v>73</v>
      </c>
      <c r="C101" s="522"/>
      <c r="D101" s="526"/>
      <c r="E101" s="526"/>
      <c r="F101" s="524"/>
      <c r="G101" s="543"/>
      <c r="H101" s="526"/>
      <c r="I101" s="524"/>
      <c r="J101" s="543"/>
      <c r="K101" s="526"/>
      <c r="L101" s="524"/>
      <c r="M101" s="544"/>
      <c r="N101" s="639"/>
      <c r="O101" s="543"/>
      <c r="P101" s="526"/>
      <c r="Q101" s="524"/>
      <c r="R101" s="544"/>
      <c r="S101" s="639"/>
      <c r="T101" s="509"/>
      <c r="U101" s="509"/>
      <c r="V101" s="509"/>
      <c r="W101" s="509"/>
      <c r="X101" s="509"/>
      <c r="Y101" s="509"/>
      <c r="Z101" s="509"/>
      <c r="AA101" s="509"/>
      <c r="AB101" s="509"/>
      <c r="AC101" s="509"/>
      <c r="AD101" s="509"/>
      <c r="AE101" s="509"/>
      <c r="AF101" s="638"/>
      <c r="AG101" s="509"/>
      <c r="AH101" s="509"/>
      <c r="AI101" s="509"/>
      <c r="AJ101" s="509"/>
      <c r="AK101" s="509"/>
      <c r="AL101" s="509"/>
      <c r="AM101" s="509"/>
      <c r="AN101" s="509"/>
    </row>
    <row r="102" spans="1:40" ht="15.75" customHeight="1">
      <c r="A102" s="494" t="s">
        <v>290</v>
      </c>
      <c r="B102" s="509" t="s">
        <v>73</v>
      </c>
      <c r="C102" s="529" t="s">
        <v>25</v>
      </c>
      <c r="D102" s="530">
        <v>0</v>
      </c>
      <c r="E102" s="530">
        <v>0</v>
      </c>
      <c r="F102" s="532">
        <v>30106.999999999993</v>
      </c>
      <c r="G102" s="531"/>
      <c r="H102" s="530"/>
      <c r="I102" s="530"/>
      <c r="J102" s="531"/>
      <c r="K102" s="530">
        <v>264.23649999999998</v>
      </c>
      <c r="L102" s="532">
        <v>10569.46</v>
      </c>
      <c r="M102" s="531"/>
      <c r="N102" s="532">
        <v>-19537.539999999994</v>
      </c>
      <c r="O102" s="531"/>
      <c r="P102" s="530"/>
      <c r="Q102" s="532">
        <v>20749.86</v>
      </c>
      <c r="R102" s="531">
        <v>-264.23649999999998</v>
      </c>
      <c r="S102" s="532">
        <v>-10180.400000000001</v>
      </c>
      <c r="T102" s="509"/>
      <c r="U102" s="509"/>
      <c r="V102" s="509"/>
      <c r="W102" s="509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09"/>
      <c r="AK102" s="509"/>
      <c r="AL102" s="509"/>
      <c r="AM102" s="509"/>
      <c r="AN102" s="509"/>
    </row>
    <row r="103" spans="1:40" ht="15.75" customHeight="1">
      <c r="A103" s="494" t="s">
        <v>291</v>
      </c>
      <c r="B103" s="509" t="s">
        <v>73</v>
      </c>
      <c r="C103" s="529" t="s">
        <v>26</v>
      </c>
      <c r="D103" s="530">
        <v>0</v>
      </c>
      <c r="E103" s="530">
        <v>0</v>
      </c>
      <c r="F103" s="532">
        <v>62364.499999999985</v>
      </c>
      <c r="G103" s="531"/>
      <c r="H103" s="530"/>
      <c r="I103" s="530"/>
      <c r="J103" s="531"/>
      <c r="K103" s="530">
        <v>1738.2057499999999</v>
      </c>
      <c r="L103" s="532">
        <v>69528.23</v>
      </c>
      <c r="M103" s="531"/>
      <c r="N103" s="532">
        <v>7163.7300000000105</v>
      </c>
      <c r="O103" s="531"/>
      <c r="P103" s="530"/>
      <c r="Q103" s="532">
        <v>37089.24</v>
      </c>
      <c r="R103" s="531">
        <v>-1738.2057499999999</v>
      </c>
      <c r="S103" s="532">
        <v>32438.989999999998</v>
      </c>
      <c r="T103" s="509"/>
      <c r="U103" s="509"/>
      <c r="V103" s="509"/>
      <c r="W103" s="509"/>
      <c r="X103" s="509"/>
      <c r="Y103" s="509"/>
      <c r="Z103" s="509"/>
      <c r="AA103" s="509"/>
      <c r="AB103" s="509"/>
      <c r="AC103" s="509"/>
      <c r="AD103" s="509"/>
      <c r="AE103" s="509"/>
      <c r="AF103" s="509"/>
      <c r="AG103" s="509"/>
      <c r="AH103" s="509"/>
      <c r="AI103" s="509"/>
      <c r="AJ103" s="509"/>
      <c r="AK103" s="509"/>
      <c r="AL103" s="509"/>
      <c r="AM103" s="509"/>
      <c r="AN103" s="509"/>
    </row>
    <row r="104" spans="1:40" ht="15.75" customHeight="1">
      <c r="A104" s="494" t="s">
        <v>292</v>
      </c>
      <c r="B104" s="509" t="s">
        <v>73</v>
      </c>
      <c r="C104" s="529" t="s">
        <v>27</v>
      </c>
      <c r="D104" s="530">
        <v>0</v>
      </c>
      <c r="E104" s="526">
        <v>0</v>
      </c>
      <c r="F104" s="532">
        <v>2150.4999999999995</v>
      </c>
      <c r="G104" s="531"/>
      <c r="H104" s="526"/>
      <c r="I104" s="530"/>
      <c r="J104" s="531"/>
      <c r="K104" s="526">
        <v>32.940249999999999</v>
      </c>
      <c r="L104" s="532">
        <v>1317.61</v>
      </c>
      <c r="M104" s="543"/>
      <c r="N104" s="532">
        <v>-832.88999999999965</v>
      </c>
      <c r="O104" s="531"/>
      <c r="P104" s="526"/>
      <c r="Q104" s="532">
        <v>893.2</v>
      </c>
      <c r="R104" s="531">
        <v>-32.940249999999999</v>
      </c>
      <c r="S104" s="532">
        <v>424.40999999999985</v>
      </c>
      <c r="T104" s="509"/>
      <c r="U104" s="509"/>
      <c r="V104" s="509"/>
      <c r="W104" s="509"/>
      <c r="X104" s="509"/>
      <c r="Y104" s="509"/>
      <c r="Z104" s="509"/>
      <c r="AA104" s="509"/>
      <c r="AB104" s="509"/>
      <c r="AC104" s="509"/>
      <c r="AD104" s="509"/>
      <c r="AE104" s="509"/>
      <c r="AF104" s="509"/>
      <c r="AG104" s="509"/>
      <c r="AH104" s="509"/>
      <c r="AI104" s="509"/>
      <c r="AJ104" s="509"/>
      <c r="AK104" s="509"/>
      <c r="AL104" s="509"/>
      <c r="AM104" s="509"/>
      <c r="AN104" s="509"/>
    </row>
    <row r="105" spans="1:40" ht="15.75" customHeight="1">
      <c r="A105" s="494" t="s">
        <v>293</v>
      </c>
      <c r="B105" s="509" t="s">
        <v>73</v>
      </c>
      <c r="C105" s="535" t="s">
        <v>28</v>
      </c>
      <c r="D105" s="536">
        <v>43.009999999999991</v>
      </c>
      <c r="E105" s="530">
        <v>2200</v>
      </c>
      <c r="F105" s="537">
        <v>94621.999999999971</v>
      </c>
      <c r="G105" s="538"/>
      <c r="H105" s="536"/>
      <c r="I105" s="537"/>
      <c r="J105" s="538">
        <v>40</v>
      </c>
      <c r="K105" s="536">
        <v>2035.3825000000002</v>
      </c>
      <c r="L105" s="537">
        <v>81415.3</v>
      </c>
      <c r="M105" s="531">
        <v>-3.0099999999999909</v>
      </c>
      <c r="N105" s="537">
        <v>-13206.699999999968</v>
      </c>
      <c r="O105" s="538">
        <v>25</v>
      </c>
      <c r="P105" s="536">
        <v>2349.2919999999999</v>
      </c>
      <c r="Q105" s="537">
        <v>58732.299999999996</v>
      </c>
      <c r="R105" s="552"/>
      <c r="S105" s="537">
        <v>22683.000000000007</v>
      </c>
      <c r="T105" s="509"/>
      <c r="U105" s="509"/>
      <c r="V105" s="509"/>
      <c r="W105" s="509"/>
      <c r="X105" s="509"/>
      <c r="Y105" s="509"/>
      <c r="Z105" s="509"/>
      <c r="AA105" s="509"/>
      <c r="AB105" s="509"/>
      <c r="AC105" s="509"/>
      <c r="AD105" s="509"/>
      <c r="AE105" s="509"/>
      <c r="AF105" s="509"/>
      <c r="AG105" s="509"/>
      <c r="AH105" s="509"/>
      <c r="AI105" s="509"/>
      <c r="AJ105" s="509"/>
      <c r="AK105" s="509"/>
      <c r="AL105" s="509"/>
      <c r="AM105" s="509"/>
      <c r="AN105" s="509"/>
    </row>
    <row r="106" spans="1:40" ht="15.75" customHeight="1">
      <c r="A106" s="494" t="s">
        <v>73</v>
      </c>
      <c r="B106" s="509" t="s">
        <v>73</v>
      </c>
      <c r="C106" s="529"/>
      <c r="D106" s="509"/>
      <c r="E106" s="509"/>
      <c r="F106" s="555"/>
      <c r="G106" s="529"/>
      <c r="H106" s="640"/>
      <c r="I106" s="555"/>
      <c r="J106" s="529"/>
      <c r="K106" s="509"/>
      <c r="L106" s="555"/>
      <c r="M106" s="546"/>
      <c r="N106" s="547">
        <v>-0.13957324935004514</v>
      </c>
      <c r="O106" s="529"/>
      <c r="P106" s="509"/>
      <c r="Q106" s="555"/>
      <c r="R106" s="556"/>
      <c r="S106" s="547">
        <v>0.38620997304719906</v>
      </c>
      <c r="T106" s="509"/>
      <c r="U106" s="509"/>
      <c r="V106" s="509"/>
      <c r="W106" s="509"/>
      <c r="X106" s="509"/>
      <c r="Y106" s="509"/>
      <c r="Z106" s="509"/>
      <c r="AA106" s="509"/>
      <c r="AB106" s="509"/>
      <c r="AC106" s="509"/>
      <c r="AD106" s="509"/>
      <c r="AE106" s="509"/>
      <c r="AF106" s="509"/>
      <c r="AG106" s="509"/>
      <c r="AH106" s="509"/>
      <c r="AI106" s="509"/>
      <c r="AJ106" s="509"/>
      <c r="AK106" s="509"/>
      <c r="AL106" s="509"/>
      <c r="AM106" s="509"/>
      <c r="AN106" s="509"/>
    </row>
    <row r="107" spans="1:40" ht="15.75" customHeight="1" thickBot="1">
      <c r="A107" s="494" t="s">
        <v>73</v>
      </c>
      <c r="B107" s="509" t="s">
        <v>73</v>
      </c>
      <c r="C107" s="529"/>
      <c r="D107" s="509"/>
      <c r="E107" s="509"/>
      <c r="F107" s="555"/>
      <c r="G107" s="529"/>
      <c r="H107" s="640"/>
      <c r="I107" s="555"/>
      <c r="J107" s="529"/>
      <c r="K107" s="509"/>
      <c r="L107" s="555"/>
      <c r="M107" s="546"/>
      <c r="N107" s="547"/>
      <c r="O107" s="529"/>
      <c r="P107" s="509"/>
      <c r="Q107" s="555"/>
      <c r="R107" s="556"/>
      <c r="S107" s="547"/>
      <c r="T107" s="509"/>
      <c r="U107" s="509"/>
      <c r="V107" s="509"/>
      <c r="W107" s="509"/>
      <c r="X107" s="509"/>
      <c r="Y107" s="509"/>
      <c r="Z107" s="509"/>
      <c r="AA107" s="509"/>
      <c r="AB107" s="509"/>
      <c r="AC107" s="509"/>
      <c r="AD107" s="509"/>
      <c r="AE107" s="509"/>
      <c r="AF107" s="509"/>
      <c r="AG107" s="509"/>
      <c r="AH107" s="509"/>
      <c r="AI107" s="509"/>
      <c r="AJ107" s="509"/>
      <c r="AK107" s="509"/>
      <c r="AL107" s="509"/>
      <c r="AM107" s="509"/>
      <c r="AN107" s="509"/>
    </row>
    <row r="108" spans="1:40" ht="23.25" customHeight="1" thickTop="1">
      <c r="A108" s="494" t="s">
        <v>294</v>
      </c>
      <c r="B108" s="509" t="s">
        <v>73</v>
      </c>
      <c r="C108" s="557" t="s">
        <v>79</v>
      </c>
      <c r="D108" s="558">
        <v>87.031999999999982</v>
      </c>
      <c r="E108" s="559">
        <v>2179.0697674418602</v>
      </c>
      <c r="F108" s="560">
        <v>189648.79999999996</v>
      </c>
      <c r="G108" s="561"/>
      <c r="H108" s="641"/>
      <c r="I108" s="560"/>
      <c r="J108" s="561">
        <v>87</v>
      </c>
      <c r="K108" s="559">
        <v>568.77931034482697</v>
      </c>
      <c r="L108" s="560">
        <v>49483.799999999945</v>
      </c>
      <c r="M108" s="561">
        <v>-3.1999999999982265E-2</v>
      </c>
      <c r="N108" s="560">
        <v>-140165</v>
      </c>
      <c r="O108" s="561">
        <v>68</v>
      </c>
      <c r="P108" s="559">
        <v>1864.2382352941179</v>
      </c>
      <c r="Q108" s="560">
        <v>126768.20000000001</v>
      </c>
      <c r="R108" s="561">
        <v>19</v>
      </c>
      <c r="S108" s="560">
        <v>-77284.400000000067</v>
      </c>
      <c r="T108" s="509"/>
      <c r="U108" s="509"/>
      <c r="V108" s="509"/>
      <c r="W108" s="509"/>
      <c r="X108" s="509"/>
      <c r="Y108" s="509"/>
      <c r="Z108" s="509"/>
      <c r="AA108" s="509"/>
      <c r="AB108" s="509"/>
      <c r="AC108" s="509"/>
      <c r="AD108" s="509"/>
      <c r="AE108" s="509"/>
      <c r="AF108" s="509"/>
      <c r="AG108" s="509"/>
      <c r="AH108" s="509"/>
      <c r="AI108" s="509"/>
      <c r="AJ108" s="509"/>
      <c r="AK108" s="509"/>
      <c r="AL108" s="509"/>
      <c r="AM108" s="509"/>
      <c r="AN108" s="509"/>
    </row>
    <row r="109" spans="1:40" ht="19.5" customHeight="1" thickBot="1">
      <c r="A109" s="494" t="s">
        <v>73</v>
      </c>
      <c r="B109" s="509" t="s">
        <v>73</v>
      </c>
      <c r="C109" s="562"/>
      <c r="D109" s="563"/>
      <c r="E109" s="563"/>
      <c r="F109" s="564"/>
      <c r="G109" s="562"/>
      <c r="H109" s="563"/>
      <c r="I109" s="564"/>
      <c r="J109" s="562"/>
      <c r="K109" s="563"/>
      <c r="L109" s="565">
        <v>0.26092334884270268</v>
      </c>
      <c r="M109" s="566">
        <v>-3.676808530193753E-4</v>
      </c>
      <c r="N109" s="567">
        <v>-0.73907665115729726</v>
      </c>
      <c r="O109" s="562"/>
      <c r="P109" s="563"/>
      <c r="Q109" s="564"/>
      <c r="R109" s="642">
        <v>3.5789473684210527</v>
      </c>
      <c r="S109" s="643">
        <v>-0.60965131633958725</v>
      </c>
      <c r="T109" s="509"/>
      <c r="U109" s="509"/>
      <c r="V109" s="509"/>
      <c r="W109" s="509"/>
      <c r="X109" s="509"/>
      <c r="Y109" s="509"/>
      <c r="Z109" s="509"/>
      <c r="AA109" s="509"/>
      <c r="AB109" s="509"/>
      <c r="AC109" s="509"/>
      <c r="AD109" s="509"/>
      <c r="AE109" s="509"/>
      <c r="AF109" s="509"/>
      <c r="AG109" s="509"/>
      <c r="AH109" s="509"/>
      <c r="AI109" s="509"/>
      <c r="AJ109" s="509"/>
      <c r="AK109" s="509"/>
      <c r="AL109" s="509"/>
      <c r="AM109" s="509"/>
      <c r="AN109" s="509"/>
    </row>
    <row r="110" spans="1:40" ht="15.75" customHeight="1" thickTop="1">
      <c r="A110" s="494" t="s">
        <v>73</v>
      </c>
      <c r="B110" s="509" t="s">
        <v>73</v>
      </c>
      <c r="C110" s="548"/>
      <c r="D110" s="568"/>
      <c r="E110" s="568"/>
      <c r="F110" s="569"/>
      <c r="G110" s="548"/>
      <c r="H110" s="568"/>
      <c r="I110" s="569"/>
      <c r="J110" s="548"/>
      <c r="K110" s="568"/>
      <c r="L110" s="569"/>
      <c r="M110" s="546"/>
      <c r="N110" s="547"/>
      <c r="O110" s="548"/>
      <c r="P110" s="568"/>
      <c r="Q110" s="569"/>
      <c r="R110" s="546"/>
      <c r="S110" s="547"/>
      <c r="T110" s="509"/>
      <c r="U110" s="509"/>
      <c r="V110" s="509"/>
      <c r="W110" s="509"/>
      <c r="X110" s="509"/>
      <c r="Y110" s="509"/>
      <c r="Z110" s="509"/>
      <c r="AA110" s="509"/>
      <c r="AB110" s="509"/>
      <c r="AC110" s="509"/>
      <c r="AD110" s="509"/>
      <c r="AE110" s="509"/>
      <c r="AF110" s="509"/>
      <c r="AG110" s="509"/>
      <c r="AH110" s="509"/>
      <c r="AI110" s="509"/>
      <c r="AJ110" s="509"/>
      <c r="AK110" s="509"/>
      <c r="AL110" s="509"/>
      <c r="AM110" s="509"/>
      <c r="AN110" s="509"/>
    </row>
    <row r="111" spans="1:40" ht="15.75" customHeight="1">
      <c r="A111" s="494" t="s">
        <v>295</v>
      </c>
      <c r="B111" s="509" t="s">
        <v>73</v>
      </c>
      <c r="C111" s="571" t="s">
        <v>30</v>
      </c>
      <c r="D111" s="509"/>
      <c r="E111" s="572"/>
      <c r="F111" s="555"/>
      <c r="G111" s="529"/>
      <c r="H111" s="572"/>
      <c r="I111" s="555"/>
      <c r="J111" s="529"/>
      <c r="K111" s="572"/>
      <c r="L111" s="539"/>
      <c r="M111" s="529"/>
      <c r="N111" s="539"/>
      <c r="O111" s="529"/>
      <c r="P111" s="572"/>
      <c r="Q111" s="539"/>
      <c r="R111" s="529"/>
      <c r="S111" s="539"/>
      <c r="T111" s="509"/>
      <c r="U111" s="509"/>
      <c r="V111" s="509"/>
      <c r="W111" s="509"/>
      <c r="X111" s="509"/>
      <c r="Y111" s="509"/>
      <c r="Z111" s="509"/>
      <c r="AA111" s="509"/>
      <c r="AB111" s="509"/>
      <c r="AC111" s="509"/>
      <c r="AD111" s="509"/>
      <c r="AE111" s="509"/>
      <c r="AF111" s="509"/>
      <c r="AG111" s="509"/>
      <c r="AH111" s="509"/>
      <c r="AI111" s="509"/>
      <c r="AJ111" s="509"/>
      <c r="AK111" s="509"/>
      <c r="AL111" s="509"/>
      <c r="AM111" s="509"/>
      <c r="AN111" s="509"/>
    </row>
    <row r="112" spans="1:40" ht="15.75" customHeight="1">
      <c r="A112" s="494" t="s">
        <v>296</v>
      </c>
      <c r="B112" s="509" t="s">
        <v>73</v>
      </c>
      <c r="C112" s="529" t="s">
        <v>31</v>
      </c>
      <c r="D112" s="644">
        <v>0.14850000000000005</v>
      </c>
      <c r="E112" s="570">
        <v>594.00000000000023</v>
      </c>
      <c r="F112" s="530">
        <v>25547.940000000002</v>
      </c>
      <c r="G112" s="574"/>
      <c r="H112" s="570"/>
      <c r="I112" s="530"/>
      <c r="J112" s="574">
        <v>-29.245346688450333</v>
      </c>
      <c r="K112" s="570">
        <v>545.99599999999998</v>
      </c>
      <c r="L112" s="532">
        <v>21839.84</v>
      </c>
      <c r="M112" s="529"/>
      <c r="N112" s="555">
        <v>-3708.1000000000022</v>
      </c>
      <c r="O112" s="575">
        <v>0.54239014361985027</v>
      </c>
      <c r="P112" s="570">
        <v>1093.6487999999999</v>
      </c>
      <c r="Q112" s="532">
        <v>27341.22</v>
      </c>
      <c r="R112" s="529"/>
      <c r="S112" s="555">
        <v>-5501.380000000001</v>
      </c>
      <c r="T112" s="509"/>
      <c r="U112" s="509"/>
      <c r="V112" s="509"/>
      <c r="W112" s="509"/>
      <c r="X112" s="509"/>
      <c r="Y112" s="509"/>
      <c r="Z112" s="509"/>
      <c r="AA112" s="509"/>
      <c r="AB112" s="509"/>
      <c r="AC112" s="509"/>
      <c r="AD112" s="509"/>
      <c r="AE112" s="509"/>
      <c r="AF112" s="509"/>
      <c r="AG112" s="509"/>
      <c r="AH112" s="509"/>
      <c r="AI112" s="509"/>
      <c r="AJ112" s="509"/>
      <c r="AK112" s="509"/>
      <c r="AL112" s="509"/>
      <c r="AM112" s="509"/>
      <c r="AN112" s="509"/>
    </row>
    <row r="113" spans="1:40" ht="15.75" customHeight="1">
      <c r="A113" s="494" t="s">
        <v>297</v>
      </c>
      <c r="B113" s="509" t="s">
        <v>73</v>
      </c>
      <c r="C113" s="522" t="s">
        <v>32</v>
      </c>
      <c r="D113" s="645">
        <v>0.27191011235955054</v>
      </c>
      <c r="E113" s="577">
        <v>659.99999999999989</v>
      </c>
      <c r="F113" s="524">
        <v>28386.599999999991</v>
      </c>
      <c r="G113" s="578"/>
      <c r="H113" s="577"/>
      <c r="I113" s="524"/>
      <c r="J113" s="578">
        <v>0.26739044044959071</v>
      </c>
      <c r="K113" s="577">
        <v>610.62149999999997</v>
      </c>
      <c r="L113" s="532">
        <v>24424.86</v>
      </c>
      <c r="M113" s="522"/>
      <c r="N113" s="579">
        <v>-3961.7399999999907</v>
      </c>
      <c r="O113" s="580">
        <v>0.28944927525677555</v>
      </c>
      <c r="P113" s="577">
        <v>826.7124</v>
      </c>
      <c r="Q113" s="532">
        <v>20667.810000000001</v>
      </c>
      <c r="R113" s="522"/>
      <c r="S113" s="579">
        <v>3757.0499999999993</v>
      </c>
      <c r="T113" s="509"/>
      <c r="U113" s="509"/>
      <c r="V113" s="509"/>
      <c r="W113" s="509"/>
      <c r="X113" s="509"/>
      <c r="Y113" s="509"/>
      <c r="Z113" s="509"/>
      <c r="AA113" s="509"/>
      <c r="AB113" s="509"/>
      <c r="AC113" s="509"/>
      <c r="AD113" s="509"/>
      <c r="AE113" s="509"/>
      <c r="AF113" s="509"/>
      <c r="AG113" s="509"/>
      <c r="AH113" s="509"/>
      <c r="AI113" s="509"/>
      <c r="AJ113" s="509"/>
      <c r="AK113" s="509"/>
      <c r="AL113" s="509"/>
      <c r="AM113" s="509"/>
      <c r="AN113" s="509"/>
    </row>
    <row r="114" spans="1:40" ht="15.75" customHeight="1">
      <c r="A114" s="494" t="s">
        <v>298</v>
      </c>
      <c r="B114" s="509" t="s">
        <v>73</v>
      </c>
      <c r="C114" s="529" t="s">
        <v>33</v>
      </c>
      <c r="D114" s="581"/>
      <c r="E114" s="570">
        <v>10</v>
      </c>
      <c r="F114" s="530">
        <v>430.09999999999991</v>
      </c>
      <c r="G114" s="582"/>
      <c r="H114" s="570"/>
      <c r="I114" s="530"/>
      <c r="J114" s="529"/>
      <c r="K114" s="570">
        <v>68.48875000000001</v>
      </c>
      <c r="L114" s="551">
        <v>2739.55</v>
      </c>
      <c r="M114" s="529"/>
      <c r="N114" s="555">
        <v>2309.4500000000003</v>
      </c>
      <c r="O114" s="529"/>
      <c r="P114" s="570">
        <v>-49.627200000000002</v>
      </c>
      <c r="Q114" s="551">
        <v>-1240.68</v>
      </c>
      <c r="R114" s="529"/>
      <c r="S114" s="555">
        <v>3980.2300000000005</v>
      </c>
      <c r="T114" s="509"/>
      <c r="U114" s="509"/>
      <c r="V114" s="509"/>
      <c r="W114" s="530"/>
      <c r="X114" s="509"/>
      <c r="Y114" s="509"/>
      <c r="Z114" s="509"/>
      <c r="AA114" s="509"/>
      <c r="AB114" s="509"/>
      <c r="AC114" s="509"/>
      <c r="AD114" s="509"/>
      <c r="AE114" s="509"/>
      <c r="AF114" s="509"/>
      <c r="AG114" s="509"/>
      <c r="AH114" s="509"/>
      <c r="AI114" s="509"/>
      <c r="AJ114" s="509"/>
      <c r="AK114" s="509"/>
      <c r="AL114" s="509"/>
      <c r="AM114" s="509"/>
      <c r="AN114" s="509"/>
    </row>
    <row r="115" spans="1:40" ht="15.75" customHeight="1">
      <c r="A115" s="494" t="s">
        <v>299</v>
      </c>
      <c r="B115" s="509" t="s">
        <v>73</v>
      </c>
      <c r="C115" s="529" t="s">
        <v>34</v>
      </c>
      <c r="D115" s="581"/>
      <c r="E115" s="570">
        <v>7</v>
      </c>
      <c r="F115" s="530">
        <v>301.06999999999994</v>
      </c>
      <c r="G115" s="582"/>
      <c r="H115" s="570"/>
      <c r="I115" s="530"/>
      <c r="J115" s="529"/>
      <c r="K115" s="570">
        <v>-9.7462499999999999</v>
      </c>
      <c r="L115" s="532">
        <v>-389.85</v>
      </c>
      <c r="M115" s="529"/>
      <c r="N115" s="555">
        <v>-690.92</v>
      </c>
      <c r="O115" s="529"/>
      <c r="P115" s="570">
        <v>18.0124</v>
      </c>
      <c r="Q115" s="532">
        <v>450.31</v>
      </c>
      <c r="R115" s="529"/>
      <c r="S115" s="555">
        <v>-840.16000000000008</v>
      </c>
      <c r="T115" s="509"/>
      <c r="U115" s="509"/>
      <c r="V115" s="509"/>
      <c r="W115" s="530"/>
      <c r="X115" s="509"/>
      <c r="Y115" s="509"/>
      <c r="Z115" s="509"/>
      <c r="AA115" s="509"/>
      <c r="AB115" s="509"/>
      <c r="AC115" s="509"/>
      <c r="AD115" s="509"/>
      <c r="AE115" s="509"/>
      <c r="AF115" s="509"/>
      <c r="AG115" s="509"/>
      <c r="AH115" s="509"/>
      <c r="AI115" s="509"/>
      <c r="AJ115" s="509"/>
      <c r="AK115" s="509"/>
      <c r="AL115" s="509"/>
      <c r="AM115" s="509"/>
      <c r="AN115" s="509"/>
    </row>
    <row r="116" spans="1:40" ht="15.75" customHeight="1">
      <c r="A116" s="494" t="s">
        <v>300</v>
      </c>
      <c r="B116" s="509" t="s">
        <v>73</v>
      </c>
      <c r="C116" s="522" t="s">
        <v>35</v>
      </c>
      <c r="D116" s="583"/>
      <c r="E116" s="577">
        <v>162</v>
      </c>
      <c r="F116" s="524">
        <v>6967.619999999999</v>
      </c>
      <c r="G116" s="584"/>
      <c r="H116" s="577"/>
      <c r="I116" s="524"/>
      <c r="J116" s="522"/>
      <c r="K116" s="577">
        <v>125.50174999999999</v>
      </c>
      <c r="L116" s="524">
        <v>5020.07</v>
      </c>
      <c r="M116" s="522"/>
      <c r="N116" s="579">
        <v>-1947.5499999999993</v>
      </c>
      <c r="O116" s="522"/>
      <c r="P116" s="577">
        <v>184.31759999999997</v>
      </c>
      <c r="Q116" s="524">
        <v>4607.9399999999996</v>
      </c>
      <c r="R116" s="522"/>
      <c r="S116" s="579">
        <v>412.13000000000011</v>
      </c>
      <c r="T116" s="509"/>
      <c r="U116" s="570"/>
      <c r="V116" s="509"/>
      <c r="W116" s="530"/>
      <c r="X116" s="509"/>
      <c r="Y116" s="509"/>
      <c r="Z116" s="509"/>
      <c r="AA116" s="509"/>
      <c r="AB116" s="509"/>
      <c r="AC116" s="509"/>
      <c r="AD116" s="509"/>
      <c r="AE116" s="509"/>
      <c r="AF116" s="509"/>
      <c r="AG116" s="509"/>
      <c r="AH116" s="509"/>
      <c r="AI116" s="509"/>
      <c r="AJ116" s="509"/>
      <c r="AK116" s="509"/>
      <c r="AL116" s="509"/>
      <c r="AM116" s="509"/>
      <c r="AN116" s="509"/>
    </row>
    <row r="117" spans="1:40" ht="19.5" customHeight="1">
      <c r="A117" s="494" t="s">
        <v>301</v>
      </c>
      <c r="B117" s="509" t="s">
        <v>73</v>
      </c>
      <c r="C117" s="529" t="s">
        <v>36</v>
      </c>
      <c r="D117" s="581"/>
      <c r="E117" s="570">
        <v>252.29016507788893</v>
      </c>
      <c r="F117" s="530">
        <v>10851</v>
      </c>
      <c r="G117" s="582"/>
      <c r="H117" s="570"/>
      <c r="I117" s="530"/>
      <c r="J117" s="529"/>
      <c r="K117" s="570">
        <v>253.96025</v>
      </c>
      <c r="L117" s="532">
        <v>10158.41</v>
      </c>
      <c r="M117" s="529"/>
      <c r="N117" s="555">
        <v>-692.59000000000015</v>
      </c>
      <c r="O117" s="529"/>
      <c r="P117" s="570">
        <v>703.154</v>
      </c>
      <c r="Q117" s="532">
        <v>17578.849999999999</v>
      </c>
      <c r="R117" s="529"/>
      <c r="S117" s="555">
        <v>-7420.4399999999987</v>
      </c>
      <c r="T117" s="509"/>
      <c r="U117" s="509"/>
      <c r="V117" s="509"/>
      <c r="W117" s="530"/>
      <c r="Z117" s="509"/>
      <c r="AA117" s="509"/>
      <c r="AB117" s="509"/>
      <c r="AC117" s="509"/>
      <c r="AD117" s="509"/>
      <c r="AE117" s="509"/>
      <c r="AF117" s="509"/>
      <c r="AG117" s="509"/>
      <c r="AH117" s="509"/>
      <c r="AI117" s="509"/>
      <c r="AJ117" s="509"/>
      <c r="AK117" s="509"/>
      <c r="AL117" s="509"/>
      <c r="AM117" s="509"/>
      <c r="AN117" s="509"/>
    </row>
    <row r="118" spans="1:40" ht="15.75" customHeight="1">
      <c r="A118" s="494" t="s">
        <v>302</v>
      </c>
      <c r="B118" s="509" t="s">
        <v>73</v>
      </c>
      <c r="C118" s="529" t="s">
        <v>37</v>
      </c>
      <c r="D118" s="581"/>
      <c r="E118" s="570">
        <v>188.6794525703817</v>
      </c>
      <c r="F118" s="530">
        <v>8115.1032550521149</v>
      </c>
      <c r="G118" s="582"/>
      <c r="H118" s="570"/>
      <c r="I118" s="530"/>
      <c r="J118" s="529"/>
      <c r="K118" s="570">
        <v>103.20374999999999</v>
      </c>
      <c r="L118" s="532">
        <v>4128.1499999999996</v>
      </c>
      <c r="M118" s="529"/>
      <c r="N118" s="555">
        <v>-3986.9532550521153</v>
      </c>
      <c r="O118" s="529"/>
      <c r="P118" s="570">
        <v>86.6</v>
      </c>
      <c r="Q118" s="532">
        <v>2165</v>
      </c>
      <c r="R118" s="529"/>
      <c r="S118" s="555">
        <v>1963.1499999999996</v>
      </c>
      <c r="T118" s="509"/>
      <c r="U118" s="509"/>
      <c r="V118" s="509"/>
      <c r="W118" s="530"/>
      <c r="X118" s="509"/>
      <c r="Y118" s="509"/>
      <c r="Z118" s="509"/>
      <c r="AA118" s="509"/>
      <c r="AB118" s="509"/>
      <c r="AC118" s="509"/>
      <c r="AD118" s="509"/>
      <c r="AE118" s="509"/>
      <c r="AF118" s="509"/>
      <c r="AG118" s="509"/>
      <c r="AH118" s="509"/>
      <c r="AI118" s="509"/>
      <c r="AJ118" s="509"/>
      <c r="AK118" s="509"/>
      <c r="AL118" s="509"/>
      <c r="AM118" s="509"/>
      <c r="AN118" s="509"/>
    </row>
    <row r="119" spans="1:40" ht="15.75" hidden="1" customHeight="1">
      <c r="A119" s="494" t="s">
        <v>303</v>
      </c>
      <c r="B119" s="509" t="s">
        <v>73</v>
      </c>
      <c r="C119" s="529" t="s">
        <v>20</v>
      </c>
      <c r="D119" s="581"/>
      <c r="E119" s="570">
        <v>0</v>
      </c>
      <c r="F119" s="530">
        <v>0</v>
      </c>
      <c r="G119" s="582"/>
      <c r="H119" s="570"/>
      <c r="I119" s="530"/>
      <c r="J119" s="529"/>
      <c r="K119" s="570">
        <v>0</v>
      </c>
      <c r="L119" s="532">
        <v>0</v>
      </c>
      <c r="M119" s="529"/>
      <c r="N119" s="555">
        <v>0</v>
      </c>
      <c r="O119" s="529"/>
      <c r="P119" s="570">
        <v>0</v>
      </c>
      <c r="Q119" s="532">
        <v>0</v>
      </c>
      <c r="R119" s="529"/>
      <c r="S119" s="555">
        <v>0</v>
      </c>
      <c r="T119" s="509"/>
      <c r="U119" s="509"/>
      <c r="V119" s="509"/>
      <c r="W119" s="509"/>
      <c r="X119" s="509"/>
      <c r="Y119" s="509"/>
      <c r="Z119" s="509"/>
      <c r="AA119" s="509"/>
      <c r="AB119" s="509"/>
      <c r="AC119" s="509"/>
      <c r="AD119" s="509"/>
      <c r="AE119" s="509"/>
      <c r="AF119" s="509"/>
      <c r="AG119" s="509"/>
      <c r="AH119" s="509"/>
      <c r="AI119" s="509"/>
      <c r="AJ119" s="509"/>
      <c r="AK119" s="509"/>
      <c r="AL119" s="509"/>
      <c r="AM119" s="509"/>
      <c r="AN119" s="509"/>
    </row>
    <row r="120" spans="1:40" ht="15.75" hidden="1" customHeight="1">
      <c r="A120" s="494" t="s">
        <v>303</v>
      </c>
      <c r="B120" s="509" t="s">
        <v>73</v>
      </c>
      <c r="C120" s="529" t="s">
        <v>20</v>
      </c>
      <c r="D120" s="581"/>
      <c r="E120" s="570">
        <v>0</v>
      </c>
      <c r="F120" s="530">
        <v>0</v>
      </c>
      <c r="G120" s="582"/>
      <c r="H120" s="570"/>
      <c r="I120" s="530"/>
      <c r="J120" s="529"/>
      <c r="K120" s="570">
        <v>0</v>
      </c>
      <c r="L120" s="532">
        <v>0</v>
      </c>
      <c r="M120" s="529"/>
      <c r="N120" s="555">
        <v>0</v>
      </c>
      <c r="O120" s="529"/>
      <c r="P120" s="570">
        <v>0</v>
      </c>
      <c r="Q120" s="532">
        <v>0</v>
      </c>
      <c r="R120" s="529"/>
      <c r="S120" s="555">
        <v>0</v>
      </c>
      <c r="T120" s="509"/>
      <c r="U120" s="509"/>
      <c r="V120" s="509"/>
      <c r="W120" s="509"/>
      <c r="X120" s="509"/>
      <c r="Y120" s="509"/>
      <c r="Z120" s="509"/>
      <c r="AA120" s="509"/>
      <c r="AB120" s="509"/>
      <c r="AC120" s="509"/>
      <c r="AD120" s="509"/>
      <c r="AE120" s="509"/>
      <c r="AF120" s="509"/>
      <c r="AG120" s="509"/>
      <c r="AH120" s="509"/>
      <c r="AI120" s="509"/>
      <c r="AJ120" s="509"/>
      <c r="AK120" s="509"/>
      <c r="AL120" s="509"/>
      <c r="AM120" s="509"/>
      <c r="AN120" s="509"/>
    </row>
    <row r="121" spans="1:40" ht="15.75" hidden="1" customHeight="1">
      <c r="A121" s="494" t="s">
        <v>303</v>
      </c>
      <c r="B121" s="509" t="s">
        <v>73</v>
      </c>
      <c r="C121" s="529" t="s">
        <v>20</v>
      </c>
      <c r="D121" s="581"/>
      <c r="E121" s="570">
        <v>0</v>
      </c>
      <c r="F121" s="530">
        <v>0</v>
      </c>
      <c r="G121" s="582"/>
      <c r="H121" s="570"/>
      <c r="I121" s="530"/>
      <c r="J121" s="529"/>
      <c r="K121" s="570">
        <v>0</v>
      </c>
      <c r="L121" s="532">
        <v>0</v>
      </c>
      <c r="M121" s="529"/>
      <c r="N121" s="555">
        <v>0</v>
      </c>
      <c r="O121" s="529"/>
      <c r="P121" s="570">
        <v>0</v>
      </c>
      <c r="Q121" s="532">
        <v>0</v>
      </c>
      <c r="R121" s="529"/>
      <c r="S121" s="555">
        <v>0</v>
      </c>
      <c r="T121" s="509"/>
      <c r="U121" s="509"/>
      <c r="V121" s="509"/>
      <c r="W121" s="509"/>
      <c r="X121" s="509"/>
      <c r="Y121" s="509"/>
      <c r="Z121" s="509"/>
      <c r="AA121" s="509"/>
      <c r="AB121" s="509"/>
      <c r="AC121" s="509"/>
      <c r="AD121" s="509"/>
      <c r="AE121" s="509"/>
      <c r="AF121" s="509"/>
      <c r="AG121" s="509"/>
      <c r="AH121" s="509"/>
      <c r="AI121" s="509"/>
      <c r="AJ121" s="509"/>
      <c r="AK121" s="509"/>
      <c r="AL121" s="509"/>
      <c r="AM121" s="509"/>
      <c r="AN121" s="509"/>
    </row>
    <row r="122" spans="1:40" ht="15.75" customHeight="1">
      <c r="A122" s="494" t="s">
        <v>304</v>
      </c>
      <c r="B122" s="509" t="s">
        <v>73</v>
      </c>
      <c r="C122" s="588" t="s">
        <v>38</v>
      </c>
      <c r="D122" s="589" t="s">
        <v>39</v>
      </c>
      <c r="E122" s="590">
        <v>0.42499310965875936</v>
      </c>
      <c r="F122" s="591">
        <v>80599.433255052107</v>
      </c>
      <c r="G122" s="592"/>
      <c r="H122" s="590"/>
      <c r="I122" s="591"/>
      <c r="J122" s="592" t="s">
        <v>39</v>
      </c>
      <c r="K122" s="590">
        <v>1.372591231877909</v>
      </c>
      <c r="L122" s="591">
        <v>67921.03</v>
      </c>
      <c r="M122" s="595"/>
      <c r="N122" s="591">
        <v>-12678.403255052108</v>
      </c>
      <c r="O122" s="592" t="s">
        <v>39</v>
      </c>
      <c r="P122" s="590">
        <v>0.56457731513108167</v>
      </c>
      <c r="Q122" s="591">
        <v>71570.45</v>
      </c>
      <c r="R122" s="595"/>
      <c r="S122" s="591">
        <v>-3649.4199999999983</v>
      </c>
      <c r="T122" s="509"/>
      <c r="U122" s="509"/>
      <c r="X122" s="509"/>
      <c r="Y122" s="509"/>
      <c r="Z122" s="509"/>
      <c r="AA122" s="509"/>
      <c r="AB122" s="509"/>
      <c r="AC122" s="509"/>
      <c r="AD122" s="509"/>
      <c r="AE122" s="509"/>
      <c r="AF122" s="509"/>
      <c r="AG122" s="509"/>
      <c r="AH122" s="509"/>
      <c r="AI122" s="509"/>
      <c r="AJ122" s="509"/>
      <c r="AK122" s="509"/>
      <c r="AL122" s="509"/>
      <c r="AM122" s="509"/>
      <c r="AN122" s="509"/>
    </row>
    <row r="123" spans="1:40" ht="15.75" customHeight="1">
      <c r="A123" s="494" t="s">
        <v>305</v>
      </c>
      <c r="B123" s="509" t="s">
        <v>73</v>
      </c>
      <c r="C123" s="596" t="s">
        <v>41</v>
      </c>
      <c r="D123" s="509"/>
      <c r="E123" s="509"/>
      <c r="F123" s="530">
        <v>14309.625</v>
      </c>
      <c r="G123" s="529"/>
      <c r="H123" s="509"/>
      <c r="I123" s="530"/>
      <c r="J123" s="529"/>
      <c r="K123" s="509"/>
      <c r="L123" s="532">
        <v>11393</v>
      </c>
      <c r="M123" s="529"/>
      <c r="N123" s="555">
        <v>-2916.625</v>
      </c>
      <c r="O123" s="529"/>
      <c r="P123" s="509"/>
      <c r="Q123" s="532">
        <v>8961.51</v>
      </c>
      <c r="R123" s="529"/>
      <c r="S123" s="555">
        <v>2431.4899999999998</v>
      </c>
      <c r="T123" s="509"/>
      <c r="U123" s="509"/>
      <c r="V123" s="509"/>
      <c r="W123" s="509"/>
      <c r="X123" s="509"/>
      <c r="Y123" s="509"/>
      <c r="Z123" s="509"/>
      <c r="AA123" s="509"/>
      <c r="AB123" s="509"/>
      <c r="AC123" s="509"/>
      <c r="AD123" s="509"/>
      <c r="AE123" s="509"/>
      <c r="AF123" s="509"/>
      <c r="AG123" s="509"/>
      <c r="AH123" s="509"/>
      <c r="AI123" s="509"/>
      <c r="AJ123" s="509"/>
      <c r="AK123" s="509"/>
      <c r="AL123" s="509"/>
      <c r="AM123" s="509"/>
      <c r="AN123" s="509"/>
    </row>
    <row r="124" spans="1:40" ht="15.75" customHeight="1">
      <c r="A124" s="494" t="s">
        <v>306</v>
      </c>
      <c r="B124" s="509" t="s">
        <v>73</v>
      </c>
      <c r="C124" s="598" t="s">
        <v>42</v>
      </c>
      <c r="D124" s="581"/>
      <c r="E124" s="509"/>
      <c r="F124" s="524">
        <v>5068.7530769230771</v>
      </c>
      <c r="G124" s="582"/>
      <c r="H124" s="509"/>
      <c r="I124" s="524"/>
      <c r="J124" s="529"/>
      <c r="K124" s="509"/>
      <c r="L124" s="524">
        <v>1971.71</v>
      </c>
      <c r="M124" s="529"/>
      <c r="N124" s="555">
        <v>-3097.043076923077</v>
      </c>
      <c r="O124" s="529"/>
      <c r="P124" s="509"/>
      <c r="Q124" s="524">
        <v>5269.9</v>
      </c>
      <c r="R124" s="529"/>
      <c r="S124" s="555">
        <v>-3298.1899999999996</v>
      </c>
      <c r="T124" s="509"/>
      <c r="U124" s="509"/>
      <c r="V124" s="509"/>
      <c r="W124" s="509"/>
      <c r="X124" s="509"/>
      <c r="Y124" s="509"/>
      <c r="Z124" s="509"/>
      <c r="AA124" s="509"/>
      <c r="AB124" s="509"/>
      <c r="AC124" s="509"/>
      <c r="AD124" s="509"/>
      <c r="AE124" s="509"/>
      <c r="AF124" s="509"/>
      <c r="AG124" s="509"/>
      <c r="AH124" s="509"/>
      <c r="AI124" s="509"/>
      <c r="AJ124" s="509"/>
      <c r="AK124" s="509"/>
      <c r="AL124" s="509"/>
      <c r="AM124" s="509"/>
      <c r="AN124" s="509"/>
    </row>
    <row r="125" spans="1:40" ht="15.75" customHeight="1">
      <c r="A125" s="494" t="s">
        <v>307</v>
      </c>
      <c r="B125" s="509" t="s">
        <v>73</v>
      </c>
      <c r="C125" s="596" t="s">
        <v>43</v>
      </c>
      <c r="D125" s="599"/>
      <c r="E125" s="600"/>
      <c r="F125" s="530">
        <v>7117.1153846153848</v>
      </c>
      <c r="G125" s="601"/>
      <c r="H125" s="600"/>
      <c r="I125" s="530"/>
      <c r="J125" s="517"/>
      <c r="K125" s="600"/>
      <c r="L125" s="532">
        <v>6473.02</v>
      </c>
      <c r="M125" s="517"/>
      <c r="N125" s="602">
        <v>-644.09538461538432</v>
      </c>
      <c r="O125" s="517"/>
      <c r="P125" s="600"/>
      <c r="Q125" s="532">
        <v>14110.2</v>
      </c>
      <c r="R125" s="517"/>
      <c r="S125" s="602">
        <v>-7637.18</v>
      </c>
      <c r="T125" s="509"/>
      <c r="U125" s="509"/>
      <c r="V125" s="509"/>
      <c r="W125" s="509"/>
      <c r="X125" s="509"/>
      <c r="Y125" s="509"/>
      <c r="Z125" s="509"/>
      <c r="AA125" s="509"/>
      <c r="AB125" s="509"/>
      <c r="AC125" s="509"/>
      <c r="AD125" s="509"/>
      <c r="AE125" s="509"/>
      <c r="AF125" s="509"/>
      <c r="AG125" s="509"/>
      <c r="AH125" s="509"/>
      <c r="AI125" s="509"/>
      <c r="AJ125" s="509"/>
      <c r="AK125" s="509"/>
      <c r="AL125" s="509"/>
      <c r="AM125" s="509"/>
      <c r="AN125" s="509"/>
    </row>
    <row r="126" spans="1:40" ht="15.75" customHeight="1">
      <c r="A126" s="494" t="s">
        <v>308</v>
      </c>
      <c r="B126" s="509" t="s">
        <v>73</v>
      </c>
      <c r="C126" s="596" t="s">
        <v>44</v>
      </c>
      <c r="D126" s="581"/>
      <c r="E126" s="509"/>
      <c r="F126" s="530">
        <v>0</v>
      </c>
      <c r="G126" s="582"/>
      <c r="H126" s="509"/>
      <c r="I126" s="530"/>
      <c r="J126" s="529"/>
      <c r="K126" s="509"/>
      <c r="L126" s="532">
        <v>0</v>
      </c>
      <c r="M126" s="529"/>
      <c r="N126" s="555">
        <v>0</v>
      </c>
      <c r="O126" s="529"/>
      <c r="P126" s="509"/>
      <c r="Q126" s="532">
        <v>0</v>
      </c>
      <c r="R126" s="529"/>
      <c r="S126" s="555">
        <v>0</v>
      </c>
      <c r="T126" s="509"/>
      <c r="U126" s="509"/>
      <c r="V126" s="509"/>
      <c r="W126" s="509"/>
      <c r="X126" s="509"/>
      <c r="Y126" s="509"/>
      <c r="Z126" s="509"/>
      <c r="AA126" s="509"/>
      <c r="AB126" s="509"/>
      <c r="AC126" s="509"/>
      <c r="AD126" s="509"/>
      <c r="AE126" s="509"/>
      <c r="AF126" s="509"/>
      <c r="AG126" s="509"/>
      <c r="AH126" s="509"/>
      <c r="AI126" s="509"/>
      <c r="AJ126" s="509"/>
      <c r="AK126" s="509"/>
      <c r="AL126" s="509"/>
      <c r="AM126" s="509"/>
      <c r="AN126" s="509"/>
    </row>
    <row r="127" spans="1:40" ht="15.75" hidden="1" customHeight="1">
      <c r="A127" s="494" t="s">
        <v>303</v>
      </c>
      <c r="B127" s="509" t="s">
        <v>73</v>
      </c>
      <c r="C127" s="596" t="s">
        <v>20</v>
      </c>
      <c r="D127" s="581"/>
      <c r="E127" s="509"/>
      <c r="F127" s="530">
        <v>0</v>
      </c>
      <c r="G127" s="582"/>
      <c r="H127" s="509"/>
      <c r="I127" s="530"/>
      <c r="J127" s="529"/>
      <c r="K127" s="509"/>
      <c r="L127" s="532">
        <v>0</v>
      </c>
      <c r="M127" s="529"/>
      <c r="N127" s="555">
        <v>0</v>
      </c>
      <c r="O127" s="529"/>
      <c r="P127" s="509"/>
      <c r="Q127" s="532">
        <v>0</v>
      </c>
      <c r="R127" s="529"/>
      <c r="S127" s="555">
        <v>0</v>
      </c>
      <c r="T127" s="509"/>
      <c r="U127" s="509"/>
      <c r="V127" s="509"/>
      <c r="W127" s="509"/>
      <c r="X127" s="509"/>
      <c r="Y127" s="509"/>
      <c r="Z127" s="509"/>
      <c r="AA127" s="509"/>
      <c r="AB127" s="509"/>
      <c r="AC127" s="509"/>
      <c r="AD127" s="509"/>
      <c r="AE127" s="509"/>
      <c r="AF127" s="509"/>
      <c r="AG127" s="509"/>
      <c r="AH127" s="509"/>
      <c r="AI127" s="509"/>
      <c r="AJ127" s="509"/>
      <c r="AK127" s="509"/>
      <c r="AL127" s="509"/>
      <c r="AM127" s="509"/>
      <c r="AN127" s="509"/>
    </row>
    <row r="128" spans="1:40" ht="15.75" hidden="1" customHeight="1">
      <c r="A128" s="494" t="s">
        <v>303</v>
      </c>
      <c r="B128" s="509" t="s">
        <v>73</v>
      </c>
      <c r="C128" s="596" t="s">
        <v>20</v>
      </c>
      <c r="D128" s="581"/>
      <c r="E128" s="509"/>
      <c r="F128" s="530">
        <v>0</v>
      </c>
      <c r="G128" s="582"/>
      <c r="H128" s="509"/>
      <c r="I128" s="530"/>
      <c r="J128" s="529"/>
      <c r="K128" s="509"/>
      <c r="L128" s="532">
        <v>0</v>
      </c>
      <c r="M128" s="529"/>
      <c r="N128" s="555">
        <v>0</v>
      </c>
      <c r="O128" s="529"/>
      <c r="P128" s="509"/>
      <c r="Q128" s="532">
        <v>0</v>
      </c>
      <c r="R128" s="529"/>
      <c r="S128" s="555">
        <v>0</v>
      </c>
      <c r="T128" s="509"/>
      <c r="U128" s="509"/>
      <c r="V128" s="509"/>
      <c r="W128" s="509"/>
      <c r="X128" s="509"/>
      <c r="Y128" s="509"/>
      <c r="Z128" s="509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</row>
    <row r="129" spans="1:40" ht="15.75" hidden="1" customHeight="1">
      <c r="A129" s="494" t="s">
        <v>303</v>
      </c>
      <c r="B129" s="509" t="s">
        <v>73</v>
      </c>
      <c r="C129" s="596" t="s">
        <v>20</v>
      </c>
      <c r="D129" s="581"/>
      <c r="E129" s="509"/>
      <c r="F129" s="530">
        <v>0</v>
      </c>
      <c r="G129" s="582"/>
      <c r="H129" s="509"/>
      <c r="I129" s="530"/>
      <c r="J129" s="529"/>
      <c r="K129" s="509"/>
      <c r="L129" s="532">
        <v>0</v>
      </c>
      <c r="M129" s="529"/>
      <c r="N129" s="555">
        <v>0</v>
      </c>
      <c r="O129" s="529"/>
      <c r="P129" s="509"/>
      <c r="Q129" s="532">
        <v>0</v>
      </c>
      <c r="R129" s="529"/>
      <c r="S129" s="555">
        <v>0</v>
      </c>
      <c r="T129" s="509"/>
      <c r="U129" s="509"/>
      <c r="V129" s="509"/>
      <c r="W129" s="509"/>
      <c r="X129" s="509"/>
      <c r="Y129" s="509"/>
      <c r="Z129" s="509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</row>
    <row r="130" spans="1:40" ht="15.75" customHeight="1">
      <c r="A130" s="494" t="s">
        <v>309</v>
      </c>
      <c r="B130" s="509" t="s">
        <v>73</v>
      </c>
      <c r="C130" s="598" t="s">
        <v>45</v>
      </c>
      <c r="D130" s="581"/>
      <c r="E130" s="509"/>
      <c r="F130" s="530">
        <v>9882.7885412179494</v>
      </c>
      <c r="G130" s="582"/>
      <c r="H130" s="509"/>
      <c r="I130" s="530"/>
      <c r="J130" s="529"/>
      <c r="K130" s="509"/>
      <c r="L130" s="532">
        <v>9125.73</v>
      </c>
      <c r="M130" s="529"/>
      <c r="N130" s="555">
        <v>-757.05854121794982</v>
      </c>
      <c r="O130" s="529"/>
      <c r="P130" s="509"/>
      <c r="Q130" s="532">
        <v>4797.91</v>
      </c>
      <c r="R130" s="529"/>
      <c r="S130" s="555">
        <v>4327.82</v>
      </c>
      <c r="T130" s="509"/>
      <c r="U130" s="509"/>
      <c r="V130" s="509"/>
      <c r="W130" s="509"/>
      <c r="X130" s="509"/>
      <c r="Y130" s="509"/>
      <c r="Z130" s="509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</row>
    <row r="131" spans="1:40" ht="15.75" customHeight="1">
      <c r="A131" s="494" t="s">
        <v>310</v>
      </c>
      <c r="B131" s="509" t="s">
        <v>73</v>
      </c>
      <c r="C131" s="596" t="s">
        <v>46</v>
      </c>
      <c r="D131" s="599"/>
      <c r="E131" s="600"/>
      <c r="F131" s="550">
        <v>12016.077697692308</v>
      </c>
      <c r="G131" s="601"/>
      <c r="H131" s="600"/>
      <c r="I131" s="550"/>
      <c r="J131" s="517"/>
      <c r="K131" s="600"/>
      <c r="L131" s="551">
        <v>6559.76</v>
      </c>
      <c r="M131" s="517"/>
      <c r="N131" s="602">
        <v>-5456.3176976923078</v>
      </c>
      <c r="O131" s="517"/>
      <c r="P131" s="600"/>
      <c r="Q131" s="551">
        <v>7606.16</v>
      </c>
      <c r="R131" s="517"/>
      <c r="S131" s="602">
        <v>-1046.3999999999996</v>
      </c>
      <c r="T131" s="509"/>
      <c r="U131" s="509"/>
      <c r="V131" s="509"/>
      <c r="W131" s="509"/>
      <c r="X131" s="509"/>
      <c r="Y131" s="509"/>
      <c r="Z131" s="509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</row>
    <row r="132" spans="1:40" ht="15.75" customHeight="1">
      <c r="A132" s="494" t="s">
        <v>311</v>
      </c>
      <c r="B132" s="509" t="s">
        <v>73</v>
      </c>
      <c r="C132" s="596" t="s">
        <v>47</v>
      </c>
      <c r="D132" s="581"/>
      <c r="E132" s="509"/>
      <c r="F132" s="530">
        <v>6190.8922051153841</v>
      </c>
      <c r="G132" s="582"/>
      <c r="H132" s="509"/>
      <c r="I132" s="530"/>
      <c r="J132" s="529"/>
      <c r="K132" s="509"/>
      <c r="L132" s="532">
        <v>1379</v>
      </c>
      <c r="M132" s="529"/>
      <c r="N132" s="555">
        <v>-4811.8922051153841</v>
      </c>
      <c r="O132" s="529"/>
      <c r="P132" s="509"/>
      <c r="Q132" s="532">
        <v>-381.92999999999898</v>
      </c>
      <c r="R132" s="529"/>
      <c r="S132" s="555">
        <v>1760.9299999999989</v>
      </c>
      <c r="T132" s="509"/>
      <c r="U132" s="509"/>
      <c r="V132" s="509"/>
      <c r="W132" s="509"/>
      <c r="X132" s="509"/>
      <c r="Y132" s="509"/>
      <c r="Z132" s="509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</row>
    <row r="133" spans="1:40" ht="15.75" customHeight="1">
      <c r="A133" s="494" t="s">
        <v>312</v>
      </c>
      <c r="B133" s="509" t="s">
        <v>73</v>
      </c>
      <c r="C133" s="596" t="s">
        <v>48</v>
      </c>
      <c r="D133" s="581"/>
      <c r="E133" s="509"/>
      <c r="F133" s="530">
        <v>2699.2638306410258</v>
      </c>
      <c r="G133" s="582"/>
      <c r="H133" s="509"/>
      <c r="I133" s="530"/>
      <c r="J133" s="529"/>
      <c r="K133" s="509"/>
      <c r="L133" s="532">
        <v>1120.67</v>
      </c>
      <c r="M133" s="529"/>
      <c r="N133" s="555">
        <v>-1578.5938306410258</v>
      </c>
      <c r="O133" s="529"/>
      <c r="P133" s="509"/>
      <c r="Q133" s="532">
        <v>1262.03</v>
      </c>
      <c r="R133" s="529"/>
      <c r="S133" s="555">
        <v>-141.3599999999999</v>
      </c>
      <c r="T133" s="509"/>
      <c r="U133" s="509"/>
      <c r="V133" s="509"/>
      <c r="W133" s="509"/>
      <c r="X133" s="509"/>
      <c r="Y133" s="509"/>
      <c r="Z133" s="509"/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</row>
    <row r="134" spans="1:40" ht="15.75" hidden="1" customHeight="1">
      <c r="A134" s="494" t="s">
        <v>303</v>
      </c>
      <c r="B134" s="509" t="s">
        <v>73</v>
      </c>
      <c r="C134" s="529" t="s">
        <v>20</v>
      </c>
      <c r="D134" s="583"/>
      <c r="E134" s="603"/>
      <c r="F134" s="530">
        <v>0</v>
      </c>
      <c r="G134" s="584"/>
      <c r="H134" s="603"/>
      <c r="I134" s="530"/>
      <c r="J134" s="522"/>
      <c r="K134" s="603"/>
      <c r="L134" s="532">
        <v>0</v>
      </c>
      <c r="M134" s="522"/>
      <c r="N134" s="579">
        <v>0</v>
      </c>
      <c r="O134" s="522"/>
      <c r="P134" s="603"/>
      <c r="Q134" s="532">
        <v>0</v>
      </c>
      <c r="R134" s="522"/>
      <c r="S134" s="579">
        <v>0</v>
      </c>
      <c r="T134" s="509"/>
      <c r="U134" s="509"/>
      <c r="V134" s="509"/>
      <c r="W134" s="509"/>
      <c r="X134" s="509"/>
      <c r="Y134" s="509"/>
      <c r="Z134" s="509"/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</row>
    <row r="135" spans="1:40" ht="15.75" customHeight="1">
      <c r="A135" s="494" t="s">
        <v>313</v>
      </c>
      <c r="B135" s="509" t="s">
        <v>73</v>
      </c>
      <c r="C135" s="588" t="s">
        <v>49</v>
      </c>
      <c r="D135" s="589" t="s">
        <v>39</v>
      </c>
      <c r="E135" s="590">
        <v>0.30205577750138751</v>
      </c>
      <c r="F135" s="591">
        <v>57284.515736205132</v>
      </c>
      <c r="G135" s="592"/>
      <c r="H135" s="590"/>
      <c r="I135" s="591"/>
      <c r="J135" s="592" t="s">
        <v>39</v>
      </c>
      <c r="K135" s="590">
        <v>0.76839066522781274</v>
      </c>
      <c r="L135" s="591">
        <v>38022.89</v>
      </c>
      <c r="M135" s="646"/>
      <c r="N135" s="605">
        <v>-19261.625736205133</v>
      </c>
      <c r="O135" s="592" t="s">
        <v>39</v>
      </c>
      <c r="P135" s="590">
        <v>0.32836137138493726</v>
      </c>
      <c r="Q135" s="591">
        <v>41625.780000000006</v>
      </c>
      <c r="R135" s="646"/>
      <c r="S135" s="605">
        <v>-3602.8900000000067</v>
      </c>
      <c r="T135" s="509"/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</row>
    <row r="136" spans="1:40" ht="15.75" hidden="1" customHeight="1">
      <c r="A136" s="494" t="s">
        <v>314</v>
      </c>
      <c r="B136" s="509" t="s">
        <v>73</v>
      </c>
      <c r="C136" s="529" t="s">
        <v>50</v>
      </c>
      <c r="D136" s="581"/>
      <c r="E136" s="509"/>
      <c r="F136" s="530">
        <v>0</v>
      </c>
      <c r="G136" s="582"/>
      <c r="H136" s="509"/>
      <c r="I136" s="530"/>
      <c r="J136" s="529"/>
      <c r="K136" s="509"/>
      <c r="L136" s="532">
        <v>0</v>
      </c>
      <c r="M136" s="529"/>
      <c r="N136" s="555">
        <v>0</v>
      </c>
      <c r="O136" s="529"/>
      <c r="P136" s="509"/>
      <c r="Q136" s="532">
        <v>0</v>
      </c>
      <c r="R136" s="529"/>
      <c r="S136" s="555">
        <v>0</v>
      </c>
      <c r="T136" s="509"/>
      <c r="U136" s="509"/>
      <c r="V136" s="509"/>
      <c r="W136" s="509"/>
      <c r="X136" s="509"/>
      <c r="Y136" s="509"/>
      <c r="Z136" s="509"/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</row>
    <row r="137" spans="1:40" ht="15.75" hidden="1" customHeight="1">
      <c r="A137" s="494" t="s">
        <v>315</v>
      </c>
      <c r="B137" s="509" t="s">
        <v>73</v>
      </c>
      <c r="C137" s="529" t="s">
        <v>51</v>
      </c>
      <c r="D137" s="581"/>
      <c r="E137" s="509"/>
      <c r="F137" s="530">
        <v>0</v>
      </c>
      <c r="G137" s="582"/>
      <c r="H137" s="509"/>
      <c r="I137" s="530"/>
      <c r="J137" s="529"/>
      <c r="K137" s="509"/>
      <c r="L137" s="532">
        <v>0</v>
      </c>
      <c r="M137" s="529"/>
      <c r="N137" s="555">
        <v>0</v>
      </c>
      <c r="O137" s="529"/>
      <c r="P137" s="509"/>
      <c r="Q137" s="532">
        <v>0</v>
      </c>
      <c r="R137" s="529"/>
      <c r="S137" s="555">
        <v>0</v>
      </c>
      <c r="T137" s="509"/>
      <c r="U137" s="509"/>
      <c r="V137" s="509"/>
      <c r="W137" s="509"/>
      <c r="X137" s="509"/>
      <c r="Y137" s="509"/>
      <c r="Z137" s="509"/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</row>
    <row r="138" spans="1:40" ht="15.75" customHeight="1">
      <c r="A138" s="494" t="s">
        <v>316</v>
      </c>
      <c r="B138" s="509" t="s">
        <v>73</v>
      </c>
      <c r="C138" s="522" t="s">
        <v>52</v>
      </c>
      <c r="D138" s="583"/>
      <c r="E138" s="603"/>
      <c r="F138" s="524">
        <v>2458.3333333333335</v>
      </c>
      <c r="G138" s="584"/>
      <c r="H138" s="603"/>
      <c r="I138" s="524"/>
      <c r="J138" s="522"/>
      <c r="K138" s="603"/>
      <c r="L138" s="524">
        <v>829.56</v>
      </c>
      <c r="M138" s="522"/>
      <c r="N138" s="579">
        <v>-1628.7733333333335</v>
      </c>
      <c r="O138" s="522"/>
      <c r="P138" s="603"/>
      <c r="Q138" s="524">
        <v>1878.99</v>
      </c>
      <c r="R138" s="522"/>
      <c r="S138" s="579">
        <v>-1049.43</v>
      </c>
      <c r="T138" s="509"/>
      <c r="U138" s="509"/>
      <c r="V138" s="509"/>
      <c r="W138" s="509"/>
      <c r="X138" s="509"/>
      <c r="Y138" s="509"/>
      <c r="Z138" s="509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</row>
    <row r="139" spans="1:40" ht="15.75" customHeight="1">
      <c r="A139" s="494" t="s">
        <v>317</v>
      </c>
      <c r="B139" s="509" t="s">
        <v>73</v>
      </c>
      <c r="C139" s="529" t="s">
        <v>53</v>
      </c>
      <c r="D139" s="581"/>
      <c r="E139" s="509"/>
      <c r="F139" s="530">
        <v>3627.0415373333331</v>
      </c>
      <c r="G139" s="582"/>
      <c r="H139" s="509"/>
      <c r="I139" s="530"/>
      <c r="J139" s="529"/>
      <c r="K139" s="509"/>
      <c r="L139" s="532">
        <v>4193.7</v>
      </c>
      <c r="M139" s="529"/>
      <c r="N139" s="555">
        <v>566.65846266666676</v>
      </c>
      <c r="O139" s="529"/>
      <c r="P139" s="509"/>
      <c r="Q139" s="532">
        <v>4765.4399999999996</v>
      </c>
      <c r="R139" s="529"/>
      <c r="S139" s="555">
        <v>-571.73999999999978</v>
      </c>
      <c r="T139" s="509"/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</row>
    <row r="140" spans="1:40" ht="15.75" customHeight="1">
      <c r="A140" s="494" t="s">
        <v>318</v>
      </c>
      <c r="B140" s="509" t="s">
        <v>73</v>
      </c>
      <c r="C140" s="529" t="s">
        <v>54</v>
      </c>
      <c r="D140" s="581"/>
      <c r="E140" s="509"/>
      <c r="F140" s="530">
        <v>521.10924639426287</v>
      </c>
      <c r="G140" s="582"/>
      <c r="H140" s="509"/>
      <c r="I140" s="530"/>
      <c r="J140" s="529"/>
      <c r="K140" s="509"/>
      <c r="L140" s="532">
        <v>280.52</v>
      </c>
      <c r="M140" s="529"/>
      <c r="N140" s="555">
        <v>-240.58924639426289</v>
      </c>
      <c r="O140" s="529"/>
      <c r="P140" s="509"/>
      <c r="Q140" s="532">
        <v>2206.02</v>
      </c>
      <c r="R140" s="529"/>
      <c r="S140" s="555">
        <v>-1925.5</v>
      </c>
      <c r="T140" s="644"/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</row>
    <row r="141" spans="1:40" ht="15.75" customHeight="1">
      <c r="A141" s="494" t="s">
        <v>319</v>
      </c>
      <c r="B141" s="509" t="s">
        <v>73</v>
      </c>
      <c r="C141" s="522" t="s">
        <v>55</v>
      </c>
      <c r="D141" s="583"/>
      <c r="E141" s="603"/>
      <c r="F141" s="524">
        <v>1489.5910533277777</v>
      </c>
      <c r="G141" s="584"/>
      <c r="H141" s="603"/>
      <c r="I141" s="524"/>
      <c r="J141" s="522"/>
      <c r="K141" s="603"/>
      <c r="L141" s="524">
        <v>1199.7</v>
      </c>
      <c r="M141" s="522"/>
      <c r="N141" s="579">
        <v>-289.89105332777763</v>
      </c>
      <c r="O141" s="522"/>
      <c r="P141" s="603"/>
      <c r="Q141" s="524">
        <v>2489.19</v>
      </c>
      <c r="R141" s="522"/>
      <c r="S141" s="579">
        <v>-1289.49</v>
      </c>
      <c r="T141" s="509"/>
      <c r="U141" s="509"/>
      <c r="V141" s="509"/>
      <c r="W141" s="509"/>
      <c r="X141" s="509"/>
      <c r="Y141" s="509"/>
      <c r="Z141" s="509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</row>
    <row r="142" spans="1:40" ht="15.75" customHeight="1">
      <c r="A142" s="494" t="s">
        <v>320</v>
      </c>
      <c r="B142" s="509" t="s">
        <v>73</v>
      </c>
      <c r="C142" s="529" t="s">
        <v>56</v>
      </c>
      <c r="D142" s="581"/>
      <c r="E142" s="509"/>
      <c r="F142" s="530">
        <v>125</v>
      </c>
      <c r="G142" s="582"/>
      <c r="H142" s="509"/>
      <c r="I142" s="530"/>
      <c r="J142" s="529"/>
      <c r="K142" s="509"/>
      <c r="L142" s="532">
        <v>0</v>
      </c>
      <c r="M142" s="529"/>
      <c r="N142" s="555">
        <v>-125</v>
      </c>
      <c r="O142" s="529"/>
      <c r="P142" s="509"/>
      <c r="Q142" s="532">
        <v>0</v>
      </c>
      <c r="R142" s="529"/>
      <c r="S142" s="555">
        <v>0</v>
      </c>
      <c r="T142" s="509"/>
      <c r="U142" s="509"/>
      <c r="V142" s="509"/>
      <c r="W142" s="509"/>
      <c r="X142" s="509"/>
      <c r="Y142" s="509"/>
      <c r="Z142" s="509"/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</row>
    <row r="143" spans="1:40" ht="15.75" customHeight="1">
      <c r="A143" s="494" t="s">
        <v>321</v>
      </c>
      <c r="B143" s="509" t="s">
        <v>73</v>
      </c>
      <c r="C143" s="529" t="s">
        <v>57</v>
      </c>
      <c r="D143" s="581"/>
      <c r="E143" s="509"/>
      <c r="F143" s="530">
        <v>83.333333333333329</v>
      </c>
      <c r="G143" s="582"/>
      <c r="H143" s="509"/>
      <c r="I143" s="530"/>
      <c r="J143" s="529"/>
      <c r="K143" s="509"/>
      <c r="L143" s="532">
        <v>0</v>
      </c>
      <c r="M143" s="529"/>
      <c r="N143" s="555">
        <v>-83.333333333333329</v>
      </c>
      <c r="O143" s="529"/>
      <c r="P143" s="509"/>
      <c r="Q143" s="532">
        <v>0</v>
      </c>
      <c r="R143" s="529"/>
      <c r="S143" s="555">
        <v>0</v>
      </c>
      <c r="T143" s="509"/>
      <c r="U143" s="509"/>
      <c r="V143" s="509"/>
      <c r="W143" s="509"/>
      <c r="X143" s="509"/>
      <c r="Y143" s="509"/>
      <c r="Z143" s="509"/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</row>
    <row r="144" spans="1:40" ht="15.75" customHeight="1">
      <c r="A144" s="494" t="s">
        <v>322</v>
      </c>
      <c r="B144" s="509" t="s">
        <v>73</v>
      </c>
      <c r="C144" s="529" t="s">
        <v>58</v>
      </c>
      <c r="D144" s="581"/>
      <c r="E144" s="509"/>
      <c r="F144" s="530">
        <v>306.78425698799998</v>
      </c>
      <c r="G144" s="582"/>
      <c r="H144" s="509"/>
      <c r="I144" s="530"/>
      <c r="J144" s="529"/>
      <c r="K144" s="509"/>
      <c r="L144" s="532">
        <v>332.05</v>
      </c>
      <c r="M144" s="529"/>
      <c r="N144" s="555">
        <v>25.26574301200003</v>
      </c>
      <c r="O144" s="529"/>
      <c r="P144" s="509"/>
      <c r="Q144" s="532">
        <v>201.28</v>
      </c>
      <c r="R144" s="529"/>
      <c r="S144" s="555">
        <v>130.77000000000001</v>
      </c>
      <c r="T144" s="509"/>
      <c r="U144" s="509"/>
      <c r="V144" s="509"/>
      <c r="W144" s="509"/>
      <c r="X144" s="509"/>
      <c r="Y144" s="509"/>
      <c r="Z144" s="509"/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</row>
    <row r="145" spans="1:40" ht="15.75" customHeight="1">
      <c r="A145" s="494" t="s">
        <v>323</v>
      </c>
      <c r="B145" s="509" t="s">
        <v>73</v>
      </c>
      <c r="C145" s="529" t="s">
        <v>59</v>
      </c>
      <c r="D145" s="581"/>
      <c r="E145" s="509"/>
      <c r="F145" s="530">
        <v>84.486631894833309</v>
      </c>
      <c r="G145" s="582"/>
      <c r="H145" s="509"/>
      <c r="I145" s="530"/>
      <c r="J145" s="529"/>
      <c r="K145" s="509"/>
      <c r="L145" s="532">
        <v>41.59</v>
      </c>
      <c r="M145" s="529"/>
      <c r="N145" s="555">
        <v>-42.896631894833305</v>
      </c>
      <c r="O145" s="529"/>
      <c r="P145" s="509"/>
      <c r="Q145" s="532">
        <v>141.53</v>
      </c>
      <c r="R145" s="529"/>
      <c r="S145" s="555">
        <v>-99.94</v>
      </c>
      <c r="T145" s="509"/>
      <c r="U145" s="509"/>
      <c r="V145" s="509"/>
      <c r="W145" s="509"/>
      <c r="X145" s="509"/>
      <c r="Y145" s="509"/>
      <c r="Z145" s="509"/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</row>
    <row r="146" spans="1:40" ht="15.75" customHeight="1">
      <c r="A146" s="494" t="s">
        <v>324</v>
      </c>
      <c r="B146" s="509" t="s">
        <v>73</v>
      </c>
      <c r="C146" s="529" t="s">
        <v>60</v>
      </c>
      <c r="D146" s="581"/>
      <c r="E146" s="509"/>
      <c r="F146" s="530">
        <v>60.326747465166655</v>
      </c>
      <c r="G146" s="582"/>
      <c r="H146" s="509"/>
      <c r="I146" s="530"/>
      <c r="J146" s="529"/>
      <c r="K146" s="509"/>
      <c r="L146" s="532">
        <v>3.96</v>
      </c>
      <c r="M146" s="529"/>
      <c r="N146" s="555">
        <v>-56.366747465166654</v>
      </c>
      <c r="O146" s="529"/>
      <c r="P146" s="509"/>
      <c r="Q146" s="532">
        <v>113</v>
      </c>
      <c r="R146" s="529"/>
      <c r="S146" s="555">
        <v>-109.04</v>
      </c>
      <c r="T146" s="509"/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</row>
    <row r="147" spans="1:40" ht="15.75" customHeight="1">
      <c r="A147" s="494" t="s">
        <v>325</v>
      </c>
      <c r="B147" s="509" t="s">
        <v>73</v>
      </c>
      <c r="C147" s="529" t="s">
        <v>61</v>
      </c>
      <c r="D147" s="581"/>
      <c r="E147" s="509"/>
      <c r="F147" s="530">
        <v>199.78005128816665</v>
      </c>
      <c r="G147" s="582"/>
      <c r="H147" s="509"/>
      <c r="I147" s="530"/>
      <c r="J147" s="529"/>
      <c r="K147" s="509"/>
      <c r="L147" s="532">
        <v>39.49</v>
      </c>
      <c r="M147" s="529"/>
      <c r="N147" s="555">
        <v>-160.29005128816664</v>
      </c>
      <c r="O147" s="529"/>
      <c r="P147" s="509"/>
      <c r="Q147" s="532">
        <v>29.45</v>
      </c>
      <c r="R147" s="529"/>
      <c r="S147" s="555">
        <v>10.040000000000003</v>
      </c>
      <c r="T147" s="509"/>
      <c r="U147" s="509"/>
      <c r="V147" s="509"/>
      <c r="W147" s="509"/>
      <c r="X147" s="509"/>
      <c r="Y147" s="509"/>
      <c r="Z147" s="509"/>
      <c r="AA147" s="509"/>
      <c r="AB147" s="509"/>
      <c r="AC147" s="509"/>
      <c r="AD147" s="509"/>
      <c r="AE147" s="509"/>
      <c r="AF147" s="509"/>
      <c r="AG147" s="509"/>
      <c r="AH147" s="509"/>
      <c r="AI147" s="509"/>
      <c r="AJ147" s="509"/>
      <c r="AK147" s="509"/>
      <c r="AL147" s="509"/>
      <c r="AM147" s="509"/>
      <c r="AN147" s="509"/>
    </row>
    <row r="148" spans="1:40" ht="15.75" customHeight="1">
      <c r="A148" s="494" t="s">
        <v>326</v>
      </c>
      <c r="B148" s="509" t="s">
        <v>73</v>
      </c>
      <c r="C148" s="529" t="s">
        <v>62</v>
      </c>
      <c r="D148" s="581"/>
      <c r="E148" s="509"/>
      <c r="F148" s="530">
        <v>502.23226969701432</v>
      </c>
      <c r="G148" s="582"/>
      <c r="H148" s="509"/>
      <c r="I148" s="530"/>
      <c r="J148" s="529"/>
      <c r="K148" s="509"/>
      <c r="L148" s="532">
        <v>119.28</v>
      </c>
      <c r="M148" s="529"/>
      <c r="N148" s="555">
        <v>-382.95226969701434</v>
      </c>
      <c r="O148" s="529"/>
      <c r="P148" s="509"/>
      <c r="Q148" s="532">
        <v>293.8</v>
      </c>
      <c r="R148" s="529"/>
      <c r="S148" s="555">
        <v>-174.52</v>
      </c>
      <c r="T148" s="509"/>
      <c r="X148" s="509"/>
      <c r="Y148" s="509"/>
      <c r="Z148" s="509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</row>
    <row r="149" spans="1:40" ht="15.75" customHeight="1">
      <c r="A149" s="494" t="s">
        <v>327</v>
      </c>
      <c r="B149" s="509" t="s">
        <v>73</v>
      </c>
      <c r="C149" s="529" t="s">
        <v>63</v>
      </c>
      <c r="D149" s="581"/>
      <c r="E149" s="509"/>
      <c r="F149" s="530">
        <v>782.17457105829214</v>
      </c>
      <c r="G149" s="582"/>
      <c r="H149" s="509"/>
      <c r="I149" s="530"/>
      <c r="J149" s="529"/>
      <c r="K149" s="509"/>
      <c r="L149" s="532">
        <v>1070.47</v>
      </c>
      <c r="M149" s="529"/>
      <c r="N149" s="555">
        <v>288.29542894170788</v>
      </c>
      <c r="O149" s="529"/>
      <c r="P149" s="509"/>
      <c r="Q149" s="532">
        <v>1718.22</v>
      </c>
      <c r="R149" s="529"/>
      <c r="S149" s="555">
        <v>-647.75</v>
      </c>
      <c r="T149" s="570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</row>
    <row r="150" spans="1:40" ht="15.75" hidden="1" customHeight="1">
      <c r="A150" s="494" t="s">
        <v>303</v>
      </c>
      <c r="B150" s="509" t="s">
        <v>73</v>
      </c>
      <c r="C150" s="529" t="s">
        <v>20</v>
      </c>
      <c r="D150" s="581"/>
      <c r="E150" s="509"/>
      <c r="F150" s="530">
        <v>0</v>
      </c>
      <c r="G150" s="582"/>
      <c r="H150" s="509"/>
      <c r="I150" s="530"/>
      <c r="J150" s="529"/>
      <c r="K150" s="509"/>
      <c r="L150" s="532">
        <v>0</v>
      </c>
      <c r="M150" s="529"/>
      <c r="N150" s="555">
        <v>0</v>
      </c>
      <c r="O150" s="529"/>
      <c r="P150" s="509"/>
      <c r="Q150" s="532">
        <v>0</v>
      </c>
      <c r="R150" s="529"/>
      <c r="S150" s="555">
        <v>0</v>
      </c>
      <c r="T150" s="509"/>
      <c r="X150" s="509"/>
      <c r="Y150" s="509"/>
      <c r="Z150" s="509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</row>
    <row r="151" spans="1:40" ht="15.75" hidden="1" customHeight="1">
      <c r="A151" s="494" t="s">
        <v>303</v>
      </c>
      <c r="B151" s="509" t="s">
        <v>73</v>
      </c>
      <c r="C151" s="529" t="s">
        <v>20</v>
      </c>
      <c r="D151" s="581"/>
      <c r="E151" s="509"/>
      <c r="F151" s="530">
        <v>0</v>
      </c>
      <c r="G151" s="582"/>
      <c r="H151" s="509"/>
      <c r="I151" s="530"/>
      <c r="J151" s="529"/>
      <c r="K151" s="509"/>
      <c r="L151" s="532">
        <v>0</v>
      </c>
      <c r="M151" s="529"/>
      <c r="N151" s="555">
        <v>0</v>
      </c>
      <c r="O151" s="529"/>
      <c r="P151" s="509"/>
      <c r="Q151" s="532">
        <v>0</v>
      </c>
      <c r="R151" s="529"/>
      <c r="S151" s="555">
        <v>0</v>
      </c>
      <c r="T151" s="509"/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</row>
    <row r="152" spans="1:40" ht="15.75" hidden="1" customHeight="1">
      <c r="A152" s="494" t="s">
        <v>303</v>
      </c>
      <c r="B152" s="509" t="s">
        <v>73</v>
      </c>
      <c r="C152" s="529" t="s">
        <v>20</v>
      </c>
      <c r="D152" s="581"/>
      <c r="E152" s="509"/>
      <c r="F152" s="530">
        <v>0</v>
      </c>
      <c r="G152" s="582"/>
      <c r="H152" s="509"/>
      <c r="I152" s="530"/>
      <c r="J152" s="529"/>
      <c r="K152" s="509"/>
      <c r="L152" s="532">
        <v>0</v>
      </c>
      <c r="M152" s="529"/>
      <c r="N152" s="555">
        <v>0</v>
      </c>
      <c r="O152" s="529"/>
      <c r="P152" s="509"/>
      <c r="Q152" s="532">
        <v>0</v>
      </c>
      <c r="R152" s="529"/>
      <c r="S152" s="555">
        <v>0</v>
      </c>
      <c r="T152" s="570"/>
      <c r="X152" s="509"/>
      <c r="Y152" s="509"/>
      <c r="Z152" s="509"/>
      <c r="AA152" s="509"/>
      <c r="AB152" s="509"/>
      <c r="AC152" s="509"/>
      <c r="AD152" s="509"/>
      <c r="AE152" s="509"/>
      <c r="AF152" s="509"/>
      <c r="AG152" s="509"/>
      <c r="AH152" s="509"/>
      <c r="AI152" s="509"/>
      <c r="AJ152" s="509"/>
      <c r="AK152" s="509"/>
      <c r="AL152" s="509"/>
      <c r="AM152" s="509"/>
      <c r="AN152" s="509"/>
    </row>
    <row r="153" spans="1:40" ht="15.75" customHeight="1">
      <c r="A153" s="494" t="s">
        <v>328</v>
      </c>
      <c r="B153" s="509" t="s">
        <v>73</v>
      </c>
      <c r="C153" s="588" t="s">
        <v>64</v>
      </c>
      <c r="D153" s="589" t="s">
        <v>39</v>
      </c>
      <c r="E153" s="590">
        <v>5.3995559329210192E-2</v>
      </c>
      <c r="F153" s="591">
        <v>10240.193032113515</v>
      </c>
      <c r="G153" s="592"/>
      <c r="H153" s="590"/>
      <c r="I153" s="591"/>
      <c r="J153" s="592" t="s">
        <v>39</v>
      </c>
      <c r="K153" s="590">
        <v>0.16389848799000906</v>
      </c>
      <c r="L153" s="591">
        <v>8110.3200000000006</v>
      </c>
      <c r="M153" s="595"/>
      <c r="N153" s="591">
        <v>-2129.8730321135145</v>
      </c>
      <c r="O153" s="592" t="s">
        <v>39</v>
      </c>
      <c r="P153" s="590">
        <v>0.10915134868208272</v>
      </c>
      <c r="Q153" s="591">
        <v>13836.92</v>
      </c>
      <c r="R153" s="595"/>
      <c r="S153" s="591">
        <v>-5726.5999999999995</v>
      </c>
      <c r="T153" s="604"/>
      <c r="X153" s="509"/>
      <c r="Y153" s="509"/>
      <c r="Z153" s="509"/>
      <c r="AA153" s="509"/>
      <c r="AB153" s="509"/>
      <c r="AC153" s="509"/>
      <c r="AD153" s="509"/>
      <c r="AE153" s="509"/>
      <c r="AF153" s="509"/>
      <c r="AG153" s="509"/>
      <c r="AH153" s="509"/>
      <c r="AI153" s="509"/>
      <c r="AJ153" s="509"/>
      <c r="AK153" s="509"/>
      <c r="AL153" s="509"/>
      <c r="AM153" s="509"/>
      <c r="AN153" s="509"/>
    </row>
    <row r="154" spans="1:40" ht="15.75" customHeight="1">
      <c r="A154" s="494" t="s">
        <v>73</v>
      </c>
      <c r="B154" s="509" t="s">
        <v>73</v>
      </c>
      <c r="C154" s="522"/>
      <c r="D154" s="583"/>
      <c r="E154" s="603"/>
      <c r="F154" s="555"/>
      <c r="G154" s="584"/>
      <c r="H154" s="603"/>
      <c r="I154" s="555"/>
      <c r="J154" s="522"/>
      <c r="K154" s="603"/>
      <c r="L154" s="579"/>
      <c r="M154" s="522"/>
      <c r="N154" s="579"/>
      <c r="O154" s="522"/>
      <c r="P154" s="603"/>
      <c r="Q154" s="579"/>
      <c r="R154" s="522"/>
      <c r="S154" s="579"/>
      <c r="T154" s="604"/>
      <c r="U154" s="509"/>
      <c r="V154" s="509"/>
      <c r="W154" s="509"/>
      <c r="X154" s="509"/>
      <c r="Y154" s="509"/>
      <c r="Z154" s="509"/>
      <c r="AA154" s="509"/>
      <c r="AB154" s="509"/>
      <c r="AC154" s="509"/>
      <c r="AD154" s="509"/>
      <c r="AE154" s="509"/>
      <c r="AF154" s="509"/>
      <c r="AG154" s="509"/>
      <c r="AH154" s="509"/>
      <c r="AI154" s="509"/>
      <c r="AJ154" s="509"/>
      <c r="AK154" s="509"/>
      <c r="AL154" s="509"/>
      <c r="AM154" s="509"/>
      <c r="AN154" s="509"/>
    </row>
    <row r="155" spans="1:40" ht="15.75" customHeight="1">
      <c r="A155" s="494" t="s">
        <v>329</v>
      </c>
      <c r="B155" s="509" t="s">
        <v>73</v>
      </c>
      <c r="C155" s="588" t="s">
        <v>65</v>
      </c>
      <c r="D155" s="589" t="s">
        <v>39</v>
      </c>
      <c r="E155" s="590">
        <v>0.781044446489357</v>
      </c>
      <c r="F155" s="591">
        <v>148124.14202337075</v>
      </c>
      <c r="G155" s="592"/>
      <c r="H155" s="590"/>
      <c r="I155" s="591"/>
      <c r="J155" s="592" t="s">
        <v>39</v>
      </c>
      <c r="K155" s="590">
        <v>2.3048803850957311</v>
      </c>
      <c r="L155" s="591">
        <v>114054.24</v>
      </c>
      <c r="M155" s="595"/>
      <c r="N155" s="605">
        <v>-34069.902023370742</v>
      </c>
      <c r="O155" s="592" t="s">
        <v>39</v>
      </c>
      <c r="P155" s="590">
        <v>1.0020900351981017</v>
      </c>
      <c r="Q155" s="591">
        <v>127033.15000000001</v>
      </c>
      <c r="R155" s="595"/>
      <c r="S155" s="605">
        <v>-12978.910000000003</v>
      </c>
      <c r="T155" s="604"/>
      <c r="U155" s="509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</row>
    <row r="156" spans="1:40" ht="15.75" customHeight="1">
      <c r="A156" s="494" t="s">
        <v>330</v>
      </c>
      <c r="B156" s="509" t="s">
        <v>73</v>
      </c>
      <c r="C156" s="529" t="s">
        <v>331</v>
      </c>
      <c r="D156" s="647"/>
      <c r="E156" s="648"/>
      <c r="F156" s="530">
        <v>0</v>
      </c>
      <c r="G156" s="649"/>
      <c r="H156" s="648"/>
      <c r="I156" s="530"/>
      <c r="J156" s="649"/>
      <c r="K156" s="648"/>
      <c r="L156" s="532">
        <v>0</v>
      </c>
      <c r="M156" s="529"/>
      <c r="N156" s="555">
        <v>0</v>
      </c>
      <c r="O156" s="649"/>
      <c r="P156" s="648"/>
      <c r="Q156" s="532">
        <v>0</v>
      </c>
      <c r="R156" s="529"/>
      <c r="S156" s="555">
        <v>0</v>
      </c>
      <c r="T156" s="604"/>
      <c r="U156" s="509"/>
      <c r="V156" s="509"/>
      <c r="W156" s="509"/>
      <c r="X156" s="509"/>
      <c r="Y156" s="509"/>
      <c r="Z156" s="509"/>
      <c r="AA156" s="509"/>
      <c r="AB156" s="509"/>
      <c r="AC156" s="509"/>
      <c r="AD156" s="509"/>
      <c r="AE156" s="509"/>
      <c r="AF156" s="509"/>
      <c r="AG156" s="509"/>
      <c r="AH156" s="509"/>
      <c r="AI156" s="509"/>
      <c r="AJ156" s="509"/>
      <c r="AK156" s="509"/>
      <c r="AL156" s="509"/>
      <c r="AM156" s="509"/>
      <c r="AN156" s="509"/>
    </row>
    <row r="157" spans="1:40" ht="15.75" customHeight="1">
      <c r="A157" s="494" t="s">
        <v>332</v>
      </c>
      <c r="B157" s="509" t="s">
        <v>73</v>
      </c>
      <c r="C157" s="529" t="s">
        <v>81</v>
      </c>
      <c r="D157" s="647"/>
      <c r="E157" s="648"/>
      <c r="F157" s="530">
        <v>0</v>
      </c>
      <c r="G157" s="649"/>
      <c r="H157" s="648"/>
      <c r="I157" s="530"/>
      <c r="J157" s="649"/>
      <c r="K157" s="648"/>
      <c r="L157" s="532">
        <v>0</v>
      </c>
      <c r="M157" s="529"/>
      <c r="N157" s="555">
        <v>0</v>
      </c>
      <c r="O157" s="649"/>
      <c r="P157" s="648"/>
      <c r="Q157" s="532">
        <v>0</v>
      </c>
      <c r="R157" s="529"/>
      <c r="S157" s="555">
        <v>0</v>
      </c>
      <c r="T157" s="604"/>
      <c r="U157" s="509"/>
      <c r="V157" s="509"/>
      <c r="W157" s="509"/>
      <c r="X157" s="509"/>
      <c r="Y157" s="509"/>
      <c r="Z157" s="509"/>
      <c r="AA157" s="509"/>
      <c r="AB157" s="509"/>
      <c r="AC157" s="509"/>
      <c r="AD157" s="509"/>
      <c r="AE157" s="509"/>
      <c r="AF157" s="509"/>
      <c r="AG157" s="509"/>
      <c r="AH157" s="509"/>
      <c r="AI157" s="509"/>
      <c r="AJ157" s="509"/>
      <c r="AK157" s="509"/>
      <c r="AL157" s="509"/>
      <c r="AM157" s="509"/>
      <c r="AN157" s="509"/>
    </row>
    <row r="158" spans="1:40" ht="15.75" customHeight="1">
      <c r="A158" s="494" t="s">
        <v>333</v>
      </c>
      <c r="B158" s="509" t="s">
        <v>73</v>
      </c>
      <c r="C158" s="529" t="s">
        <v>82</v>
      </c>
      <c r="D158" s="581"/>
      <c r="E158" s="509"/>
      <c r="F158" s="530">
        <v>0</v>
      </c>
      <c r="G158" s="582"/>
      <c r="H158" s="509"/>
      <c r="I158" s="530"/>
      <c r="J158" s="529"/>
      <c r="K158" s="509"/>
      <c r="L158" s="532">
        <v>0</v>
      </c>
      <c r="M158" s="529"/>
      <c r="N158" s="555">
        <v>0</v>
      </c>
      <c r="O158" s="529"/>
      <c r="P158" s="509"/>
      <c r="Q158" s="532">
        <v>0</v>
      </c>
      <c r="R158" s="529"/>
      <c r="S158" s="555">
        <v>0</v>
      </c>
      <c r="T158" s="604"/>
      <c r="U158" s="509"/>
      <c r="V158" s="509"/>
      <c r="W158" s="509"/>
      <c r="X158" s="509"/>
      <c r="Y158" s="509"/>
      <c r="Z158" s="509"/>
      <c r="AA158" s="509"/>
      <c r="AB158" s="509"/>
      <c r="AC158" s="509"/>
      <c r="AD158" s="509"/>
      <c r="AE158" s="509"/>
      <c r="AF158" s="509"/>
      <c r="AG158" s="509"/>
      <c r="AH158" s="509"/>
      <c r="AI158" s="509"/>
      <c r="AJ158" s="509"/>
      <c r="AK158" s="509"/>
      <c r="AL158" s="509"/>
      <c r="AM158" s="509"/>
      <c r="AN158" s="509"/>
    </row>
    <row r="159" spans="1:40" ht="15.75" customHeight="1">
      <c r="A159" s="494" t="s">
        <v>334</v>
      </c>
      <c r="B159" s="509" t="s">
        <v>73</v>
      </c>
      <c r="C159" s="529" t="s">
        <v>70</v>
      </c>
      <c r="D159" s="650">
        <v>0.95</v>
      </c>
      <c r="E159" s="611">
        <v>474.04999999999995</v>
      </c>
      <c r="F159" s="530">
        <v>20388.890499999994</v>
      </c>
      <c r="G159" s="582"/>
      <c r="H159" s="509"/>
      <c r="I159" s="530"/>
      <c r="J159" s="612">
        <v>0.5736814345991561</v>
      </c>
      <c r="K159" s="611">
        <v>271.92500000000001</v>
      </c>
      <c r="L159" s="532">
        <v>10877</v>
      </c>
      <c r="M159" s="529"/>
      <c r="N159" s="555">
        <v>-9511.8904999999941</v>
      </c>
      <c r="O159" s="529"/>
      <c r="P159" s="509"/>
      <c r="Q159" s="532">
        <v>8919</v>
      </c>
      <c r="R159" s="529"/>
      <c r="S159" s="555">
        <v>1958</v>
      </c>
      <c r="T159" s="604"/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09"/>
      <c r="AJ159" s="509"/>
      <c r="AK159" s="509"/>
      <c r="AL159" s="509"/>
      <c r="AM159" s="509"/>
      <c r="AN159" s="509"/>
    </row>
    <row r="160" spans="1:40" ht="15.75" hidden="1" customHeight="1">
      <c r="A160" s="494" t="s">
        <v>303</v>
      </c>
      <c r="B160" s="509" t="s">
        <v>73</v>
      </c>
      <c r="C160" s="529" t="s">
        <v>20</v>
      </c>
      <c r="D160" s="581"/>
      <c r="E160" s="509"/>
      <c r="F160" s="530">
        <v>0</v>
      </c>
      <c r="G160" s="582"/>
      <c r="H160" s="509"/>
      <c r="I160" s="530"/>
      <c r="J160" s="529"/>
      <c r="K160" s="509"/>
      <c r="L160" s="532">
        <v>0</v>
      </c>
      <c r="M160" s="529"/>
      <c r="N160" s="555">
        <v>0</v>
      </c>
      <c r="O160" s="529"/>
      <c r="P160" s="509"/>
      <c r="Q160" s="532">
        <v>0</v>
      </c>
      <c r="R160" s="529"/>
      <c r="S160" s="555">
        <v>0</v>
      </c>
      <c r="T160" s="604"/>
      <c r="U160" s="509"/>
      <c r="V160" s="509"/>
      <c r="W160" s="509"/>
      <c r="X160" s="509"/>
      <c r="Y160" s="509"/>
      <c r="Z160" s="509"/>
      <c r="AA160" s="509"/>
      <c r="AB160" s="509"/>
      <c r="AC160" s="509"/>
      <c r="AD160" s="509"/>
      <c r="AE160" s="509"/>
      <c r="AF160" s="509"/>
      <c r="AG160" s="509"/>
      <c r="AH160" s="509"/>
      <c r="AI160" s="509"/>
      <c r="AJ160" s="509"/>
      <c r="AK160" s="509"/>
      <c r="AL160" s="509"/>
      <c r="AM160" s="509"/>
      <c r="AN160" s="509"/>
    </row>
    <row r="161" spans="1:40" ht="15.75" hidden="1" customHeight="1">
      <c r="A161" s="494" t="s">
        <v>303</v>
      </c>
      <c r="B161" s="509" t="s">
        <v>73</v>
      </c>
      <c r="C161" s="529" t="s">
        <v>20</v>
      </c>
      <c r="D161" s="581"/>
      <c r="E161" s="509"/>
      <c r="F161" s="530">
        <v>0</v>
      </c>
      <c r="G161" s="582"/>
      <c r="H161" s="509"/>
      <c r="I161" s="530"/>
      <c r="J161" s="529"/>
      <c r="K161" s="509"/>
      <c r="L161" s="532">
        <v>0</v>
      </c>
      <c r="M161" s="529"/>
      <c r="N161" s="555">
        <v>0</v>
      </c>
      <c r="O161" s="529"/>
      <c r="P161" s="509"/>
      <c r="Q161" s="532">
        <v>0</v>
      </c>
      <c r="R161" s="529"/>
      <c r="S161" s="555">
        <v>0</v>
      </c>
      <c r="T161" s="604"/>
      <c r="U161" s="509"/>
      <c r="V161" s="509"/>
      <c r="W161" s="509"/>
      <c r="X161" s="509"/>
      <c r="Y161" s="509"/>
      <c r="Z161" s="509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</row>
    <row r="162" spans="1:40" ht="15.75" hidden="1" customHeight="1">
      <c r="A162" s="494" t="s">
        <v>303</v>
      </c>
      <c r="B162" s="509" t="s">
        <v>73</v>
      </c>
      <c r="C162" s="522" t="s">
        <v>20</v>
      </c>
      <c r="D162" s="583"/>
      <c r="E162" s="603"/>
      <c r="F162" s="530">
        <v>0</v>
      </c>
      <c r="G162" s="582"/>
      <c r="H162" s="509"/>
      <c r="I162" s="530"/>
      <c r="J162" s="529"/>
      <c r="K162" s="509"/>
      <c r="L162" s="532">
        <v>0</v>
      </c>
      <c r="M162" s="529"/>
      <c r="N162" s="555">
        <v>0</v>
      </c>
      <c r="O162" s="529"/>
      <c r="P162" s="509"/>
      <c r="Q162" s="532">
        <v>0</v>
      </c>
      <c r="R162" s="529"/>
      <c r="S162" s="555">
        <v>0</v>
      </c>
      <c r="T162" s="604"/>
      <c r="U162" s="509"/>
      <c r="V162" s="509"/>
      <c r="W162" s="509"/>
      <c r="X162" s="509"/>
      <c r="Y162" s="509"/>
      <c r="Z162" s="509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</row>
    <row r="163" spans="1:40" ht="15.75" customHeight="1">
      <c r="B163" s="509"/>
      <c r="C163" s="588" t="s">
        <v>71</v>
      </c>
      <c r="D163" s="589"/>
      <c r="E163" s="590"/>
      <c r="F163" s="591">
        <v>20388.890499999994</v>
      </c>
      <c r="G163" s="592"/>
      <c r="H163" s="590"/>
      <c r="I163" s="591"/>
      <c r="J163" s="592"/>
      <c r="K163" s="590"/>
      <c r="L163" s="591">
        <v>10877</v>
      </c>
      <c r="M163" s="595"/>
      <c r="N163" s="591">
        <v>-9511.8904999999941</v>
      </c>
      <c r="O163" s="592"/>
      <c r="P163" s="590"/>
      <c r="Q163" s="591">
        <v>8919</v>
      </c>
      <c r="R163" s="595"/>
      <c r="S163" s="591">
        <v>1958</v>
      </c>
      <c r="T163" s="604"/>
      <c r="U163" s="509"/>
      <c r="V163" s="509"/>
      <c r="W163" s="509"/>
      <c r="X163" s="509"/>
      <c r="Y163" s="509"/>
      <c r="Z163" s="509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</row>
    <row r="164" spans="1:40" ht="15.75" customHeight="1">
      <c r="B164" s="509"/>
      <c r="C164" s="529"/>
      <c r="D164" s="581"/>
      <c r="E164" s="509"/>
      <c r="F164" s="555"/>
      <c r="G164" s="582"/>
      <c r="H164" s="509"/>
      <c r="I164" s="555"/>
      <c r="J164" s="529"/>
      <c r="K164" s="509"/>
      <c r="L164" s="555"/>
      <c r="M164" s="529"/>
      <c r="N164" s="555"/>
      <c r="O164" s="529"/>
      <c r="P164" s="509"/>
      <c r="Q164" s="555"/>
      <c r="R164" s="529"/>
      <c r="S164" s="555"/>
      <c r="T164" s="648"/>
      <c r="U164" s="509"/>
      <c r="V164" s="509"/>
      <c r="W164" s="509"/>
      <c r="X164" s="509"/>
      <c r="Y164" s="509"/>
      <c r="Z164" s="509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</row>
    <row r="165" spans="1:40" ht="15.75" customHeight="1" thickBot="1">
      <c r="B165" s="509"/>
      <c r="C165" s="621" t="s">
        <v>72</v>
      </c>
      <c r="D165" s="651"/>
      <c r="E165" s="622"/>
      <c r="F165" s="624">
        <v>61913.548476629207</v>
      </c>
      <c r="G165" s="652"/>
      <c r="H165" s="622"/>
      <c r="I165" s="624"/>
      <c r="J165" s="621"/>
      <c r="K165" s="623"/>
      <c r="L165" s="624">
        <v>-53693.440000000061</v>
      </c>
      <c r="M165" s="621"/>
      <c r="N165" s="624">
        <v>-115606.98847662927</v>
      </c>
      <c r="O165" s="621"/>
      <c r="P165" s="626">
        <v>5.5664275219979246E-3</v>
      </c>
      <c r="Q165" s="624">
        <v>8654.0500000000029</v>
      </c>
      <c r="R165" s="621"/>
      <c r="S165" s="624">
        <v>-62347.490000000063</v>
      </c>
      <c r="T165" s="570"/>
      <c r="U165" s="509"/>
      <c r="V165" s="509"/>
      <c r="W165" s="509"/>
      <c r="X165" s="509"/>
      <c r="Y165" s="509"/>
      <c r="Z165" s="509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</row>
    <row r="166" spans="1:40" ht="15.75" customHeight="1" thickTop="1">
      <c r="B166" s="509"/>
      <c r="C166" s="506"/>
      <c r="D166" s="506"/>
      <c r="E166" s="506"/>
      <c r="F166" s="653"/>
      <c r="G166" s="506"/>
      <c r="H166" s="506"/>
      <c r="I166" s="506"/>
      <c r="J166" s="506"/>
      <c r="K166" s="506"/>
      <c r="L166" s="653"/>
      <c r="M166" s="506"/>
      <c r="N166" s="506"/>
      <c r="O166" s="506"/>
      <c r="P166" s="506"/>
      <c r="Q166" s="506"/>
      <c r="R166" s="506"/>
      <c r="S166" s="506"/>
      <c r="T166" s="653"/>
      <c r="U166" s="506"/>
      <c r="V166" s="509"/>
      <c r="W166" s="509"/>
      <c r="X166" s="509"/>
      <c r="Y166" s="509"/>
      <c r="Z166" s="509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</row>
    <row r="167" spans="1:40" ht="8.25" customHeight="1">
      <c r="B167" s="509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653"/>
      <c r="U167" s="506"/>
      <c r="V167" s="506"/>
      <c r="W167" s="506"/>
      <c r="X167" s="506"/>
      <c r="Y167" s="506"/>
      <c r="Z167" s="506"/>
      <c r="AA167" s="506"/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6"/>
      <c r="AL167" s="506"/>
      <c r="AM167" s="506"/>
      <c r="AN167" s="506"/>
    </row>
    <row r="168" spans="1:40" ht="33.75" customHeight="1">
      <c r="B168" s="509"/>
      <c r="C168" s="631" t="s">
        <v>477</v>
      </c>
      <c r="D168" s="497"/>
      <c r="E168" s="497"/>
      <c r="F168" s="497"/>
      <c r="G168" s="497"/>
      <c r="H168" s="495"/>
      <c r="I168" s="495"/>
      <c r="J168" s="495"/>
      <c r="K168" s="499" t="s">
        <v>83</v>
      </c>
      <c r="L168" s="497"/>
      <c r="M168" s="497"/>
      <c r="N168" s="495"/>
      <c r="O168" s="495"/>
      <c r="P168" s="497"/>
      <c r="Q168" s="495"/>
      <c r="R168" s="497"/>
      <c r="S168" s="632" t="s">
        <v>484</v>
      </c>
      <c r="T168" s="497"/>
      <c r="U168" s="495"/>
      <c r="V168" s="506"/>
      <c r="W168" s="506"/>
      <c r="X168" s="506"/>
      <c r="Y168" s="506"/>
      <c r="Z168" s="506"/>
      <c r="AA168" s="506"/>
      <c r="AB168" s="506"/>
      <c r="AC168" s="506"/>
      <c r="AD168" s="506"/>
      <c r="AE168" s="506"/>
      <c r="AF168" s="506"/>
      <c r="AG168" s="506"/>
      <c r="AH168" s="506"/>
      <c r="AI168" s="506"/>
      <c r="AJ168" s="506"/>
      <c r="AK168" s="506"/>
      <c r="AL168" s="506"/>
      <c r="AM168" s="506"/>
      <c r="AN168" s="506"/>
    </row>
    <row r="169" spans="1:40" ht="15.75" customHeight="1" thickBot="1">
      <c r="B169" s="509"/>
      <c r="C169" s="504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</row>
    <row r="170" spans="1:40" ht="15.75" customHeight="1" thickTop="1">
      <c r="B170" s="509"/>
      <c r="C170" s="510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221</v>
      </c>
      <c r="N170" s="513"/>
      <c r="O170" s="511" t="s">
        <v>8</v>
      </c>
      <c r="P170" s="512"/>
      <c r="Q170" s="513"/>
      <c r="R170" s="514" t="s">
        <v>222</v>
      </c>
      <c r="S170" s="513"/>
      <c r="T170" s="647"/>
      <c r="AA170" s="506"/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</row>
    <row r="171" spans="1:40" ht="15.75" customHeight="1">
      <c r="A171" s="494" t="s">
        <v>83</v>
      </c>
      <c r="B171" s="509" t="s">
        <v>83</v>
      </c>
      <c r="C171" s="529"/>
      <c r="D171" s="572" t="s">
        <v>40</v>
      </c>
      <c r="E171" s="572" t="s">
        <v>84</v>
      </c>
      <c r="F171" s="654" t="s">
        <v>12</v>
      </c>
      <c r="G171" s="655"/>
      <c r="H171" s="572"/>
      <c r="I171" s="654"/>
      <c r="J171" s="655" t="s">
        <v>40</v>
      </c>
      <c r="K171" s="572" t="s">
        <v>84</v>
      </c>
      <c r="L171" s="654" t="s">
        <v>12</v>
      </c>
      <c r="M171" s="655" t="s">
        <v>335</v>
      </c>
      <c r="N171" s="654" t="s">
        <v>336</v>
      </c>
      <c r="O171" s="572" t="s">
        <v>40</v>
      </c>
      <c r="P171" s="572" t="s">
        <v>84</v>
      </c>
      <c r="Q171" s="654" t="s">
        <v>12</v>
      </c>
      <c r="R171" s="655" t="s">
        <v>85</v>
      </c>
      <c r="S171" s="654" t="s">
        <v>12</v>
      </c>
      <c r="T171" s="572"/>
      <c r="AA171" s="509"/>
      <c r="AB171" s="509"/>
      <c r="AC171" s="509"/>
      <c r="AD171" s="509"/>
      <c r="AE171" s="509"/>
      <c r="AF171" s="509"/>
      <c r="AG171" s="509"/>
      <c r="AH171" s="509"/>
      <c r="AI171" s="509"/>
      <c r="AJ171" s="509"/>
      <c r="AK171" s="509"/>
      <c r="AL171" s="509"/>
      <c r="AM171" s="509"/>
      <c r="AN171" s="509"/>
    </row>
    <row r="172" spans="1:40" ht="15.75" customHeight="1">
      <c r="A172" s="494" t="s">
        <v>337</v>
      </c>
      <c r="B172" s="509" t="s">
        <v>83</v>
      </c>
      <c r="C172" s="529" t="s">
        <v>86</v>
      </c>
      <c r="D172" s="570">
        <v>842.13720000000001</v>
      </c>
      <c r="E172" s="570">
        <v>277905.27600000001</v>
      </c>
      <c r="F172" s="570">
        <v>211208.00976000002</v>
      </c>
      <c r="G172" s="556"/>
      <c r="H172" s="570"/>
      <c r="I172" s="570"/>
      <c r="J172" s="556">
        <v>672</v>
      </c>
      <c r="K172" s="530">
        <v>204973.06</v>
      </c>
      <c r="L172" s="532">
        <v>164440.97</v>
      </c>
      <c r="M172" s="574">
        <v>-0.26243552137527615</v>
      </c>
      <c r="N172" s="555">
        <v>-46767.039760000014</v>
      </c>
      <c r="O172" s="556">
        <v>630</v>
      </c>
      <c r="P172" s="530">
        <v>205419.62999999899</v>
      </c>
      <c r="Q172" s="532">
        <v>160181.58999999901</v>
      </c>
      <c r="R172" s="574">
        <v>1.0666666666666667</v>
      </c>
      <c r="S172" s="555">
        <v>4259.3800000009942</v>
      </c>
      <c r="T172" s="570"/>
      <c r="AA172" s="509"/>
      <c r="AB172" s="509"/>
      <c r="AC172" s="509"/>
      <c r="AD172" s="509"/>
      <c r="AE172" s="509"/>
      <c r="AF172" s="509"/>
      <c r="AG172" s="509"/>
      <c r="AH172" s="509"/>
      <c r="AI172" s="509"/>
      <c r="AJ172" s="509"/>
      <c r="AK172" s="509"/>
      <c r="AL172" s="509"/>
      <c r="AM172" s="509"/>
      <c r="AN172" s="509"/>
    </row>
    <row r="173" spans="1:40" ht="15.75" customHeight="1">
      <c r="A173" s="494" t="s">
        <v>338</v>
      </c>
      <c r="B173" s="509" t="s">
        <v>83</v>
      </c>
      <c r="C173" s="529" t="s">
        <v>87</v>
      </c>
      <c r="D173" s="570"/>
      <c r="E173" s="640"/>
      <c r="F173" s="656">
        <v>0.76</v>
      </c>
      <c r="G173" s="556"/>
      <c r="H173" s="640"/>
      <c r="I173" s="656"/>
      <c r="J173" s="556"/>
      <c r="K173" s="509"/>
      <c r="L173" s="656">
        <v>0.80225650141535676</v>
      </c>
      <c r="M173" s="574"/>
      <c r="N173" s="555"/>
      <c r="O173" s="556"/>
      <c r="P173" s="509"/>
      <c r="Q173" s="656">
        <v>0.77977742438733721</v>
      </c>
      <c r="R173" s="556"/>
      <c r="S173" s="555"/>
      <c r="T173" s="570"/>
      <c r="AA173" s="509"/>
      <c r="AB173" s="509"/>
      <c r="AC173" s="509"/>
      <c r="AD173" s="509"/>
      <c r="AE173" s="509"/>
      <c r="AF173" s="509"/>
      <c r="AG173" s="509"/>
      <c r="AH173" s="509"/>
      <c r="AI173" s="509"/>
      <c r="AJ173" s="509"/>
      <c r="AK173" s="509"/>
      <c r="AL173" s="509"/>
      <c r="AM173" s="509"/>
      <c r="AN173" s="509"/>
    </row>
    <row r="174" spans="1:40" ht="15.75" customHeight="1">
      <c r="A174" s="494" t="s">
        <v>83</v>
      </c>
      <c r="B174" s="509" t="s">
        <v>83</v>
      </c>
      <c r="C174" s="522"/>
      <c r="D174" s="577"/>
      <c r="E174" s="657">
        <v>330</v>
      </c>
      <c r="F174" s="658"/>
      <c r="G174" s="659"/>
      <c r="H174" s="657"/>
      <c r="I174" s="658"/>
      <c r="J174" s="659"/>
      <c r="K174" s="657">
        <v>305.01943452380954</v>
      </c>
      <c r="L174" s="658"/>
      <c r="M174" s="578"/>
      <c r="N174" s="579"/>
      <c r="O174" s="659"/>
      <c r="P174" s="657">
        <v>326.06290476190316</v>
      </c>
      <c r="Q174" s="658"/>
      <c r="R174" s="659"/>
      <c r="S174" s="579"/>
      <c r="T174" s="570"/>
      <c r="AA174" s="509"/>
      <c r="AB174" s="509"/>
      <c r="AC174" s="509"/>
      <c r="AD174" s="509"/>
      <c r="AE174" s="509"/>
      <c r="AF174" s="509"/>
      <c r="AG174" s="509"/>
      <c r="AH174" s="509"/>
      <c r="AI174" s="509"/>
      <c r="AJ174" s="509"/>
      <c r="AK174" s="509"/>
      <c r="AL174" s="509"/>
      <c r="AM174" s="509"/>
      <c r="AN174" s="509"/>
    </row>
    <row r="175" spans="1:40" ht="18" customHeight="1">
      <c r="A175" s="494" t="s">
        <v>339</v>
      </c>
      <c r="B175" s="509" t="s">
        <v>83</v>
      </c>
      <c r="C175" s="517" t="s">
        <v>88</v>
      </c>
      <c r="D175" s="660">
        <v>178.3554</v>
      </c>
      <c r="E175" s="570">
        <v>48155.957999999999</v>
      </c>
      <c r="F175" s="570">
        <v>30819.813119999999</v>
      </c>
      <c r="G175" s="661"/>
      <c r="H175" s="570"/>
      <c r="I175" s="570"/>
      <c r="J175" s="661">
        <v>121</v>
      </c>
      <c r="K175" s="550">
        <v>35390.559999999998</v>
      </c>
      <c r="L175" s="532">
        <v>23971.609999999997</v>
      </c>
      <c r="M175" s="574">
        <v>-0.26508449899387321</v>
      </c>
      <c r="N175" s="602">
        <v>-6848.2031200000019</v>
      </c>
      <c r="O175" s="661">
        <v>84</v>
      </c>
      <c r="P175" s="550">
        <v>18769.009999999998</v>
      </c>
      <c r="Q175" s="532">
        <v>12245.8999999999</v>
      </c>
      <c r="R175" s="574">
        <v>1.4404761904761905</v>
      </c>
      <c r="S175" s="555">
        <v>11725.710000000097</v>
      </c>
      <c r="T175" s="570"/>
      <c r="U175" s="509"/>
      <c r="V175" s="530"/>
      <c r="W175" s="509"/>
      <c r="AA175" s="509"/>
      <c r="AB175" s="509"/>
      <c r="AC175" s="509"/>
      <c r="AD175" s="509"/>
      <c r="AE175" s="509"/>
      <c r="AF175" s="509"/>
      <c r="AG175" s="509"/>
      <c r="AH175" s="509"/>
      <c r="AI175" s="509"/>
      <c r="AJ175" s="509"/>
      <c r="AK175" s="509"/>
      <c r="AL175" s="509"/>
      <c r="AM175" s="509"/>
      <c r="AN175" s="509"/>
    </row>
    <row r="176" spans="1:40" ht="15.75" customHeight="1">
      <c r="A176" s="494" t="s">
        <v>338</v>
      </c>
      <c r="B176" s="509" t="s">
        <v>83</v>
      </c>
      <c r="C176" s="529" t="s">
        <v>87</v>
      </c>
      <c r="D176" s="509"/>
      <c r="E176" s="509"/>
      <c r="F176" s="656">
        <v>0.64</v>
      </c>
      <c r="G176" s="529"/>
      <c r="H176" s="509"/>
      <c r="I176" s="656"/>
      <c r="J176" s="529"/>
      <c r="K176" s="509"/>
      <c r="L176" s="656">
        <v>0.67734474956033475</v>
      </c>
      <c r="M176" s="546"/>
      <c r="N176" s="547"/>
      <c r="O176" s="529"/>
      <c r="P176" s="509"/>
      <c r="Q176" s="656">
        <v>0.65245316614994087</v>
      </c>
      <c r="R176" s="546"/>
      <c r="S176" s="547"/>
      <c r="T176" s="509"/>
      <c r="U176" s="509"/>
      <c r="V176" s="530"/>
      <c r="W176" s="662"/>
      <c r="AA176" s="509"/>
      <c r="AB176" s="509"/>
      <c r="AC176" s="509"/>
      <c r="AD176" s="509"/>
      <c r="AE176" s="509"/>
      <c r="AF176" s="509"/>
      <c r="AG176" s="509"/>
      <c r="AH176" s="509"/>
      <c r="AI176" s="509"/>
      <c r="AJ176" s="509"/>
      <c r="AK176" s="509"/>
      <c r="AL176" s="509"/>
      <c r="AM176" s="509"/>
      <c r="AN176" s="509"/>
    </row>
    <row r="177" spans="1:40" ht="15.75" customHeight="1">
      <c r="A177" s="494" t="s">
        <v>83</v>
      </c>
      <c r="B177" s="509" t="s">
        <v>83</v>
      </c>
      <c r="C177" s="522"/>
      <c r="D177" s="603"/>
      <c r="E177" s="657">
        <v>270</v>
      </c>
      <c r="F177" s="658"/>
      <c r="G177" s="659"/>
      <c r="H177" s="657"/>
      <c r="I177" s="658"/>
      <c r="J177" s="659"/>
      <c r="K177" s="657">
        <v>292.48396694214875</v>
      </c>
      <c r="L177" s="658"/>
      <c r="M177" s="578"/>
      <c r="N177" s="579"/>
      <c r="O177" s="659"/>
      <c r="P177" s="657">
        <v>223.44059523809523</v>
      </c>
      <c r="Q177" s="658"/>
      <c r="R177" s="663"/>
      <c r="S177" s="664"/>
      <c r="T177" s="509"/>
      <c r="AA177" s="509"/>
      <c r="AB177" s="509"/>
      <c r="AC177" s="509"/>
      <c r="AD177" s="509"/>
      <c r="AE177" s="509"/>
      <c r="AF177" s="509"/>
      <c r="AG177" s="509"/>
      <c r="AH177" s="509"/>
      <c r="AI177" s="509"/>
      <c r="AJ177" s="509"/>
      <c r="AK177" s="509"/>
      <c r="AL177" s="509"/>
      <c r="AM177" s="509"/>
      <c r="AN177" s="509"/>
    </row>
    <row r="178" spans="1:40" ht="15.75" customHeight="1">
      <c r="A178" s="494" t="s">
        <v>340</v>
      </c>
      <c r="B178" s="509" t="s">
        <v>83</v>
      </c>
      <c r="C178" s="529" t="s">
        <v>89</v>
      </c>
      <c r="D178" s="570">
        <v>301.875</v>
      </c>
      <c r="E178" s="570">
        <v>88751.25</v>
      </c>
      <c r="F178" s="570">
        <v>65675.925000000003</v>
      </c>
      <c r="G178" s="556"/>
      <c r="H178" s="570"/>
      <c r="I178" s="570"/>
      <c r="J178" s="556">
        <v>264</v>
      </c>
      <c r="K178" s="550">
        <v>81821.48</v>
      </c>
      <c r="L178" s="532">
        <v>63739.039999999994</v>
      </c>
      <c r="M178" s="574">
        <v>-7.8080815763158312E-2</v>
      </c>
      <c r="N178" s="555">
        <v>-1936.8850000000093</v>
      </c>
      <c r="O178" s="556">
        <v>218</v>
      </c>
      <c r="P178" s="550">
        <v>70537.03</v>
      </c>
      <c r="Q178" s="532">
        <v>51061.659999999902</v>
      </c>
      <c r="R178" s="574">
        <v>1.2110091743119267</v>
      </c>
      <c r="S178" s="555">
        <v>12677.380000000092</v>
      </c>
      <c r="T178" s="570"/>
      <c r="AA178" s="509"/>
      <c r="AB178" s="509"/>
      <c r="AC178" s="509"/>
      <c r="AD178" s="509"/>
      <c r="AE178" s="509"/>
      <c r="AF178" s="509"/>
      <c r="AG178" s="509"/>
      <c r="AH178" s="509"/>
      <c r="AI178" s="509"/>
      <c r="AJ178" s="509"/>
      <c r="AK178" s="509"/>
      <c r="AL178" s="509"/>
      <c r="AM178" s="509"/>
      <c r="AN178" s="509"/>
    </row>
    <row r="179" spans="1:40" ht="15.75" customHeight="1">
      <c r="A179" s="494" t="s">
        <v>338</v>
      </c>
      <c r="B179" s="509" t="s">
        <v>83</v>
      </c>
      <c r="C179" s="529" t="s">
        <v>87</v>
      </c>
      <c r="D179" s="570"/>
      <c r="E179" s="640"/>
      <c r="F179" s="656">
        <v>0.74</v>
      </c>
      <c r="G179" s="556"/>
      <c r="H179" s="640"/>
      <c r="I179" s="656"/>
      <c r="J179" s="556"/>
      <c r="K179" s="640"/>
      <c r="L179" s="656">
        <v>0.77900130870280027</v>
      </c>
      <c r="M179" s="574"/>
      <c r="N179" s="555">
        <v>3.9001308702800275E-2</v>
      </c>
      <c r="O179" s="556"/>
      <c r="P179" s="640"/>
      <c r="Q179" s="656">
        <v>0.72389863877171889</v>
      </c>
      <c r="R179" s="556">
        <v>0</v>
      </c>
      <c r="S179" s="555"/>
      <c r="T179" s="570"/>
      <c r="AA179" s="509"/>
      <c r="AB179" s="509"/>
      <c r="AC179" s="509"/>
      <c r="AD179" s="509"/>
      <c r="AE179" s="509"/>
      <c r="AF179" s="509"/>
      <c r="AG179" s="509"/>
      <c r="AH179" s="509"/>
      <c r="AI179" s="509"/>
      <c r="AJ179" s="509"/>
      <c r="AK179" s="509"/>
      <c r="AL179" s="509"/>
      <c r="AM179" s="509"/>
      <c r="AN179" s="509"/>
    </row>
    <row r="180" spans="1:40" ht="15.75" customHeight="1">
      <c r="A180" s="494" t="s">
        <v>83</v>
      </c>
      <c r="B180" s="509" t="s">
        <v>83</v>
      </c>
      <c r="C180" s="529"/>
      <c r="D180" s="570"/>
      <c r="E180" s="657">
        <v>294</v>
      </c>
      <c r="F180" s="658"/>
      <c r="G180" s="659"/>
      <c r="H180" s="657"/>
      <c r="I180" s="658"/>
      <c r="J180" s="659"/>
      <c r="K180" s="657">
        <v>309.92984848484849</v>
      </c>
      <c r="L180" s="658"/>
      <c r="M180" s="578"/>
      <c r="N180" s="579"/>
      <c r="O180" s="659"/>
      <c r="P180" s="657">
        <v>323.56435779816513</v>
      </c>
      <c r="Q180" s="656"/>
      <c r="R180" s="659"/>
      <c r="S180" s="555"/>
      <c r="T180" s="570"/>
      <c r="U180" s="549"/>
      <c r="AA180" s="509"/>
      <c r="AB180" s="509"/>
      <c r="AC180" s="509"/>
      <c r="AD180" s="509"/>
      <c r="AE180" s="509"/>
      <c r="AF180" s="509"/>
      <c r="AG180" s="509"/>
      <c r="AH180" s="509"/>
      <c r="AI180" s="509"/>
      <c r="AJ180" s="509"/>
      <c r="AK180" s="509"/>
      <c r="AL180" s="509"/>
      <c r="AM180" s="509"/>
      <c r="AN180" s="509"/>
    </row>
    <row r="181" spans="1:40" ht="15.75" customHeight="1">
      <c r="A181" s="494" t="s">
        <v>341</v>
      </c>
      <c r="B181" s="509" t="s">
        <v>83</v>
      </c>
      <c r="C181" s="517" t="s">
        <v>90</v>
      </c>
      <c r="D181" s="660">
        <v>198.27442913289764</v>
      </c>
      <c r="E181" s="570">
        <v>19827.442913289764</v>
      </c>
      <c r="F181" s="570">
        <v>15068.856614100221</v>
      </c>
      <c r="G181" s="661"/>
      <c r="H181" s="570"/>
      <c r="I181" s="570"/>
      <c r="J181" s="661">
        <v>0</v>
      </c>
      <c r="K181" s="550">
        <v>27206.52</v>
      </c>
      <c r="L181" s="551">
        <v>17588.690000000002</v>
      </c>
      <c r="M181" s="665">
        <v>0.37216483834959141</v>
      </c>
      <c r="N181" s="602">
        <v>2519.8333858997812</v>
      </c>
      <c r="O181" s="661">
        <v>0</v>
      </c>
      <c r="P181" s="550">
        <v>18455.04</v>
      </c>
      <c r="Q181" s="551">
        <v>14338.96</v>
      </c>
      <c r="R181" s="574">
        <v>0</v>
      </c>
      <c r="S181" s="602">
        <v>3249.7300000000032</v>
      </c>
      <c r="T181" s="570"/>
      <c r="U181" s="549"/>
      <c r="AA181" s="509"/>
      <c r="AB181" s="509"/>
      <c r="AC181" s="509"/>
      <c r="AD181" s="509"/>
      <c r="AE181" s="509"/>
      <c r="AF181" s="509"/>
      <c r="AG181" s="509"/>
      <c r="AH181" s="509"/>
      <c r="AI181" s="509"/>
      <c r="AJ181" s="509"/>
      <c r="AK181" s="509"/>
      <c r="AL181" s="509"/>
      <c r="AM181" s="509"/>
      <c r="AN181" s="509"/>
    </row>
    <row r="182" spans="1:40" ht="15.75" customHeight="1">
      <c r="A182" s="494" t="s">
        <v>338</v>
      </c>
      <c r="B182" s="509" t="s">
        <v>83</v>
      </c>
      <c r="C182" s="529" t="s">
        <v>87</v>
      </c>
      <c r="D182" s="568"/>
      <c r="E182" s="666"/>
      <c r="F182" s="656">
        <v>0.76</v>
      </c>
      <c r="G182" s="548"/>
      <c r="H182" s="666"/>
      <c r="I182" s="656"/>
      <c r="J182" s="667"/>
      <c r="K182" s="666">
        <v>0</v>
      </c>
      <c r="L182" s="656">
        <v>0.64648804771797352</v>
      </c>
      <c r="M182" s="556">
        <v>0</v>
      </c>
      <c r="N182" s="668"/>
      <c r="O182" s="667"/>
      <c r="P182" s="666"/>
      <c r="Q182" s="656">
        <v>0.77696715910667213</v>
      </c>
      <c r="R182" s="529"/>
      <c r="S182" s="668"/>
      <c r="T182" s="604"/>
      <c r="U182" s="549"/>
      <c r="AA182" s="509"/>
      <c r="AB182" s="509"/>
      <c r="AC182" s="509"/>
      <c r="AD182" s="509"/>
      <c r="AE182" s="509"/>
      <c r="AF182" s="509"/>
      <c r="AG182" s="509"/>
      <c r="AH182" s="509"/>
      <c r="AI182" s="509"/>
      <c r="AJ182" s="509"/>
      <c r="AK182" s="509"/>
      <c r="AL182" s="509"/>
      <c r="AM182" s="509"/>
      <c r="AN182" s="509"/>
    </row>
    <row r="183" spans="1:40" ht="15.75" customHeight="1">
      <c r="A183" s="494" t="s">
        <v>83</v>
      </c>
      <c r="B183" s="509" t="s">
        <v>83</v>
      </c>
      <c r="C183" s="522"/>
      <c r="D183" s="669"/>
      <c r="E183" s="670"/>
      <c r="F183" s="658"/>
      <c r="G183" s="542"/>
      <c r="H183" s="670"/>
      <c r="I183" s="658"/>
      <c r="J183" s="671"/>
      <c r="K183" s="526"/>
      <c r="L183" s="658"/>
      <c r="M183" s="659"/>
      <c r="N183" s="672"/>
      <c r="O183" s="671"/>
      <c r="P183" s="526">
        <v>0</v>
      </c>
      <c r="Q183" s="658"/>
      <c r="R183" s="522"/>
      <c r="S183" s="672"/>
      <c r="T183" s="604"/>
      <c r="AA183" s="509"/>
      <c r="AB183" s="509"/>
      <c r="AC183" s="509"/>
      <c r="AD183" s="509"/>
      <c r="AE183" s="509"/>
      <c r="AF183" s="509"/>
      <c r="AG183" s="509"/>
      <c r="AH183" s="509"/>
      <c r="AI183" s="509"/>
      <c r="AJ183" s="509"/>
      <c r="AK183" s="509"/>
      <c r="AL183" s="509"/>
      <c r="AM183" s="509"/>
      <c r="AN183" s="509"/>
    </row>
    <row r="184" spans="1:40" ht="26.25" customHeight="1" thickBot="1">
      <c r="A184" s="494" t="s">
        <v>342</v>
      </c>
      <c r="B184" s="509" t="s">
        <v>83</v>
      </c>
      <c r="C184" s="529" t="s">
        <v>91</v>
      </c>
      <c r="D184" s="509"/>
      <c r="E184" s="509"/>
      <c r="F184" s="555">
        <v>-5026.1907963026288</v>
      </c>
      <c r="G184" s="529"/>
      <c r="H184" s="570"/>
      <c r="I184" s="570"/>
      <c r="J184" s="556"/>
      <c r="K184" s="570"/>
      <c r="L184" s="570">
        <v>-2141.9499999999998</v>
      </c>
      <c r="M184" s="667"/>
      <c r="N184" s="555">
        <v>2884.240796302629</v>
      </c>
      <c r="O184" s="556"/>
      <c r="P184" s="570"/>
      <c r="Q184" s="532">
        <v>-211.89</v>
      </c>
      <c r="R184" s="673"/>
      <c r="S184" s="555">
        <v>-1930.06</v>
      </c>
      <c r="T184" s="509"/>
      <c r="U184" s="509"/>
      <c r="V184" s="509"/>
      <c r="W184" s="509"/>
      <c r="X184" s="509"/>
      <c r="Y184" s="509"/>
      <c r="Z184" s="509"/>
      <c r="AA184" s="509"/>
      <c r="AB184" s="509"/>
      <c r="AC184" s="509"/>
      <c r="AD184" s="509"/>
      <c r="AE184" s="509"/>
      <c r="AF184" s="509"/>
      <c r="AG184" s="509"/>
      <c r="AH184" s="509"/>
      <c r="AI184" s="509"/>
      <c r="AJ184" s="509"/>
      <c r="AK184" s="509"/>
      <c r="AL184" s="509"/>
      <c r="AM184" s="509"/>
      <c r="AN184" s="509"/>
    </row>
    <row r="185" spans="1:40" ht="15.75" customHeight="1" thickTop="1">
      <c r="A185" s="494" t="s">
        <v>343</v>
      </c>
      <c r="B185" s="509" t="s">
        <v>83</v>
      </c>
      <c r="C185" s="674" t="s">
        <v>92</v>
      </c>
      <c r="D185" s="675">
        <v>1520.6420291328977</v>
      </c>
      <c r="E185" s="675">
        <v>434639.92691328976</v>
      </c>
      <c r="F185" s="676">
        <v>317746.41369779763</v>
      </c>
      <c r="G185" s="677"/>
      <c r="H185" s="675"/>
      <c r="I185" s="676"/>
      <c r="J185" s="677">
        <v>1057</v>
      </c>
      <c r="K185" s="675">
        <v>349391.62</v>
      </c>
      <c r="L185" s="676">
        <v>267598.36</v>
      </c>
      <c r="M185" s="678">
        <v>-0.19613547130541625</v>
      </c>
      <c r="N185" s="676">
        <v>-50148.053697797644</v>
      </c>
      <c r="O185" s="677">
        <v>932</v>
      </c>
      <c r="P185" s="675">
        <v>313180.70999999897</v>
      </c>
      <c r="Q185" s="676">
        <v>237616.21999999878</v>
      </c>
      <c r="R185" s="546">
        <v>1.1341201716738198</v>
      </c>
      <c r="S185" s="676">
        <v>29982.140000001207</v>
      </c>
      <c r="T185" s="604"/>
      <c r="U185" s="509"/>
      <c r="V185" s="509"/>
      <c r="W185" s="509"/>
      <c r="X185" s="509"/>
      <c r="Y185" s="509"/>
      <c r="Z185" s="509"/>
      <c r="AA185" s="509"/>
      <c r="AB185" s="509"/>
      <c r="AC185" s="509"/>
      <c r="AD185" s="509"/>
      <c r="AE185" s="509"/>
      <c r="AF185" s="509"/>
      <c r="AG185" s="509"/>
      <c r="AH185" s="509"/>
      <c r="AI185" s="509"/>
      <c r="AJ185" s="509"/>
      <c r="AK185" s="509"/>
      <c r="AL185" s="509"/>
      <c r="AM185" s="509"/>
      <c r="AN185" s="509"/>
    </row>
    <row r="186" spans="1:40" ht="15.75" customHeight="1">
      <c r="A186" s="494" t="s">
        <v>344</v>
      </c>
      <c r="B186" s="509" t="s">
        <v>83</v>
      </c>
      <c r="C186" s="679" t="s">
        <v>93</v>
      </c>
      <c r="D186" s="680"/>
      <c r="E186" s="681"/>
      <c r="F186" s="682">
        <v>0.73105666097994659</v>
      </c>
      <c r="G186" s="683"/>
      <c r="H186" s="681"/>
      <c r="I186" s="547"/>
      <c r="J186" s="683"/>
      <c r="K186" s="681">
        <v>330.55025543992429</v>
      </c>
      <c r="L186" s="547">
        <v>0.76589804872824363</v>
      </c>
      <c r="M186" s="683"/>
      <c r="N186" s="682">
        <v>-0.15782413753847266</v>
      </c>
      <c r="O186" s="683"/>
      <c r="P186" s="681">
        <v>336.03080472102891</v>
      </c>
      <c r="Q186" s="547">
        <v>0.75871920719510333</v>
      </c>
      <c r="R186" s="683"/>
      <c r="S186" s="547">
        <v>0.12617884418833597</v>
      </c>
      <c r="T186" s="604"/>
      <c r="U186" s="509"/>
      <c r="V186" s="509"/>
      <c r="W186" s="509"/>
      <c r="X186" s="509"/>
      <c r="Y186" s="509"/>
      <c r="Z186" s="509"/>
      <c r="AA186" s="509"/>
      <c r="AB186" s="509"/>
      <c r="AC186" s="509"/>
      <c r="AD186" s="509"/>
      <c r="AE186" s="509"/>
      <c r="AF186" s="509"/>
      <c r="AG186" s="509"/>
      <c r="AH186" s="509"/>
      <c r="AI186" s="509"/>
      <c r="AJ186" s="509"/>
      <c r="AK186" s="509"/>
      <c r="AL186" s="509"/>
      <c r="AM186" s="509"/>
      <c r="AN186" s="509"/>
    </row>
    <row r="187" spans="1:40" ht="15.75" customHeight="1">
      <c r="A187" s="494" t="s">
        <v>83</v>
      </c>
      <c r="B187" s="509" t="s">
        <v>83</v>
      </c>
      <c r="C187" s="535"/>
      <c r="D187" s="684"/>
      <c r="E187" s="685"/>
      <c r="F187" s="686"/>
      <c r="G187" s="687"/>
      <c r="H187" s="685"/>
      <c r="I187" s="686"/>
      <c r="J187" s="687"/>
      <c r="K187" s="685"/>
      <c r="L187" s="686"/>
      <c r="M187" s="687"/>
      <c r="N187" s="686"/>
      <c r="O187" s="687"/>
      <c r="P187" s="685"/>
      <c r="Q187" s="686"/>
      <c r="R187" s="687"/>
      <c r="S187" s="686"/>
      <c r="T187" s="604"/>
      <c r="U187" s="509"/>
      <c r="V187" s="509"/>
      <c r="W187" s="509"/>
      <c r="X187" s="509"/>
      <c r="Y187" s="509"/>
      <c r="Z187" s="509"/>
      <c r="AA187" s="509"/>
      <c r="AB187" s="509"/>
      <c r="AC187" s="509"/>
      <c r="AD187" s="509"/>
      <c r="AE187" s="509"/>
      <c r="AF187" s="509"/>
      <c r="AG187" s="509"/>
      <c r="AH187" s="509"/>
      <c r="AI187" s="509"/>
      <c r="AJ187" s="509"/>
      <c r="AK187" s="509"/>
      <c r="AL187" s="509"/>
      <c r="AM187" s="509"/>
      <c r="AN187" s="509"/>
    </row>
    <row r="188" spans="1:40" ht="19.5" customHeight="1">
      <c r="A188" s="494" t="s">
        <v>345</v>
      </c>
      <c r="B188" s="509" t="s">
        <v>83</v>
      </c>
      <c r="C188" s="529" t="s">
        <v>94</v>
      </c>
      <c r="D188" s="570"/>
      <c r="E188" s="570">
        <v>20070</v>
      </c>
      <c r="F188" s="570">
        <v>4415.3999999999996</v>
      </c>
      <c r="G188" s="556"/>
      <c r="H188" s="570"/>
      <c r="I188" s="570"/>
      <c r="J188" s="556"/>
      <c r="K188" s="530">
        <v>31330.82</v>
      </c>
      <c r="L188" s="532">
        <v>5707.760000000002</v>
      </c>
      <c r="M188" s="574">
        <v>0.56107722969606377</v>
      </c>
      <c r="N188" s="555">
        <v>1292.3600000000024</v>
      </c>
      <c r="O188" s="556"/>
      <c r="P188" s="530">
        <v>11573.04</v>
      </c>
      <c r="Q188" s="532">
        <v>1454.89</v>
      </c>
      <c r="R188" s="574">
        <v>0</v>
      </c>
      <c r="S188" s="555">
        <v>4252.8700000000017</v>
      </c>
      <c r="T188" s="604"/>
      <c r="U188" s="509"/>
      <c r="V188" s="509"/>
      <c r="W188" s="509"/>
      <c r="X188" s="509"/>
      <c r="Y188" s="509"/>
      <c r="Z188" s="509"/>
      <c r="AA188" s="509"/>
      <c r="AB188" s="509"/>
      <c r="AC188" s="509"/>
      <c r="AD188" s="509"/>
      <c r="AE188" s="509"/>
      <c r="AF188" s="509"/>
      <c r="AG188" s="509"/>
      <c r="AH188" s="509"/>
      <c r="AI188" s="509"/>
      <c r="AJ188" s="509"/>
      <c r="AK188" s="509"/>
      <c r="AL188" s="509"/>
      <c r="AM188" s="509"/>
      <c r="AN188" s="509"/>
    </row>
    <row r="189" spans="1:40" ht="21" customHeight="1">
      <c r="A189" s="494" t="s">
        <v>338</v>
      </c>
      <c r="B189" s="509" t="s">
        <v>83</v>
      </c>
      <c r="C189" s="529" t="s">
        <v>87</v>
      </c>
      <c r="D189" s="509"/>
      <c r="E189" s="640"/>
      <c r="F189" s="656">
        <v>0.21999999999999997</v>
      </c>
      <c r="G189" s="529"/>
      <c r="H189" s="640"/>
      <c r="I189" s="656"/>
      <c r="J189" s="667"/>
      <c r="K189" s="666"/>
      <c r="L189" s="656">
        <v>0.18217716612587867</v>
      </c>
      <c r="M189" s="667"/>
      <c r="N189" s="668"/>
      <c r="O189" s="667"/>
      <c r="P189" s="666"/>
      <c r="Q189" s="656">
        <v>0.12571372776729364</v>
      </c>
      <c r="R189" s="667"/>
      <c r="S189" s="668"/>
      <c r="T189" s="604"/>
      <c r="U189" s="509"/>
      <c r="V189" s="509"/>
      <c r="W189" s="509"/>
      <c r="X189" s="509"/>
      <c r="Y189" s="509"/>
      <c r="Z189" s="509"/>
      <c r="AA189" s="509"/>
      <c r="AB189" s="509"/>
      <c r="AC189" s="509"/>
      <c r="AD189" s="509"/>
      <c r="AE189" s="509"/>
      <c r="AF189" s="509"/>
      <c r="AG189" s="509"/>
      <c r="AH189" s="509"/>
      <c r="AI189" s="509"/>
      <c r="AJ189" s="509"/>
      <c r="AK189" s="509"/>
      <c r="AL189" s="509"/>
      <c r="AM189" s="509"/>
      <c r="AN189" s="509"/>
    </row>
    <row r="190" spans="1:40" ht="15.75" customHeight="1">
      <c r="A190" s="494" t="s">
        <v>83</v>
      </c>
      <c r="B190" s="509" t="s">
        <v>83</v>
      </c>
      <c r="C190" s="529"/>
      <c r="D190" s="509"/>
      <c r="E190" s="640"/>
      <c r="F190" s="656"/>
      <c r="G190" s="529"/>
      <c r="H190" s="640"/>
      <c r="I190" s="656"/>
      <c r="J190" s="667"/>
      <c r="K190" s="666"/>
      <c r="L190" s="656"/>
      <c r="M190" s="667"/>
      <c r="N190" s="668"/>
      <c r="O190" s="667"/>
      <c r="P190" s="666"/>
      <c r="Q190" s="656"/>
      <c r="R190" s="667"/>
      <c r="S190" s="668"/>
      <c r="T190" s="604"/>
      <c r="U190" s="509"/>
      <c r="V190" s="509"/>
      <c r="W190" s="509"/>
      <c r="X190" s="509"/>
      <c r="Y190" s="509"/>
      <c r="Z190" s="509"/>
      <c r="AA190" s="509"/>
      <c r="AB190" s="509"/>
      <c r="AC190" s="509"/>
      <c r="AD190" s="509"/>
      <c r="AE190" s="509"/>
      <c r="AF190" s="509"/>
      <c r="AG190" s="509"/>
      <c r="AH190" s="509"/>
      <c r="AI190" s="509"/>
      <c r="AJ190" s="509"/>
      <c r="AK190" s="509"/>
      <c r="AL190" s="509"/>
      <c r="AM190" s="509"/>
      <c r="AN190" s="509"/>
    </row>
    <row r="191" spans="1:40" ht="15.75" customHeight="1">
      <c r="A191" s="494" t="s">
        <v>346</v>
      </c>
      <c r="B191" s="509" t="s">
        <v>83</v>
      </c>
      <c r="C191" s="529" t="s">
        <v>95</v>
      </c>
      <c r="D191" s="509"/>
      <c r="E191" s="570">
        <v>19827.442913289764</v>
      </c>
      <c r="F191" s="570">
        <v>13879.210039302834</v>
      </c>
      <c r="G191" s="529"/>
      <c r="H191" s="570"/>
      <c r="I191" s="570"/>
      <c r="J191" s="556">
        <v>76</v>
      </c>
      <c r="K191" s="530">
        <v>15244.65</v>
      </c>
      <c r="L191" s="532">
        <v>8650.89</v>
      </c>
      <c r="M191" s="667"/>
      <c r="N191" s="668"/>
      <c r="O191" s="667"/>
      <c r="P191" s="530">
        <v>0</v>
      </c>
      <c r="Q191" s="656">
        <v>0</v>
      </c>
      <c r="R191" s="667"/>
      <c r="S191" s="668"/>
      <c r="T191" s="604"/>
      <c r="U191" s="509"/>
      <c r="V191" s="509"/>
      <c r="W191" s="509"/>
      <c r="X191" s="509"/>
      <c r="Y191" s="509"/>
      <c r="Z191" s="509"/>
      <c r="AA191" s="509"/>
      <c r="AB191" s="509"/>
      <c r="AC191" s="509"/>
      <c r="AD191" s="509"/>
      <c r="AE191" s="509"/>
      <c r="AF191" s="509"/>
      <c r="AG191" s="509"/>
      <c r="AH191" s="509"/>
      <c r="AI191" s="509"/>
      <c r="AJ191" s="509"/>
      <c r="AK191" s="509"/>
      <c r="AL191" s="509"/>
      <c r="AM191" s="509"/>
      <c r="AN191" s="509"/>
    </row>
    <row r="192" spans="1:40" ht="15.75" customHeight="1">
      <c r="A192" s="494" t="s">
        <v>338</v>
      </c>
      <c r="B192" s="509" t="s">
        <v>83</v>
      </c>
      <c r="C192" s="529" t="s">
        <v>87</v>
      </c>
      <c r="D192" s="509"/>
      <c r="E192" s="640"/>
      <c r="F192" s="656">
        <v>0.7</v>
      </c>
      <c r="G192" s="529"/>
      <c r="H192" s="640"/>
      <c r="I192" s="656"/>
      <c r="J192" s="667"/>
      <c r="K192" s="666"/>
      <c r="L192" s="656">
        <v>0.56747055524397083</v>
      </c>
      <c r="M192" s="667"/>
      <c r="N192" s="668"/>
      <c r="O192" s="667"/>
      <c r="P192" s="666"/>
      <c r="Q192" s="656">
        <v>0</v>
      </c>
      <c r="R192" s="667"/>
      <c r="S192" s="668"/>
      <c r="T192" s="604"/>
      <c r="U192" s="530"/>
      <c r="V192" s="509"/>
      <c r="W192" s="509"/>
      <c r="X192" s="509"/>
      <c r="Y192" s="509"/>
      <c r="Z192" s="509"/>
      <c r="AA192" s="509"/>
      <c r="AB192" s="509"/>
      <c r="AC192" s="509"/>
      <c r="AD192" s="509"/>
      <c r="AE192" s="509"/>
      <c r="AF192" s="509"/>
      <c r="AG192" s="509"/>
      <c r="AH192" s="509"/>
      <c r="AI192" s="509"/>
      <c r="AJ192" s="509"/>
      <c r="AK192" s="509"/>
      <c r="AL192" s="509"/>
      <c r="AM192" s="509"/>
      <c r="AN192" s="509"/>
    </row>
    <row r="193" spans="1:40" ht="15.75" customHeight="1" thickBot="1">
      <c r="A193" s="494" t="s">
        <v>83</v>
      </c>
      <c r="B193" s="509" t="s">
        <v>83</v>
      </c>
      <c r="C193" s="688"/>
      <c r="D193" s="689"/>
      <c r="E193" s="690"/>
      <c r="F193" s="691"/>
      <c r="G193" s="692"/>
      <c r="H193" s="690"/>
      <c r="I193" s="691"/>
      <c r="J193" s="692"/>
      <c r="K193" s="690"/>
      <c r="L193" s="691"/>
      <c r="M193" s="692"/>
      <c r="N193" s="691"/>
      <c r="O193" s="692"/>
      <c r="P193" s="690"/>
      <c r="Q193" s="691"/>
      <c r="R193" s="692"/>
      <c r="S193" s="691"/>
      <c r="T193" s="604"/>
      <c r="U193" s="509"/>
      <c r="V193" s="509"/>
      <c r="W193" s="509"/>
      <c r="X193" s="509"/>
      <c r="Y193" s="509"/>
      <c r="Z193" s="509"/>
      <c r="AA193" s="509"/>
      <c r="AB193" s="509"/>
      <c r="AC193" s="509"/>
      <c r="AD193" s="509"/>
      <c r="AE193" s="509"/>
      <c r="AF193" s="509"/>
      <c r="AG193" s="509"/>
      <c r="AH193" s="509"/>
      <c r="AI193" s="509"/>
      <c r="AJ193" s="509"/>
      <c r="AK193" s="509"/>
      <c r="AL193" s="509"/>
      <c r="AM193" s="509"/>
      <c r="AN193" s="509"/>
    </row>
    <row r="194" spans="1:40" ht="24.75" customHeight="1" thickTop="1">
      <c r="A194" s="494" t="s">
        <v>347</v>
      </c>
      <c r="B194" s="509" t="s">
        <v>83</v>
      </c>
      <c r="C194" s="557" t="s">
        <v>96</v>
      </c>
      <c r="D194" s="558"/>
      <c r="E194" s="558">
        <v>474537.36982657952</v>
      </c>
      <c r="F194" s="560">
        <v>336041.02373710048</v>
      </c>
      <c r="G194" s="561"/>
      <c r="H194" s="558"/>
      <c r="I194" s="560"/>
      <c r="J194" s="561"/>
      <c r="K194" s="558">
        <v>395967.09</v>
      </c>
      <c r="L194" s="560">
        <v>281957.01</v>
      </c>
      <c r="M194" s="693">
        <v>3.9273390095990734E-3</v>
      </c>
      <c r="N194" s="560">
        <v>-54084.013737100468</v>
      </c>
      <c r="O194" s="561"/>
      <c r="P194" s="558">
        <v>324753.74999999895</v>
      </c>
      <c r="Q194" s="560">
        <v>239071.10999999879</v>
      </c>
      <c r="R194" s="693"/>
      <c r="S194" s="560">
        <v>42885.900000001217</v>
      </c>
      <c r="T194" s="604"/>
      <c r="U194" s="570"/>
      <c r="V194" s="509"/>
      <c r="W194" s="509"/>
      <c r="X194" s="509"/>
      <c r="Y194" s="509"/>
      <c r="Z194" s="509"/>
      <c r="AA194" s="509"/>
      <c r="AB194" s="509"/>
      <c r="AC194" s="509"/>
      <c r="AD194" s="509"/>
      <c r="AE194" s="509"/>
      <c r="AF194" s="509"/>
      <c r="AG194" s="509"/>
      <c r="AH194" s="509"/>
      <c r="AI194" s="509"/>
      <c r="AJ194" s="509"/>
      <c r="AK194" s="509"/>
      <c r="AL194" s="509"/>
      <c r="AM194" s="509"/>
      <c r="AN194" s="509"/>
    </row>
    <row r="195" spans="1:40" ht="24" customHeight="1" thickBot="1">
      <c r="A195" s="494" t="s">
        <v>83</v>
      </c>
      <c r="B195" s="509" t="s">
        <v>83</v>
      </c>
      <c r="C195" s="562"/>
      <c r="D195" s="563"/>
      <c r="E195" s="563"/>
      <c r="F195" s="567">
        <v>0.70814448999012913</v>
      </c>
      <c r="G195" s="562"/>
      <c r="H195" s="563"/>
      <c r="I195" s="567"/>
      <c r="J195" s="562"/>
      <c r="K195" s="563"/>
      <c r="L195" s="567">
        <v>0.71207182899972821</v>
      </c>
      <c r="M195" s="566"/>
      <c r="N195" s="567">
        <v>-0.1609446761458885</v>
      </c>
      <c r="O195" s="562"/>
      <c r="P195" s="563"/>
      <c r="Q195" s="567">
        <v>0.7361611990623651</v>
      </c>
      <c r="R195" s="566"/>
      <c r="S195" s="567">
        <v>6.574585353227798</v>
      </c>
      <c r="T195" s="568"/>
      <c r="U195" s="509"/>
      <c r="V195" s="509"/>
      <c r="W195" s="509"/>
      <c r="X195" s="509"/>
      <c r="Y195" s="509"/>
      <c r="Z195" s="509"/>
      <c r="AA195" s="509"/>
      <c r="AB195" s="509"/>
      <c r="AC195" s="509"/>
      <c r="AD195" s="509"/>
      <c r="AE195" s="509"/>
      <c r="AF195" s="509"/>
      <c r="AG195" s="509"/>
      <c r="AH195" s="509"/>
      <c r="AI195" s="509"/>
      <c r="AJ195" s="509"/>
      <c r="AK195" s="509"/>
      <c r="AL195" s="509"/>
      <c r="AM195" s="509"/>
      <c r="AN195" s="509"/>
    </row>
    <row r="196" spans="1:40" ht="15.75" customHeight="1" thickTop="1">
      <c r="A196" s="494" t="s">
        <v>83</v>
      </c>
      <c r="B196" s="509" t="s">
        <v>83</v>
      </c>
      <c r="C196" s="548"/>
      <c r="D196" s="568"/>
      <c r="E196" s="568"/>
      <c r="F196" s="547"/>
      <c r="G196" s="548"/>
      <c r="H196" s="568"/>
      <c r="I196" s="547"/>
      <c r="J196" s="548"/>
      <c r="K196" s="604"/>
      <c r="L196" s="547"/>
      <c r="M196" s="546"/>
      <c r="N196" s="547"/>
      <c r="O196" s="548"/>
      <c r="P196" s="568"/>
      <c r="Q196" s="547"/>
      <c r="R196" s="546"/>
      <c r="S196" s="547"/>
      <c r="T196" s="568"/>
      <c r="U196" s="509"/>
      <c r="V196" s="509"/>
      <c r="W196" s="509"/>
      <c r="X196" s="509"/>
      <c r="Y196" s="509"/>
      <c r="Z196" s="509"/>
      <c r="AA196" s="509"/>
      <c r="AB196" s="509"/>
      <c r="AC196" s="509"/>
      <c r="AD196" s="509"/>
      <c r="AE196" s="509"/>
      <c r="AF196" s="509"/>
      <c r="AG196" s="509"/>
      <c r="AH196" s="509"/>
      <c r="AI196" s="509"/>
      <c r="AJ196" s="509"/>
      <c r="AK196" s="509"/>
      <c r="AL196" s="509"/>
      <c r="AM196" s="509"/>
      <c r="AN196" s="509"/>
    </row>
    <row r="197" spans="1:40" ht="15.75" customHeight="1">
      <c r="A197" s="494" t="s">
        <v>348</v>
      </c>
      <c r="B197" s="509" t="s">
        <v>83</v>
      </c>
      <c r="C197" s="571" t="s">
        <v>30</v>
      </c>
      <c r="D197" s="509"/>
      <c r="E197" s="509"/>
      <c r="F197" s="555"/>
      <c r="G197" s="529"/>
      <c r="H197" s="509"/>
      <c r="I197" s="555"/>
      <c r="J197" s="529"/>
      <c r="K197" s="509"/>
      <c r="L197" s="539"/>
      <c r="M197" s="529"/>
      <c r="N197" s="539"/>
      <c r="O197" s="529"/>
      <c r="P197" s="509"/>
      <c r="Q197" s="539"/>
      <c r="R197" s="529"/>
      <c r="S197" s="539"/>
      <c r="T197" s="509"/>
      <c r="U197" s="509"/>
      <c r="V197" s="509"/>
      <c r="W197" s="509"/>
      <c r="X197" s="509"/>
      <c r="Y197" s="509"/>
      <c r="Z197" s="509"/>
      <c r="AA197" s="509"/>
      <c r="AB197" s="509"/>
      <c r="AC197" s="509"/>
      <c r="AD197" s="509"/>
      <c r="AE197" s="509"/>
      <c r="AF197" s="509"/>
      <c r="AG197" s="509"/>
      <c r="AH197" s="509"/>
      <c r="AI197" s="509"/>
      <c r="AJ197" s="509"/>
      <c r="AK197" s="509"/>
      <c r="AL197" s="509"/>
      <c r="AM197" s="509"/>
      <c r="AN197" s="509"/>
    </row>
    <row r="198" spans="1:40" ht="15.75" customHeight="1">
      <c r="A198" s="494" t="s">
        <v>349</v>
      </c>
      <c r="B198" s="509" t="s">
        <v>83</v>
      </c>
      <c r="C198" s="596" t="s">
        <v>41</v>
      </c>
      <c r="D198" s="509"/>
      <c r="E198" s="509"/>
      <c r="F198" s="530">
        <v>18569.281891025639</v>
      </c>
      <c r="G198" s="529"/>
      <c r="H198" s="509"/>
      <c r="I198" s="530"/>
      <c r="J198" s="529"/>
      <c r="K198" s="509"/>
      <c r="L198" s="532">
        <v>12594.56</v>
      </c>
      <c r="M198" s="529"/>
      <c r="N198" s="532">
        <v>-5974.7218910256397</v>
      </c>
      <c r="O198" s="529"/>
      <c r="P198" s="509"/>
      <c r="Q198" s="532">
        <v>16331.68</v>
      </c>
      <c r="R198" s="529"/>
      <c r="S198" s="532">
        <v>-3737.1200000000008</v>
      </c>
      <c r="T198" s="509"/>
      <c r="U198" s="509"/>
      <c r="V198" s="509"/>
      <c r="W198" s="509"/>
      <c r="X198" s="509"/>
      <c r="Y198" s="509"/>
      <c r="Z198" s="509"/>
      <c r="AA198" s="509"/>
      <c r="AB198" s="509"/>
      <c r="AC198" s="509"/>
      <c r="AD198" s="509"/>
      <c r="AE198" s="509"/>
      <c r="AF198" s="509"/>
      <c r="AG198" s="509"/>
      <c r="AH198" s="509"/>
      <c r="AI198" s="509"/>
      <c r="AJ198" s="509"/>
      <c r="AK198" s="509"/>
      <c r="AL198" s="509"/>
      <c r="AM198" s="509"/>
      <c r="AN198" s="509"/>
    </row>
    <row r="199" spans="1:40" ht="15.75" customHeight="1">
      <c r="A199" s="494" t="s">
        <v>350</v>
      </c>
      <c r="B199" s="509" t="s">
        <v>83</v>
      </c>
      <c r="C199" s="598" t="s">
        <v>42</v>
      </c>
      <c r="D199" s="581"/>
      <c r="E199" s="509"/>
      <c r="F199" s="524">
        <v>10551.194423076922</v>
      </c>
      <c r="G199" s="582"/>
      <c r="H199" s="509"/>
      <c r="I199" s="524"/>
      <c r="J199" s="529"/>
      <c r="K199" s="509"/>
      <c r="L199" s="532">
        <v>9538.9</v>
      </c>
      <c r="M199" s="529"/>
      <c r="N199" s="532">
        <v>-1012.2944230769226</v>
      </c>
      <c r="O199" s="529"/>
      <c r="P199" s="509"/>
      <c r="Q199" s="532">
        <v>7247.63</v>
      </c>
      <c r="R199" s="529"/>
      <c r="S199" s="555">
        <v>2291.2699999999995</v>
      </c>
      <c r="T199" s="509"/>
      <c r="U199" s="509"/>
      <c r="V199" s="509"/>
      <c r="W199" s="509"/>
      <c r="X199" s="509"/>
      <c r="Y199" s="509"/>
      <c r="Z199" s="509"/>
      <c r="AA199" s="509"/>
      <c r="AB199" s="509"/>
      <c r="AC199" s="509"/>
      <c r="AD199" s="509"/>
      <c r="AE199" s="509"/>
      <c r="AF199" s="509"/>
      <c r="AG199" s="509"/>
      <c r="AH199" s="509"/>
      <c r="AI199" s="509"/>
      <c r="AJ199" s="509"/>
      <c r="AK199" s="509"/>
      <c r="AL199" s="509"/>
      <c r="AM199" s="509"/>
      <c r="AN199" s="509"/>
    </row>
    <row r="200" spans="1:40" ht="20.399999999999999">
      <c r="A200" s="494" t="s">
        <v>351</v>
      </c>
      <c r="B200" s="509" t="s">
        <v>83</v>
      </c>
      <c r="C200" s="596" t="s">
        <v>43</v>
      </c>
      <c r="D200" s="599"/>
      <c r="E200" s="600"/>
      <c r="F200" s="530">
        <v>21608.221153846152</v>
      </c>
      <c r="G200" s="601"/>
      <c r="H200" s="600"/>
      <c r="I200" s="530"/>
      <c r="J200" s="517"/>
      <c r="K200" s="600"/>
      <c r="L200" s="551">
        <v>22496.47</v>
      </c>
      <c r="M200" s="517"/>
      <c r="N200" s="551">
        <v>888.24884615384872</v>
      </c>
      <c r="O200" s="517"/>
      <c r="P200" s="600"/>
      <c r="Q200" s="551">
        <v>11269.4</v>
      </c>
      <c r="R200" s="517"/>
      <c r="S200" s="602">
        <v>11227.070000000002</v>
      </c>
      <c r="T200" s="509"/>
      <c r="U200" s="509"/>
      <c r="V200" s="509"/>
      <c r="W200" s="509"/>
      <c r="X200" s="509"/>
      <c r="Y200" s="509"/>
      <c r="Z200" s="509"/>
      <c r="AA200" s="509"/>
      <c r="AB200" s="509"/>
      <c r="AC200" s="509"/>
      <c r="AD200" s="509"/>
      <c r="AE200" s="509"/>
      <c r="AF200" s="509"/>
      <c r="AG200" s="509"/>
      <c r="AH200" s="509"/>
      <c r="AI200" s="509"/>
      <c r="AJ200" s="509"/>
      <c r="AK200" s="509"/>
      <c r="AL200" s="509"/>
      <c r="AM200" s="509"/>
      <c r="AN200" s="509"/>
    </row>
    <row r="201" spans="1:40" ht="21.75" customHeight="1">
      <c r="A201" s="494" t="s">
        <v>352</v>
      </c>
      <c r="B201" s="509" t="s">
        <v>83</v>
      </c>
      <c r="C201" s="596" t="s">
        <v>44</v>
      </c>
      <c r="D201" s="581"/>
      <c r="E201" s="597">
        <v>0.15290078132089871</v>
      </c>
      <c r="F201" s="530">
        <v>42491.9338336</v>
      </c>
      <c r="G201" s="582"/>
      <c r="H201" s="509"/>
      <c r="I201" s="530"/>
      <c r="J201" s="529"/>
      <c r="K201" s="694">
        <v>0.18253345098131435</v>
      </c>
      <c r="L201" s="532">
        <v>37414.44</v>
      </c>
      <c r="M201" s="529"/>
      <c r="N201" s="532">
        <v>-5077.4938335999977</v>
      </c>
      <c r="O201" s="529"/>
      <c r="P201" s="509"/>
      <c r="Q201" s="532">
        <v>30365.98</v>
      </c>
      <c r="R201" s="529"/>
      <c r="S201" s="555">
        <v>7048.4600000000028</v>
      </c>
      <c r="T201" s="509"/>
      <c r="U201" s="509"/>
      <c r="V201" s="509"/>
      <c r="W201" s="509"/>
      <c r="X201" s="509"/>
      <c r="Y201" s="509"/>
      <c r="Z201" s="509"/>
      <c r="AA201" s="509"/>
      <c r="AB201" s="509"/>
      <c r="AC201" s="509"/>
      <c r="AD201" s="509"/>
      <c r="AE201" s="509"/>
      <c r="AF201" s="509"/>
      <c r="AG201" s="509"/>
      <c r="AH201" s="509"/>
      <c r="AI201" s="509"/>
      <c r="AJ201" s="509"/>
      <c r="AK201" s="509"/>
      <c r="AL201" s="509"/>
      <c r="AM201" s="509"/>
      <c r="AN201" s="509"/>
    </row>
    <row r="202" spans="1:40" ht="15.75" hidden="1" customHeight="1">
      <c r="A202" s="494" t="s">
        <v>353</v>
      </c>
      <c r="B202" s="509" t="s">
        <v>83</v>
      </c>
      <c r="C202" s="529" t="s">
        <v>20</v>
      </c>
      <c r="D202" s="581"/>
      <c r="E202" s="509"/>
      <c r="F202" s="530">
        <v>0</v>
      </c>
      <c r="G202" s="582"/>
      <c r="H202" s="509"/>
      <c r="I202" s="530"/>
      <c r="J202" s="529"/>
      <c r="K202" s="509"/>
      <c r="L202" s="532">
        <v>0</v>
      </c>
      <c r="M202" s="529"/>
      <c r="N202" s="532">
        <v>0</v>
      </c>
      <c r="O202" s="529"/>
      <c r="P202" s="509"/>
      <c r="Q202" s="532">
        <v>0</v>
      </c>
      <c r="R202" s="529"/>
      <c r="S202" s="555">
        <v>0</v>
      </c>
      <c r="T202" s="509"/>
      <c r="U202" s="509"/>
      <c r="V202" s="509"/>
      <c r="W202" s="509"/>
      <c r="X202" s="509"/>
      <c r="Y202" s="509"/>
      <c r="Z202" s="509"/>
      <c r="AA202" s="509"/>
      <c r="AB202" s="509"/>
      <c r="AC202" s="509"/>
      <c r="AD202" s="509"/>
      <c r="AE202" s="509"/>
      <c r="AF202" s="509"/>
      <c r="AG202" s="509"/>
      <c r="AH202" s="509"/>
      <c r="AI202" s="509"/>
      <c r="AJ202" s="509"/>
      <c r="AK202" s="509"/>
      <c r="AL202" s="509"/>
      <c r="AM202" s="509"/>
      <c r="AN202" s="509"/>
    </row>
    <row r="203" spans="1:40" ht="15.75" hidden="1" customHeight="1">
      <c r="A203" s="494" t="s">
        <v>353</v>
      </c>
      <c r="B203" s="509" t="s">
        <v>83</v>
      </c>
      <c r="C203" s="529" t="s">
        <v>20</v>
      </c>
      <c r="D203" s="581"/>
      <c r="E203" s="509"/>
      <c r="F203" s="530">
        <v>0</v>
      </c>
      <c r="G203" s="582"/>
      <c r="H203" s="509"/>
      <c r="I203" s="530"/>
      <c r="J203" s="529"/>
      <c r="K203" s="509"/>
      <c r="L203" s="532">
        <v>0</v>
      </c>
      <c r="M203" s="529"/>
      <c r="N203" s="532">
        <v>0</v>
      </c>
      <c r="O203" s="529"/>
      <c r="P203" s="509"/>
      <c r="Q203" s="532">
        <v>0</v>
      </c>
      <c r="R203" s="529"/>
      <c r="S203" s="555">
        <v>0</v>
      </c>
      <c r="T203" s="509"/>
      <c r="U203" s="509"/>
      <c r="V203" s="509"/>
      <c r="W203" s="509"/>
      <c r="X203" s="509"/>
      <c r="Y203" s="509"/>
      <c r="Z203" s="509"/>
      <c r="AA203" s="509"/>
      <c r="AB203" s="509"/>
      <c r="AC203" s="509"/>
      <c r="AD203" s="509"/>
      <c r="AE203" s="509"/>
      <c r="AF203" s="509"/>
      <c r="AG203" s="509"/>
      <c r="AH203" s="509"/>
      <c r="AI203" s="509"/>
      <c r="AJ203" s="509"/>
      <c r="AK203" s="509"/>
      <c r="AL203" s="509"/>
      <c r="AM203" s="509"/>
      <c r="AN203" s="509"/>
    </row>
    <row r="204" spans="1:40" ht="15.75" hidden="1" customHeight="1">
      <c r="A204" s="494" t="s">
        <v>353</v>
      </c>
      <c r="B204" s="509" t="s">
        <v>83</v>
      </c>
      <c r="C204" s="529" t="s">
        <v>20</v>
      </c>
      <c r="D204" s="581"/>
      <c r="E204" s="509"/>
      <c r="F204" s="530">
        <v>0</v>
      </c>
      <c r="G204" s="582"/>
      <c r="H204" s="509"/>
      <c r="I204" s="530"/>
      <c r="J204" s="529"/>
      <c r="K204" s="509"/>
      <c r="L204" s="532">
        <v>0</v>
      </c>
      <c r="M204" s="529"/>
      <c r="N204" s="532">
        <v>0</v>
      </c>
      <c r="O204" s="529"/>
      <c r="P204" s="509"/>
      <c r="Q204" s="532">
        <v>0</v>
      </c>
      <c r="R204" s="529"/>
      <c r="S204" s="555">
        <v>0</v>
      </c>
      <c r="T204" s="509"/>
      <c r="U204" s="509"/>
      <c r="V204" s="509"/>
      <c r="W204" s="509"/>
      <c r="X204" s="509"/>
      <c r="Y204" s="509"/>
      <c r="Z204" s="509"/>
      <c r="AA204" s="509"/>
      <c r="AB204" s="509"/>
      <c r="AC204" s="509"/>
      <c r="AD204" s="509"/>
      <c r="AE204" s="509"/>
      <c r="AF204" s="509"/>
      <c r="AG204" s="509"/>
      <c r="AH204" s="509"/>
      <c r="AI204" s="509"/>
      <c r="AJ204" s="509"/>
      <c r="AK204" s="509"/>
      <c r="AL204" s="509"/>
      <c r="AM204" s="509"/>
      <c r="AN204" s="509"/>
    </row>
    <row r="205" spans="1:40" ht="20.399999999999999">
      <c r="A205" s="494" t="s">
        <v>354</v>
      </c>
      <c r="B205" s="509" t="s">
        <v>83</v>
      </c>
      <c r="C205" s="598" t="s">
        <v>45</v>
      </c>
      <c r="D205" s="581"/>
      <c r="E205" s="509"/>
      <c r="F205" s="530">
        <v>24257.202352684133</v>
      </c>
      <c r="G205" s="582"/>
      <c r="H205" s="509"/>
      <c r="I205" s="530"/>
      <c r="J205" s="529"/>
      <c r="K205" s="509"/>
      <c r="L205" s="532">
        <v>25829.47</v>
      </c>
      <c r="M205" s="529"/>
      <c r="N205" s="532">
        <v>1572.2676473158681</v>
      </c>
      <c r="O205" s="529"/>
      <c r="P205" s="509"/>
      <c r="Q205" s="532">
        <v>20039.23</v>
      </c>
      <c r="R205" s="529"/>
      <c r="S205" s="555">
        <v>5790.2400000000016</v>
      </c>
      <c r="T205" s="509"/>
      <c r="U205" s="509"/>
      <c r="V205" s="509"/>
      <c r="W205" s="509"/>
      <c r="X205" s="509"/>
      <c r="Y205" s="509"/>
      <c r="Z205" s="509"/>
      <c r="AA205" s="509"/>
      <c r="AB205" s="509"/>
      <c r="AC205" s="509"/>
      <c r="AD205" s="509"/>
      <c r="AE205" s="509"/>
      <c r="AF205" s="509"/>
      <c r="AG205" s="509"/>
      <c r="AH205" s="509"/>
      <c r="AI205" s="509"/>
      <c r="AJ205" s="509"/>
      <c r="AK205" s="509"/>
      <c r="AL205" s="509"/>
      <c r="AM205" s="509"/>
      <c r="AN205" s="509"/>
    </row>
    <row r="206" spans="1:40" ht="15.75" customHeight="1">
      <c r="A206" s="494" t="s">
        <v>355</v>
      </c>
      <c r="B206" s="509" t="s">
        <v>83</v>
      </c>
      <c r="C206" s="596" t="s">
        <v>46</v>
      </c>
      <c r="D206" s="599"/>
      <c r="E206" s="600"/>
      <c r="F206" s="551">
        <v>29493.338543351638</v>
      </c>
      <c r="G206" s="601"/>
      <c r="H206" s="600"/>
      <c r="I206" s="551"/>
      <c r="J206" s="517"/>
      <c r="K206" s="600"/>
      <c r="L206" s="551">
        <v>26288.97</v>
      </c>
      <c r="M206" s="517"/>
      <c r="N206" s="551">
        <v>-3204.3685433516366</v>
      </c>
      <c r="O206" s="517"/>
      <c r="P206" s="600"/>
      <c r="Q206" s="551">
        <v>20335.98</v>
      </c>
      <c r="R206" s="517"/>
      <c r="S206" s="602">
        <v>5952.9900000000016</v>
      </c>
      <c r="T206" s="509"/>
      <c r="U206" s="509"/>
      <c r="V206" s="509"/>
      <c r="W206" s="509"/>
      <c r="X206" s="509"/>
      <c r="Y206" s="509"/>
      <c r="Z206" s="509"/>
      <c r="AA206" s="509"/>
      <c r="AB206" s="509"/>
      <c r="AC206" s="509"/>
      <c r="AD206" s="509"/>
      <c r="AE206" s="509"/>
      <c r="AF206" s="509"/>
      <c r="AG206" s="509"/>
      <c r="AH206" s="509"/>
      <c r="AI206" s="509"/>
      <c r="AJ206" s="509"/>
      <c r="AK206" s="509"/>
      <c r="AL206" s="509"/>
      <c r="AM206" s="509"/>
      <c r="AN206" s="509"/>
    </row>
    <row r="207" spans="1:40" ht="15.75" customHeight="1">
      <c r="A207" s="494" t="s">
        <v>356</v>
      </c>
      <c r="B207" s="509" t="s">
        <v>83</v>
      </c>
      <c r="C207" s="596" t="s">
        <v>47</v>
      </c>
      <c r="D207" s="581"/>
      <c r="E207" s="509"/>
      <c r="F207" s="530">
        <v>15195.480945161602</v>
      </c>
      <c r="G207" s="582"/>
      <c r="H207" s="509"/>
      <c r="I207" s="530"/>
      <c r="J207" s="529"/>
      <c r="K207" s="509"/>
      <c r="L207" s="532">
        <v>13775.33</v>
      </c>
      <c r="M207" s="529"/>
      <c r="N207" s="532">
        <v>-1420.1509451616021</v>
      </c>
      <c r="O207" s="529"/>
      <c r="P207" s="509"/>
      <c r="Q207" s="532">
        <v>11033.41</v>
      </c>
      <c r="R207" s="529"/>
      <c r="S207" s="555">
        <v>2741.92</v>
      </c>
      <c r="T207" s="509"/>
      <c r="U207" s="509"/>
      <c r="V207" s="509"/>
      <c r="W207" s="509"/>
      <c r="X207" s="509"/>
      <c r="Y207" s="509"/>
      <c r="Z207" s="509"/>
      <c r="AA207" s="509"/>
      <c r="AB207" s="509"/>
      <c r="AC207" s="509"/>
      <c r="AD207" s="509"/>
      <c r="AE207" s="509"/>
      <c r="AF207" s="509"/>
      <c r="AG207" s="509"/>
      <c r="AH207" s="509"/>
      <c r="AI207" s="509"/>
      <c r="AJ207" s="509"/>
      <c r="AK207" s="509"/>
      <c r="AL207" s="509"/>
      <c r="AM207" s="509"/>
      <c r="AN207" s="509"/>
    </row>
    <row r="208" spans="1:40" ht="15.75" customHeight="1">
      <c r="A208" s="494" t="s">
        <v>357</v>
      </c>
      <c r="B208" s="509" t="s">
        <v>83</v>
      </c>
      <c r="C208" s="596" t="s">
        <v>48</v>
      </c>
      <c r="D208" s="581"/>
      <c r="E208" s="509"/>
      <c r="F208" s="530">
        <v>6625.3151800282658</v>
      </c>
      <c r="G208" s="582"/>
      <c r="H208" s="509"/>
      <c r="I208" s="530"/>
      <c r="J208" s="529"/>
      <c r="K208" s="509"/>
      <c r="L208" s="532">
        <v>4899.96</v>
      </c>
      <c r="M208" s="529"/>
      <c r="N208" s="532">
        <v>-1725.3551800282657</v>
      </c>
      <c r="O208" s="529"/>
      <c r="P208" s="509"/>
      <c r="Q208" s="532">
        <v>3472.88</v>
      </c>
      <c r="R208" s="529"/>
      <c r="S208" s="555">
        <v>1427.08</v>
      </c>
      <c r="T208" s="509"/>
      <c r="U208" s="509"/>
      <c r="V208" s="509"/>
      <c r="W208" s="509"/>
      <c r="X208" s="509"/>
      <c r="Y208" s="509"/>
      <c r="Z208" s="509"/>
      <c r="AA208" s="509"/>
      <c r="AB208" s="509"/>
      <c r="AC208" s="509"/>
      <c r="AD208" s="509"/>
      <c r="AE208" s="509"/>
      <c r="AF208" s="509"/>
      <c r="AG208" s="509"/>
      <c r="AH208" s="509"/>
      <c r="AI208" s="509"/>
      <c r="AJ208" s="509"/>
      <c r="AK208" s="509"/>
      <c r="AL208" s="509"/>
      <c r="AM208" s="509"/>
      <c r="AN208" s="509"/>
    </row>
    <row r="209" spans="1:40" ht="15.75" hidden="1" customHeight="1">
      <c r="A209" s="494" t="s">
        <v>353</v>
      </c>
      <c r="B209" s="509" t="s">
        <v>83</v>
      </c>
      <c r="C209" s="529" t="s">
        <v>20</v>
      </c>
      <c r="D209" s="583"/>
      <c r="E209" s="603"/>
      <c r="F209" s="530">
        <v>0</v>
      </c>
      <c r="G209" s="584"/>
      <c r="H209" s="603"/>
      <c r="I209" s="530"/>
      <c r="J209" s="522"/>
      <c r="K209" s="603"/>
      <c r="L209" s="532">
        <v>0</v>
      </c>
      <c r="M209" s="522"/>
      <c r="N209" s="532">
        <v>0</v>
      </c>
      <c r="O209" s="522"/>
      <c r="P209" s="603"/>
      <c r="Q209" s="532">
        <v>0</v>
      </c>
      <c r="R209" s="522"/>
      <c r="S209" s="579">
        <v>0</v>
      </c>
      <c r="T209" s="509"/>
      <c r="U209" s="509"/>
      <c r="V209" s="509"/>
      <c r="W209" s="509"/>
      <c r="X209" s="509"/>
      <c r="Y209" s="509"/>
      <c r="Z209" s="509"/>
      <c r="AA209" s="509"/>
      <c r="AB209" s="509"/>
      <c r="AC209" s="509"/>
      <c r="AD209" s="509"/>
      <c r="AE209" s="509"/>
      <c r="AF209" s="509"/>
      <c r="AG209" s="509"/>
      <c r="AH209" s="509"/>
      <c r="AI209" s="509"/>
      <c r="AJ209" s="509"/>
      <c r="AK209" s="509"/>
      <c r="AL209" s="509"/>
      <c r="AM209" s="509"/>
      <c r="AN209" s="509"/>
    </row>
    <row r="210" spans="1:40" ht="15.75" customHeight="1">
      <c r="A210" s="494" t="s">
        <v>358</v>
      </c>
      <c r="B210" s="509" t="s">
        <v>83</v>
      </c>
      <c r="C210" s="588" t="s">
        <v>49</v>
      </c>
      <c r="D210" s="589" t="s">
        <v>97</v>
      </c>
      <c r="E210" s="590">
        <v>0.50229572105704468</v>
      </c>
      <c r="F210" s="591">
        <v>168791.96832277434</v>
      </c>
      <c r="G210" s="592"/>
      <c r="H210" s="590"/>
      <c r="I210" s="591"/>
      <c r="J210" s="592" t="s">
        <v>97</v>
      </c>
      <c r="K210" s="590">
        <v>0.54206171359243727</v>
      </c>
      <c r="L210" s="591">
        <v>152838.09999999998</v>
      </c>
      <c r="M210" s="646"/>
      <c r="N210" s="591">
        <v>-15953.86832277436</v>
      </c>
      <c r="O210" s="592" t="s">
        <v>97</v>
      </c>
      <c r="P210" s="590">
        <v>0.50234505541050367</v>
      </c>
      <c r="Q210" s="591">
        <v>120096.19</v>
      </c>
      <c r="R210" s="646"/>
      <c r="S210" s="605">
        <v>32741.909999999974</v>
      </c>
      <c r="T210" s="509"/>
      <c r="U210" s="509"/>
      <c r="V210" s="509"/>
      <c r="W210" s="509"/>
      <c r="X210" s="509"/>
      <c r="Y210" s="509"/>
      <c r="Z210" s="509"/>
      <c r="AA210" s="509"/>
      <c r="AB210" s="509"/>
      <c r="AC210" s="509"/>
      <c r="AD210" s="509"/>
      <c r="AE210" s="509"/>
      <c r="AF210" s="509"/>
      <c r="AG210" s="509"/>
      <c r="AH210" s="509"/>
      <c r="AI210" s="509"/>
      <c r="AJ210" s="509"/>
      <c r="AK210" s="509"/>
      <c r="AL210" s="509"/>
      <c r="AM210" s="509"/>
      <c r="AN210" s="509"/>
    </row>
    <row r="211" spans="1:40" ht="15.75" customHeight="1">
      <c r="A211" s="494" t="s">
        <v>359</v>
      </c>
      <c r="B211" s="509" t="s">
        <v>83</v>
      </c>
      <c r="C211" s="529" t="s">
        <v>50</v>
      </c>
      <c r="D211" s="581"/>
      <c r="E211" s="509"/>
      <c r="F211" s="530">
        <v>10386.992319131941</v>
      </c>
      <c r="G211" s="582"/>
      <c r="H211" s="509"/>
      <c r="I211" s="530"/>
      <c r="J211" s="529"/>
      <c r="K211" s="509"/>
      <c r="L211" s="532">
        <v>11204.43</v>
      </c>
      <c r="M211" s="529"/>
      <c r="N211" s="555">
        <v>817.43768086805903</v>
      </c>
      <c r="O211" s="529"/>
      <c r="P211" s="509"/>
      <c r="Q211" s="532">
        <v>9272.43</v>
      </c>
      <c r="R211" s="529"/>
      <c r="S211" s="555">
        <v>1932</v>
      </c>
      <c r="T211" s="509"/>
      <c r="U211" s="509"/>
      <c r="V211" s="509"/>
      <c r="W211" s="509"/>
      <c r="X211" s="509"/>
      <c r="Y211" s="509"/>
      <c r="Z211" s="509"/>
      <c r="AA211" s="509"/>
      <c r="AB211" s="509"/>
      <c r="AC211" s="509"/>
      <c r="AD211" s="509"/>
      <c r="AE211" s="509"/>
      <c r="AF211" s="509"/>
      <c r="AG211" s="509"/>
      <c r="AH211" s="509"/>
      <c r="AI211" s="509"/>
      <c r="AJ211" s="509"/>
      <c r="AK211" s="509"/>
      <c r="AL211" s="509"/>
      <c r="AM211" s="509"/>
      <c r="AN211" s="509"/>
    </row>
    <row r="212" spans="1:40" ht="15.75" customHeight="1">
      <c r="A212" s="494" t="s">
        <v>360</v>
      </c>
      <c r="B212" s="509" t="s">
        <v>83</v>
      </c>
      <c r="C212" s="529" t="s">
        <v>51</v>
      </c>
      <c r="D212" s="581"/>
      <c r="E212" s="509"/>
      <c r="F212" s="530">
        <v>3860.3926568344446</v>
      </c>
      <c r="G212" s="582"/>
      <c r="H212" s="509"/>
      <c r="I212" s="530"/>
      <c r="J212" s="529"/>
      <c r="K212" s="509"/>
      <c r="L212" s="532">
        <v>3949.0899999999997</v>
      </c>
      <c r="M212" s="529"/>
      <c r="N212" s="555">
        <v>88.697343165555139</v>
      </c>
      <c r="O212" s="529"/>
      <c r="P212" s="509"/>
      <c r="Q212" s="532">
        <v>3846.09</v>
      </c>
      <c r="R212" s="529"/>
      <c r="S212" s="555">
        <v>102.99999999999955</v>
      </c>
      <c r="T212" s="509"/>
      <c r="V212" s="509"/>
      <c r="W212" s="509"/>
      <c r="X212" s="509"/>
      <c r="Y212" s="509"/>
      <c r="Z212" s="509"/>
      <c r="AA212" s="509"/>
      <c r="AB212" s="509"/>
      <c r="AC212" s="509"/>
      <c r="AD212" s="509"/>
      <c r="AE212" s="509"/>
      <c r="AF212" s="509"/>
      <c r="AG212" s="509"/>
      <c r="AH212" s="509"/>
      <c r="AI212" s="509"/>
      <c r="AJ212" s="509"/>
      <c r="AK212" s="509"/>
      <c r="AL212" s="509"/>
      <c r="AM212" s="509"/>
      <c r="AN212" s="509"/>
    </row>
    <row r="213" spans="1:40" ht="15.75" customHeight="1">
      <c r="A213" s="494" t="s">
        <v>361</v>
      </c>
      <c r="B213" s="509" t="s">
        <v>83</v>
      </c>
      <c r="C213" s="522" t="s">
        <v>52</v>
      </c>
      <c r="D213" s="583"/>
      <c r="E213" s="603"/>
      <c r="F213" s="524">
        <v>13333.333333333334</v>
      </c>
      <c r="G213" s="584"/>
      <c r="H213" s="603"/>
      <c r="I213" s="524"/>
      <c r="J213" s="522"/>
      <c r="K213" s="603"/>
      <c r="L213" s="532">
        <v>12840.8</v>
      </c>
      <c r="M213" s="522"/>
      <c r="N213" s="579">
        <v>-492.53333333333467</v>
      </c>
      <c r="O213" s="522"/>
      <c r="P213" s="603"/>
      <c r="Q213" s="532">
        <v>15091.41</v>
      </c>
      <c r="R213" s="522"/>
      <c r="S213" s="579">
        <v>-2250.6100000000006</v>
      </c>
      <c r="T213" s="509"/>
      <c r="U213" s="509"/>
      <c r="V213" s="509"/>
      <c r="W213" s="509"/>
      <c r="X213" s="509"/>
      <c r="Y213" s="509"/>
      <c r="Z213" s="509"/>
      <c r="AA213" s="509"/>
      <c r="AB213" s="509"/>
      <c r="AC213" s="509"/>
      <c r="AD213" s="509"/>
      <c r="AE213" s="509"/>
      <c r="AF213" s="509"/>
      <c r="AG213" s="509"/>
      <c r="AH213" s="509"/>
      <c r="AI213" s="509"/>
      <c r="AJ213" s="509"/>
      <c r="AK213" s="509"/>
      <c r="AL213" s="509"/>
      <c r="AM213" s="509"/>
      <c r="AN213" s="509"/>
    </row>
    <row r="214" spans="1:40" ht="15.75" customHeight="1">
      <c r="A214" s="494" t="s">
        <v>362</v>
      </c>
      <c r="B214" s="509" t="s">
        <v>83</v>
      </c>
      <c r="C214" s="529" t="s">
        <v>53</v>
      </c>
      <c r="D214" s="581"/>
      <c r="E214" s="509"/>
      <c r="F214" s="530">
        <v>4360.8818746666657</v>
      </c>
      <c r="G214" s="582"/>
      <c r="H214" s="509"/>
      <c r="I214" s="530"/>
      <c r="J214" s="529"/>
      <c r="K214" s="509"/>
      <c r="L214" s="551">
        <v>4890.13</v>
      </c>
      <c r="M214" s="529"/>
      <c r="N214" s="555">
        <v>529.24812533333443</v>
      </c>
      <c r="O214" s="529"/>
      <c r="P214" s="509"/>
      <c r="Q214" s="551">
        <v>4404.96</v>
      </c>
      <c r="R214" s="529"/>
      <c r="S214" s="555">
        <v>485.17000000000007</v>
      </c>
      <c r="T214" s="509"/>
      <c r="U214" s="509"/>
      <c r="V214" s="509"/>
      <c r="W214" s="509"/>
      <c r="X214" s="509"/>
      <c r="Y214" s="509"/>
      <c r="Z214" s="509"/>
      <c r="AA214" s="509"/>
      <c r="AB214" s="509"/>
      <c r="AC214" s="509"/>
      <c r="AD214" s="509"/>
      <c r="AE214" s="509"/>
      <c r="AF214" s="509"/>
      <c r="AG214" s="509"/>
      <c r="AH214" s="509"/>
      <c r="AI214" s="509"/>
      <c r="AJ214" s="509"/>
      <c r="AK214" s="509"/>
      <c r="AL214" s="509"/>
      <c r="AM214" s="509"/>
      <c r="AN214" s="509"/>
    </row>
    <row r="215" spans="1:40" ht="15.75" customHeight="1">
      <c r="A215" s="494" t="s">
        <v>363</v>
      </c>
      <c r="B215" s="509" t="s">
        <v>83</v>
      </c>
      <c r="C215" s="529" t="s">
        <v>54</v>
      </c>
      <c r="D215" s="581"/>
      <c r="E215" s="509"/>
      <c r="F215" s="530">
        <v>1099.3818546873238</v>
      </c>
      <c r="G215" s="582"/>
      <c r="H215" s="509"/>
      <c r="I215" s="530"/>
      <c r="J215" s="529"/>
      <c r="K215" s="509"/>
      <c r="L215" s="532">
        <v>603.02</v>
      </c>
      <c r="M215" s="529"/>
      <c r="N215" s="555">
        <v>-496.36185468732378</v>
      </c>
      <c r="O215" s="529"/>
      <c r="P215" s="509"/>
      <c r="Q215" s="532">
        <v>2432.6799999999998</v>
      </c>
      <c r="R215" s="529"/>
      <c r="S215" s="555">
        <v>-1829.6599999999999</v>
      </c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509"/>
      <c r="AI215" s="509"/>
      <c r="AJ215" s="509"/>
      <c r="AK215" s="509"/>
      <c r="AL215" s="509"/>
      <c r="AM215" s="509"/>
      <c r="AN215" s="509"/>
    </row>
    <row r="216" spans="1:40" ht="15.75" customHeight="1">
      <c r="A216" s="494" t="s">
        <v>364</v>
      </c>
      <c r="B216" s="509" t="s">
        <v>83</v>
      </c>
      <c r="C216" s="522" t="s">
        <v>55</v>
      </c>
      <c r="D216" s="583"/>
      <c r="E216" s="603"/>
      <c r="F216" s="524">
        <v>10141.772002488889</v>
      </c>
      <c r="G216" s="584"/>
      <c r="H216" s="603"/>
      <c r="I216" s="524"/>
      <c r="J216" s="522"/>
      <c r="K216" s="603"/>
      <c r="L216" s="532">
        <v>11277.68</v>
      </c>
      <c r="M216" s="522"/>
      <c r="N216" s="579">
        <v>1135.9079975111108</v>
      </c>
      <c r="O216" s="522"/>
      <c r="P216" s="603"/>
      <c r="Q216" s="532">
        <v>3220.42</v>
      </c>
      <c r="R216" s="522"/>
      <c r="S216" s="579">
        <v>8057.26</v>
      </c>
      <c r="T216" s="509"/>
      <c r="U216" s="509"/>
      <c r="V216" s="509"/>
      <c r="W216" s="509"/>
      <c r="X216" s="509"/>
      <c r="Y216" s="509"/>
      <c r="Z216" s="509"/>
      <c r="AA216" s="509"/>
      <c r="AB216" s="509"/>
      <c r="AC216" s="509"/>
      <c r="AD216" s="509"/>
      <c r="AE216" s="509"/>
      <c r="AF216" s="509"/>
      <c r="AG216" s="509"/>
      <c r="AH216" s="509"/>
      <c r="AI216" s="509"/>
      <c r="AJ216" s="509"/>
      <c r="AK216" s="509"/>
      <c r="AL216" s="509"/>
      <c r="AM216" s="509"/>
      <c r="AN216" s="509"/>
    </row>
    <row r="217" spans="1:40" ht="15.75" customHeight="1">
      <c r="A217" s="494" t="s">
        <v>365</v>
      </c>
      <c r="B217" s="509" t="s">
        <v>83</v>
      </c>
      <c r="C217" s="529" t="s">
        <v>98</v>
      </c>
      <c r="D217" s="581"/>
      <c r="E217" s="509"/>
      <c r="F217" s="530"/>
      <c r="G217" s="582"/>
      <c r="H217" s="509"/>
      <c r="I217" s="530"/>
      <c r="J217" s="529"/>
      <c r="K217" s="509"/>
      <c r="L217" s="551">
        <v>0</v>
      </c>
      <c r="M217" s="529"/>
      <c r="N217" s="555">
        <v>0</v>
      </c>
      <c r="O217" s="529"/>
      <c r="P217" s="509"/>
      <c r="Q217" s="551">
        <v>0</v>
      </c>
      <c r="R217" s="529"/>
      <c r="S217" s="555">
        <v>0</v>
      </c>
      <c r="T217" s="509"/>
      <c r="U217" s="509"/>
      <c r="V217" s="509"/>
      <c r="W217" s="509"/>
      <c r="X217" s="509"/>
      <c r="Y217" s="509"/>
      <c r="Z217" s="509"/>
      <c r="AA217" s="509"/>
      <c r="AB217" s="509"/>
      <c r="AC217" s="509"/>
      <c r="AD217" s="509"/>
      <c r="AE217" s="509"/>
      <c r="AF217" s="509"/>
      <c r="AG217" s="509"/>
      <c r="AH217" s="509"/>
      <c r="AI217" s="509"/>
      <c r="AJ217" s="509"/>
      <c r="AK217" s="509"/>
      <c r="AL217" s="509"/>
      <c r="AM217" s="509"/>
      <c r="AN217" s="509"/>
    </row>
    <row r="218" spans="1:40" ht="15.75" customHeight="1">
      <c r="A218" s="494" t="s">
        <v>366</v>
      </c>
      <c r="B218" s="509" t="s">
        <v>83</v>
      </c>
      <c r="C218" s="529" t="s">
        <v>56</v>
      </c>
      <c r="D218" s="581"/>
      <c r="E218" s="509"/>
      <c r="F218" s="530">
        <v>5583.333333333333</v>
      </c>
      <c r="G218" s="582"/>
      <c r="H218" s="509"/>
      <c r="I218" s="530"/>
      <c r="J218" s="529"/>
      <c r="K218" s="509"/>
      <c r="L218" s="532">
        <v>1539.27</v>
      </c>
      <c r="M218" s="529"/>
      <c r="N218" s="555">
        <v>-4044.063333333333</v>
      </c>
      <c r="O218" s="529"/>
      <c r="P218" s="509"/>
      <c r="Q218" s="532">
        <v>5864</v>
      </c>
      <c r="R218" s="529"/>
      <c r="S218" s="555">
        <v>-4324.7299999999996</v>
      </c>
      <c r="T218" s="509"/>
      <c r="U218" s="509"/>
      <c r="V218" s="509"/>
      <c r="W218" s="509"/>
      <c r="X218" s="509"/>
      <c r="Y218" s="509"/>
      <c r="Z218" s="509"/>
      <c r="AA218" s="509"/>
      <c r="AB218" s="509"/>
      <c r="AC218" s="509"/>
      <c r="AD218" s="509"/>
      <c r="AE218" s="509"/>
      <c r="AF218" s="509"/>
      <c r="AG218" s="509"/>
      <c r="AH218" s="509"/>
      <c r="AI218" s="509"/>
      <c r="AJ218" s="509"/>
      <c r="AK218" s="509"/>
      <c r="AL218" s="509"/>
      <c r="AM218" s="509"/>
      <c r="AN218" s="509"/>
    </row>
    <row r="219" spans="1:40" ht="15.75" customHeight="1">
      <c r="A219" s="494" t="s">
        <v>367</v>
      </c>
      <c r="B219" s="509" t="s">
        <v>83</v>
      </c>
      <c r="C219" s="529" t="s">
        <v>57</v>
      </c>
      <c r="D219" s="581"/>
      <c r="E219" s="509"/>
      <c r="F219" s="530">
        <v>1221.9416376071097</v>
      </c>
      <c r="G219" s="582"/>
      <c r="H219" s="509"/>
      <c r="I219" s="530"/>
      <c r="J219" s="529"/>
      <c r="K219" s="509"/>
      <c r="L219" s="532">
        <v>1556.43</v>
      </c>
      <c r="M219" s="529"/>
      <c r="N219" s="555">
        <v>334.48836239289039</v>
      </c>
      <c r="O219" s="529"/>
      <c r="P219" s="509"/>
      <c r="Q219" s="532">
        <v>822.42</v>
      </c>
      <c r="R219" s="529"/>
      <c r="S219" s="555">
        <v>734.0100000000001</v>
      </c>
      <c r="T219" s="509"/>
      <c r="U219" s="509"/>
      <c r="V219" s="509"/>
      <c r="W219" s="509"/>
      <c r="X219" s="509"/>
      <c r="Y219" s="509"/>
      <c r="Z219" s="509"/>
      <c r="AA219" s="509"/>
      <c r="AB219" s="509"/>
      <c r="AC219" s="509"/>
      <c r="AD219" s="509"/>
      <c r="AE219" s="509"/>
      <c r="AF219" s="509"/>
      <c r="AG219" s="509"/>
      <c r="AH219" s="509"/>
      <c r="AI219" s="509"/>
      <c r="AJ219" s="509"/>
      <c r="AK219" s="509"/>
      <c r="AL219" s="509"/>
      <c r="AM219" s="509"/>
      <c r="AN219" s="509"/>
    </row>
    <row r="220" spans="1:40" ht="15.75" customHeight="1">
      <c r="A220" s="494" t="s">
        <v>368</v>
      </c>
      <c r="B220" s="509" t="s">
        <v>83</v>
      </c>
      <c r="C220" s="529" t="s">
        <v>58</v>
      </c>
      <c r="D220" s="581"/>
      <c r="E220" s="509"/>
      <c r="F220" s="530">
        <v>748.20426397599988</v>
      </c>
      <c r="G220" s="582"/>
      <c r="H220" s="509"/>
      <c r="I220" s="530"/>
      <c r="J220" s="529"/>
      <c r="K220" s="509"/>
      <c r="L220" s="532">
        <v>1120.67</v>
      </c>
      <c r="M220" s="529"/>
      <c r="N220" s="555">
        <v>372.46573602400019</v>
      </c>
      <c r="O220" s="529"/>
      <c r="P220" s="509"/>
      <c r="Q220" s="532">
        <v>660.28</v>
      </c>
      <c r="R220" s="529"/>
      <c r="S220" s="555">
        <v>460.3900000000001</v>
      </c>
      <c r="T220" s="509"/>
      <c r="U220" s="509"/>
      <c r="V220" s="509"/>
      <c r="W220" s="509"/>
      <c r="X220" s="509"/>
      <c r="Y220" s="509"/>
      <c r="Z220" s="509"/>
      <c r="AA220" s="509"/>
      <c r="AB220" s="509"/>
      <c r="AC220" s="509"/>
      <c r="AD220" s="509"/>
      <c r="AE220" s="509"/>
      <c r="AF220" s="509"/>
      <c r="AG220" s="509"/>
      <c r="AH220" s="509"/>
      <c r="AI220" s="509"/>
      <c r="AJ220" s="509"/>
      <c r="AK220" s="509"/>
      <c r="AL220" s="509"/>
      <c r="AM220" s="509"/>
      <c r="AN220" s="509"/>
    </row>
    <row r="221" spans="1:40" ht="15.75" customHeight="1">
      <c r="A221" s="494" t="s">
        <v>369</v>
      </c>
      <c r="B221" s="509" t="s">
        <v>83</v>
      </c>
      <c r="C221" s="529" t="s">
        <v>59</v>
      </c>
      <c r="D221" s="581"/>
      <c r="E221" s="509"/>
      <c r="F221" s="530">
        <v>216.08706378966664</v>
      </c>
      <c r="G221" s="582"/>
      <c r="H221" s="509"/>
      <c r="I221" s="530"/>
      <c r="J221" s="529"/>
      <c r="K221" s="509"/>
      <c r="L221" s="532">
        <v>129.33000000000001</v>
      </c>
      <c r="M221" s="529"/>
      <c r="N221" s="555">
        <v>-86.757063789666631</v>
      </c>
      <c r="O221" s="529"/>
      <c r="P221" s="509"/>
      <c r="Q221" s="532">
        <v>247.88</v>
      </c>
      <c r="R221" s="529"/>
      <c r="S221" s="555">
        <v>-118.54999999999998</v>
      </c>
      <c r="T221" s="509"/>
      <c r="U221" s="509"/>
      <c r="V221" s="509"/>
      <c r="W221" s="509"/>
      <c r="X221" s="509"/>
      <c r="Y221" s="509"/>
      <c r="Z221" s="509"/>
      <c r="AA221" s="509"/>
      <c r="AB221" s="509"/>
      <c r="AC221" s="509"/>
      <c r="AD221" s="509"/>
      <c r="AE221" s="509"/>
      <c r="AF221" s="509"/>
      <c r="AG221" s="509"/>
      <c r="AH221" s="509"/>
      <c r="AI221" s="509"/>
      <c r="AJ221" s="509"/>
      <c r="AK221" s="509"/>
      <c r="AL221" s="509"/>
      <c r="AM221" s="509"/>
      <c r="AN221" s="509"/>
    </row>
    <row r="222" spans="1:40" ht="15.75" customHeight="1">
      <c r="A222" s="494" t="s">
        <v>370</v>
      </c>
      <c r="B222" s="509" t="s">
        <v>83</v>
      </c>
      <c r="C222" s="529" t="s">
        <v>60</v>
      </c>
      <c r="D222" s="581"/>
      <c r="E222" s="509"/>
      <c r="F222" s="530">
        <v>103.77844493033332</v>
      </c>
      <c r="G222" s="582"/>
      <c r="H222" s="509"/>
      <c r="I222" s="530"/>
      <c r="J222" s="529"/>
      <c r="K222" s="509"/>
      <c r="L222" s="532">
        <v>35.72</v>
      </c>
      <c r="M222" s="529"/>
      <c r="N222" s="555">
        <v>-68.058444930333323</v>
      </c>
      <c r="O222" s="529"/>
      <c r="P222" s="509"/>
      <c r="Q222" s="532">
        <v>86.7</v>
      </c>
      <c r="R222" s="529"/>
      <c r="S222" s="555">
        <v>-50.980000000000004</v>
      </c>
      <c r="T222" s="509"/>
      <c r="U222" s="509"/>
      <c r="V222" s="509"/>
      <c r="W222" s="509"/>
      <c r="X222" s="509"/>
      <c r="Y222" s="509"/>
      <c r="Z222" s="509"/>
      <c r="AA222" s="509"/>
      <c r="AB222" s="509"/>
      <c r="AC222" s="509"/>
      <c r="AD222" s="509"/>
      <c r="AE222" s="509"/>
      <c r="AF222" s="509"/>
      <c r="AG222" s="509"/>
      <c r="AH222" s="509"/>
      <c r="AI222" s="509"/>
      <c r="AJ222" s="509"/>
      <c r="AK222" s="509"/>
      <c r="AL222" s="509"/>
      <c r="AM222" s="509"/>
      <c r="AN222" s="509"/>
    </row>
    <row r="223" spans="1:40" ht="15.75" customHeight="1">
      <c r="A223" s="494" t="s">
        <v>371</v>
      </c>
      <c r="B223" s="509" t="s">
        <v>83</v>
      </c>
      <c r="C223" s="529" t="s">
        <v>61</v>
      </c>
      <c r="D223" s="581"/>
      <c r="E223" s="509"/>
      <c r="F223" s="530">
        <v>216.4726525763333</v>
      </c>
      <c r="G223" s="582"/>
      <c r="H223" s="509"/>
      <c r="I223" s="530"/>
      <c r="J223" s="529"/>
      <c r="K223" s="509"/>
      <c r="L223" s="532">
        <v>78.989999999999995</v>
      </c>
      <c r="M223" s="529"/>
      <c r="N223" s="555">
        <v>-137.48265257633329</v>
      </c>
      <c r="O223" s="529"/>
      <c r="P223" s="509"/>
      <c r="Q223" s="532">
        <v>58.9</v>
      </c>
      <c r="R223" s="529"/>
      <c r="S223" s="555">
        <v>20.089999999999996</v>
      </c>
      <c r="T223" s="509"/>
      <c r="U223" s="509"/>
      <c r="V223" s="509"/>
      <c r="W223" s="509"/>
      <c r="X223" s="509"/>
      <c r="Y223" s="509"/>
      <c r="Z223" s="509"/>
      <c r="AA223" s="509"/>
      <c r="AB223" s="509"/>
      <c r="AC223" s="509"/>
      <c r="AD223" s="509"/>
      <c r="AE223" s="509"/>
      <c r="AF223" s="509"/>
      <c r="AG223" s="509"/>
      <c r="AH223" s="509"/>
      <c r="AI223" s="509"/>
      <c r="AJ223" s="509"/>
      <c r="AK223" s="509"/>
      <c r="AL223" s="509"/>
      <c r="AM223" s="509"/>
      <c r="AN223" s="509"/>
    </row>
    <row r="224" spans="1:40" ht="15.75" customHeight="1">
      <c r="A224" s="494" t="s">
        <v>372</v>
      </c>
      <c r="B224" s="509" t="s">
        <v>83</v>
      </c>
      <c r="C224" s="529" t="s">
        <v>62</v>
      </c>
      <c r="D224" s="581"/>
      <c r="E224" s="509"/>
      <c r="F224" s="530">
        <v>3986.4545554484885</v>
      </c>
      <c r="G224" s="582"/>
      <c r="H224" s="509"/>
      <c r="I224" s="530"/>
      <c r="J224" s="529"/>
      <c r="K224" s="509"/>
      <c r="L224" s="532">
        <v>667.07</v>
      </c>
      <c r="M224" s="529"/>
      <c r="N224" s="555">
        <v>-3319.3845554484883</v>
      </c>
      <c r="O224" s="529"/>
      <c r="P224" s="509"/>
      <c r="Q224" s="532">
        <v>4373.49</v>
      </c>
      <c r="R224" s="529"/>
      <c r="S224" s="555">
        <v>-3706.4199999999996</v>
      </c>
      <c r="T224" s="509"/>
      <c r="X224" s="509"/>
      <c r="Y224" s="509"/>
      <c r="Z224" s="509"/>
      <c r="AA224" s="509"/>
      <c r="AB224" s="509"/>
      <c r="AC224" s="509"/>
      <c r="AD224" s="509"/>
      <c r="AE224" s="509"/>
      <c r="AF224" s="509"/>
      <c r="AG224" s="509"/>
      <c r="AH224" s="509"/>
      <c r="AI224" s="509"/>
      <c r="AJ224" s="509"/>
      <c r="AK224" s="509"/>
      <c r="AL224" s="509"/>
      <c r="AM224" s="509"/>
      <c r="AN224" s="509"/>
    </row>
    <row r="225" spans="1:40" ht="15.75" customHeight="1">
      <c r="A225" s="494" t="s">
        <v>373</v>
      </c>
      <c r="B225" s="509" t="s">
        <v>83</v>
      </c>
      <c r="C225" s="529" t="s">
        <v>63</v>
      </c>
      <c r="D225" s="581"/>
      <c r="E225" s="509"/>
      <c r="F225" s="530">
        <v>1949.8633978543896</v>
      </c>
      <c r="G225" s="582"/>
      <c r="H225" s="509"/>
      <c r="I225" s="530"/>
      <c r="J225" s="529"/>
      <c r="K225" s="509"/>
      <c r="L225" s="532">
        <v>2375.2600000000002</v>
      </c>
      <c r="M225" s="529"/>
      <c r="N225" s="555">
        <v>425.39660214561059</v>
      </c>
      <c r="O225" s="529"/>
      <c r="P225" s="509"/>
      <c r="Q225" s="532">
        <v>3865.97</v>
      </c>
      <c r="R225" s="529"/>
      <c r="S225" s="555">
        <v>-1490.7099999999996</v>
      </c>
      <c r="T225" s="509"/>
      <c r="X225" s="509"/>
      <c r="Y225" s="509"/>
      <c r="Z225" s="509"/>
      <c r="AA225" s="509"/>
      <c r="AB225" s="509"/>
      <c r="AC225" s="509"/>
      <c r="AD225" s="509"/>
      <c r="AE225" s="509"/>
      <c r="AF225" s="509"/>
      <c r="AG225" s="509"/>
      <c r="AH225" s="509"/>
      <c r="AI225" s="509"/>
      <c r="AJ225" s="509"/>
      <c r="AK225" s="509"/>
      <c r="AL225" s="509"/>
      <c r="AM225" s="509"/>
      <c r="AN225" s="509"/>
    </row>
    <row r="226" spans="1:40" ht="15.75" hidden="1" customHeight="1">
      <c r="A226" s="494" t="s">
        <v>353</v>
      </c>
      <c r="B226" s="509" t="s">
        <v>83</v>
      </c>
      <c r="C226" s="529" t="s">
        <v>20</v>
      </c>
      <c r="D226" s="581"/>
      <c r="E226" s="509"/>
      <c r="F226" s="530">
        <v>0</v>
      </c>
      <c r="G226" s="582"/>
      <c r="H226" s="509"/>
      <c r="I226" s="530"/>
      <c r="J226" s="529"/>
      <c r="K226" s="509"/>
      <c r="L226" s="532">
        <v>0</v>
      </c>
      <c r="M226" s="529"/>
      <c r="N226" s="555">
        <v>0</v>
      </c>
      <c r="O226" s="529"/>
      <c r="P226" s="509"/>
      <c r="Q226" s="532">
        <v>0</v>
      </c>
      <c r="R226" s="529"/>
      <c r="S226" s="555">
        <v>0</v>
      </c>
      <c r="T226" s="509"/>
      <c r="U226" s="509"/>
      <c r="V226" s="509"/>
      <c r="W226" s="509"/>
      <c r="X226" s="509"/>
      <c r="Y226" s="509"/>
      <c r="Z226" s="509"/>
      <c r="AA226" s="509"/>
      <c r="AB226" s="509"/>
      <c r="AC226" s="509"/>
      <c r="AD226" s="509"/>
      <c r="AE226" s="509"/>
      <c r="AF226" s="509"/>
      <c r="AG226" s="509"/>
      <c r="AH226" s="509"/>
      <c r="AI226" s="509"/>
      <c r="AJ226" s="509"/>
      <c r="AK226" s="509"/>
      <c r="AL226" s="509"/>
      <c r="AM226" s="509"/>
      <c r="AN226" s="509"/>
    </row>
    <row r="227" spans="1:40" ht="15.75" hidden="1" customHeight="1">
      <c r="A227" s="494" t="s">
        <v>353</v>
      </c>
      <c r="B227" s="509" t="s">
        <v>83</v>
      </c>
      <c r="C227" s="529" t="s">
        <v>20</v>
      </c>
      <c r="D227" s="581"/>
      <c r="E227" s="509"/>
      <c r="F227" s="530">
        <v>0</v>
      </c>
      <c r="G227" s="582"/>
      <c r="H227" s="509"/>
      <c r="I227" s="530"/>
      <c r="J227" s="529"/>
      <c r="K227" s="509"/>
      <c r="L227" s="532">
        <v>0</v>
      </c>
      <c r="M227" s="529"/>
      <c r="N227" s="555">
        <v>0</v>
      </c>
      <c r="O227" s="529"/>
      <c r="P227" s="509"/>
      <c r="Q227" s="532">
        <v>0</v>
      </c>
      <c r="R227" s="529"/>
      <c r="S227" s="555">
        <v>0</v>
      </c>
      <c r="T227" s="509"/>
      <c r="U227" s="509"/>
      <c r="V227" s="509"/>
      <c r="W227" s="509"/>
      <c r="X227" s="509"/>
      <c r="Y227" s="509"/>
      <c r="Z227" s="509"/>
      <c r="AA227" s="509"/>
      <c r="AB227" s="509"/>
      <c r="AC227" s="509"/>
      <c r="AD227" s="509"/>
      <c r="AE227" s="509"/>
      <c r="AF227" s="509"/>
      <c r="AG227" s="509"/>
      <c r="AH227" s="509"/>
      <c r="AI227" s="509"/>
      <c r="AJ227" s="509"/>
      <c r="AK227" s="509"/>
      <c r="AL227" s="509"/>
      <c r="AM227" s="509"/>
      <c r="AN227" s="509"/>
    </row>
    <row r="228" spans="1:40" ht="15.75" hidden="1" customHeight="1">
      <c r="A228" s="494" t="s">
        <v>353</v>
      </c>
      <c r="B228" s="509" t="s">
        <v>83</v>
      </c>
      <c r="C228" s="529" t="s">
        <v>20</v>
      </c>
      <c r="D228" s="581"/>
      <c r="E228" s="509"/>
      <c r="F228" s="530">
        <v>0</v>
      </c>
      <c r="G228" s="582"/>
      <c r="H228" s="509"/>
      <c r="I228" s="530"/>
      <c r="J228" s="529"/>
      <c r="K228" s="509"/>
      <c r="L228" s="532">
        <v>0</v>
      </c>
      <c r="M228" s="529"/>
      <c r="N228" s="555">
        <v>0</v>
      </c>
      <c r="O228" s="529"/>
      <c r="P228" s="509"/>
      <c r="Q228" s="532">
        <v>0</v>
      </c>
      <c r="R228" s="529"/>
      <c r="S228" s="555">
        <v>0</v>
      </c>
      <c r="T228" s="509"/>
      <c r="U228" s="509"/>
      <c r="V228" s="509"/>
      <c r="W228" s="509"/>
      <c r="X228" s="509"/>
      <c r="Y228" s="509"/>
      <c r="Z228" s="509"/>
      <c r="AA228" s="509"/>
      <c r="AB228" s="509"/>
      <c r="AC228" s="509"/>
      <c r="AD228" s="509"/>
      <c r="AE228" s="509"/>
      <c r="AF228" s="509"/>
      <c r="AG228" s="509"/>
      <c r="AH228" s="509"/>
      <c r="AI228" s="509"/>
      <c r="AJ228" s="509"/>
      <c r="AK228" s="509"/>
      <c r="AL228" s="509"/>
      <c r="AM228" s="509"/>
      <c r="AN228" s="509"/>
    </row>
    <row r="229" spans="1:40" ht="15.75" customHeight="1">
      <c r="B229" s="509"/>
      <c r="C229" s="588" t="s">
        <v>64</v>
      </c>
      <c r="D229" s="589" t="s">
        <v>97</v>
      </c>
      <c r="E229" s="590">
        <v>0.17024376593798041</v>
      </c>
      <c r="F229" s="591">
        <v>57208.889390658253</v>
      </c>
      <c r="G229" s="592"/>
      <c r="H229" s="590"/>
      <c r="I229" s="591"/>
      <c r="J229" s="592" t="s">
        <v>97</v>
      </c>
      <c r="K229" s="590">
        <v>0.1853753875457822</v>
      </c>
      <c r="L229" s="591">
        <v>52267.889999999992</v>
      </c>
      <c r="M229" s="595"/>
      <c r="N229" s="591">
        <v>-4940.9993906582604</v>
      </c>
      <c r="O229" s="592" t="s">
        <v>97</v>
      </c>
      <c r="P229" s="590">
        <v>0.22691001852963441</v>
      </c>
      <c r="Q229" s="591">
        <v>54247.62999999999</v>
      </c>
      <c r="R229" s="595"/>
      <c r="S229" s="591">
        <v>-1979.739999999998</v>
      </c>
      <c r="T229" s="509"/>
      <c r="U229" s="509"/>
      <c r="V229" s="509"/>
      <c r="W229" s="509"/>
      <c r="X229" s="509"/>
      <c r="Y229" s="509"/>
      <c r="Z229" s="509"/>
      <c r="AA229" s="509"/>
      <c r="AB229" s="509"/>
      <c r="AC229" s="509"/>
      <c r="AD229" s="509"/>
      <c r="AE229" s="509"/>
      <c r="AF229" s="509"/>
      <c r="AG229" s="509"/>
      <c r="AH229" s="509"/>
      <c r="AI229" s="509"/>
      <c r="AJ229" s="509"/>
      <c r="AK229" s="509"/>
      <c r="AL229" s="509"/>
      <c r="AM229" s="509"/>
      <c r="AN229" s="509"/>
    </row>
    <row r="230" spans="1:40" ht="15.75" customHeight="1">
      <c r="B230" s="509"/>
      <c r="C230" s="522"/>
      <c r="D230" s="583"/>
      <c r="E230" s="603"/>
      <c r="F230" s="555"/>
      <c r="G230" s="584"/>
      <c r="H230" s="603"/>
      <c r="I230" s="555"/>
      <c r="J230" s="522"/>
      <c r="K230" s="603"/>
      <c r="L230" s="579"/>
      <c r="M230" s="522"/>
      <c r="N230" s="579"/>
      <c r="O230" s="522"/>
      <c r="P230" s="603"/>
      <c r="Q230" s="579"/>
      <c r="R230" s="522"/>
      <c r="S230" s="579"/>
      <c r="T230" s="509"/>
      <c r="U230" s="509"/>
      <c r="V230" s="509"/>
      <c r="W230" s="509"/>
      <c r="X230" s="509"/>
      <c r="Y230" s="509"/>
      <c r="Z230" s="509"/>
      <c r="AA230" s="509"/>
      <c r="AB230" s="509"/>
      <c r="AC230" s="509"/>
      <c r="AD230" s="509"/>
      <c r="AE230" s="509"/>
      <c r="AF230" s="509"/>
      <c r="AG230" s="509"/>
      <c r="AH230" s="509"/>
      <c r="AI230" s="509"/>
      <c r="AJ230" s="509"/>
      <c r="AK230" s="509"/>
      <c r="AL230" s="509"/>
      <c r="AM230" s="509"/>
      <c r="AN230" s="509"/>
    </row>
    <row r="231" spans="1:40" ht="15.75" customHeight="1">
      <c r="B231" s="509"/>
      <c r="C231" s="588" t="s">
        <v>65</v>
      </c>
      <c r="D231" s="589" t="s">
        <v>39</v>
      </c>
      <c r="E231" s="590">
        <v>0.67253948699502497</v>
      </c>
      <c r="F231" s="591">
        <v>226000.85771343258</v>
      </c>
      <c r="G231" s="592"/>
      <c r="H231" s="590"/>
      <c r="I231" s="591"/>
      <c r="J231" s="592" t="s">
        <v>39</v>
      </c>
      <c r="K231" s="590">
        <v>0.72743710113821947</v>
      </c>
      <c r="L231" s="591">
        <v>205105.98999999996</v>
      </c>
      <c r="M231" s="595"/>
      <c r="N231" s="605">
        <v>-20894.867713432614</v>
      </c>
      <c r="O231" s="592" t="s">
        <v>39</v>
      </c>
      <c r="P231" s="590">
        <v>0.72925507394013811</v>
      </c>
      <c r="Q231" s="591">
        <v>174343.82</v>
      </c>
      <c r="R231" s="595"/>
      <c r="S231" s="605">
        <v>30762.169999999955</v>
      </c>
      <c r="T231" s="509"/>
      <c r="U231" s="509"/>
      <c r="V231" s="509"/>
      <c r="W231" s="509"/>
      <c r="X231" s="509"/>
      <c r="Y231" s="509"/>
      <c r="Z231" s="509"/>
      <c r="AA231" s="509"/>
      <c r="AB231" s="509"/>
      <c r="AC231" s="509"/>
      <c r="AD231" s="509"/>
      <c r="AE231" s="509"/>
      <c r="AF231" s="509"/>
      <c r="AG231" s="509"/>
      <c r="AH231" s="509"/>
      <c r="AI231" s="509"/>
      <c r="AJ231" s="509"/>
      <c r="AK231" s="509"/>
      <c r="AL231" s="509"/>
      <c r="AM231" s="509"/>
      <c r="AN231" s="509"/>
    </row>
    <row r="232" spans="1:40" ht="15.75" customHeight="1">
      <c r="B232" s="509"/>
      <c r="C232" s="529"/>
      <c r="D232" s="581"/>
      <c r="E232" s="509"/>
      <c r="F232" s="555"/>
      <c r="G232" s="582"/>
      <c r="H232" s="509"/>
      <c r="I232" s="555"/>
      <c r="J232" s="529"/>
      <c r="K232" s="509"/>
      <c r="L232" s="555"/>
      <c r="M232" s="529"/>
      <c r="N232" s="555">
        <v>0</v>
      </c>
      <c r="O232" s="529"/>
      <c r="P232" s="509"/>
      <c r="Q232" s="555"/>
      <c r="R232" s="529"/>
      <c r="S232" s="555"/>
      <c r="T232" s="509"/>
      <c r="U232" s="509"/>
      <c r="V232" s="509"/>
      <c r="W232" s="509"/>
      <c r="X232" s="509"/>
      <c r="Y232" s="509"/>
      <c r="Z232" s="509"/>
      <c r="AA232" s="509"/>
      <c r="AB232" s="509"/>
      <c r="AC232" s="509"/>
      <c r="AD232" s="509"/>
      <c r="AE232" s="509"/>
      <c r="AF232" s="509"/>
      <c r="AG232" s="509"/>
      <c r="AH232" s="509"/>
      <c r="AI232" s="509"/>
      <c r="AJ232" s="509"/>
      <c r="AK232" s="509"/>
      <c r="AL232" s="509"/>
      <c r="AM232" s="509"/>
      <c r="AN232" s="509"/>
    </row>
    <row r="233" spans="1:40" ht="15.75" customHeight="1" thickBot="1">
      <c r="B233" s="509"/>
      <c r="C233" s="621" t="s">
        <v>72</v>
      </c>
      <c r="D233" s="651"/>
      <c r="E233" s="622"/>
      <c r="F233" s="624">
        <v>110040.1660236679</v>
      </c>
      <c r="G233" s="652"/>
      <c r="H233" s="622"/>
      <c r="I233" s="624"/>
      <c r="J233" s="621"/>
      <c r="K233" s="623"/>
      <c r="L233" s="624">
        <v>76851.020000000048</v>
      </c>
      <c r="M233" s="621"/>
      <c r="N233" s="624">
        <v>-33189.146023667854</v>
      </c>
      <c r="O233" s="621"/>
      <c r="P233" s="626">
        <v>0.19931190940827934</v>
      </c>
      <c r="Q233" s="624">
        <v>64727.289999998786</v>
      </c>
      <c r="R233" s="621"/>
      <c r="S233" s="624">
        <v>12123.730000001262</v>
      </c>
      <c r="T233" s="509"/>
      <c r="U233" s="509"/>
      <c r="V233" s="509"/>
      <c r="W233" s="509"/>
      <c r="X233" s="509"/>
      <c r="Y233" s="509"/>
      <c r="Z233" s="509"/>
      <c r="AA233" s="509"/>
      <c r="AB233" s="509"/>
      <c r="AC233" s="509"/>
      <c r="AD233" s="509"/>
      <c r="AE233" s="509"/>
      <c r="AF233" s="509"/>
      <c r="AG233" s="509"/>
      <c r="AH233" s="509"/>
      <c r="AI233" s="509"/>
      <c r="AJ233" s="509"/>
      <c r="AK233" s="509"/>
      <c r="AL233" s="509"/>
      <c r="AM233" s="509"/>
      <c r="AN233" s="509"/>
    </row>
    <row r="234" spans="1:40" ht="15.75" customHeight="1" thickTop="1"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70"/>
      <c r="M234" s="570"/>
      <c r="N234" s="509"/>
      <c r="O234" s="570"/>
      <c r="P234" s="509"/>
      <c r="Q234" s="570"/>
      <c r="R234" s="509"/>
      <c r="S234" s="509"/>
      <c r="T234" s="509"/>
      <c r="U234" s="509"/>
      <c r="V234" s="509"/>
      <c r="W234" s="509"/>
      <c r="X234" s="509"/>
      <c r="Y234" s="509"/>
      <c r="Z234" s="509"/>
      <c r="AA234" s="509"/>
      <c r="AB234" s="509"/>
      <c r="AC234" s="509"/>
      <c r="AD234" s="509"/>
      <c r="AE234" s="509"/>
      <c r="AF234" s="509"/>
      <c r="AG234" s="509"/>
      <c r="AH234" s="509"/>
      <c r="AI234" s="509"/>
      <c r="AJ234" s="509"/>
      <c r="AK234" s="509"/>
      <c r="AL234" s="509"/>
      <c r="AM234" s="509"/>
      <c r="AN234" s="509"/>
    </row>
    <row r="235" spans="1:40" ht="15.75" customHeight="1">
      <c r="B235" s="509"/>
      <c r="C235" s="506"/>
      <c r="D235" s="506"/>
      <c r="E235" s="506"/>
      <c r="F235" s="506"/>
      <c r="G235" s="506"/>
      <c r="H235" s="506"/>
      <c r="I235" s="506"/>
      <c r="J235" s="506"/>
      <c r="K235" s="506"/>
      <c r="L235" s="653"/>
      <c r="M235" s="653"/>
      <c r="N235" s="506"/>
      <c r="O235" s="653"/>
      <c r="P235" s="506"/>
      <c r="Q235" s="653"/>
      <c r="R235" s="506"/>
      <c r="S235" s="506"/>
      <c r="T235" s="506"/>
      <c r="U235" s="506"/>
      <c r="V235" s="509"/>
      <c r="W235" s="509"/>
      <c r="X235" s="509"/>
      <c r="Y235" s="509"/>
      <c r="Z235" s="509"/>
      <c r="AA235" s="509"/>
      <c r="AB235" s="509"/>
      <c r="AC235" s="509"/>
      <c r="AD235" s="509"/>
      <c r="AE235" s="509"/>
      <c r="AF235" s="509"/>
      <c r="AG235" s="509"/>
      <c r="AH235" s="509"/>
      <c r="AI235" s="509"/>
      <c r="AJ235" s="509"/>
      <c r="AK235" s="509"/>
      <c r="AL235" s="509"/>
      <c r="AM235" s="509"/>
      <c r="AN235" s="509"/>
    </row>
    <row r="236" spans="1:40" ht="33" customHeight="1">
      <c r="B236" s="509"/>
      <c r="C236" s="631" t="s">
        <v>477</v>
      </c>
      <c r="D236" s="497"/>
      <c r="E236" s="497"/>
      <c r="F236" s="497"/>
      <c r="G236" s="497"/>
      <c r="H236" s="495"/>
      <c r="I236" s="495"/>
      <c r="J236" s="495"/>
      <c r="K236" s="499" t="s">
        <v>99</v>
      </c>
      <c r="L236" s="497"/>
      <c r="M236" s="497"/>
      <c r="N236" s="495"/>
      <c r="O236" s="495"/>
      <c r="P236" s="497"/>
      <c r="Q236" s="495"/>
      <c r="R236" s="497"/>
      <c r="S236" s="632" t="s">
        <v>484</v>
      </c>
      <c r="T236" s="497"/>
      <c r="U236" s="495"/>
      <c r="V236" s="506"/>
      <c r="W236" s="506"/>
      <c r="X236" s="506"/>
      <c r="Y236" s="506"/>
      <c r="Z236" s="506"/>
      <c r="AA236" s="506"/>
      <c r="AB236" s="506"/>
      <c r="AC236" s="506"/>
      <c r="AD236" s="506"/>
      <c r="AE236" s="506"/>
      <c r="AF236" s="506"/>
      <c r="AG236" s="506"/>
      <c r="AH236" s="506"/>
      <c r="AI236" s="506"/>
      <c r="AJ236" s="506"/>
      <c r="AK236" s="506"/>
      <c r="AL236" s="506"/>
      <c r="AM236" s="506"/>
      <c r="AN236" s="506"/>
    </row>
    <row r="237" spans="1:40" ht="24" customHeight="1" thickBot="1">
      <c r="B237" s="509"/>
      <c r="C237" s="504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</row>
    <row r="238" spans="1:40" ht="15.75" customHeight="1" thickTop="1">
      <c r="B238" s="509"/>
      <c r="C238" s="510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221</v>
      </c>
      <c r="N238" s="513"/>
      <c r="O238" s="511" t="s">
        <v>8</v>
      </c>
      <c r="P238" s="512"/>
      <c r="Q238" s="513"/>
      <c r="R238" s="514" t="s">
        <v>222</v>
      </c>
      <c r="S238" s="513"/>
      <c r="T238" s="647"/>
      <c r="U238" s="509"/>
      <c r="V238" s="506"/>
      <c r="W238" s="506"/>
      <c r="X238" s="506"/>
      <c r="Y238" s="506"/>
      <c r="Z238" s="506"/>
      <c r="AA238" s="506"/>
      <c r="AB238" s="506"/>
      <c r="AC238" s="506"/>
      <c r="AD238" s="506"/>
      <c r="AE238" s="506"/>
      <c r="AF238" s="506"/>
      <c r="AG238" s="506"/>
      <c r="AH238" s="506"/>
      <c r="AI238" s="506"/>
      <c r="AJ238" s="506"/>
      <c r="AK238" s="506"/>
      <c r="AL238" s="506"/>
      <c r="AM238" s="506"/>
      <c r="AN238" s="506"/>
    </row>
    <row r="239" spans="1:40" ht="15.75" customHeight="1">
      <c r="A239" s="494" t="s">
        <v>99</v>
      </c>
      <c r="B239" s="509" t="s">
        <v>99</v>
      </c>
      <c r="C239" s="529"/>
      <c r="D239" s="572" t="s">
        <v>40</v>
      </c>
      <c r="E239" s="572" t="s">
        <v>84</v>
      </c>
      <c r="F239" s="654" t="s">
        <v>12</v>
      </c>
      <c r="G239" s="655"/>
      <c r="H239" s="572"/>
      <c r="I239" s="654"/>
      <c r="J239" s="655" t="s">
        <v>40</v>
      </c>
      <c r="K239" s="572" t="s">
        <v>84</v>
      </c>
      <c r="L239" s="654" t="s">
        <v>12</v>
      </c>
      <c r="M239" s="655" t="s">
        <v>40</v>
      </c>
      <c r="N239" s="654" t="s">
        <v>336</v>
      </c>
      <c r="O239" s="572" t="s">
        <v>40</v>
      </c>
      <c r="P239" s="572" t="s">
        <v>84</v>
      </c>
      <c r="Q239" s="654" t="s">
        <v>12</v>
      </c>
      <c r="R239" s="655" t="s">
        <v>85</v>
      </c>
      <c r="S239" s="654" t="s">
        <v>12</v>
      </c>
      <c r="T239" s="572"/>
      <c r="U239" s="509"/>
      <c r="V239" s="509"/>
      <c r="W239" s="509"/>
      <c r="X239" s="509"/>
      <c r="Y239" s="509"/>
      <c r="Z239" s="509"/>
      <c r="AA239" s="509"/>
      <c r="AB239" s="509"/>
      <c r="AC239" s="509"/>
      <c r="AD239" s="509"/>
      <c r="AE239" s="509"/>
      <c r="AF239" s="509"/>
      <c r="AG239" s="509"/>
      <c r="AH239" s="509"/>
      <c r="AI239" s="509"/>
      <c r="AJ239" s="509"/>
      <c r="AK239" s="509"/>
      <c r="AL239" s="509"/>
      <c r="AM239" s="509"/>
      <c r="AN239" s="509"/>
    </row>
    <row r="240" spans="1:40" ht="15.75" customHeight="1">
      <c r="A240" s="494" t="s">
        <v>99</v>
      </c>
      <c r="B240" s="509" t="s">
        <v>99</v>
      </c>
      <c r="C240" s="529"/>
      <c r="D240" s="572"/>
      <c r="E240" s="572"/>
      <c r="F240" s="654"/>
      <c r="G240" s="655"/>
      <c r="H240" s="572"/>
      <c r="I240" s="654"/>
      <c r="J240" s="655"/>
      <c r="K240" s="530"/>
      <c r="L240" s="532"/>
      <c r="M240" s="655"/>
      <c r="N240" s="654"/>
      <c r="O240" s="572"/>
      <c r="P240" s="572"/>
      <c r="Q240" s="654"/>
      <c r="R240" s="655"/>
      <c r="S240" s="654"/>
      <c r="T240" s="572"/>
      <c r="U240" s="509"/>
      <c r="V240" s="509"/>
      <c r="W240" s="509"/>
      <c r="X240" s="509"/>
      <c r="Y240" s="509"/>
      <c r="Z240" s="509"/>
      <c r="AA240" s="509"/>
      <c r="AB240" s="509"/>
      <c r="AC240" s="509"/>
      <c r="AD240" s="509"/>
      <c r="AE240" s="509"/>
      <c r="AF240" s="509"/>
      <c r="AG240" s="509"/>
      <c r="AH240" s="509"/>
      <c r="AI240" s="509"/>
      <c r="AJ240" s="509"/>
      <c r="AK240" s="509"/>
      <c r="AL240" s="509"/>
      <c r="AM240" s="509"/>
      <c r="AN240" s="509"/>
    </row>
    <row r="241" spans="1:40" ht="15.75" customHeight="1">
      <c r="A241" s="494" t="s">
        <v>374</v>
      </c>
      <c r="B241" s="509" t="s">
        <v>99</v>
      </c>
      <c r="C241" s="529" t="s">
        <v>100</v>
      </c>
      <c r="D241" s="696">
        <v>0</v>
      </c>
      <c r="E241" s="570">
        <v>93531.939296992714</v>
      </c>
      <c r="F241" s="570">
        <v>14029.790894548907</v>
      </c>
      <c r="G241" s="697"/>
      <c r="H241" s="570"/>
      <c r="I241" s="570"/>
      <c r="J241" s="556">
        <v>1</v>
      </c>
      <c r="K241" s="530">
        <v>2841.3100000000004</v>
      </c>
      <c r="L241" s="532">
        <v>1481.9200000000003</v>
      </c>
      <c r="M241" s="574">
        <v>-0.9696220347684873</v>
      </c>
      <c r="N241" s="555">
        <v>-12547.870894548907</v>
      </c>
      <c r="O241" s="556">
        <v>53</v>
      </c>
      <c r="P241" s="530">
        <v>81827.360000000001</v>
      </c>
      <c r="Q241" s="532">
        <v>22554.99</v>
      </c>
      <c r="R241" s="574">
        <v>1.8867924528301886E-2</v>
      </c>
      <c r="S241" s="555">
        <v>-21073.07</v>
      </c>
      <c r="T241" s="572"/>
      <c r="U241" s="509"/>
      <c r="V241" s="509"/>
      <c r="W241" s="509"/>
      <c r="X241" s="509"/>
      <c r="Y241" s="509"/>
      <c r="Z241" s="509"/>
      <c r="AA241" s="509"/>
      <c r="AB241" s="509"/>
      <c r="AC241" s="509"/>
      <c r="AD241" s="509"/>
      <c r="AE241" s="509"/>
      <c r="AF241" s="509"/>
      <c r="AG241" s="509"/>
      <c r="AH241" s="509"/>
      <c r="AI241" s="509"/>
      <c r="AJ241" s="509"/>
      <c r="AK241" s="509"/>
      <c r="AL241" s="509"/>
      <c r="AM241" s="509"/>
      <c r="AN241" s="509"/>
    </row>
    <row r="242" spans="1:40" ht="15.75" customHeight="1">
      <c r="A242" s="494" t="s">
        <v>375</v>
      </c>
      <c r="B242" s="509" t="s">
        <v>99</v>
      </c>
      <c r="C242" s="529" t="s">
        <v>87</v>
      </c>
      <c r="D242" s="572"/>
      <c r="E242" s="640"/>
      <c r="F242" s="656">
        <v>0.15</v>
      </c>
      <c r="G242" s="529"/>
      <c r="H242" s="640"/>
      <c r="I242" s="656"/>
      <c r="J242" s="556"/>
      <c r="K242" s="509"/>
      <c r="L242" s="656">
        <v>0.52156223713709526</v>
      </c>
      <c r="M242" s="574"/>
      <c r="N242" s="555">
        <v>12940.991896440257</v>
      </c>
      <c r="O242" s="556"/>
      <c r="P242" s="509"/>
      <c r="Q242" s="656">
        <v>0.27564117918505499</v>
      </c>
      <c r="R242" s="556"/>
      <c r="S242" s="555">
        <v>-1116872.71</v>
      </c>
      <c r="T242" s="572"/>
      <c r="U242" s="509"/>
      <c r="V242" s="509"/>
      <c r="W242" s="509"/>
      <c r="X242" s="509"/>
      <c r="Y242" s="509"/>
      <c r="Z242" s="509"/>
      <c r="AA242" s="509"/>
      <c r="AB242" s="509"/>
      <c r="AC242" s="509"/>
      <c r="AD242" s="509"/>
      <c r="AE242" s="509"/>
      <c r="AF242" s="509"/>
      <c r="AG242" s="509"/>
      <c r="AH242" s="509"/>
      <c r="AI242" s="509"/>
      <c r="AJ242" s="509"/>
      <c r="AK242" s="509"/>
      <c r="AL242" s="509"/>
      <c r="AM242" s="509"/>
      <c r="AN242" s="509"/>
    </row>
    <row r="243" spans="1:40" ht="15.75" customHeight="1">
      <c r="A243" s="494" t="s">
        <v>99</v>
      </c>
      <c r="B243" s="509" t="s">
        <v>99</v>
      </c>
      <c r="C243" s="529"/>
      <c r="D243" s="572"/>
      <c r="E243" s="698"/>
      <c r="F243" s="634"/>
      <c r="G243" s="655"/>
      <c r="H243" s="698"/>
      <c r="I243" s="634"/>
      <c r="J243" s="655"/>
      <c r="K243" s="572"/>
      <c r="L243" s="654"/>
      <c r="M243" s="655"/>
      <c r="N243" s="654"/>
      <c r="O243" s="655"/>
      <c r="P243" s="572"/>
      <c r="Q243" s="654"/>
      <c r="R243" s="633"/>
      <c r="S243" s="654"/>
      <c r="T243" s="572"/>
      <c r="U243" s="509"/>
      <c r="V243" s="509"/>
      <c r="W243" s="509"/>
      <c r="X243" s="509"/>
      <c r="Y243" s="509"/>
      <c r="Z243" s="509"/>
      <c r="AA243" s="509"/>
      <c r="AB243" s="509"/>
      <c r="AC243" s="509"/>
      <c r="AD243" s="509"/>
      <c r="AE243" s="509"/>
      <c r="AF243" s="509"/>
      <c r="AG243" s="509"/>
      <c r="AH243" s="509"/>
      <c r="AI243" s="509"/>
      <c r="AJ243" s="509"/>
      <c r="AK243" s="509"/>
      <c r="AL243" s="509"/>
      <c r="AM243" s="509"/>
      <c r="AN243" s="509"/>
    </row>
    <row r="244" spans="1:40" ht="15.75" customHeight="1">
      <c r="A244" s="494" t="s">
        <v>376</v>
      </c>
      <c r="B244" s="509" t="s">
        <v>99</v>
      </c>
      <c r="C244" s="517" t="s">
        <v>101</v>
      </c>
      <c r="D244" s="660">
        <v>0</v>
      </c>
      <c r="E244" s="570">
        <v>0</v>
      </c>
      <c r="F244" s="570">
        <v>0</v>
      </c>
      <c r="G244" s="699"/>
      <c r="H244" s="570"/>
      <c r="I244" s="570"/>
      <c r="J244" s="661">
        <v>0</v>
      </c>
      <c r="K244" s="550">
        <v>0</v>
      </c>
      <c r="L244" s="551">
        <v>0</v>
      </c>
      <c r="M244" s="665">
        <v>0</v>
      </c>
      <c r="N244" s="602">
        <v>0</v>
      </c>
      <c r="O244" s="661">
        <v>0</v>
      </c>
      <c r="P244" s="550">
        <v>0</v>
      </c>
      <c r="Q244" s="551">
        <v>0</v>
      </c>
      <c r="R244" s="574">
        <v>0</v>
      </c>
      <c r="S244" s="602">
        <v>0</v>
      </c>
      <c r="T244" s="644"/>
      <c r="U244" s="509"/>
      <c r="V244" s="509"/>
      <c r="W244" s="509"/>
      <c r="X244" s="509"/>
      <c r="Y244" s="509"/>
      <c r="Z244" s="509"/>
      <c r="AA244" s="509"/>
      <c r="AB244" s="509"/>
      <c r="AC244" s="509"/>
      <c r="AD244" s="509"/>
      <c r="AE244" s="509"/>
      <c r="AF244" s="509"/>
      <c r="AG244" s="509"/>
      <c r="AH244" s="509"/>
      <c r="AI244" s="509"/>
      <c r="AJ244" s="509"/>
      <c r="AK244" s="509"/>
      <c r="AL244" s="509"/>
      <c r="AM244" s="509"/>
      <c r="AN244" s="509"/>
    </row>
    <row r="245" spans="1:40" ht="15.75" customHeight="1">
      <c r="A245" s="494" t="s">
        <v>375</v>
      </c>
      <c r="B245" s="509" t="s">
        <v>99</v>
      </c>
      <c r="C245" s="529" t="s">
        <v>87</v>
      </c>
      <c r="D245" s="509"/>
      <c r="E245" s="640"/>
      <c r="F245" s="656" t="e">
        <v>#DIV/0!</v>
      </c>
      <c r="G245" s="529"/>
      <c r="H245" s="640"/>
      <c r="I245" s="656"/>
      <c r="J245" s="556"/>
      <c r="K245" s="509"/>
      <c r="L245" s="656">
        <v>0</v>
      </c>
      <c r="M245" s="574"/>
      <c r="N245" s="555">
        <v>0</v>
      </c>
      <c r="O245" s="556"/>
      <c r="P245" s="509"/>
      <c r="Q245" s="656">
        <v>0</v>
      </c>
      <c r="R245" s="556"/>
      <c r="S245" s="555">
        <v>0</v>
      </c>
      <c r="T245" s="644"/>
      <c r="U245" s="509"/>
      <c r="V245" s="509"/>
      <c r="W245" s="509"/>
      <c r="X245" s="509"/>
      <c r="Y245" s="509"/>
      <c r="Z245" s="509"/>
      <c r="AA245" s="509"/>
      <c r="AB245" s="509"/>
      <c r="AC245" s="509"/>
      <c r="AD245" s="509"/>
      <c r="AE245" s="509"/>
      <c r="AF245" s="509"/>
      <c r="AG245" s="509"/>
      <c r="AH245" s="509"/>
      <c r="AI245" s="509"/>
      <c r="AJ245" s="509"/>
      <c r="AK245" s="509"/>
      <c r="AL245" s="509"/>
      <c r="AM245" s="509"/>
      <c r="AN245" s="509"/>
    </row>
    <row r="246" spans="1:40" ht="15.75" customHeight="1">
      <c r="A246" s="494" t="s">
        <v>99</v>
      </c>
      <c r="B246" s="509" t="s">
        <v>99</v>
      </c>
      <c r="C246" s="522"/>
      <c r="D246" s="603"/>
      <c r="E246" s="700"/>
      <c r="F246" s="658"/>
      <c r="G246" s="522"/>
      <c r="H246" s="700"/>
      <c r="I246" s="658"/>
      <c r="J246" s="659"/>
      <c r="K246" s="701"/>
      <c r="L246" s="658"/>
      <c r="M246" s="578"/>
      <c r="N246" s="579"/>
      <c r="O246" s="659"/>
      <c r="P246" s="701"/>
      <c r="Q246" s="658"/>
      <c r="R246" s="659"/>
      <c r="S246" s="579"/>
      <c r="T246" s="644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509"/>
      <c r="AE246" s="509"/>
      <c r="AF246" s="509"/>
      <c r="AG246" s="509"/>
      <c r="AH246" s="509"/>
      <c r="AI246" s="509"/>
      <c r="AJ246" s="509"/>
      <c r="AK246" s="509"/>
      <c r="AL246" s="509"/>
      <c r="AM246" s="509"/>
      <c r="AN246" s="509"/>
    </row>
    <row r="247" spans="1:40" ht="15.75" customHeight="1">
      <c r="A247" s="494" t="s">
        <v>377</v>
      </c>
      <c r="B247" s="509" t="s">
        <v>99</v>
      </c>
      <c r="C247" s="517" t="s">
        <v>102</v>
      </c>
      <c r="D247" s="660">
        <v>0</v>
      </c>
      <c r="E247" s="570">
        <v>0</v>
      </c>
      <c r="F247" s="570">
        <v>0</v>
      </c>
      <c r="G247" s="661"/>
      <c r="H247" s="570"/>
      <c r="I247" s="570"/>
      <c r="J247" s="661">
        <v>0</v>
      </c>
      <c r="K247" s="530">
        <v>0</v>
      </c>
      <c r="L247" s="532">
        <v>0</v>
      </c>
      <c r="M247" s="574">
        <v>0</v>
      </c>
      <c r="N247" s="602">
        <v>0</v>
      </c>
      <c r="O247" s="661">
        <v>0</v>
      </c>
      <c r="P247" s="530">
        <v>0</v>
      </c>
      <c r="Q247" s="532">
        <v>0</v>
      </c>
      <c r="R247" s="574">
        <v>0</v>
      </c>
      <c r="S247" s="555">
        <v>0</v>
      </c>
      <c r="T247" s="644"/>
      <c r="U247" s="509"/>
      <c r="V247" s="509"/>
      <c r="W247" s="509"/>
      <c r="X247" s="509"/>
      <c r="Y247" s="509"/>
      <c r="Z247" s="509"/>
      <c r="AA247" s="509"/>
      <c r="AB247" s="509"/>
      <c r="AC247" s="509"/>
      <c r="AD247" s="509"/>
      <c r="AE247" s="509"/>
      <c r="AF247" s="509"/>
      <c r="AG247" s="509"/>
      <c r="AH247" s="509"/>
      <c r="AI247" s="509"/>
      <c r="AJ247" s="509"/>
      <c r="AK247" s="509"/>
      <c r="AL247" s="509"/>
      <c r="AM247" s="509"/>
      <c r="AN247" s="509"/>
    </row>
    <row r="248" spans="1:40" ht="15.75" customHeight="1">
      <c r="A248" s="494" t="s">
        <v>375</v>
      </c>
      <c r="B248" s="509" t="s">
        <v>99</v>
      </c>
      <c r="C248" s="529" t="s">
        <v>87</v>
      </c>
      <c r="D248" s="509"/>
      <c r="E248" s="509"/>
      <c r="F248" s="656" t="e">
        <v>#DIV/0!</v>
      </c>
      <c r="G248" s="529"/>
      <c r="H248" s="509"/>
      <c r="I248" s="656"/>
      <c r="J248" s="529"/>
      <c r="K248" s="509"/>
      <c r="L248" s="656">
        <v>0</v>
      </c>
      <c r="M248" s="546"/>
      <c r="N248" s="547">
        <v>0</v>
      </c>
      <c r="O248" s="529"/>
      <c r="P248" s="509"/>
      <c r="Q248" s="656">
        <v>0</v>
      </c>
      <c r="R248" s="546"/>
      <c r="S248" s="547">
        <v>0</v>
      </c>
      <c r="T248" s="644"/>
      <c r="U248" s="509"/>
      <c r="V248" s="509"/>
      <c r="W248" s="509"/>
      <c r="X248" s="509"/>
      <c r="Y248" s="509"/>
      <c r="Z248" s="509"/>
      <c r="AA248" s="509"/>
      <c r="AB248" s="509"/>
      <c r="AC248" s="509"/>
      <c r="AD248" s="509"/>
      <c r="AE248" s="509"/>
      <c r="AF248" s="509"/>
      <c r="AG248" s="509"/>
      <c r="AH248" s="509"/>
      <c r="AI248" s="509"/>
      <c r="AJ248" s="509"/>
      <c r="AK248" s="509"/>
      <c r="AL248" s="509"/>
      <c r="AM248" s="509"/>
      <c r="AN248" s="509"/>
    </row>
    <row r="249" spans="1:40" ht="15.75" customHeight="1" thickBot="1">
      <c r="A249" s="494" t="s">
        <v>99</v>
      </c>
      <c r="B249" s="509" t="s">
        <v>99</v>
      </c>
      <c r="C249" s="529"/>
      <c r="D249" s="509"/>
      <c r="E249" s="509"/>
      <c r="F249" s="656"/>
      <c r="G249" s="529"/>
      <c r="H249" s="509"/>
      <c r="I249" s="656"/>
      <c r="J249" s="529"/>
      <c r="K249" s="509"/>
      <c r="L249" s="656"/>
      <c r="M249" s="546"/>
      <c r="N249" s="547"/>
      <c r="O249" s="529"/>
      <c r="P249" s="509"/>
      <c r="Q249" s="656"/>
      <c r="R249" s="546"/>
      <c r="S249" s="547"/>
      <c r="T249" s="644"/>
      <c r="U249" s="509"/>
      <c r="V249" s="509"/>
      <c r="W249" s="509"/>
      <c r="X249" s="509"/>
      <c r="Y249" s="509"/>
      <c r="Z249" s="509"/>
      <c r="AA249" s="509"/>
      <c r="AB249" s="509"/>
      <c r="AC249" s="509"/>
      <c r="AD249" s="509"/>
      <c r="AE249" s="509"/>
      <c r="AF249" s="509"/>
      <c r="AG249" s="509"/>
      <c r="AH249" s="509"/>
      <c r="AI249" s="509"/>
      <c r="AJ249" s="509"/>
      <c r="AK249" s="509"/>
      <c r="AL249" s="509"/>
      <c r="AM249" s="509"/>
      <c r="AN249" s="509"/>
    </row>
    <row r="250" spans="1:40" ht="15.75" customHeight="1" thickTop="1">
      <c r="A250" s="494" t="s">
        <v>378</v>
      </c>
      <c r="B250" s="509" t="s">
        <v>99</v>
      </c>
      <c r="C250" s="557" t="s">
        <v>96</v>
      </c>
      <c r="D250" s="558"/>
      <c r="E250" s="558">
        <v>93531.939296992714</v>
      </c>
      <c r="F250" s="560">
        <v>14029.790894548907</v>
      </c>
      <c r="G250" s="561"/>
      <c r="H250" s="558"/>
      <c r="I250" s="560"/>
      <c r="J250" s="561"/>
      <c r="K250" s="558">
        <v>2841.3100000000004</v>
      </c>
      <c r="L250" s="560">
        <v>1481.9200000000003</v>
      </c>
      <c r="M250" s="693">
        <v>0.37156223713709524</v>
      </c>
      <c r="N250" s="560">
        <v>-12547.870894548907</v>
      </c>
      <c r="O250" s="561"/>
      <c r="P250" s="558">
        <v>81827.360000000001</v>
      </c>
      <c r="Q250" s="560">
        <v>22554.99</v>
      </c>
      <c r="R250" s="702">
        <v>0.24592105795204028</v>
      </c>
      <c r="S250" s="560">
        <v>-21073.07</v>
      </c>
      <c r="T250" s="644"/>
      <c r="U250" s="509"/>
      <c r="V250" s="509"/>
      <c r="W250" s="509"/>
      <c r="X250" s="509"/>
      <c r="Y250" s="509"/>
      <c r="Z250" s="509"/>
      <c r="AA250" s="509"/>
      <c r="AB250" s="509"/>
      <c r="AC250" s="509"/>
      <c r="AD250" s="509"/>
      <c r="AE250" s="509"/>
      <c r="AF250" s="509"/>
      <c r="AG250" s="509"/>
      <c r="AH250" s="509"/>
      <c r="AI250" s="509"/>
      <c r="AJ250" s="509"/>
      <c r="AK250" s="509"/>
      <c r="AL250" s="509"/>
      <c r="AM250" s="509"/>
      <c r="AN250" s="509"/>
    </row>
    <row r="251" spans="1:40" ht="23.25" customHeight="1" thickBot="1">
      <c r="A251" s="494" t="s">
        <v>99</v>
      </c>
      <c r="B251" s="509" t="s">
        <v>99</v>
      </c>
      <c r="C251" s="562"/>
      <c r="D251" s="563"/>
      <c r="E251" s="563"/>
      <c r="F251" s="567">
        <v>0.15</v>
      </c>
      <c r="G251" s="562"/>
      <c r="H251" s="563"/>
      <c r="I251" s="567"/>
      <c r="J251" s="562"/>
      <c r="K251" s="563"/>
      <c r="L251" s="567">
        <v>0.52156223713709526</v>
      </c>
      <c r="M251" s="566"/>
      <c r="N251" s="567">
        <v>-0.89437333662786234</v>
      </c>
      <c r="O251" s="562"/>
      <c r="P251" s="563"/>
      <c r="Q251" s="567">
        <v>0.27564117918505499</v>
      </c>
      <c r="R251" s="566"/>
      <c r="S251" s="567">
        <v>-0.93429746588227258</v>
      </c>
      <c r="T251" s="644"/>
      <c r="U251" s="509"/>
      <c r="V251" s="509"/>
      <c r="W251" s="509"/>
      <c r="X251" s="509"/>
      <c r="Y251" s="509"/>
      <c r="Z251" s="509"/>
      <c r="AA251" s="509"/>
      <c r="AB251" s="509"/>
      <c r="AC251" s="509"/>
      <c r="AD251" s="509"/>
      <c r="AE251" s="509"/>
      <c r="AF251" s="509"/>
      <c r="AG251" s="509"/>
      <c r="AH251" s="509"/>
      <c r="AI251" s="509"/>
      <c r="AJ251" s="509"/>
      <c r="AK251" s="509"/>
      <c r="AL251" s="509"/>
      <c r="AM251" s="509"/>
      <c r="AN251" s="509"/>
    </row>
    <row r="252" spans="1:40" ht="15.75" customHeight="1" thickTop="1">
      <c r="A252" s="494" t="s">
        <v>99</v>
      </c>
      <c r="B252" s="509" t="s">
        <v>99</v>
      </c>
      <c r="C252" s="529"/>
      <c r="D252" s="509"/>
      <c r="E252" s="509"/>
      <c r="F252" s="555"/>
      <c r="G252" s="529"/>
      <c r="H252" s="509"/>
      <c r="I252" s="555"/>
      <c r="J252" s="529"/>
      <c r="K252" s="509"/>
      <c r="L252" s="539"/>
      <c r="M252" s="529"/>
      <c r="N252" s="539"/>
      <c r="O252" s="529"/>
      <c r="P252" s="509"/>
      <c r="Q252" s="539"/>
      <c r="R252" s="529"/>
      <c r="S252" s="539"/>
      <c r="T252" s="509"/>
      <c r="U252" s="509"/>
      <c r="V252" s="509"/>
      <c r="W252" s="509"/>
      <c r="X252" s="509"/>
      <c r="Y252" s="509"/>
      <c r="Z252" s="509"/>
      <c r="AA252" s="509"/>
      <c r="AB252" s="509"/>
      <c r="AC252" s="509"/>
      <c r="AD252" s="509"/>
      <c r="AE252" s="509"/>
      <c r="AF252" s="509"/>
      <c r="AG252" s="509"/>
      <c r="AH252" s="509"/>
      <c r="AI252" s="509"/>
      <c r="AJ252" s="509"/>
      <c r="AK252" s="509"/>
      <c r="AL252" s="509"/>
      <c r="AM252" s="509"/>
      <c r="AN252" s="509"/>
    </row>
    <row r="253" spans="1:40" ht="15.75" customHeight="1">
      <c r="A253" s="494" t="s">
        <v>379</v>
      </c>
      <c r="B253" s="509" t="s">
        <v>99</v>
      </c>
      <c r="C253" s="571" t="s">
        <v>30</v>
      </c>
      <c r="D253" s="509"/>
      <c r="E253" s="509"/>
      <c r="F253" s="555"/>
      <c r="G253" s="529"/>
      <c r="H253" s="509"/>
      <c r="I253" s="555"/>
      <c r="J253" s="529"/>
      <c r="K253" s="509"/>
      <c r="L253" s="539"/>
      <c r="M253" s="529"/>
      <c r="N253" s="539"/>
      <c r="O253" s="529"/>
      <c r="P253" s="509"/>
      <c r="Q253" s="539"/>
      <c r="R253" s="529"/>
      <c r="S253" s="539"/>
      <c r="T253" s="509"/>
      <c r="U253" s="509"/>
      <c r="V253" s="509"/>
      <c r="W253" s="509"/>
      <c r="X253" s="509"/>
      <c r="Y253" s="509"/>
      <c r="Z253" s="509"/>
      <c r="AA253" s="509"/>
      <c r="AB253" s="509"/>
      <c r="AC253" s="509"/>
      <c r="AD253" s="509"/>
      <c r="AE253" s="509"/>
      <c r="AF253" s="509"/>
      <c r="AG253" s="509"/>
      <c r="AH253" s="509"/>
      <c r="AI253" s="509"/>
      <c r="AJ253" s="509"/>
      <c r="AK253" s="509"/>
      <c r="AL253" s="509"/>
      <c r="AM253" s="509"/>
      <c r="AN253" s="509"/>
    </row>
    <row r="254" spans="1:40" ht="15.75" customHeight="1">
      <c r="A254" s="494" t="s">
        <v>380</v>
      </c>
      <c r="B254" s="509" t="s">
        <v>99</v>
      </c>
      <c r="C254" s="596" t="s">
        <v>41</v>
      </c>
      <c r="D254" s="509"/>
      <c r="E254" s="509"/>
      <c r="F254" s="530">
        <v>371.65625000000006</v>
      </c>
      <c r="G254" s="529"/>
      <c r="H254" s="509"/>
      <c r="I254" s="530"/>
      <c r="J254" s="529"/>
      <c r="K254" s="509"/>
      <c r="L254" s="532">
        <v>901.88</v>
      </c>
      <c r="M254" s="529"/>
      <c r="N254" s="555">
        <v>530.22374999999988</v>
      </c>
      <c r="O254" s="529"/>
      <c r="P254" s="509"/>
      <c r="Q254" s="532">
        <v>1785.72</v>
      </c>
      <c r="R254" s="529"/>
      <c r="S254" s="532">
        <v>-883.84</v>
      </c>
      <c r="T254" s="509"/>
      <c r="U254" s="509"/>
      <c r="V254" s="509"/>
      <c r="W254" s="509"/>
      <c r="X254" s="509"/>
      <c r="Y254" s="509"/>
      <c r="Z254" s="509"/>
      <c r="AA254" s="509"/>
      <c r="AB254" s="509"/>
      <c r="AC254" s="509"/>
      <c r="AD254" s="509"/>
      <c r="AE254" s="509"/>
      <c r="AF254" s="509"/>
      <c r="AG254" s="509"/>
      <c r="AH254" s="509"/>
      <c r="AI254" s="509"/>
      <c r="AJ254" s="509"/>
      <c r="AK254" s="509"/>
      <c r="AL254" s="509"/>
      <c r="AM254" s="509"/>
      <c r="AN254" s="509"/>
    </row>
    <row r="255" spans="1:40" ht="15.75" customHeight="1">
      <c r="A255" s="494" t="s">
        <v>381</v>
      </c>
      <c r="B255" s="509" t="s">
        <v>99</v>
      </c>
      <c r="C255" s="598" t="s">
        <v>42</v>
      </c>
      <c r="D255" s="581"/>
      <c r="E255" s="509"/>
      <c r="F255" s="524">
        <v>5749.688269230769</v>
      </c>
      <c r="G255" s="582"/>
      <c r="H255" s="509"/>
      <c r="I255" s="524"/>
      <c r="J255" s="529"/>
      <c r="K255" s="509"/>
      <c r="L255" s="532">
        <v>492.92</v>
      </c>
      <c r="M255" s="529"/>
      <c r="N255" s="555">
        <v>-5256.768269230769</v>
      </c>
      <c r="O255" s="529"/>
      <c r="P255" s="509"/>
      <c r="Q255" s="532">
        <v>0</v>
      </c>
      <c r="R255" s="529"/>
      <c r="S255" s="555">
        <v>492.92</v>
      </c>
      <c r="T255" s="509"/>
      <c r="U255" s="509"/>
      <c r="V255" s="509"/>
      <c r="W255" s="509"/>
      <c r="X255" s="509"/>
      <c r="Y255" s="509"/>
      <c r="Z255" s="509"/>
      <c r="AA255" s="509"/>
      <c r="AB255" s="509"/>
      <c r="AC255" s="509"/>
      <c r="AD255" s="509"/>
      <c r="AE255" s="509"/>
      <c r="AF255" s="509"/>
      <c r="AG255" s="509"/>
      <c r="AH255" s="509"/>
      <c r="AI255" s="509"/>
      <c r="AJ255" s="509"/>
      <c r="AK255" s="509"/>
      <c r="AL255" s="509"/>
      <c r="AM255" s="509"/>
      <c r="AN255" s="509"/>
    </row>
    <row r="256" spans="1:40" ht="15.75" customHeight="1">
      <c r="A256" s="494" t="s">
        <v>382</v>
      </c>
      <c r="B256" s="509" t="s">
        <v>99</v>
      </c>
      <c r="C256" s="596" t="s">
        <v>43</v>
      </c>
      <c r="D256" s="599"/>
      <c r="E256" s="600"/>
      <c r="F256" s="530">
        <v>21.91346153846154</v>
      </c>
      <c r="G256" s="601"/>
      <c r="H256" s="600"/>
      <c r="I256" s="530"/>
      <c r="J256" s="517"/>
      <c r="K256" s="600"/>
      <c r="L256" s="551">
        <v>0.48</v>
      </c>
      <c r="M256" s="517"/>
      <c r="N256" s="602">
        <v>-21.43346153846154</v>
      </c>
      <c r="O256" s="517"/>
      <c r="P256" s="600"/>
      <c r="Q256" s="551">
        <v>0.08</v>
      </c>
      <c r="R256" s="517"/>
      <c r="S256" s="602">
        <v>0.39999999999999997</v>
      </c>
      <c r="T256" s="509"/>
      <c r="U256" s="509"/>
      <c r="V256" s="509"/>
      <c r="W256" s="509"/>
      <c r="X256" s="509"/>
      <c r="Y256" s="509"/>
      <c r="Z256" s="509"/>
      <c r="AA256" s="509"/>
      <c r="AB256" s="509"/>
      <c r="AC256" s="509"/>
      <c r="AD256" s="509"/>
      <c r="AE256" s="509"/>
      <c r="AF256" s="509"/>
      <c r="AG256" s="509"/>
      <c r="AH256" s="509"/>
      <c r="AI256" s="509"/>
      <c r="AJ256" s="509"/>
      <c r="AK256" s="509"/>
      <c r="AL256" s="509"/>
      <c r="AM256" s="509"/>
      <c r="AN256" s="509"/>
    </row>
    <row r="257" spans="1:40" ht="15.75" customHeight="1">
      <c r="A257" s="494" t="s">
        <v>383</v>
      </c>
      <c r="B257" s="509" t="s">
        <v>99</v>
      </c>
      <c r="C257" s="596" t="s">
        <v>44</v>
      </c>
      <c r="D257" s="581"/>
      <c r="E257" s="509"/>
      <c r="F257" s="530">
        <v>0</v>
      </c>
      <c r="G257" s="582"/>
      <c r="H257" s="509"/>
      <c r="I257" s="530"/>
      <c r="J257" s="529"/>
      <c r="K257" s="509"/>
      <c r="L257" s="532">
        <v>0</v>
      </c>
      <c r="M257" s="529"/>
      <c r="N257" s="555">
        <v>0</v>
      </c>
      <c r="O257" s="529"/>
      <c r="P257" s="509"/>
      <c r="Q257" s="532">
        <v>3887.6</v>
      </c>
      <c r="R257" s="529"/>
      <c r="S257" s="555">
        <v>-3887.6</v>
      </c>
      <c r="T257" s="509"/>
      <c r="U257" s="509"/>
      <c r="V257" s="509"/>
      <c r="W257" s="509"/>
      <c r="X257" s="509"/>
      <c r="Y257" s="509"/>
      <c r="Z257" s="509"/>
      <c r="AA257" s="509"/>
      <c r="AB257" s="509"/>
      <c r="AC257" s="509"/>
      <c r="AD257" s="509"/>
      <c r="AE257" s="509"/>
      <c r="AF257" s="509"/>
      <c r="AG257" s="509"/>
      <c r="AH257" s="509"/>
      <c r="AI257" s="509"/>
      <c r="AJ257" s="509"/>
      <c r="AK257" s="509"/>
      <c r="AL257" s="509"/>
      <c r="AM257" s="509"/>
      <c r="AN257" s="509"/>
    </row>
    <row r="258" spans="1:40" ht="15.75" hidden="1" customHeight="1">
      <c r="A258" s="494" t="s">
        <v>384</v>
      </c>
      <c r="B258" s="509" t="s">
        <v>99</v>
      </c>
      <c r="C258" s="529" t="s">
        <v>20</v>
      </c>
      <c r="D258" s="581"/>
      <c r="E258" s="509"/>
      <c r="F258" s="530">
        <v>0</v>
      </c>
      <c r="G258" s="582"/>
      <c r="H258" s="509"/>
      <c r="I258" s="530"/>
      <c r="J258" s="529"/>
      <c r="K258" s="509"/>
      <c r="L258" s="532">
        <v>0</v>
      </c>
      <c r="M258" s="529"/>
      <c r="N258" s="555">
        <v>0</v>
      </c>
      <c r="O258" s="529"/>
      <c r="P258" s="509"/>
      <c r="Q258" s="532">
        <v>0</v>
      </c>
      <c r="R258" s="529"/>
      <c r="S258" s="555">
        <v>0</v>
      </c>
      <c r="T258" s="509"/>
      <c r="U258" s="509"/>
      <c r="V258" s="509"/>
      <c r="W258" s="509"/>
      <c r="X258" s="509"/>
      <c r="Y258" s="509"/>
      <c r="Z258" s="509"/>
      <c r="AA258" s="509"/>
      <c r="AB258" s="509"/>
      <c r="AC258" s="509"/>
      <c r="AD258" s="509"/>
      <c r="AE258" s="509"/>
      <c r="AF258" s="509"/>
      <c r="AG258" s="509"/>
      <c r="AH258" s="509"/>
      <c r="AI258" s="509"/>
      <c r="AJ258" s="509"/>
      <c r="AK258" s="509"/>
      <c r="AL258" s="509"/>
      <c r="AM258" s="509"/>
      <c r="AN258" s="509"/>
    </row>
    <row r="259" spans="1:40" ht="15.75" hidden="1" customHeight="1">
      <c r="A259" s="494" t="s">
        <v>384</v>
      </c>
      <c r="B259" s="509" t="s">
        <v>99</v>
      </c>
      <c r="C259" s="529" t="s">
        <v>20</v>
      </c>
      <c r="D259" s="581"/>
      <c r="E259" s="509"/>
      <c r="F259" s="530">
        <v>0</v>
      </c>
      <c r="G259" s="582"/>
      <c r="H259" s="509"/>
      <c r="I259" s="530"/>
      <c r="J259" s="529"/>
      <c r="K259" s="509"/>
      <c r="L259" s="532">
        <v>0</v>
      </c>
      <c r="M259" s="529"/>
      <c r="N259" s="555">
        <v>0</v>
      </c>
      <c r="O259" s="529"/>
      <c r="P259" s="509"/>
      <c r="Q259" s="532">
        <v>0</v>
      </c>
      <c r="R259" s="529"/>
      <c r="S259" s="555">
        <v>0</v>
      </c>
      <c r="T259" s="509"/>
      <c r="U259" s="509"/>
      <c r="V259" s="509"/>
      <c r="W259" s="509"/>
      <c r="X259" s="509"/>
      <c r="Y259" s="509"/>
      <c r="Z259" s="509"/>
      <c r="AA259" s="509"/>
      <c r="AB259" s="509"/>
      <c r="AC259" s="509"/>
      <c r="AD259" s="509"/>
      <c r="AE259" s="509"/>
      <c r="AF259" s="509"/>
      <c r="AG259" s="509"/>
      <c r="AH259" s="509"/>
      <c r="AI259" s="509"/>
      <c r="AJ259" s="509"/>
      <c r="AK259" s="509"/>
      <c r="AL259" s="509"/>
      <c r="AM259" s="509"/>
      <c r="AN259" s="509"/>
    </row>
    <row r="260" spans="1:40" ht="15.75" hidden="1" customHeight="1">
      <c r="A260" s="494" t="s">
        <v>384</v>
      </c>
      <c r="B260" s="509" t="s">
        <v>99</v>
      </c>
      <c r="C260" s="529" t="s">
        <v>20</v>
      </c>
      <c r="D260" s="581"/>
      <c r="E260" s="509"/>
      <c r="F260" s="530">
        <v>0</v>
      </c>
      <c r="G260" s="582"/>
      <c r="H260" s="509"/>
      <c r="I260" s="530"/>
      <c r="J260" s="529"/>
      <c r="K260" s="509"/>
      <c r="L260" s="532">
        <v>0</v>
      </c>
      <c r="M260" s="529"/>
      <c r="N260" s="555">
        <v>0</v>
      </c>
      <c r="O260" s="529"/>
      <c r="P260" s="509"/>
      <c r="Q260" s="532">
        <v>0</v>
      </c>
      <c r="R260" s="529"/>
      <c r="S260" s="555">
        <v>0</v>
      </c>
      <c r="T260" s="509"/>
      <c r="U260" s="509"/>
      <c r="V260" s="509"/>
      <c r="W260" s="509"/>
      <c r="X260" s="509"/>
      <c r="Y260" s="509"/>
      <c r="Z260" s="509"/>
      <c r="AA260" s="509"/>
      <c r="AB260" s="509"/>
      <c r="AC260" s="509"/>
      <c r="AD260" s="509"/>
      <c r="AE260" s="509"/>
      <c r="AF260" s="509"/>
      <c r="AG260" s="509"/>
      <c r="AH260" s="509"/>
      <c r="AI260" s="509"/>
      <c r="AJ260" s="509"/>
      <c r="AK260" s="509"/>
      <c r="AL260" s="509"/>
      <c r="AM260" s="509"/>
      <c r="AN260" s="509"/>
    </row>
    <row r="261" spans="1:40" ht="15.75" customHeight="1">
      <c r="A261" s="494" t="s">
        <v>385</v>
      </c>
      <c r="B261" s="509" t="s">
        <v>99</v>
      </c>
      <c r="C261" s="598" t="s">
        <v>45</v>
      </c>
      <c r="D261" s="581"/>
      <c r="E261" s="509"/>
      <c r="F261" s="524">
        <v>731.02603081730774</v>
      </c>
      <c r="G261" s="582"/>
      <c r="H261" s="509"/>
      <c r="I261" s="524"/>
      <c r="J261" s="529"/>
      <c r="K261" s="509"/>
      <c r="L261" s="532">
        <v>608.66999999999996</v>
      </c>
      <c r="M261" s="529"/>
      <c r="N261" s="555">
        <v>-122.35603081730778</v>
      </c>
      <c r="O261" s="529"/>
      <c r="P261" s="509"/>
      <c r="Q261" s="532">
        <v>303.48</v>
      </c>
      <c r="R261" s="529"/>
      <c r="S261" s="555">
        <v>305.18999999999994</v>
      </c>
      <c r="T261" s="509"/>
      <c r="U261" s="509"/>
      <c r="V261" s="509"/>
      <c r="W261" s="509"/>
      <c r="X261" s="509"/>
      <c r="Y261" s="509"/>
      <c r="Z261" s="509"/>
      <c r="AA261" s="509"/>
      <c r="AB261" s="509"/>
      <c r="AC261" s="509"/>
      <c r="AD261" s="509"/>
      <c r="AE261" s="509"/>
      <c r="AF261" s="509"/>
      <c r="AG261" s="509"/>
      <c r="AH261" s="509"/>
      <c r="AI261" s="509"/>
      <c r="AJ261" s="509"/>
      <c r="AK261" s="509"/>
      <c r="AL261" s="509"/>
      <c r="AM261" s="509"/>
      <c r="AN261" s="509"/>
    </row>
    <row r="262" spans="1:40" ht="15.75" customHeight="1">
      <c r="A262" s="494" t="s">
        <v>386</v>
      </c>
      <c r="B262" s="509" t="s">
        <v>99</v>
      </c>
      <c r="C262" s="596" t="s">
        <v>46</v>
      </c>
      <c r="D262" s="599"/>
      <c r="E262" s="600"/>
      <c r="F262" s="530">
        <v>888.82460134615394</v>
      </c>
      <c r="G262" s="601"/>
      <c r="H262" s="600"/>
      <c r="I262" s="530"/>
      <c r="J262" s="517"/>
      <c r="K262" s="600"/>
      <c r="L262" s="551">
        <v>1185.3800000000001</v>
      </c>
      <c r="M262" s="517"/>
      <c r="N262" s="602">
        <v>296.55539865384617</v>
      </c>
      <c r="O262" s="517"/>
      <c r="P262" s="600"/>
      <c r="Q262" s="551">
        <v>1200.4100000000001</v>
      </c>
      <c r="R262" s="517"/>
      <c r="S262" s="602">
        <v>-15.029999999999973</v>
      </c>
      <c r="T262" s="509"/>
      <c r="U262" s="509"/>
      <c r="V262" s="509"/>
      <c r="W262" s="509"/>
      <c r="X262" s="509"/>
      <c r="Y262" s="509"/>
      <c r="Z262" s="509"/>
      <c r="AA262" s="509"/>
      <c r="AB262" s="509"/>
      <c r="AC262" s="509"/>
      <c r="AD262" s="509"/>
      <c r="AE262" s="509"/>
      <c r="AF262" s="509"/>
      <c r="AG262" s="509"/>
      <c r="AH262" s="509"/>
      <c r="AI262" s="509"/>
      <c r="AJ262" s="509"/>
      <c r="AK262" s="509"/>
      <c r="AL262" s="509"/>
      <c r="AM262" s="509"/>
      <c r="AN262" s="509"/>
    </row>
    <row r="263" spans="1:40" ht="15.75" customHeight="1">
      <c r="A263" s="494" t="s">
        <v>387</v>
      </c>
      <c r="B263" s="509" t="s">
        <v>99</v>
      </c>
      <c r="C263" s="596" t="s">
        <v>47</v>
      </c>
      <c r="D263" s="581"/>
      <c r="E263" s="509"/>
      <c r="F263" s="530">
        <v>457.93789243269231</v>
      </c>
      <c r="G263" s="582"/>
      <c r="H263" s="509"/>
      <c r="I263" s="530"/>
      <c r="J263" s="529"/>
      <c r="K263" s="509"/>
      <c r="L263" s="532">
        <v>293.75</v>
      </c>
      <c r="M263" s="529"/>
      <c r="N263" s="555">
        <v>-164.18789243269231</v>
      </c>
      <c r="O263" s="529"/>
      <c r="P263" s="509"/>
      <c r="Q263" s="532">
        <v>300.10000000000002</v>
      </c>
      <c r="R263" s="529"/>
      <c r="S263" s="555">
        <v>-6.3500000000000227</v>
      </c>
      <c r="T263" s="509"/>
      <c r="U263" s="509"/>
      <c r="V263" s="509"/>
      <c r="W263" s="509"/>
      <c r="X263" s="509"/>
      <c r="Y263" s="509"/>
      <c r="Z263" s="509"/>
      <c r="AA263" s="509"/>
      <c r="AB263" s="509"/>
      <c r="AC263" s="509"/>
      <c r="AD263" s="509"/>
      <c r="AE263" s="509"/>
      <c r="AF263" s="509"/>
      <c r="AG263" s="509"/>
      <c r="AH263" s="509"/>
      <c r="AI263" s="509"/>
      <c r="AJ263" s="509"/>
      <c r="AK263" s="509"/>
      <c r="AL263" s="509"/>
      <c r="AM263" s="509"/>
      <c r="AN263" s="509"/>
    </row>
    <row r="264" spans="1:40" ht="15.75" customHeight="1">
      <c r="A264" s="494" t="s">
        <v>388</v>
      </c>
      <c r="B264" s="509" t="s">
        <v>99</v>
      </c>
      <c r="C264" s="596" t="s">
        <v>48</v>
      </c>
      <c r="D264" s="581"/>
      <c r="E264" s="509"/>
      <c r="F264" s="530">
        <v>199.66349740384615</v>
      </c>
      <c r="G264" s="582"/>
      <c r="H264" s="509"/>
      <c r="I264" s="530"/>
      <c r="J264" s="529"/>
      <c r="K264" s="509"/>
      <c r="L264" s="532">
        <v>120.18</v>
      </c>
      <c r="M264" s="529"/>
      <c r="N264" s="555">
        <v>-79.483497403846144</v>
      </c>
      <c r="O264" s="529"/>
      <c r="P264" s="509"/>
      <c r="Q264" s="532">
        <v>98.15</v>
      </c>
      <c r="R264" s="529"/>
      <c r="S264" s="555">
        <v>22.03</v>
      </c>
      <c r="T264" s="509"/>
      <c r="U264" s="509"/>
      <c r="V264" s="509"/>
      <c r="W264" s="509"/>
      <c r="X264" s="509"/>
      <c r="Y264" s="509"/>
      <c r="Z264" s="509"/>
      <c r="AA264" s="509"/>
      <c r="AB264" s="509"/>
      <c r="AC264" s="509"/>
      <c r="AD264" s="509"/>
      <c r="AE264" s="509"/>
      <c r="AF264" s="509"/>
      <c r="AG264" s="509"/>
      <c r="AH264" s="509"/>
      <c r="AI264" s="509"/>
      <c r="AJ264" s="509"/>
      <c r="AK264" s="509"/>
      <c r="AL264" s="509"/>
      <c r="AM264" s="509"/>
      <c r="AN264" s="509"/>
    </row>
    <row r="265" spans="1:40" ht="15.75" hidden="1" customHeight="1">
      <c r="A265" s="494" t="s">
        <v>384</v>
      </c>
      <c r="B265" s="509" t="s">
        <v>99</v>
      </c>
      <c r="C265" s="529" t="s">
        <v>20</v>
      </c>
      <c r="D265" s="583"/>
      <c r="E265" s="603"/>
      <c r="F265" s="530">
        <v>0</v>
      </c>
      <c r="G265" s="584"/>
      <c r="H265" s="603"/>
      <c r="I265" s="530"/>
      <c r="J265" s="522"/>
      <c r="K265" s="603"/>
      <c r="L265" s="532">
        <v>0</v>
      </c>
      <c r="M265" s="522"/>
      <c r="N265" s="579">
        <v>0</v>
      </c>
      <c r="O265" s="522"/>
      <c r="P265" s="603"/>
      <c r="Q265" s="532">
        <v>0</v>
      </c>
      <c r="R265" s="522"/>
      <c r="S265" s="579">
        <v>0</v>
      </c>
      <c r="T265" s="509"/>
      <c r="U265" s="509"/>
      <c r="V265" s="509"/>
      <c r="W265" s="509"/>
      <c r="X265" s="509"/>
      <c r="Y265" s="509"/>
      <c r="Z265" s="509"/>
      <c r="AA265" s="509"/>
      <c r="AB265" s="509"/>
      <c r="AC265" s="509"/>
      <c r="AD265" s="509"/>
      <c r="AE265" s="509"/>
      <c r="AF265" s="509"/>
      <c r="AG265" s="509"/>
      <c r="AH265" s="509"/>
      <c r="AI265" s="509"/>
      <c r="AJ265" s="509"/>
      <c r="AK265" s="509"/>
      <c r="AL265" s="509"/>
      <c r="AM265" s="509"/>
      <c r="AN265" s="509"/>
    </row>
    <row r="266" spans="1:40" ht="15.75" customHeight="1">
      <c r="A266" s="494" t="s">
        <v>389</v>
      </c>
      <c r="B266" s="509" t="s">
        <v>99</v>
      </c>
      <c r="C266" s="588" t="s">
        <v>49</v>
      </c>
      <c r="D266" s="589" t="s">
        <v>39</v>
      </c>
      <c r="E266" s="590">
        <v>0.60020210322885048</v>
      </c>
      <c r="F266" s="591">
        <v>8420.7100027692304</v>
      </c>
      <c r="G266" s="592"/>
      <c r="H266" s="590"/>
      <c r="I266" s="591"/>
      <c r="J266" s="592" t="s">
        <v>39</v>
      </c>
      <c r="K266" s="590">
        <v>2.4314807816886197</v>
      </c>
      <c r="L266" s="591">
        <v>3603.2599999999998</v>
      </c>
      <c r="M266" s="646"/>
      <c r="N266" s="605">
        <v>-4817.4500027692302</v>
      </c>
      <c r="O266" s="592" t="s">
        <v>39</v>
      </c>
      <c r="P266" s="590">
        <v>0</v>
      </c>
      <c r="Q266" s="591">
        <v>7575.5399999999991</v>
      </c>
      <c r="R266" s="646"/>
      <c r="S266" s="605">
        <v>-3972.2799999999993</v>
      </c>
      <c r="T266" s="509"/>
      <c r="U266" s="509"/>
      <c r="V266" s="509"/>
      <c r="W266" s="509"/>
      <c r="X266" s="509"/>
      <c r="Y266" s="509"/>
      <c r="Z266" s="509"/>
      <c r="AA266" s="509"/>
      <c r="AB266" s="509"/>
      <c r="AC266" s="509"/>
      <c r="AD266" s="509"/>
      <c r="AE266" s="509"/>
      <c r="AF266" s="509"/>
      <c r="AG266" s="509"/>
      <c r="AH266" s="509"/>
      <c r="AI266" s="509"/>
      <c r="AJ266" s="509"/>
      <c r="AK266" s="509"/>
      <c r="AL266" s="509"/>
      <c r="AM266" s="509"/>
      <c r="AN266" s="509"/>
    </row>
    <row r="267" spans="1:40" ht="15.75" customHeight="1">
      <c r="A267" s="494" t="s">
        <v>390</v>
      </c>
      <c r="B267" s="509" t="s">
        <v>99</v>
      </c>
      <c r="C267" s="703" t="s">
        <v>50</v>
      </c>
      <c r="D267" s="581"/>
      <c r="E267" s="509"/>
      <c r="F267" s="530">
        <v>0</v>
      </c>
      <c r="G267" s="582"/>
      <c r="H267" s="509"/>
      <c r="I267" s="530"/>
      <c r="J267" s="529"/>
      <c r="K267" s="509"/>
      <c r="L267" s="532">
        <v>154.94999999999999</v>
      </c>
      <c r="M267" s="529"/>
      <c r="N267" s="555">
        <v>154.94999999999999</v>
      </c>
      <c r="O267" s="529"/>
      <c r="P267" s="509"/>
      <c r="Q267" s="555">
        <v>10.5</v>
      </c>
      <c r="R267" s="529"/>
      <c r="S267" s="555">
        <v>144.44999999999999</v>
      </c>
      <c r="T267" s="509"/>
      <c r="U267" s="509"/>
      <c r="V267" s="509"/>
      <c r="W267" s="509"/>
      <c r="X267" s="509"/>
      <c r="Y267" s="509"/>
      <c r="Z267" s="509"/>
      <c r="AA267" s="509"/>
      <c r="AB267" s="509"/>
      <c r="AC267" s="509"/>
      <c r="AD267" s="509"/>
      <c r="AE267" s="509"/>
      <c r="AF267" s="509"/>
      <c r="AG267" s="509"/>
      <c r="AH267" s="509"/>
      <c r="AI267" s="509"/>
      <c r="AJ267" s="509"/>
      <c r="AK267" s="509"/>
      <c r="AL267" s="509"/>
      <c r="AM267" s="509"/>
      <c r="AN267" s="509"/>
    </row>
    <row r="268" spans="1:40" ht="15.75" customHeight="1">
      <c r="A268" s="494" t="s">
        <v>391</v>
      </c>
      <c r="B268" s="509" t="s">
        <v>99</v>
      </c>
      <c r="C268" s="596" t="s">
        <v>51</v>
      </c>
      <c r="D268" s="581"/>
      <c r="E268" s="509"/>
      <c r="F268" s="530">
        <v>593.90656258991453</v>
      </c>
      <c r="G268" s="582"/>
      <c r="H268" s="509"/>
      <c r="I268" s="530"/>
      <c r="J268" s="529"/>
      <c r="K268" s="509"/>
      <c r="L268" s="532">
        <v>389.26</v>
      </c>
      <c r="M268" s="529"/>
      <c r="N268" s="555">
        <v>-204.64656258991454</v>
      </c>
      <c r="O268" s="529"/>
      <c r="P268" s="509"/>
      <c r="Q268" s="555">
        <v>2419.17</v>
      </c>
      <c r="R268" s="529"/>
      <c r="S268" s="555">
        <v>-2029.91</v>
      </c>
      <c r="T268" s="509"/>
      <c r="U268" s="494" t="s">
        <v>480</v>
      </c>
      <c r="V268" s="509"/>
      <c r="W268" s="509"/>
      <c r="X268" s="509"/>
      <c r="Y268" s="509"/>
      <c r="Z268" s="509"/>
      <c r="AA268" s="509"/>
      <c r="AB268" s="509"/>
      <c r="AC268" s="509"/>
      <c r="AD268" s="509"/>
      <c r="AE268" s="509"/>
      <c r="AF268" s="509"/>
      <c r="AG268" s="509"/>
      <c r="AH268" s="509"/>
      <c r="AI268" s="509"/>
      <c r="AJ268" s="509"/>
      <c r="AK268" s="509"/>
      <c r="AL268" s="509"/>
      <c r="AM268" s="509"/>
      <c r="AN268" s="509"/>
    </row>
    <row r="269" spans="1:40" ht="15.75" customHeight="1">
      <c r="A269" s="494" t="s">
        <v>392</v>
      </c>
      <c r="B269" s="509" t="s">
        <v>99</v>
      </c>
      <c r="C269" s="598" t="s">
        <v>52</v>
      </c>
      <c r="D269" s="583"/>
      <c r="E269" s="603"/>
      <c r="F269" s="524">
        <v>0</v>
      </c>
      <c r="G269" s="584"/>
      <c r="H269" s="603"/>
      <c r="I269" s="524"/>
      <c r="J269" s="522"/>
      <c r="K269" s="603"/>
      <c r="L269" s="532">
        <v>177.91</v>
      </c>
      <c r="M269" s="522"/>
      <c r="N269" s="579">
        <v>177.91</v>
      </c>
      <c r="O269" s="522"/>
      <c r="P269" s="603"/>
      <c r="Q269" s="579">
        <v>306.87</v>
      </c>
      <c r="R269" s="522"/>
      <c r="S269" s="579">
        <v>-128.96</v>
      </c>
      <c r="T269" s="509"/>
      <c r="U269" s="509" t="s">
        <v>1</v>
      </c>
      <c r="V269" s="509"/>
      <c r="W269" s="509"/>
      <c r="X269" s="509"/>
      <c r="Y269" s="509"/>
      <c r="Z269" s="509"/>
      <c r="AA269" s="509"/>
      <c r="AB269" s="509"/>
      <c r="AC269" s="509"/>
      <c r="AD269" s="509"/>
      <c r="AE269" s="509"/>
      <c r="AF269" s="509"/>
      <c r="AG269" s="509"/>
      <c r="AH269" s="509"/>
      <c r="AI269" s="509"/>
      <c r="AJ269" s="509"/>
      <c r="AK269" s="509"/>
      <c r="AL269" s="509"/>
      <c r="AM269" s="509"/>
      <c r="AN269" s="509"/>
    </row>
    <row r="270" spans="1:40" ht="15.75" customHeight="1">
      <c r="A270" s="494" t="s">
        <v>393</v>
      </c>
      <c r="B270" s="509" t="s">
        <v>99</v>
      </c>
      <c r="C270" s="596" t="s">
        <v>53</v>
      </c>
      <c r="D270" s="581"/>
      <c r="E270" s="509"/>
      <c r="F270" s="530">
        <v>1434.1339301111113</v>
      </c>
      <c r="G270" s="582"/>
      <c r="H270" s="509"/>
      <c r="I270" s="530"/>
      <c r="J270" s="529"/>
      <c r="K270" s="509"/>
      <c r="L270" s="551">
        <v>1501.65</v>
      </c>
      <c r="M270" s="529"/>
      <c r="N270" s="555">
        <v>67.516069888888751</v>
      </c>
      <c r="O270" s="529"/>
      <c r="P270" s="509"/>
      <c r="Q270" s="555">
        <v>2012.5</v>
      </c>
      <c r="R270" s="529"/>
      <c r="S270" s="555">
        <v>-510.84999999999991</v>
      </c>
      <c r="T270" s="509"/>
      <c r="U270" s="509"/>
      <c r="V270" s="509"/>
      <c r="W270" s="509"/>
      <c r="X270" s="509"/>
      <c r="Y270" s="509"/>
      <c r="Z270" s="509"/>
      <c r="AA270" s="509"/>
      <c r="AB270" s="509"/>
      <c r="AC270" s="509"/>
      <c r="AD270" s="509"/>
      <c r="AE270" s="509"/>
      <c r="AF270" s="509"/>
      <c r="AG270" s="509"/>
      <c r="AH270" s="509"/>
      <c r="AI270" s="509"/>
      <c r="AJ270" s="509"/>
      <c r="AK270" s="509"/>
      <c r="AL270" s="509"/>
      <c r="AM270" s="509"/>
      <c r="AN270" s="509"/>
    </row>
    <row r="271" spans="1:40" ht="15.75" customHeight="1">
      <c r="A271" s="494" t="s">
        <v>394</v>
      </c>
      <c r="B271" s="509" t="s">
        <v>99</v>
      </c>
      <c r="C271" s="596" t="s">
        <v>54</v>
      </c>
      <c r="D271" s="581"/>
      <c r="E271" s="509"/>
      <c r="F271" s="530">
        <v>178.43173052524097</v>
      </c>
      <c r="G271" s="582"/>
      <c r="H271" s="509"/>
      <c r="I271" s="530"/>
      <c r="J271" s="529"/>
      <c r="K271" s="509"/>
      <c r="L271" s="532">
        <v>163.65</v>
      </c>
      <c r="M271" s="529"/>
      <c r="N271" s="555">
        <v>-14.78173052524096</v>
      </c>
      <c r="O271" s="529"/>
      <c r="P271" s="509"/>
      <c r="Q271" s="555">
        <v>335.94</v>
      </c>
      <c r="R271" s="529"/>
      <c r="S271" s="555">
        <v>-172.29</v>
      </c>
      <c r="T271" s="509"/>
      <c r="U271" s="509"/>
      <c r="V271" s="509"/>
      <c r="W271" s="509"/>
      <c r="X271" s="509"/>
      <c r="Y271" s="509"/>
      <c r="Z271" s="509"/>
      <c r="AA271" s="509"/>
      <c r="AB271" s="509"/>
      <c r="AC271" s="509"/>
      <c r="AD271" s="509"/>
      <c r="AE271" s="509"/>
      <c r="AF271" s="509"/>
      <c r="AG271" s="509"/>
      <c r="AH271" s="509"/>
      <c r="AI271" s="509"/>
      <c r="AJ271" s="509"/>
      <c r="AK271" s="509"/>
      <c r="AL271" s="509"/>
      <c r="AM271" s="509"/>
      <c r="AN271" s="509"/>
    </row>
    <row r="272" spans="1:40" ht="15.75" customHeight="1">
      <c r="A272" s="494" t="s">
        <v>395</v>
      </c>
      <c r="B272" s="509" t="s">
        <v>99</v>
      </c>
      <c r="C272" s="596" t="s">
        <v>55</v>
      </c>
      <c r="D272" s="583"/>
      <c r="E272" s="603"/>
      <c r="F272" s="524">
        <v>676.55120298287022</v>
      </c>
      <c r="G272" s="584"/>
      <c r="H272" s="603"/>
      <c r="I272" s="524"/>
      <c r="J272" s="522"/>
      <c r="K272" s="603"/>
      <c r="L272" s="532">
        <v>699.86</v>
      </c>
      <c r="M272" s="522"/>
      <c r="N272" s="579">
        <v>23.308797017129791</v>
      </c>
      <c r="O272" s="522"/>
      <c r="P272" s="603"/>
      <c r="Q272" s="579">
        <v>494.87</v>
      </c>
      <c r="R272" s="522"/>
      <c r="S272" s="579">
        <v>204.99</v>
      </c>
      <c r="T272" s="509"/>
      <c r="U272" s="509"/>
      <c r="V272" s="509"/>
      <c r="W272" s="509"/>
      <c r="X272" s="509"/>
      <c r="Y272" s="509"/>
      <c r="Z272" s="509"/>
      <c r="AA272" s="509"/>
      <c r="AB272" s="509"/>
      <c r="AC272" s="509"/>
      <c r="AD272" s="509"/>
      <c r="AE272" s="509"/>
      <c r="AF272" s="509"/>
      <c r="AG272" s="509"/>
      <c r="AH272" s="509"/>
      <c r="AI272" s="509"/>
      <c r="AJ272" s="509"/>
      <c r="AK272" s="509"/>
      <c r="AL272" s="509"/>
      <c r="AM272" s="509"/>
      <c r="AN272" s="509"/>
    </row>
    <row r="273" spans="1:40" ht="15.75" customHeight="1">
      <c r="A273" s="494" t="s">
        <v>396</v>
      </c>
      <c r="B273" s="509" t="s">
        <v>99</v>
      </c>
      <c r="C273" s="703" t="s">
        <v>98</v>
      </c>
      <c r="D273" s="581"/>
      <c r="E273" s="509"/>
      <c r="F273" s="530"/>
      <c r="G273" s="582"/>
      <c r="H273" s="509"/>
      <c r="I273" s="530"/>
      <c r="J273" s="529"/>
      <c r="K273" s="509"/>
      <c r="L273" s="551">
        <v>0</v>
      </c>
      <c r="M273" s="529"/>
      <c r="N273" s="555">
        <v>0</v>
      </c>
      <c r="O273" s="529"/>
      <c r="P273" s="509"/>
      <c r="Q273" s="555">
        <v>0</v>
      </c>
      <c r="R273" s="529"/>
      <c r="S273" s="555">
        <v>0</v>
      </c>
      <c r="T273" s="509"/>
      <c r="U273" s="509"/>
      <c r="V273" s="509"/>
      <c r="W273" s="509"/>
      <c r="X273" s="509"/>
      <c r="Y273" s="509"/>
      <c r="Z273" s="509"/>
      <c r="AA273" s="509"/>
      <c r="AB273" s="509"/>
      <c r="AC273" s="509"/>
      <c r="AD273" s="509"/>
      <c r="AE273" s="509"/>
      <c r="AF273" s="509"/>
      <c r="AG273" s="509"/>
      <c r="AH273" s="509"/>
      <c r="AI273" s="509"/>
      <c r="AJ273" s="509"/>
      <c r="AK273" s="509"/>
      <c r="AL273" s="509"/>
      <c r="AM273" s="509"/>
      <c r="AN273" s="509"/>
    </row>
    <row r="274" spans="1:40" ht="15.75" customHeight="1">
      <c r="A274" s="494" t="s">
        <v>397</v>
      </c>
      <c r="B274" s="509" t="s">
        <v>99</v>
      </c>
      <c r="C274" s="596" t="s">
        <v>56</v>
      </c>
      <c r="D274" s="581"/>
      <c r="E274" s="509"/>
      <c r="F274" s="530">
        <v>125</v>
      </c>
      <c r="G274" s="582"/>
      <c r="H274" s="509"/>
      <c r="I274" s="530"/>
      <c r="J274" s="529"/>
      <c r="K274" s="509"/>
      <c r="L274" s="532">
        <v>0</v>
      </c>
      <c r="M274" s="529"/>
      <c r="N274" s="555">
        <v>-125</v>
      </c>
      <c r="O274" s="529"/>
      <c r="P274" s="509"/>
      <c r="Q274" s="555">
        <v>0</v>
      </c>
      <c r="R274" s="529"/>
      <c r="S274" s="555">
        <v>0</v>
      </c>
      <c r="T274" s="509"/>
      <c r="U274" s="509"/>
      <c r="V274" s="509"/>
      <c r="W274" s="509"/>
      <c r="X274" s="509"/>
      <c r="Y274" s="509"/>
      <c r="Z274" s="509"/>
      <c r="AA274" s="509"/>
      <c r="AB274" s="509"/>
      <c r="AC274" s="509"/>
      <c r="AD274" s="509"/>
      <c r="AE274" s="509"/>
      <c r="AF274" s="509"/>
      <c r="AG274" s="509"/>
      <c r="AH274" s="509"/>
      <c r="AI274" s="509"/>
      <c r="AJ274" s="509"/>
      <c r="AK274" s="509"/>
      <c r="AL274" s="509"/>
      <c r="AM274" s="509"/>
      <c r="AN274" s="509"/>
    </row>
    <row r="275" spans="1:40" ht="15.75" customHeight="1">
      <c r="A275" s="494" t="s">
        <v>398</v>
      </c>
      <c r="B275" s="509" t="s">
        <v>99</v>
      </c>
      <c r="C275" s="596" t="s">
        <v>57</v>
      </c>
      <c r="D275" s="581"/>
      <c r="E275" s="509"/>
      <c r="F275" s="530">
        <v>83.333333333333329</v>
      </c>
      <c r="G275" s="582"/>
      <c r="H275" s="509"/>
      <c r="I275" s="530"/>
      <c r="J275" s="529"/>
      <c r="K275" s="509"/>
      <c r="L275" s="532">
        <v>0</v>
      </c>
      <c r="M275" s="529"/>
      <c r="N275" s="555">
        <v>-83.333333333333329</v>
      </c>
      <c r="O275" s="529"/>
      <c r="P275" s="509"/>
      <c r="Q275" s="555">
        <v>0</v>
      </c>
      <c r="R275" s="529"/>
      <c r="S275" s="555">
        <v>0</v>
      </c>
      <c r="T275" s="509"/>
      <c r="U275" s="509"/>
      <c r="V275" s="509"/>
      <c r="W275" s="509"/>
      <c r="X275" s="509"/>
      <c r="Y275" s="509"/>
      <c r="Z275" s="509"/>
      <c r="AA275" s="509"/>
      <c r="AB275" s="509"/>
      <c r="AC275" s="509"/>
      <c r="AD275" s="509"/>
      <c r="AE275" s="509"/>
      <c r="AF275" s="509"/>
      <c r="AG275" s="509"/>
      <c r="AH275" s="509"/>
      <c r="AI275" s="509"/>
      <c r="AJ275" s="509"/>
      <c r="AK275" s="509"/>
      <c r="AL275" s="509"/>
      <c r="AM275" s="509"/>
      <c r="AN275" s="509"/>
    </row>
    <row r="276" spans="1:40" ht="15.75" customHeight="1">
      <c r="A276" s="494" t="s">
        <v>399</v>
      </c>
      <c r="B276" s="509" t="s">
        <v>99</v>
      </c>
      <c r="C276" s="596" t="s">
        <v>58</v>
      </c>
      <c r="D276" s="581"/>
      <c r="E276" s="509"/>
      <c r="F276" s="530">
        <v>157.558520743</v>
      </c>
      <c r="G276" s="582"/>
      <c r="H276" s="509"/>
      <c r="I276" s="530"/>
      <c r="J276" s="529"/>
      <c r="K276" s="509"/>
      <c r="L276" s="532">
        <v>193.7</v>
      </c>
      <c r="M276" s="529"/>
      <c r="N276" s="555">
        <v>36.141479256999986</v>
      </c>
      <c r="O276" s="529"/>
      <c r="P276" s="509"/>
      <c r="Q276" s="555">
        <v>117.42</v>
      </c>
      <c r="R276" s="529"/>
      <c r="S276" s="555">
        <v>76.279999999999987</v>
      </c>
      <c r="T276" s="509"/>
      <c r="U276" s="509"/>
      <c r="V276" s="509"/>
      <c r="W276" s="509"/>
      <c r="X276" s="509"/>
      <c r="Y276" s="509"/>
      <c r="Z276" s="509"/>
      <c r="AA276" s="509"/>
      <c r="AB276" s="509"/>
      <c r="AC276" s="509"/>
      <c r="AD276" s="509"/>
      <c r="AE276" s="509"/>
      <c r="AF276" s="509"/>
      <c r="AG276" s="509"/>
      <c r="AH276" s="509"/>
      <c r="AI276" s="509"/>
      <c r="AJ276" s="509"/>
      <c r="AK276" s="509"/>
      <c r="AL276" s="509"/>
      <c r="AM276" s="509"/>
      <c r="AN276" s="509"/>
    </row>
    <row r="277" spans="1:40" ht="15.75" customHeight="1">
      <c r="A277" s="494" t="s">
        <v>400</v>
      </c>
      <c r="B277" s="509" t="s">
        <v>99</v>
      </c>
      <c r="C277" s="596" t="s">
        <v>59</v>
      </c>
      <c r="D277" s="581"/>
      <c r="E277" s="509"/>
      <c r="F277" s="530">
        <v>36.780368605319445</v>
      </c>
      <c r="G277" s="582"/>
      <c r="H277" s="509"/>
      <c r="I277" s="530"/>
      <c r="J277" s="529"/>
      <c r="K277" s="509"/>
      <c r="L277" s="532">
        <v>24.27</v>
      </c>
      <c r="M277" s="529"/>
      <c r="N277" s="555">
        <v>-12.510368605319446</v>
      </c>
      <c r="O277" s="529"/>
      <c r="P277" s="509"/>
      <c r="Q277" s="555">
        <v>20.98</v>
      </c>
      <c r="R277" s="529"/>
      <c r="S277" s="555">
        <v>3.2899999999999991</v>
      </c>
      <c r="T277" s="509"/>
      <c r="U277" s="509"/>
      <c r="V277" s="509"/>
      <c r="W277" s="509"/>
      <c r="X277" s="509"/>
      <c r="Y277" s="509"/>
      <c r="Z277" s="509"/>
      <c r="AA277" s="509"/>
      <c r="AB277" s="509"/>
      <c r="AC277" s="509"/>
      <c r="AD277" s="509"/>
      <c r="AE277" s="509"/>
      <c r="AF277" s="509"/>
      <c r="AG277" s="509"/>
      <c r="AH277" s="509"/>
      <c r="AI277" s="509"/>
      <c r="AJ277" s="509"/>
      <c r="AK277" s="509"/>
      <c r="AL277" s="509"/>
      <c r="AM277" s="509"/>
      <c r="AN277" s="509"/>
    </row>
    <row r="278" spans="1:40" ht="15.75" customHeight="1">
      <c r="A278" s="494" t="s">
        <v>401</v>
      </c>
      <c r="B278" s="509" t="s">
        <v>99</v>
      </c>
      <c r="C278" s="596" t="s">
        <v>60</v>
      </c>
      <c r="D278" s="581"/>
      <c r="E278" s="509"/>
      <c r="F278" s="530">
        <v>24.745731854680557</v>
      </c>
      <c r="G278" s="582"/>
      <c r="H278" s="509"/>
      <c r="I278" s="530"/>
      <c r="J278" s="529"/>
      <c r="K278" s="509"/>
      <c r="L278" s="532">
        <v>2.31</v>
      </c>
      <c r="M278" s="529"/>
      <c r="N278" s="555">
        <v>-22.435731854680558</v>
      </c>
      <c r="O278" s="529"/>
      <c r="P278" s="509"/>
      <c r="Q278" s="555">
        <v>25.29</v>
      </c>
      <c r="R278" s="529"/>
      <c r="S278" s="555">
        <v>-22.98</v>
      </c>
      <c r="T278" s="509"/>
      <c r="U278" s="509"/>
      <c r="V278" s="509"/>
      <c r="W278" s="509"/>
      <c r="X278" s="509"/>
      <c r="Y278" s="509"/>
      <c r="Z278" s="509"/>
      <c r="AA278" s="509"/>
      <c r="AB278" s="509"/>
      <c r="AC278" s="509"/>
      <c r="AD278" s="509"/>
      <c r="AE278" s="509"/>
      <c r="AF278" s="509"/>
      <c r="AG278" s="509"/>
      <c r="AH278" s="509"/>
      <c r="AI278" s="509"/>
      <c r="AJ278" s="509"/>
      <c r="AK278" s="509"/>
      <c r="AL278" s="509"/>
      <c r="AM278" s="509"/>
      <c r="AN278" s="509"/>
    </row>
    <row r="279" spans="1:40" ht="15.75" customHeight="1">
      <c r="A279" s="494" t="s">
        <v>402</v>
      </c>
      <c r="B279" s="509" t="s">
        <v>99</v>
      </c>
      <c r="C279" s="596" t="s">
        <v>61</v>
      </c>
      <c r="D279" s="581"/>
      <c r="E279" s="509"/>
      <c r="F279" s="530">
        <v>234.99946325143051</v>
      </c>
      <c r="G279" s="582"/>
      <c r="H279" s="509"/>
      <c r="I279" s="530"/>
      <c r="J279" s="529"/>
      <c r="K279" s="509"/>
      <c r="L279" s="532">
        <v>23.05</v>
      </c>
      <c r="M279" s="529"/>
      <c r="N279" s="555">
        <v>-211.9494632514305</v>
      </c>
      <c r="O279" s="529"/>
      <c r="P279" s="509"/>
      <c r="Q279" s="555">
        <v>17.18</v>
      </c>
      <c r="R279" s="529"/>
      <c r="S279" s="555">
        <v>5.870000000000001</v>
      </c>
      <c r="T279" s="509"/>
      <c r="U279" s="509"/>
      <c r="V279" s="509"/>
      <c r="W279" s="509"/>
      <c r="X279" s="509"/>
      <c r="Y279" s="509"/>
      <c r="Z279" s="509"/>
      <c r="AA279" s="509"/>
      <c r="AB279" s="509"/>
      <c r="AC279" s="509"/>
      <c r="AD279" s="509"/>
      <c r="AE279" s="509"/>
      <c r="AF279" s="509"/>
      <c r="AG279" s="509"/>
      <c r="AH279" s="509"/>
      <c r="AI279" s="509"/>
      <c r="AJ279" s="509"/>
      <c r="AK279" s="509"/>
      <c r="AL279" s="509"/>
      <c r="AM279" s="509"/>
      <c r="AN279" s="509"/>
    </row>
    <row r="280" spans="1:40" ht="15.75" customHeight="1">
      <c r="A280" s="494" t="s">
        <v>403</v>
      </c>
      <c r="B280" s="509" t="s">
        <v>99</v>
      </c>
      <c r="C280" s="596" t="s">
        <v>62</v>
      </c>
      <c r="D280" s="581"/>
      <c r="E280" s="509"/>
      <c r="F280" s="530">
        <v>434.32515231465453</v>
      </c>
      <c r="G280" s="582"/>
      <c r="H280" s="509"/>
      <c r="I280" s="530"/>
      <c r="J280" s="529"/>
      <c r="K280" s="509"/>
      <c r="L280" s="532">
        <v>69.58</v>
      </c>
      <c r="M280" s="529"/>
      <c r="N280" s="555">
        <v>-364.74515231465455</v>
      </c>
      <c r="O280" s="529"/>
      <c r="P280" s="509"/>
      <c r="Q280" s="555">
        <v>1039.3800000000001</v>
      </c>
      <c r="R280" s="529"/>
      <c r="S280" s="555">
        <v>-969.80000000000007</v>
      </c>
      <c r="T280" s="509"/>
      <c r="X280" s="509"/>
      <c r="Y280" s="509"/>
      <c r="Z280" s="509"/>
      <c r="AA280" s="509"/>
      <c r="AB280" s="509"/>
      <c r="AC280" s="509"/>
      <c r="AD280" s="509"/>
      <c r="AE280" s="509"/>
      <c r="AF280" s="509"/>
      <c r="AG280" s="509"/>
      <c r="AH280" s="509"/>
      <c r="AI280" s="509"/>
      <c r="AJ280" s="509"/>
      <c r="AK280" s="509"/>
      <c r="AL280" s="509"/>
      <c r="AM280" s="509"/>
      <c r="AN280" s="509"/>
    </row>
    <row r="281" spans="1:40" ht="15.75" customHeight="1">
      <c r="A281" s="494" t="s">
        <v>404</v>
      </c>
      <c r="B281" s="509" t="s">
        <v>99</v>
      </c>
      <c r="C281" s="596" t="s">
        <v>63</v>
      </c>
      <c r="D281" s="581"/>
      <c r="E281" s="509"/>
      <c r="F281" s="530">
        <v>205.2815388471198</v>
      </c>
      <c r="G281" s="582"/>
      <c r="H281" s="509"/>
      <c r="I281" s="530"/>
      <c r="J281" s="529"/>
      <c r="K281" s="509"/>
      <c r="L281" s="532">
        <v>263.92</v>
      </c>
      <c r="M281" s="529"/>
      <c r="N281" s="555">
        <v>58.638461152880211</v>
      </c>
      <c r="O281" s="529"/>
      <c r="P281" s="509"/>
      <c r="Q281" s="555">
        <v>429.56</v>
      </c>
      <c r="R281" s="529"/>
      <c r="S281" s="555">
        <v>-165.64</v>
      </c>
      <c r="T281" s="509"/>
      <c r="X281" s="509"/>
      <c r="Y281" s="509"/>
      <c r="Z281" s="509"/>
      <c r="AA281" s="509"/>
      <c r="AB281" s="509"/>
      <c r="AC281" s="509"/>
      <c r="AD281" s="509"/>
      <c r="AE281" s="509"/>
      <c r="AF281" s="509"/>
      <c r="AG281" s="509"/>
      <c r="AH281" s="509"/>
      <c r="AI281" s="509"/>
      <c r="AJ281" s="509"/>
      <c r="AK281" s="509"/>
      <c r="AL281" s="509"/>
      <c r="AM281" s="509"/>
      <c r="AN281" s="509"/>
    </row>
    <row r="282" spans="1:40" ht="15.75" hidden="1" customHeight="1">
      <c r="A282" s="494" t="s">
        <v>384</v>
      </c>
      <c r="B282" s="509" t="s">
        <v>99</v>
      </c>
      <c r="C282" s="596" t="s">
        <v>20</v>
      </c>
      <c r="D282" s="581"/>
      <c r="E282" s="509"/>
      <c r="F282" s="530">
        <v>0</v>
      </c>
      <c r="G282" s="582"/>
      <c r="H282" s="509"/>
      <c r="I282" s="530"/>
      <c r="J282" s="529"/>
      <c r="K282" s="509"/>
      <c r="L282" s="532">
        <v>0</v>
      </c>
      <c r="M282" s="529"/>
      <c r="N282" s="555">
        <v>0</v>
      </c>
      <c r="O282" s="529"/>
      <c r="P282" s="509"/>
      <c r="Q282" s="532">
        <v>0</v>
      </c>
      <c r="R282" s="529"/>
      <c r="S282" s="555">
        <v>0</v>
      </c>
      <c r="T282" s="509"/>
      <c r="X282" s="509"/>
      <c r="Y282" s="509"/>
      <c r="Z282" s="509"/>
      <c r="AA282" s="509"/>
      <c r="AB282" s="509"/>
      <c r="AC282" s="509"/>
      <c r="AD282" s="509"/>
      <c r="AE282" s="509"/>
      <c r="AF282" s="509"/>
      <c r="AG282" s="509"/>
      <c r="AH282" s="509"/>
      <c r="AI282" s="509"/>
      <c r="AJ282" s="509"/>
      <c r="AK282" s="509"/>
      <c r="AL282" s="509"/>
      <c r="AM282" s="509"/>
      <c r="AN282" s="509"/>
    </row>
    <row r="283" spans="1:40" ht="15.75" hidden="1" customHeight="1">
      <c r="A283" s="494" t="s">
        <v>384</v>
      </c>
      <c r="B283" s="509" t="s">
        <v>99</v>
      </c>
      <c r="C283" s="596" t="s">
        <v>20</v>
      </c>
      <c r="D283" s="581"/>
      <c r="E283" s="509"/>
      <c r="F283" s="530">
        <v>0</v>
      </c>
      <c r="G283" s="582"/>
      <c r="H283" s="509"/>
      <c r="I283" s="530"/>
      <c r="J283" s="529"/>
      <c r="K283" s="509"/>
      <c r="L283" s="532">
        <v>0</v>
      </c>
      <c r="M283" s="529"/>
      <c r="N283" s="555">
        <v>0</v>
      </c>
      <c r="O283" s="529"/>
      <c r="P283" s="509"/>
      <c r="Q283" s="532">
        <v>0</v>
      </c>
      <c r="R283" s="529"/>
      <c r="S283" s="555">
        <v>0</v>
      </c>
      <c r="T283" s="509"/>
      <c r="X283" s="509"/>
      <c r="Y283" s="509"/>
      <c r="Z283" s="509"/>
      <c r="AA283" s="509"/>
      <c r="AB283" s="509"/>
      <c r="AC283" s="509"/>
      <c r="AD283" s="509"/>
      <c r="AE283" s="509"/>
      <c r="AF283" s="509"/>
      <c r="AG283" s="509"/>
      <c r="AH283" s="509"/>
      <c r="AI283" s="509"/>
      <c r="AJ283" s="509"/>
      <c r="AK283" s="509"/>
      <c r="AL283" s="509"/>
      <c r="AM283" s="509"/>
      <c r="AN283" s="509"/>
    </row>
    <row r="284" spans="1:40" ht="15.75" hidden="1" customHeight="1">
      <c r="A284" s="494" t="s">
        <v>384</v>
      </c>
      <c r="B284" s="509" t="s">
        <v>99</v>
      </c>
      <c r="C284" s="596" t="s">
        <v>20</v>
      </c>
      <c r="D284" s="581"/>
      <c r="E284" s="509"/>
      <c r="F284" s="530">
        <v>0</v>
      </c>
      <c r="G284" s="582"/>
      <c r="H284" s="509"/>
      <c r="I284" s="530"/>
      <c r="J284" s="529"/>
      <c r="K284" s="509"/>
      <c r="L284" s="532">
        <v>0</v>
      </c>
      <c r="M284" s="529"/>
      <c r="N284" s="555">
        <v>0</v>
      </c>
      <c r="O284" s="529"/>
      <c r="P284" s="509"/>
      <c r="Q284" s="532">
        <v>0</v>
      </c>
      <c r="R284" s="529"/>
      <c r="S284" s="555">
        <v>0</v>
      </c>
      <c r="T284" s="509"/>
      <c r="X284" s="509"/>
      <c r="Y284" s="509"/>
      <c r="Z284" s="509"/>
      <c r="AA284" s="509"/>
      <c r="AB284" s="509"/>
      <c r="AC284" s="509"/>
      <c r="AD284" s="509"/>
      <c r="AE284" s="509"/>
      <c r="AF284" s="509"/>
      <c r="AG284" s="509"/>
      <c r="AH284" s="509"/>
      <c r="AI284" s="509"/>
      <c r="AJ284" s="509"/>
      <c r="AK284" s="509"/>
      <c r="AL284" s="509"/>
      <c r="AM284" s="509"/>
      <c r="AN284" s="509"/>
    </row>
    <row r="285" spans="1:40" ht="15.75" customHeight="1">
      <c r="B285" s="509"/>
      <c r="C285" s="588" t="s">
        <v>64</v>
      </c>
      <c r="D285" s="589" t="s">
        <v>39</v>
      </c>
      <c r="E285" s="590" t="e">
        <v>#DIV/0!</v>
      </c>
      <c r="F285" s="591">
        <v>4185.0475351586747</v>
      </c>
      <c r="G285" s="592"/>
      <c r="H285" s="590"/>
      <c r="I285" s="591"/>
      <c r="J285" s="592" t="s">
        <v>39</v>
      </c>
      <c r="K285" s="590">
        <v>2.4725423774562727</v>
      </c>
      <c r="L285" s="591">
        <v>3664.11</v>
      </c>
      <c r="M285" s="595"/>
      <c r="N285" s="591">
        <v>-520.93753515867525</v>
      </c>
      <c r="O285" s="592" t="s">
        <v>39</v>
      </c>
      <c r="P285" s="590">
        <v>0</v>
      </c>
      <c r="Q285" s="591">
        <v>7229.66</v>
      </c>
      <c r="R285" s="595"/>
      <c r="S285" s="591">
        <v>-3565.5499999999997</v>
      </c>
      <c r="T285" s="568"/>
      <c r="X285" s="509"/>
      <c r="Y285" s="509"/>
      <c r="Z285" s="509"/>
      <c r="AA285" s="509"/>
      <c r="AB285" s="509"/>
      <c r="AC285" s="509"/>
      <c r="AD285" s="509"/>
      <c r="AE285" s="509"/>
      <c r="AF285" s="509"/>
      <c r="AG285" s="509"/>
      <c r="AH285" s="509"/>
      <c r="AI285" s="509"/>
      <c r="AJ285" s="509"/>
      <c r="AK285" s="509"/>
      <c r="AL285" s="509"/>
      <c r="AM285" s="509"/>
      <c r="AN285" s="509"/>
    </row>
    <row r="286" spans="1:40" ht="15.75" customHeight="1">
      <c r="B286" s="509"/>
      <c r="C286" s="522"/>
      <c r="D286" s="583"/>
      <c r="E286" s="603"/>
      <c r="F286" s="555"/>
      <c r="G286" s="584"/>
      <c r="H286" s="603"/>
      <c r="I286" s="555"/>
      <c r="J286" s="522"/>
      <c r="K286" s="603"/>
      <c r="L286" s="579"/>
      <c r="M286" s="522"/>
      <c r="N286" s="579"/>
      <c r="O286" s="522"/>
      <c r="P286" s="603"/>
      <c r="Q286" s="579"/>
      <c r="R286" s="522"/>
      <c r="S286" s="579"/>
      <c r="T286" s="568"/>
      <c r="U286" s="509"/>
      <c r="V286" s="509"/>
      <c r="W286" s="509"/>
      <c r="X286" s="509"/>
      <c r="Y286" s="509"/>
      <c r="Z286" s="509"/>
      <c r="AA286" s="509"/>
      <c r="AB286" s="509"/>
      <c r="AC286" s="509"/>
      <c r="AD286" s="509"/>
      <c r="AE286" s="509"/>
      <c r="AF286" s="509"/>
      <c r="AG286" s="509"/>
      <c r="AH286" s="509"/>
      <c r="AI286" s="509"/>
      <c r="AJ286" s="509"/>
      <c r="AK286" s="509"/>
      <c r="AL286" s="509"/>
      <c r="AM286" s="509"/>
      <c r="AN286" s="509"/>
    </row>
    <row r="287" spans="1:40" ht="15.75" customHeight="1">
      <c r="B287" s="509"/>
      <c r="C287" s="588" t="s">
        <v>65</v>
      </c>
      <c r="D287" s="589" t="s">
        <v>39</v>
      </c>
      <c r="E287" s="590" t="e">
        <v>#DIV/0!</v>
      </c>
      <c r="F287" s="591">
        <v>12605.757537927904</v>
      </c>
      <c r="G287" s="592"/>
      <c r="H287" s="590"/>
      <c r="I287" s="591"/>
      <c r="J287" s="592" t="s">
        <v>39</v>
      </c>
      <c r="K287" s="590">
        <v>4.9040231591448924</v>
      </c>
      <c r="L287" s="591">
        <v>7267.37</v>
      </c>
      <c r="M287" s="595"/>
      <c r="N287" s="605">
        <v>-5338.3875379279043</v>
      </c>
      <c r="O287" s="592" t="s">
        <v>39</v>
      </c>
      <c r="P287" s="590">
        <v>0</v>
      </c>
      <c r="Q287" s="591">
        <v>14805.199999999999</v>
      </c>
      <c r="R287" s="595"/>
      <c r="S287" s="605">
        <v>-7537.829999999999</v>
      </c>
      <c r="T287" s="568"/>
      <c r="U287" s="509"/>
      <c r="V287" s="509"/>
      <c r="W287" s="509"/>
      <c r="X287" s="509"/>
      <c r="Y287" s="509"/>
      <c r="Z287" s="509"/>
      <c r="AA287" s="509"/>
      <c r="AB287" s="509"/>
      <c r="AC287" s="509"/>
      <c r="AD287" s="509"/>
      <c r="AE287" s="509"/>
      <c r="AF287" s="509"/>
      <c r="AG287" s="509"/>
      <c r="AH287" s="509"/>
      <c r="AI287" s="509"/>
      <c r="AJ287" s="509"/>
      <c r="AK287" s="509"/>
      <c r="AL287" s="509"/>
      <c r="AM287" s="509"/>
      <c r="AN287" s="509"/>
    </row>
    <row r="288" spans="1:40" ht="15.75" customHeight="1">
      <c r="B288" s="509"/>
      <c r="C288" s="529"/>
      <c r="D288" s="581"/>
      <c r="E288" s="509"/>
      <c r="F288" s="555"/>
      <c r="G288" s="582"/>
      <c r="H288" s="509"/>
      <c r="I288" s="555"/>
      <c r="J288" s="529"/>
      <c r="K288" s="509"/>
      <c r="L288" s="555"/>
      <c r="M288" s="529"/>
      <c r="N288" s="555">
        <v>0</v>
      </c>
      <c r="O288" s="529"/>
      <c r="P288" s="509"/>
      <c r="Q288" s="555"/>
      <c r="R288" s="529"/>
      <c r="S288" s="555"/>
      <c r="T288" s="509"/>
      <c r="U288" s="509"/>
      <c r="V288" s="509"/>
      <c r="W288" s="509"/>
      <c r="X288" s="509"/>
      <c r="Y288" s="509"/>
      <c r="Z288" s="509"/>
      <c r="AA288" s="509"/>
      <c r="AB288" s="509"/>
      <c r="AC288" s="509"/>
      <c r="AD288" s="509"/>
      <c r="AE288" s="509"/>
      <c r="AF288" s="509"/>
      <c r="AG288" s="509"/>
      <c r="AH288" s="509"/>
      <c r="AI288" s="509"/>
      <c r="AJ288" s="509"/>
      <c r="AK288" s="509"/>
      <c r="AL288" s="509"/>
      <c r="AM288" s="509"/>
      <c r="AN288" s="509"/>
    </row>
    <row r="289" spans="1:40" ht="29.25" customHeight="1" thickBot="1">
      <c r="B289" s="509"/>
      <c r="C289" s="621" t="s">
        <v>72</v>
      </c>
      <c r="D289" s="651"/>
      <c r="E289" s="622"/>
      <c r="F289" s="624">
        <v>1424.0333566210029</v>
      </c>
      <c r="G289" s="652"/>
      <c r="H289" s="622"/>
      <c r="I289" s="624"/>
      <c r="J289" s="621"/>
      <c r="K289" s="623"/>
      <c r="L289" s="624">
        <v>-5785.45</v>
      </c>
      <c r="M289" s="621"/>
      <c r="N289" s="624">
        <v>-7209.4833566210027</v>
      </c>
      <c r="O289" s="621"/>
      <c r="P289" s="626">
        <v>9.4709031306888097E-2</v>
      </c>
      <c r="Q289" s="624">
        <v>7749.7900000000027</v>
      </c>
      <c r="R289" s="621"/>
      <c r="S289" s="624">
        <v>-13535.240000000002</v>
      </c>
      <c r="T289" s="568"/>
      <c r="U289" s="509"/>
      <c r="V289" s="509"/>
      <c r="W289" s="509"/>
      <c r="X289" s="509"/>
      <c r="Y289" s="509"/>
      <c r="Z289" s="509"/>
      <c r="AA289" s="509"/>
      <c r="AB289" s="509"/>
      <c r="AC289" s="509"/>
      <c r="AD289" s="509"/>
      <c r="AE289" s="509"/>
      <c r="AF289" s="509"/>
      <c r="AG289" s="509"/>
      <c r="AH289" s="509"/>
      <c r="AI289" s="509"/>
      <c r="AJ289" s="509"/>
      <c r="AK289" s="509"/>
      <c r="AL289" s="509"/>
      <c r="AM289" s="509"/>
      <c r="AN289" s="509"/>
    </row>
    <row r="290" spans="1:40" ht="15.75" customHeight="1" thickTop="1"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70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  <c r="AA290" s="509"/>
      <c r="AB290" s="509"/>
      <c r="AC290" s="509"/>
      <c r="AD290" s="509"/>
      <c r="AE290" s="509"/>
      <c r="AF290" s="509"/>
      <c r="AG290" s="509"/>
      <c r="AH290" s="509"/>
      <c r="AI290" s="509"/>
      <c r="AJ290" s="509"/>
      <c r="AK290" s="509"/>
      <c r="AL290" s="509"/>
      <c r="AM290" s="509"/>
      <c r="AN290" s="509"/>
    </row>
    <row r="291" spans="1:40" ht="36" customHeight="1">
      <c r="B291" s="509"/>
      <c r="C291" s="631" t="s">
        <v>477</v>
      </c>
      <c r="D291" s="497"/>
      <c r="E291" s="497"/>
      <c r="F291" s="497"/>
      <c r="G291" s="497"/>
      <c r="H291" s="495"/>
      <c r="I291" s="495"/>
      <c r="J291" s="495"/>
      <c r="K291" s="499" t="s">
        <v>103</v>
      </c>
      <c r="L291" s="497"/>
      <c r="M291" s="497"/>
      <c r="N291" s="495"/>
      <c r="O291" s="495"/>
      <c r="P291" s="497"/>
      <c r="Q291" s="495"/>
      <c r="R291" s="497"/>
      <c r="S291" s="632" t="s">
        <v>484</v>
      </c>
      <c r="T291" s="509"/>
      <c r="U291" s="509"/>
      <c r="V291" s="509"/>
      <c r="W291" s="509"/>
      <c r="X291" s="509"/>
      <c r="Y291" s="509"/>
      <c r="Z291" s="509"/>
      <c r="AA291" s="509"/>
      <c r="AB291" s="509"/>
      <c r="AC291" s="509"/>
      <c r="AD291" s="509"/>
      <c r="AE291" s="509"/>
      <c r="AF291" s="509"/>
      <c r="AG291" s="509"/>
      <c r="AH291" s="509"/>
      <c r="AI291" s="509"/>
      <c r="AJ291" s="509"/>
      <c r="AK291" s="509"/>
      <c r="AL291" s="509"/>
      <c r="AM291" s="509"/>
      <c r="AN291" s="509"/>
    </row>
    <row r="292" spans="1:40" ht="15.75" customHeight="1" thickBot="1">
      <c r="B292" s="509"/>
      <c r="C292" s="504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9"/>
      <c r="U292" s="509"/>
      <c r="V292" s="509"/>
      <c r="W292" s="509"/>
      <c r="X292" s="509"/>
      <c r="Y292" s="509"/>
      <c r="Z292" s="509"/>
      <c r="AA292" s="509"/>
      <c r="AB292" s="509"/>
      <c r="AC292" s="509"/>
      <c r="AD292" s="509"/>
      <c r="AE292" s="509"/>
      <c r="AF292" s="509"/>
      <c r="AG292" s="509"/>
      <c r="AH292" s="509"/>
      <c r="AI292" s="509"/>
      <c r="AJ292" s="509"/>
      <c r="AK292" s="509"/>
      <c r="AL292" s="509"/>
      <c r="AM292" s="509"/>
      <c r="AN292" s="509"/>
    </row>
    <row r="293" spans="1:40" ht="15.75" customHeight="1" thickTop="1">
      <c r="B293" s="509"/>
      <c r="C293" s="510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221</v>
      </c>
      <c r="N293" s="513"/>
      <c r="O293" s="511" t="s">
        <v>8</v>
      </c>
      <c r="P293" s="512"/>
      <c r="Q293" s="513"/>
      <c r="R293" s="514" t="s">
        <v>222</v>
      </c>
      <c r="S293" s="513"/>
      <c r="T293" s="509"/>
      <c r="U293" s="509"/>
      <c r="V293" s="509"/>
      <c r="W293" s="509"/>
      <c r="X293" s="509"/>
      <c r="Y293" s="509"/>
      <c r="Z293" s="509"/>
      <c r="AA293" s="509"/>
      <c r="AB293" s="509"/>
      <c r="AC293" s="509"/>
      <c r="AD293" s="509"/>
      <c r="AE293" s="509"/>
      <c r="AF293" s="509"/>
      <c r="AG293" s="509"/>
      <c r="AH293" s="509"/>
      <c r="AI293" s="509"/>
      <c r="AJ293" s="509"/>
      <c r="AK293" s="509"/>
      <c r="AL293" s="509"/>
      <c r="AM293" s="509"/>
      <c r="AN293" s="509"/>
    </row>
    <row r="294" spans="1:40" ht="15.75" customHeight="1">
      <c r="A294" s="494" t="s">
        <v>103</v>
      </c>
      <c r="B294" s="509" t="s">
        <v>103</v>
      </c>
      <c r="C294" s="529"/>
      <c r="D294" s="572" t="s">
        <v>84</v>
      </c>
      <c r="E294" s="572" t="s">
        <v>104</v>
      </c>
      <c r="F294" s="654" t="s">
        <v>12</v>
      </c>
      <c r="G294" s="655"/>
      <c r="H294" s="572"/>
      <c r="I294" s="654"/>
      <c r="J294" s="655" t="s">
        <v>84</v>
      </c>
      <c r="K294" s="572" t="s">
        <v>104</v>
      </c>
      <c r="L294" s="654" t="s">
        <v>12</v>
      </c>
      <c r="M294" s="655" t="s">
        <v>40</v>
      </c>
      <c r="N294" s="654" t="s">
        <v>336</v>
      </c>
      <c r="O294" s="572" t="s">
        <v>84</v>
      </c>
      <c r="P294" s="572" t="s">
        <v>104</v>
      </c>
      <c r="Q294" s="654" t="s">
        <v>12</v>
      </c>
      <c r="R294" s="655" t="s">
        <v>85</v>
      </c>
      <c r="S294" s="654" t="s">
        <v>12</v>
      </c>
      <c r="T294" s="509"/>
      <c r="U294" s="509"/>
      <c r="V294" s="509"/>
      <c r="W294" s="509"/>
      <c r="X294" s="509"/>
      <c r="Y294" s="509"/>
      <c r="Z294" s="509"/>
      <c r="AA294" s="509"/>
      <c r="AB294" s="509"/>
      <c r="AC294" s="509"/>
      <c r="AD294" s="509"/>
      <c r="AE294" s="509"/>
      <c r="AF294" s="509"/>
      <c r="AG294" s="509"/>
      <c r="AH294" s="509"/>
      <c r="AI294" s="509"/>
      <c r="AJ294" s="509"/>
      <c r="AK294" s="509"/>
      <c r="AL294" s="509"/>
      <c r="AM294" s="509"/>
      <c r="AN294" s="509"/>
    </row>
    <row r="295" spans="1:40" ht="15.75" customHeight="1">
      <c r="A295" s="494" t="s">
        <v>405</v>
      </c>
      <c r="B295" s="509" t="s">
        <v>103</v>
      </c>
      <c r="C295" s="529" t="s">
        <v>105</v>
      </c>
      <c r="D295" s="570">
        <v>194533.69320000001</v>
      </c>
      <c r="E295" s="644">
        <v>0.34200000000000008</v>
      </c>
      <c r="F295" s="555">
        <v>66530.523074400015</v>
      </c>
      <c r="G295" s="570"/>
      <c r="H295" s="644"/>
      <c r="I295" s="555"/>
      <c r="J295" s="530">
        <v>109437.56</v>
      </c>
      <c r="K295" s="644">
        <v>0.37261000702135533</v>
      </c>
      <c r="L295" s="555">
        <v>40777.529999999992</v>
      </c>
      <c r="M295" s="574">
        <v>-0.43743647591429169</v>
      </c>
      <c r="N295" s="555">
        <v>-25752.993074400023</v>
      </c>
      <c r="O295" s="530">
        <v>117803.88</v>
      </c>
      <c r="P295" s="644">
        <v>0.34810296570876947</v>
      </c>
      <c r="Q295" s="555">
        <v>41007.879999999997</v>
      </c>
      <c r="R295" s="574">
        <v>-7.1019053022701853E-2</v>
      </c>
      <c r="S295" s="555">
        <v>-230.35000000000582</v>
      </c>
      <c r="T295" s="509"/>
      <c r="U295" s="509"/>
      <c r="V295" s="509"/>
      <c r="W295" s="509"/>
      <c r="X295" s="509"/>
      <c r="Y295" s="509"/>
      <c r="Z295" s="509"/>
      <c r="AA295" s="509"/>
      <c r="AB295" s="509"/>
      <c r="AC295" s="509"/>
      <c r="AD295" s="509"/>
      <c r="AE295" s="509"/>
      <c r="AF295" s="509"/>
      <c r="AG295" s="509"/>
      <c r="AH295" s="509"/>
      <c r="AI295" s="509"/>
      <c r="AJ295" s="509"/>
      <c r="AK295" s="509"/>
      <c r="AL295" s="509"/>
      <c r="AM295" s="509"/>
      <c r="AN295" s="509"/>
    </row>
    <row r="296" spans="1:40" ht="15.75" customHeight="1">
      <c r="A296" s="494" t="s">
        <v>406</v>
      </c>
      <c r="B296" s="509" t="s">
        <v>103</v>
      </c>
      <c r="C296" s="529" t="s">
        <v>106</v>
      </c>
      <c r="D296" s="570">
        <v>51253.068428494706</v>
      </c>
      <c r="E296" s="644">
        <v>0.248</v>
      </c>
      <c r="F296" s="555">
        <v>12710.760970266687</v>
      </c>
      <c r="G296" s="570"/>
      <c r="H296" s="644"/>
      <c r="I296" s="555"/>
      <c r="J296" s="530">
        <v>254.91</v>
      </c>
      <c r="K296" s="644">
        <v>0.23086579577105643</v>
      </c>
      <c r="L296" s="555">
        <v>58.849999999999994</v>
      </c>
      <c r="M296" s="574">
        <v>-0.99502644411708463</v>
      </c>
      <c r="N296" s="555">
        <v>-12651.910970266686</v>
      </c>
      <c r="O296" s="530">
        <v>41761.039999999899</v>
      </c>
      <c r="P296" s="644">
        <v>0.29395244946006927</v>
      </c>
      <c r="Q296" s="555">
        <v>12275.7599999999</v>
      </c>
      <c r="R296" s="574">
        <v>-0.99389598534902379</v>
      </c>
      <c r="S296" s="555">
        <v>-12216.9099999999</v>
      </c>
      <c r="T296" s="509"/>
      <c r="U296" s="509"/>
      <c r="V296" s="509"/>
      <c r="W296" s="509"/>
      <c r="X296" s="509"/>
      <c r="Y296" s="509"/>
      <c r="Z296" s="509"/>
      <c r="AA296" s="509"/>
      <c r="AB296" s="509"/>
      <c r="AC296" s="509"/>
      <c r="AD296" s="509"/>
      <c r="AE296" s="509"/>
      <c r="AF296" s="509"/>
      <c r="AG296" s="509"/>
      <c r="AH296" s="509"/>
      <c r="AI296" s="509"/>
      <c r="AJ296" s="509"/>
      <c r="AK296" s="509"/>
      <c r="AL296" s="509"/>
      <c r="AM296" s="509"/>
      <c r="AN296" s="509"/>
    </row>
    <row r="297" spans="1:40" ht="15.75" customHeight="1">
      <c r="A297" s="494" t="s">
        <v>407</v>
      </c>
      <c r="B297" s="509" t="s">
        <v>103</v>
      </c>
      <c r="C297" s="529" t="s">
        <v>107</v>
      </c>
      <c r="D297" s="570">
        <v>72252</v>
      </c>
      <c r="E297" s="644">
        <v>0.24300000000000002</v>
      </c>
      <c r="F297" s="555">
        <v>17557.236000000001</v>
      </c>
      <c r="G297" s="570"/>
      <c r="H297" s="644"/>
      <c r="I297" s="555"/>
      <c r="J297" s="530">
        <v>42120.959999999999</v>
      </c>
      <c r="K297" s="644">
        <v>0.23626123431184853</v>
      </c>
      <c r="L297" s="555">
        <v>9951.5499999999993</v>
      </c>
      <c r="M297" s="574">
        <v>-0.4170270719149643</v>
      </c>
      <c r="N297" s="555">
        <v>-7605.6860000000015</v>
      </c>
      <c r="O297" s="530">
        <v>17870.95</v>
      </c>
      <c r="P297" s="644">
        <v>0.23867169904230048</v>
      </c>
      <c r="Q297" s="555">
        <v>4265.29</v>
      </c>
      <c r="R297" s="574">
        <v>1.3569513652044238</v>
      </c>
      <c r="S297" s="555">
        <v>5686.2599999999993</v>
      </c>
      <c r="T297" s="509"/>
      <c r="U297" s="509"/>
      <c r="V297" s="509"/>
      <c r="W297" s="509"/>
      <c r="X297" s="509"/>
      <c r="Y297" s="509"/>
      <c r="Z297" s="509"/>
      <c r="AA297" s="509"/>
      <c r="AB297" s="509"/>
      <c r="AC297" s="509"/>
      <c r="AD297" s="509"/>
      <c r="AE297" s="509"/>
      <c r="AF297" s="509"/>
      <c r="AG297" s="509"/>
      <c r="AH297" s="509"/>
      <c r="AI297" s="509"/>
      <c r="AJ297" s="509"/>
      <c r="AK297" s="509"/>
      <c r="AL297" s="509"/>
      <c r="AM297" s="509"/>
      <c r="AN297" s="509"/>
    </row>
    <row r="298" spans="1:40" ht="15.75" customHeight="1">
      <c r="A298" s="494" t="s">
        <v>408</v>
      </c>
      <c r="B298" s="509" t="s">
        <v>103</v>
      </c>
      <c r="C298" s="529" t="s">
        <v>108</v>
      </c>
      <c r="D298" s="570">
        <v>50992.242773818311</v>
      </c>
      <c r="E298" s="644">
        <v>0.316</v>
      </c>
      <c r="F298" s="555">
        <v>16113.548716526586</v>
      </c>
      <c r="G298" s="570"/>
      <c r="H298" s="644"/>
      <c r="I298" s="555"/>
      <c r="J298" s="530">
        <v>59301.120000000003</v>
      </c>
      <c r="K298" s="644">
        <v>0.29746706301668507</v>
      </c>
      <c r="L298" s="555">
        <v>17640.130000000005</v>
      </c>
      <c r="M298" s="574">
        <v>0.16294394547493488</v>
      </c>
      <c r="N298" s="555">
        <v>1526.5812834734188</v>
      </c>
      <c r="O298" s="530">
        <v>35439.96</v>
      </c>
      <c r="P298" s="644">
        <v>0.34078368034275436</v>
      </c>
      <c r="Q298" s="555">
        <v>12077.36</v>
      </c>
      <c r="R298" s="574">
        <v>0.6732840556253451</v>
      </c>
      <c r="S298" s="555">
        <v>5562.7700000000041</v>
      </c>
      <c r="T298" s="509"/>
      <c r="U298" s="509"/>
      <c r="V298" s="509"/>
      <c r="W298" s="509"/>
      <c r="X298" s="509"/>
      <c r="Y298" s="509"/>
      <c r="Z298" s="509"/>
      <c r="AA298" s="509"/>
      <c r="AB298" s="509"/>
      <c r="AC298" s="509"/>
      <c r="AD298" s="509"/>
      <c r="AE298" s="509"/>
      <c r="AF298" s="509"/>
      <c r="AG298" s="509"/>
      <c r="AH298" s="509"/>
      <c r="AI298" s="509"/>
      <c r="AJ298" s="509"/>
      <c r="AK298" s="509"/>
      <c r="AL298" s="509"/>
      <c r="AM298" s="509"/>
      <c r="AN298" s="509"/>
    </row>
    <row r="299" spans="1:40" ht="15.75" customHeight="1">
      <c r="A299" s="494" t="s">
        <v>409</v>
      </c>
      <c r="B299" s="509" t="s">
        <v>103</v>
      </c>
      <c r="C299" s="529" t="s">
        <v>109</v>
      </c>
      <c r="D299" s="570">
        <v>29398.140000000003</v>
      </c>
      <c r="E299" s="644">
        <v>0.26500000000000001</v>
      </c>
      <c r="F299" s="555">
        <v>7790.5071000000016</v>
      </c>
      <c r="G299" s="570"/>
      <c r="H299" s="644"/>
      <c r="I299" s="555"/>
      <c r="J299" s="530">
        <v>21253.68</v>
      </c>
      <c r="K299" s="644">
        <v>0.22581360028004557</v>
      </c>
      <c r="L299" s="555">
        <v>4799.369999999999</v>
      </c>
      <c r="M299" s="574">
        <v>-0.27703997599848162</v>
      </c>
      <c r="N299" s="555">
        <v>-2991.1371000000026</v>
      </c>
      <c r="O299" s="530">
        <v>18968.09</v>
      </c>
      <c r="P299" s="644">
        <v>0.26662357675443338</v>
      </c>
      <c r="Q299" s="555">
        <v>5057.34</v>
      </c>
      <c r="R299" s="574">
        <v>0.12049658136375355</v>
      </c>
      <c r="S299" s="555">
        <v>-257.97000000000116</v>
      </c>
      <c r="T299" s="509"/>
      <c r="U299" s="509"/>
      <c r="V299" s="509"/>
      <c r="W299" s="509"/>
      <c r="X299" s="509"/>
      <c r="Y299" s="509"/>
      <c r="Z299" s="509"/>
      <c r="AA299" s="509"/>
      <c r="AB299" s="509"/>
      <c r="AC299" s="509"/>
      <c r="AD299" s="509"/>
      <c r="AE299" s="509"/>
      <c r="AF299" s="509"/>
      <c r="AG299" s="509"/>
      <c r="AH299" s="509"/>
      <c r="AI299" s="509"/>
      <c r="AJ299" s="509"/>
      <c r="AK299" s="509"/>
      <c r="AL299" s="509"/>
      <c r="AM299" s="509"/>
      <c r="AN299" s="509"/>
    </row>
    <row r="300" spans="1:40" ht="15.75" customHeight="1">
      <c r="A300" s="494" t="s">
        <v>410</v>
      </c>
      <c r="B300" s="509" t="s">
        <v>103</v>
      </c>
      <c r="C300" s="529" t="s">
        <v>110</v>
      </c>
      <c r="D300" s="570">
        <v>117872.10027457221</v>
      </c>
      <c r="E300" s="644">
        <v>0.14499999999999999</v>
      </c>
      <c r="F300" s="555">
        <v>17091.45453981297</v>
      </c>
      <c r="G300" s="570"/>
      <c r="H300" s="644"/>
      <c r="I300" s="555"/>
      <c r="J300" s="530">
        <v>144594.10999999999</v>
      </c>
      <c r="K300" s="644">
        <v>0.16606506309281885</v>
      </c>
      <c r="L300" s="555">
        <v>24012.029999999988</v>
      </c>
      <c r="M300" s="574">
        <v>0.22670343247622904</v>
      </c>
      <c r="N300" s="555">
        <v>6920.5754601870176</v>
      </c>
      <c r="O300" s="530">
        <v>131455.94</v>
      </c>
      <c r="P300" s="644">
        <v>0.18220355808950134</v>
      </c>
      <c r="Q300" s="555">
        <v>23951.74</v>
      </c>
      <c r="R300" s="574">
        <v>9.9943524803823874E-2</v>
      </c>
      <c r="S300" s="555">
        <v>60.289999999986321</v>
      </c>
      <c r="T300" s="509"/>
      <c r="U300" s="509"/>
      <c r="V300" s="509"/>
      <c r="W300" s="509"/>
      <c r="X300" s="509"/>
      <c r="Y300" s="509"/>
      <c r="Z300" s="509"/>
      <c r="AA300" s="509"/>
      <c r="AB300" s="509"/>
      <c r="AC300" s="509"/>
      <c r="AD300" s="509"/>
      <c r="AE300" s="509"/>
      <c r="AF300" s="509"/>
      <c r="AG300" s="509"/>
      <c r="AH300" s="509"/>
      <c r="AI300" s="509"/>
      <c r="AJ300" s="509"/>
      <c r="AK300" s="509"/>
      <c r="AL300" s="509"/>
      <c r="AM300" s="509"/>
      <c r="AN300" s="509"/>
    </row>
    <row r="301" spans="1:40" ht="15.75" hidden="1" customHeight="1">
      <c r="A301" s="494" t="s">
        <v>411</v>
      </c>
      <c r="B301" s="509" t="s">
        <v>103</v>
      </c>
      <c r="C301" s="529" t="s">
        <v>20</v>
      </c>
      <c r="D301" s="570">
        <v>0</v>
      </c>
      <c r="E301" s="644">
        <v>0</v>
      </c>
      <c r="F301" s="555">
        <v>0</v>
      </c>
      <c r="G301" s="570"/>
      <c r="H301" s="644"/>
      <c r="I301" s="555"/>
      <c r="J301" s="530">
        <v>0</v>
      </c>
      <c r="K301" s="644">
        <v>0</v>
      </c>
      <c r="L301" s="555">
        <v>0</v>
      </c>
      <c r="M301" s="574" t="e">
        <v>#DIV/0!</v>
      </c>
      <c r="N301" s="555">
        <v>0</v>
      </c>
      <c r="O301" s="530">
        <v>0</v>
      </c>
      <c r="P301" s="644">
        <v>0</v>
      </c>
      <c r="Q301" s="555">
        <v>0</v>
      </c>
      <c r="R301" s="574">
        <v>0</v>
      </c>
      <c r="S301" s="555">
        <v>0</v>
      </c>
      <c r="T301" s="509"/>
      <c r="U301" s="509"/>
      <c r="V301" s="509"/>
      <c r="W301" s="509"/>
      <c r="X301" s="509"/>
      <c r="Y301" s="509"/>
      <c r="Z301" s="509"/>
      <c r="AA301" s="509"/>
      <c r="AB301" s="509"/>
      <c r="AC301" s="509"/>
      <c r="AD301" s="509"/>
      <c r="AE301" s="509"/>
      <c r="AF301" s="509"/>
      <c r="AG301" s="509"/>
      <c r="AH301" s="509"/>
      <c r="AI301" s="509"/>
      <c r="AJ301" s="509"/>
      <c r="AK301" s="509"/>
      <c r="AL301" s="509"/>
      <c r="AM301" s="509"/>
      <c r="AN301" s="509"/>
    </row>
    <row r="302" spans="1:40" ht="15.75" customHeight="1">
      <c r="A302" s="494" t="s">
        <v>412</v>
      </c>
      <c r="B302" s="509" t="s">
        <v>103</v>
      </c>
      <c r="C302" s="529" t="s">
        <v>111</v>
      </c>
      <c r="D302" s="570">
        <v>0</v>
      </c>
      <c r="E302" s="644">
        <v>0</v>
      </c>
      <c r="F302" s="555">
        <v>9447.0431464423928</v>
      </c>
      <c r="G302" s="570"/>
      <c r="H302" s="644"/>
      <c r="I302" s="555"/>
      <c r="J302" s="530">
        <v>0</v>
      </c>
      <c r="K302" s="644">
        <v>0</v>
      </c>
      <c r="L302" s="555">
        <v>12321.78</v>
      </c>
      <c r="M302" s="574"/>
      <c r="N302" s="555">
        <v>2874.7368535576079</v>
      </c>
      <c r="O302" s="530">
        <v>0</v>
      </c>
      <c r="P302" s="644">
        <v>0</v>
      </c>
      <c r="Q302" s="555">
        <v>8490.4599999999991</v>
      </c>
      <c r="R302" s="574">
        <v>0</v>
      </c>
      <c r="S302" s="555">
        <v>3831.3200000000015</v>
      </c>
      <c r="T302" s="509"/>
      <c r="U302" s="509"/>
      <c r="V302" s="509"/>
      <c r="W302" s="509"/>
      <c r="X302" s="509"/>
      <c r="Y302" s="509"/>
      <c r="Z302" s="509"/>
      <c r="AA302" s="509"/>
      <c r="AB302" s="509"/>
      <c r="AC302" s="509"/>
      <c r="AD302" s="509"/>
      <c r="AE302" s="509"/>
      <c r="AF302" s="509"/>
      <c r="AG302" s="509"/>
      <c r="AH302" s="509"/>
      <c r="AI302" s="509"/>
      <c r="AJ302" s="509"/>
      <c r="AK302" s="509"/>
      <c r="AL302" s="509"/>
      <c r="AM302" s="509"/>
      <c r="AN302" s="509"/>
    </row>
    <row r="303" spans="1:40" ht="15.75" customHeight="1">
      <c r="A303" s="494" t="s">
        <v>413</v>
      </c>
      <c r="B303" s="509" t="s">
        <v>103</v>
      </c>
      <c r="C303" s="522" t="s">
        <v>112</v>
      </c>
      <c r="D303" s="570">
        <v>0</v>
      </c>
      <c r="E303" s="644">
        <v>0</v>
      </c>
      <c r="F303" s="555">
        <v>0</v>
      </c>
      <c r="G303" s="570"/>
      <c r="H303" s="644"/>
      <c r="I303" s="555"/>
      <c r="J303" s="530">
        <v>0</v>
      </c>
      <c r="K303" s="644">
        <v>0</v>
      </c>
      <c r="L303" s="555">
        <v>0</v>
      </c>
      <c r="M303" s="574"/>
      <c r="N303" s="555">
        <v>0</v>
      </c>
      <c r="O303" s="530">
        <v>0</v>
      </c>
      <c r="P303" s="644">
        <v>0</v>
      </c>
      <c r="Q303" s="555">
        <v>0</v>
      </c>
      <c r="R303" s="574">
        <v>0</v>
      </c>
      <c r="S303" s="555">
        <v>0</v>
      </c>
      <c r="T303" s="509"/>
      <c r="U303" s="509"/>
      <c r="V303" s="509"/>
      <c r="W303" s="509"/>
      <c r="X303" s="509"/>
      <c r="Y303" s="509"/>
      <c r="Z303" s="509"/>
      <c r="AA303" s="509"/>
      <c r="AB303" s="509"/>
      <c r="AC303" s="509"/>
      <c r="AD303" s="509"/>
      <c r="AE303" s="509"/>
      <c r="AF303" s="509"/>
      <c r="AG303" s="509"/>
      <c r="AH303" s="509"/>
      <c r="AI303" s="509"/>
      <c r="AJ303" s="509"/>
      <c r="AK303" s="509"/>
      <c r="AL303" s="509"/>
      <c r="AM303" s="509"/>
      <c r="AN303" s="509"/>
    </row>
    <row r="304" spans="1:40" ht="15.75" customHeight="1">
      <c r="A304" s="494" t="s">
        <v>414</v>
      </c>
      <c r="B304" s="509" t="s">
        <v>103</v>
      </c>
      <c r="C304" s="548" t="s">
        <v>113</v>
      </c>
      <c r="D304" s="684">
        <v>516301.24467688525</v>
      </c>
      <c r="E304" s="704">
        <v>0.28518442491765816</v>
      </c>
      <c r="F304" s="686">
        <v>147241.07354744864</v>
      </c>
      <c r="G304" s="684"/>
      <c r="H304" s="704"/>
      <c r="I304" s="686"/>
      <c r="J304" s="684">
        <v>376962.33999999997</v>
      </c>
      <c r="K304" s="704">
        <v>0.2906424021030854</v>
      </c>
      <c r="L304" s="686">
        <v>109561.23999999998</v>
      </c>
      <c r="M304" s="705">
        <v>-0.26987907953638035</v>
      </c>
      <c r="N304" s="686">
        <v>-37679.833547448667</v>
      </c>
      <c r="O304" s="684">
        <v>363299.85999999987</v>
      </c>
      <c r="P304" s="704">
        <v>0.29486889975680125</v>
      </c>
      <c r="Q304" s="686">
        <v>107125.8299999999</v>
      </c>
      <c r="R304" s="705">
        <v>3.7606620602606625E-2</v>
      </c>
      <c r="S304" s="686">
        <v>2435.4100000000763</v>
      </c>
      <c r="T304" s="509"/>
      <c r="U304" s="509"/>
      <c r="V304" s="509"/>
      <c r="W304" s="509"/>
      <c r="X304" s="509"/>
      <c r="Y304" s="509"/>
      <c r="Z304" s="509"/>
      <c r="AA304" s="509"/>
      <c r="AB304" s="509"/>
      <c r="AC304" s="509"/>
      <c r="AD304" s="509"/>
      <c r="AE304" s="509"/>
      <c r="AF304" s="509"/>
      <c r="AG304" s="509"/>
      <c r="AH304" s="509"/>
      <c r="AI304" s="509"/>
      <c r="AJ304" s="509"/>
      <c r="AK304" s="509"/>
      <c r="AL304" s="509"/>
      <c r="AM304" s="509"/>
      <c r="AN304" s="509"/>
    </row>
    <row r="305" spans="1:40" ht="15.75" customHeight="1">
      <c r="A305" s="494" t="s">
        <v>103</v>
      </c>
      <c r="B305" s="509" t="s">
        <v>103</v>
      </c>
      <c r="C305" s="529"/>
      <c r="D305" s="509"/>
      <c r="E305" s="509"/>
      <c r="F305" s="539"/>
      <c r="G305" s="529"/>
      <c r="H305" s="509"/>
      <c r="I305" s="539"/>
      <c r="J305" s="529"/>
      <c r="K305" s="509"/>
      <c r="L305" s="539"/>
      <c r="M305" s="529"/>
      <c r="N305" s="547">
        <v>-0.25590572412735285</v>
      </c>
      <c r="O305" s="529"/>
      <c r="P305" s="509"/>
      <c r="Q305" s="539"/>
      <c r="R305" s="529"/>
      <c r="S305" s="547">
        <v>2.2734106237497328E-2</v>
      </c>
      <c r="T305" s="509"/>
      <c r="U305" s="509"/>
      <c r="V305" s="509"/>
      <c r="W305" s="509"/>
      <c r="X305" s="509"/>
      <c r="Y305" s="509"/>
      <c r="Z305" s="509"/>
      <c r="AA305" s="509"/>
      <c r="AB305" s="509"/>
      <c r="AC305" s="509"/>
      <c r="AD305" s="509"/>
      <c r="AE305" s="509"/>
      <c r="AF305" s="509"/>
      <c r="AG305" s="509"/>
      <c r="AH305" s="509"/>
      <c r="AI305" s="509"/>
      <c r="AJ305" s="509"/>
      <c r="AK305" s="509"/>
      <c r="AL305" s="509"/>
      <c r="AM305" s="509"/>
      <c r="AN305" s="509"/>
    </row>
    <row r="306" spans="1:40" ht="15.75" customHeight="1">
      <c r="A306" s="494" t="s">
        <v>103</v>
      </c>
      <c r="B306" s="509" t="s">
        <v>103</v>
      </c>
      <c r="C306" s="522"/>
      <c r="D306" s="603"/>
      <c r="E306" s="603"/>
      <c r="F306" s="706"/>
      <c r="G306" s="522"/>
      <c r="H306" s="603"/>
      <c r="I306" s="706"/>
      <c r="J306" s="522"/>
      <c r="K306" s="603"/>
      <c r="L306" s="706"/>
      <c r="M306" s="522"/>
      <c r="N306" s="664"/>
      <c r="O306" s="522"/>
      <c r="P306" s="603"/>
      <c r="Q306" s="706"/>
      <c r="R306" s="522"/>
      <c r="S306" s="664"/>
      <c r="T306" s="509"/>
      <c r="U306" s="509"/>
      <c r="V306" s="509"/>
      <c r="W306" s="509"/>
      <c r="X306" s="509"/>
      <c r="Y306" s="509"/>
      <c r="Z306" s="509"/>
      <c r="AA306" s="509"/>
      <c r="AB306" s="509"/>
      <c r="AC306" s="509"/>
      <c r="AD306" s="509"/>
      <c r="AE306" s="509"/>
      <c r="AF306" s="509"/>
      <c r="AG306" s="509"/>
      <c r="AH306" s="509"/>
      <c r="AI306" s="509"/>
      <c r="AJ306" s="509"/>
      <c r="AK306" s="509"/>
      <c r="AL306" s="509"/>
      <c r="AM306" s="509"/>
      <c r="AN306" s="509"/>
    </row>
    <row r="307" spans="1:40" ht="15.75" customHeight="1">
      <c r="A307" s="494" t="s">
        <v>415</v>
      </c>
      <c r="B307" s="509" t="s">
        <v>103</v>
      </c>
      <c r="C307" s="529" t="s">
        <v>114</v>
      </c>
      <c r="D307" s="570">
        <v>64989.835000000006</v>
      </c>
      <c r="E307" s="644">
        <v>0.18</v>
      </c>
      <c r="F307" s="602">
        <v>11698.170300000002</v>
      </c>
      <c r="G307" s="570"/>
      <c r="H307" s="644"/>
      <c r="I307" s="602"/>
      <c r="J307" s="530">
        <v>39158.370000000003</v>
      </c>
      <c r="K307" s="644">
        <v>0.16776592079803124</v>
      </c>
      <c r="L307" s="602">
        <v>6569.4400000000032</v>
      </c>
      <c r="M307" s="574">
        <v>-0.39746931193162749</v>
      </c>
      <c r="N307" s="555">
        <v>-5128.7302999999984</v>
      </c>
      <c r="O307" s="530">
        <v>35494.959999999999</v>
      </c>
      <c r="P307" s="644">
        <v>0.19044309389276648</v>
      </c>
      <c r="Q307" s="602">
        <v>6759.7699999999904</v>
      </c>
      <c r="R307" s="574">
        <v>0.10320930070071931</v>
      </c>
      <c r="S307" s="555">
        <v>-190.32999999998719</v>
      </c>
      <c r="T307" s="509"/>
      <c r="U307" s="509"/>
      <c r="V307" s="509"/>
      <c r="W307" s="509"/>
      <c r="X307" s="509"/>
      <c r="Y307" s="509"/>
      <c r="Z307" s="509"/>
      <c r="AA307" s="509"/>
      <c r="AB307" s="509"/>
      <c r="AC307" s="509"/>
      <c r="AD307" s="509"/>
      <c r="AE307" s="509"/>
      <c r="AF307" s="509"/>
      <c r="AG307" s="509"/>
      <c r="AH307" s="509"/>
      <c r="AI307" s="509"/>
      <c r="AJ307" s="509"/>
      <c r="AK307" s="509"/>
      <c r="AL307" s="509"/>
      <c r="AM307" s="509"/>
      <c r="AN307" s="509"/>
    </row>
    <row r="308" spans="1:40" ht="15.75" customHeight="1">
      <c r="A308" s="494" t="s">
        <v>416</v>
      </c>
      <c r="B308" s="509" t="s">
        <v>103</v>
      </c>
      <c r="C308" s="522" t="s">
        <v>115</v>
      </c>
      <c r="D308" s="570">
        <v>37647.974999999999</v>
      </c>
      <c r="E308" s="644">
        <v>0.26</v>
      </c>
      <c r="F308" s="579">
        <v>9788.4735000000001</v>
      </c>
      <c r="G308" s="570"/>
      <c r="H308" s="644"/>
      <c r="I308" s="579"/>
      <c r="J308" s="530">
        <v>28957.45</v>
      </c>
      <c r="K308" s="644">
        <v>0.2606904268158971</v>
      </c>
      <c r="L308" s="579">
        <v>7548.93</v>
      </c>
      <c r="M308" s="574">
        <v>-0.23083645269101455</v>
      </c>
      <c r="N308" s="555">
        <v>-2239.5434999999998</v>
      </c>
      <c r="O308" s="530">
        <v>26037.82</v>
      </c>
      <c r="P308" s="644">
        <v>0.26885891368785869</v>
      </c>
      <c r="Q308" s="579">
        <v>7000.5</v>
      </c>
      <c r="R308" s="574">
        <v>0.11213035499899765</v>
      </c>
      <c r="S308" s="555">
        <v>548.43000000000029</v>
      </c>
      <c r="T308" s="509"/>
      <c r="U308" s="509"/>
      <c r="V308" s="509"/>
      <c r="W308" s="509"/>
      <c r="X308" s="509"/>
      <c r="Y308" s="509"/>
      <c r="Z308" s="509"/>
      <c r="AA308" s="509"/>
      <c r="AB308" s="509"/>
      <c r="AC308" s="509"/>
      <c r="AD308" s="509"/>
      <c r="AE308" s="509"/>
      <c r="AF308" s="509"/>
      <c r="AG308" s="509"/>
      <c r="AH308" s="509"/>
      <c r="AI308" s="509"/>
      <c r="AJ308" s="509"/>
      <c r="AK308" s="509"/>
      <c r="AL308" s="509"/>
      <c r="AM308" s="509"/>
      <c r="AN308" s="509"/>
    </row>
    <row r="309" spans="1:40" ht="15.75" customHeight="1">
      <c r="A309" s="494" t="s">
        <v>417</v>
      </c>
      <c r="B309" s="509" t="s">
        <v>103</v>
      </c>
      <c r="C309" s="548" t="s">
        <v>116</v>
      </c>
      <c r="D309" s="684">
        <v>618939.05467688525</v>
      </c>
      <c r="E309" s="704">
        <v>0.272607966927426</v>
      </c>
      <c r="F309" s="686">
        <v>168727.71734744863</v>
      </c>
      <c r="G309" s="687"/>
      <c r="H309" s="704"/>
      <c r="I309" s="686"/>
      <c r="J309" s="687">
        <v>445078.16</v>
      </c>
      <c r="K309" s="704">
        <v>0.27788290038765323</v>
      </c>
      <c r="L309" s="686">
        <v>123679.60999999999</v>
      </c>
      <c r="M309" s="705">
        <v>-0.28090147707297075</v>
      </c>
      <c r="N309" s="686">
        <v>-45048.107347448647</v>
      </c>
      <c r="O309" s="687">
        <v>424832.6399999999</v>
      </c>
      <c r="P309" s="704">
        <v>0.28454993476960694</v>
      </c>
      <c r="Q309" s="686">
        <v>120886.09999999989</v>
      </c>
      <c r="R309" s="705">
        <v>4.7655283737144304E-2</v>
      </c>
      <c r="S309" s="686">
        <v>2793.5100000000966</v>
      </c>
      <c r="T309" s="509"/>
      <c r="U309" s="509"/>
      <c r="V309" s="509"/>
      <c r="W309" s="509"/>
      <c r="X309" s="509"/>
      <c r="Y309" s="509"/>
      <c r="Z309" s="509"/>
      <c r="AA309" s="509"/>
      <c r="AB309" s="509"/>
      <c r="AC309" s="509"/>
      <c r="AD309" s="509"/>
      <c r="AE309" s="509"/>
      <c r="AF309" s="509"/>
      <c r="AG309" s="509"/>
      <c r="AH309" s="509"/>
      <c r="AI309" s="509"/>
      <c r="AJ309" s="509"/>
      <c r="AK309" s="509"/>
      <c r="AL309" s="509"/>
      <c r="AM309" s="509"/>
      <c r="AN309" s="509"/>
    </row>
    <row r="310" spans="1:40" ht="15.75" customHeight="1">
      <c r="A310" s="494" t="s">
        <v>103</v>
      </c>
      <c r="B310" s="509" t="s">
        <v>103</v>
      </c>
      <c r="C310" s="529"/>
      <c r="D310" s="509"/>
      <c r="E310" s="509"/>
      <c r="F310" s="539"/>
      <c r="G310" s="529"/>
      <c r="H310" s="509"/>
      <c r="I310" s="539"/>
      <c r="J310" s="529"/>
      <c r="K310" s="509"/>
      <c r="L310" s="539"/>
      <c r="M310" s="529"/>
      <c r="N310" s="547">
        <v>-0.26698700163580341</v>
      </c>
      <c r="O310" s="529"/>
      <c r="P310" s="509"/>
      <c r="Q310" s="539"/>
      <c r="R310" s="529"/>
      <c r="S310" s="547">
        <v>2.3108612156402589E-2</v>
      </c>
      <c r="T310" s="509"/>
      <c r="U310" s="509"/>
      <c r="V310" s="509"/>
      <c r="W310" s="509"/>
      <c r="X310" s="509"/>
      <c r="Y310" s="509"/>
      <c r="Z310" s="509"/>
      <c r="AA310" s="509"/>
      <c r="AB310" s="509"/>
      <c r="AC310" s="509"/>
      <c r="AD310" s="509"/>
      <c r="AE310" s="509"/>
      <c r="AF310" s="509"/>
      <c r="AG310" s="509"/>
      <c r="AH310" s="509"/>
      <c r="AI310" s="509"/>
      <c r="AJ310" s="509"/>
      <c r="AK310" s="509"/>
      <c r="AL310" s="509"/>
      <c r="AM310" s="509"/>
      <c r="AN310" s="509"/>
    </row>
    <row r="311" spans="1:40" ht="15.75" customHeight="1">
      <c r="A311" s="494" t="s">
        <v>103</v>
      </c>
      <c r="B311" s="509" t="s">
        <v>103</v>
      </c>
      <c r="C311" s="529"/>
      <c r="D311" s="509"/>
      <c r="E311" s="509"/>
      <c r="F311" s="539"/>
      <c r="G311" s="529"/>
      <c r="H311" s="509"/>
      <c r="I311" s="539"/>
      <c r="J311" s="529"/>
      <c r="K311" s="509"/>
      <c r="L311" s="539"/>
      <c r="M311" s="529"/>
      <c r="N311" s="547"/>
      <c r="O311" s="529"/>
      <c r="P311" s="509"/>
      <c r="Q311" s="539"/>
      <c r="R311" s="529"/>
      <c r="S311" s="547"/>
      <c r="T311" s="509"/>
      <c r="U311" s="509"/>
      <c r="V311" s="509"/>
      <c r="W311" s="509"/>
      <c r="X311" s="509"/>
      <c r="Y311" s="509"/>
      <c r="Z311" s="509"/>
      <c r="AA311" s="509"/>
      <c r="AB311" s="509"/>
      <c r="AC311" s="509"/>
      <c r="AD311" s="509"/>
      <c r="AE311" s="509"/>
      <c r="AF311" s="509"/>
      <c r="AG311" s="509"/>
      <c r="AH311" s="509"/>
      <c r="AI311" s="509"/>
      <c r="AJ311" s="509"/>
      <c r="AK311" s="509"/>
      <c r="AL311" s="509"/>
      <c r="AM311" s="509"/>
      <c r="AN311" s="509"/>
    </row>
    <row r="312" spans="1:40" ht="15.75" customHeight="1">
      <c r="A312" s="494" t="s">
        <v>418</v>
      </c>
      <c r="B312" s="509" t="s">
        <v>103</v>
      </c>
      <c r="C312" s="522" t="s">
        <v>117</v>
      </c>
      <c r="D312" s="577">
        <v>0</v>
      </c>
      <c r="E312" s="645">
        <v>0</v>
      </c>
      <c r="F312" s="579">
        <v>0</v>
      </c>
      <c r="G312" s="659"/>
      <c r="H312" s="645"/>
      <c r="I312" s="579"/>
      <c r="J312" s="543">
        <v>0</v>
      </c>
      <c r="K312" s="645">
        <v>0</v>
      </c>
      <c r="L312" s="524">
        <v>0</v>
      </c>
      <c r="M312" s="645">
        <v>0</v>
      </c>
      <c r="N312" s="579">
        <v>0</v>
      </c>
      <c r="O312" s="543">
        <v>0</v>
      </c>
      <c r="P312" s="645">
        <v>0</v>
      </c>
      <c r="Q312" s="524">
        <v>0</v>
      </c>
      <c r="R312" s="645">
        <v>0</v>
      </c>
      <c r="S312" s="579">
        <v>0</v>
      </c>
      <c r="T312" s="509"/>
      <c r="U312" s="509"/>
      <c r="V312" s="509"/>
      <c r="W312" s="509"/>
      <c r="X312" s="509"/>
      <c r="Y312" s="509"/>
      <c r="Z312" s="509"/>
      <c r="AA312" s="509"/>
      <c r="AB312" s="509"/>
      <c r="AC312" s="509"/>
      <c r="AD312" s="509"/>
      <c r="AE312" s="509"/>
      <c r="AF312" s="509"/>
      <c r="AG312" s="509"/>
      <c r="AH312" s="509"/>
      <c r="AI312" s="509"/>
      <c r="AJ312" s="509"/>
      <c r="AK312" s="509"/>
      <c r="AL312" s="509"/>
      <c r="AM312" s="509"/>
      <c r="AN312" s="509"/>
    </row>
    <row r="313" spans="1:40" ht="15.75" customHeight="1" thickBot="1">
      <c r="A313" s="494" t="s">
        <v>103</v>
      </c>
      <c r="B313" s="509" t="s">
        <v>103</v>
      </c>
      <c r="C313" s="529"/>
      <c r="D313" s="570"/>
      <c r="E313" s="644"/>
      <c r="F313" s="555"/>
      <c r="G313" s="556"/>
      <c r="H313" s="644"/>
      <c r="I313" s="555"/>
      <c r="J313" s="556"/>
      <c r="K313" s="644"/>
      <c r="L313" s="555"/>
      <c r="M313" s="574"/>
      <c r="N313" s="555"/>
      <c r="O313" s="556"/>
      <c r="P313" s="644"/>
      <c r="Q313" s="555"/>
      <c r="R313" s="574"/>
      <c r="S313" s="555"/>
      <c r="T313" s="509"/>
      <c r="U313" s="509"/>
      <c r="V313" s="509"/>
      <c r="W313" s="509"/>
      <c r="X313" s="509"/>
      <c r="Y313" s="509"/>
      <c r="Z313" s="509"/>
      <c r="AA313" s="509"/>
      <c r="AB313" s="509"/>
      <c r="AC313" s="509"/>
      <c r="AD313" s="509"/>
      <c r="AE313" s="509"/>
      <c r="AF313" s="509"/>
      <c r="AG313" s="509"/>
      <c r="AH313" s="509"/>
      <c r="AI313" s="509"/>
      <c r="AJ313" s="509"/>
      <c r="AK313" s="509"/>
      <c r="AL313" s="509"/>
      <c r="AM313" s="509"/>
      <c r="AN313" s="509"/>
    </row>
    <row r="314" spans="1:40" ht="15.75" customHeight="1" thickTop="1">
      <c r="A314" s="494" t="s">
        <v>419</v>
      </c>
      <c r="B314" s="509" t="s">
        <v>103</v>
      </c>
      <c r="C314" s="557" t="s">
        <v>118</v>
      </c>
      <c r="D314" s="558">
        <v>618939.05467688525</v>
      </c>
      <c r="E314" s="707">
        <v>0.272607966927426</v>
      </c>
      <c r="F314" s="560">
        <v>168727.71734744863</v>
      </c>
      <c r="G314" s="561"/>
      <c r="H314" s="707"/>
      <c r="I314" s="560"/>
      <c r="J314" s="561">
        <v>445078.16</v>
      </c>
      <c r="K314" s="707">
        <v>0.27788290038765323</v>
      </c>
      <c r="L314" s="560">
        <v>123679.60999999999</v>
      </c>
      <c r="M314" s="708">
        <v>-0.28090147707297075</v>
      </c>
      <c r="N314" s="709">
        <v>-45048.107347448647</v>
      </c>
      <c r="O314" s="561">
        <v>424832.6399999999</v>
      </c>
      <c r="P314" s="707">
        <v>0.28454993476960694</v>
      </c>
      <c r="Q314" s="560">
        <v>120886.09999999989</v>
      </c>
      <c r="R314" s="708">
        <v>4.7655283737144304E-2</v>
      </c>
      <c r="S314" s="709">
        <v>2793.5100000000966</v>
      </c>
      <c r="T314" s="509"/>
      <c r="U314" s="509"/>
      <c r="V314" s="509"/>
      <c r="W314" s="509"/>
      <c r="X314" s="509"/>
      <c r="Y314" s="509"/>
      <c r="Z314" s="509"/>
      <c r="AA314" s="509"/>
      <c r="AB314" s="509"/>
      <c r="AC314" s="509"/>
      <c r="AD314" s="509"/>
      <c r="AE314" s="509"/>
      <c r="AF314" s="509"/>
      <c r="AG314" s="509"/>
      <c r="AH314" s="509"/>
      <c r="AI314" s="509"/>
      <c r="AJ314" s="509"/>
      <c r="AK314" s="509"/>
      <c r="AL314" s="509"/>
      <c r="AM314" s="509"/>
      <c r="AN314" s="509"/>
    </row>
    <row r="315" spans="1:40" ht="15.75" customHeight="1" thickBot="1">
      <c r="A315" s="494" t="s">
        <v>103</v>
      </c>
      <c r="B315" s="509" t="s">
        <v>103</v>
      </c>
      <c r="C315" s="621"/>
      <c r="D315" s="710"/>
      <c r="E315" s="711"/>
      <c r="F315" s="624"/>
      <c r="G315" s="712"/>
      <c r="H315" s="711"/>
      <c r="I315" s="624"/>
      <c r="J315" s="712"/>
      <c r="K315" s="711"/>
      <c r="L315" s="713">
        <v>0.73301299836419653</v>
      </c>
      <c r="M315" s="714"/>
      <c r="N315" s="567">
        <v>-0.26698700163580341</v>
      </c>
      <c r="O315" s="712"/>
      <c r="P315" s="711"/>
      <c r="Q315" s="624"/>
      <c r="R315" s="714"/>
      <c r="S315" s="567">
        <v>2.3108612156402589E-2</v>
      </c>
      <c r="T315" s="509"/>
      <c r="U315" s="509"/>
      <c r="V315" s="509"/>
      <c r="W315" s="509"/>
      <c r="X315" s="509"/>
      <c r="Y315" s="509"/>
      <c r="Z315" s="509"/>
      <c r="AA315" s="509"/>
      <c r="AB315" s="509"/>
      <c r="AC315" s="509"/>
      <c r="AD315" s="509"/>
      <c r="AE315" s="509"/>
      <c r="AF315" s="509"/>
      <c r="AG315" s="509"/>
      <c r="AH315" s="509"/>
      <c r="AI315" s="509"/>
      <c r="AJ315" s="509"/>
      <c r="AK315" s="509"/>
      <c r="AL315" s="509"/>
      <c r="AM315" s="509"/>
      <c r="AN315" s="509"/>
    </row>
    <row r="316" spans="1:40" ht="15.75" customHeight="1" thickTop="1">
      <c r="A316" s="494" t="s">
        <v>103</v>
      </c>
      <c r="B316" s="509" t="s">
        <v>103</v>
      </c>
      <c r="C316" s="548"/>
      <c r="D316" s="604"/>
      <c r="E316" s="666"/>
      <c r="F316" s="668"/>
      <c r="G316" s="667"/>
      <c r="H316" s="666"/>
      <c r="I316" s="668"/>
      <c r="J316" s="667"/>
      <c r="K316" s="666"/>
      <c r="L316" s="668"/>
      <c r="M316" s="529"/>
      <c r="N316" s="547"/>
      <c r="O316" s="667"/>
      <c r="P316" s="666"/>
      <c r="Q316" s="668"/>
      <c r="R316" s="529"/>
      <c r="S316" s="547"/>
      <c r="T316" s="509"/>
      <c r="U316" s="509"/>
      <c r="V316" s="509"/>
      <c r="W316" s="509"/>
      <c r="X316" s="509"/>
      <c r="Y316" s="509"/>
      <c r="Z316" s="509"/>
      <c r="AA316" s="509"/>
      <c r="AB316" s="509"/>
      <c r="AC316" s="509"/>
      <c r="AD316" s="509"/>
      <c r="AE316" s="509"/>
      <c r="AF316" s="509"/>
      <c r="AG316" s="509"/>
      <c r="AH316" s="509"/>
      <c r="AI316" s="509"/>
      <c r="AJ316" s="509"/>
      <c r="AK316" s="509"/>
      <c r="AL316" s="509"/>
      <c r="AM316" s="509"/>
      <c r="AN316" s="509"/>
    </row>
    <row r="317" spans="1:40" ht="15.75" customHeight="1">
      <c r="A317" s="494" t="s">
        <v>420</v>
      </c>
      <c r="B317" s="509" t="s">
        <v>103</v>
      </c>
      <c r="C317" s="571" t="s">
        <v>30</v>
      </c>
      <c r="D317" s="509"/>
      <c r="E317" s="509"/>
      <c r="F317" s="555"/>
      <c r="G317" s="529"/>
      <c r="H317" s="509"/>
      <c r="I317" s="555"/>
      <c r="J317" s="529"/>
      <c r="K317" s="509"/>
      <c r="L317" s="539"/>
      <c r="M317" s="529"/>
      <c r="N317" s="539"/>
      <c r="O317" s="529"/>
      <c r="P317" s="509"/>
      <c r="Q317" s="539"/>
      <c r="R317" s="529"/>
      <c r="S317" s="539"/>
      <c r="T317" s="509"/>
      <c r="U317" s="509"/>
      <c r="V317" s="509"/>
      <c r="W317" s="509"/>
      <c r="X317" s="509"/>
      <c r="Y317" s="509"/>
      <c r="Z317" s="509"/>
      <c r="AA317" s="509"/>
      <c r="AB317" s="509"/>
      <c r="AC317" s="509"/>
      <c r="AD317" s="509"/>
      <c r="AE317" s="509"/>
      <c r="AF317" s="509"/>
      <c r="AG317" s="509"/>
      <c r="AH317" s="509"/>
      <c r="AI317" s="509"/>
      <c r="AJ317" s="509"/>
      <c r="AK317" s="509"/>
      <c r="AL317" s="509"/>
      <c r="AM317" s="509"/>
      <c r="AN317" s="509"/>
    </row>
    <row r="318" spans="1:40" ht="15.75" customHeight="1">
      <c r="A318" s="494" t="s">
        <v>421</v>
      </c>
      <c r="B318" s="509" t="s">
        <v>103</v>
      </c>
      <c r="C318" s="596" t="s">
        <v>41</v>
      </c>
      <c r="D318" s="509"/>
      <c r="E318" s="509"/>
      <c r="F318" s="530">
        <v>7767.2782051282065</v>
      </c>
      <c r="G318" s="529"/>
      <c r="H318" s="509"/>
      <c r="I318" s="530"/>
      <c r="J318" s="529"/>
      <c r="K318" s="509"/>
      <c r="L318" s="532">
        <v>7201.22</v>
      </c>
      <c r="M318" s="529"/>
      <c r="N318" s="532">
        <v>-566.05820512820628</v>
      </c>
      <c r="O318" s="529"/>
      <c r="P318" s="509"/>
      <c r="Q318" s="532">
        <v>6312.13</v>
      </c>
      <c r="R318" s="529"/>
      <c r="S318" s="532">
        <v>889.09000000000015</v>
      </c>
      <c r="T318" s="509"/>
      <c r="U318" s="509"/>
      <c r="V318" s="509"/>
      <c r="W318" s="509"/>
      <c r="X318" s="509"/>
      <c r="Y318" s="509"/>
      <c r="Z318" s="509"/>
      <c r="AA318" s="509"/>
      <c r="AB318" s="509"/>
      <c r="AC318" s="509"/>
      <c r="AD318" s="509"/>
      <c r="AE318" s="509"/>
      <c r="AF318" s="509"/>
      <c r="AG318" s="509"/>
      <c r="AH318" s="509"/>
      <c r="AI318" s="509"/>
      <c r="AJ318" s="509"/>
      <c r="AK318" s="509"/>
      <c r="AL318" s="509"/>
      <c r="AM318" s="509"/>
      <c r="AN318" s="509"/>
    </row>
    <row r="319" spans="1:40" ht="15.75" customHeight="1">
      <c r="A319" s="494" t="s">
        <v>422</v>
      </c>
      <c r="B319" s="509" t="s">
        <v>103</v>
      </c>
      <c r="C319" s="598" t="s">
        <v>42</v>
      </c>
      <c r="D319" s="581"/>
      <c r="E319" s="509"/>
      <c r="F319" s="524">
        <v>32882.606153846158</v>
      </c>
      <c r="G319" s="582"/>
      <c r="H319" s="509"/>
      <c r="I319" s="524"/>
      <c r="J319" s="529"/>
      <c r="K319" s="509"/>
      <c r="L319" s="532">
        <v>30808.98</v>
      </c>
      <c r="M319" s="529"/>
      <c r="N319" s="532">
        <v>-2073.6261538461586</v>
      </c>
      <c r="O319" s="529"/>
      <c r="P319" s="509"/>
      <c r="Q319" s="532">
        <v>26693.7</v>
      </c>
      <c r="R319" s="529"/>
      <c r="S319" s="555">
        <v>4115.2799999999988</v>
      </c>
      <c r="T319" s="509"/>
      <c r="U319" s="509"/>
      <c r="V319" s="509"/>
      <c r="W319" s="509"/>
      <c r="X319" s="509"/>
      <c r="Y319" s="509"/>
      <c r="Z319" s="509"/>
      <c r="AA319" s="509"/>
      <c r="AB319" s="509"/>
      <c r="AC319" s="509"/>
      <c r="AD319" s="509"/>
      <c r="AE319" s="509"/>
      <c r="AF319" s="509"/>
      <c r="AG319" s="509"/>
      <c r="AH319" s="509"/>
      <c r="AI319" s="509"/>
      <c r="AJ319" s="509"/>
      <c r="AK319" s="509"/>
      <c r="AL319" s="509"/>
      <c r="AM319" s="509"/>
      <c r="AN319" s="509"/>
    </row>
    <row r="320" spans="1:40" ht="15.75" customHeight="1">
      <c r="A320" s="494" t="s">
        <v>423</v>
      </c>
      <c r="B320" s="509" t="s">
        <v>103</v>
      </c>
      <c r="C320" s="596" t="s">
        <v>43</v>
      </c>
      <c r="D320" s="599"/>
      <c r="E320" s="600"/>
      <c r="F320" s="530">
        <v>175.30769230769232</v>
      </c>
      <c r="G320" s="601"/>
      <c r="H320" s="600"/>
      <c r="I320" s="530"/>
      <c r="J320" s="517"/>
      <c r="K320" s="600"/>
      <c r="L320" s="551">
        <v>704.82</v>
      </c>
      <c r="M320" s="517"/>
      <c r="N320" s="551">
        <v>529.51230769230779</v>
      </c>
      <c r="O320" s="517"/>
      <c r="P320" s="600"/>
      <c r="Q320" s="551">
        <v>113.92</v>
      </c>
      <c r="R320" s="517"/>
      <c r="S320" s="602">
        <v>590.90000000000009</v>
      </c>
      <c r="T320" s="509"/>
      <c r="U320" s="715" t="s">
        <v>424</v>
      </c>
      <c r="V320" s="715"/>
      <c r="W320" s="509"/>
      <c r="X320" s="509"/>
      <c r="Y320" s="509"/>
      <c r="Z320" s="509"/>
      <c r="AA320" s="509"/>
      <c r="AB320" s="509"/>
      <c r="AC320" s="509"/>
      <c r="AD320" s="509"/>
      <c r="AE320" s="509"/>
      <c r="AF320" s="509"/>
      <c r="AG320" s="509"/>
      <c r="AH320" s="509"/>
      <c r="AI320" s="509"/>
      <c r="AJ320" s="509"/>
      <c r="AK320" s="509"/>
      <c r="AL320" s="509"/>
      <c r="AM320" s="509"/>
      <c r="AN320" s="509"/>
    </row>
    <row r="321" spans="1:40" ht="15.75" customHeight="1">
      <c r="A321" s="494" t="s">
        <v>425</v>
      </c>
      <c r="B321" s="509" t="s">
        <v>103</v>
      </c>
      <c r="C321" s="596" t="s">
        <v>44</v>
      </c>
      <c r="D321" s="581"/>
      <c r="E321" s="509"/>
      <c r="F321" s="530">
        <v>0</v>
      </c>
      <c r="G321" s="582"/>
      <c r="H321" s="509"/>
      <c r="I321" s="530"/>
      <c r="J321" s="529"/>
      <c r="K321" s="509"/>
      <c r="L321" s="532">
        <v>0</v>
      </c>
      <c r="M321" s="529"/>
      <c r="N321" s="532">
        <v>0</v>
      </c>
      <c r="O321" s="529"/>
      <c r="P321" s="509"/>
      <c r="Q321" s="532">
        <v>0</v>
      </c>
      <c r="R321" s="529"/>
      <c r="S321" s="555">
        <v>0</v>
      </c>
      <c r="T321" s="509"/>
      <c r="U321" s="509"/>
      <c r="V321" s="509"/>
      <c r="W321" s="509"/>
      <c r="X321" s="509"/>
      <c r="Y321" s="509"/>
      <c r="Z321" s="509"/>
      <c r="AA321" s="509"/>
      <c r="AB321" s="509"/>
      <c r="AC321" s="509"/>
      <c r="AD321" s="509"/>
      <c r="AE321" s="509"/>
      <c r="AF321" s="509"/>
      <c r="AG321" s="509"/>
      <c r="AH321" s="509"/>
      <c r="AI321" s="509"/>
      <c r="AJ321" s="509"/>
      <c r="AK321" s="509"/>
      <c r="AL321" s="509"/>
      <c r="AM321" s="509"/>
      <c r="AN321" s="509"/>
    </row>
    <row r="322" spans="1:40" ht="15.75" hidden="1" customHeight="1">
      <c r="A322" s="494" t="s">
        <v>411</v>
      </c>
      <c r="B322" s="509" t="s">
        <v>103</v>
      </c>
      <c r="C322" s="529" t="s">
        <v>20</v>
      </c>
      <c r="D322" s="581"/>
      <c r="E322" s="509"/>
      <c r="F322" s="530">
        <v>0</v>
      </c>
      <c r="G322" s="582"/>
      <c r="H322" s="509"/>
      <c r="I322" s="530"/>
      <c r="J322" s="529"/>
      <c r="K322" s="509"/>
      <c r="L322" s="532">
        <v>0</v>
      </c>
      <c r="M322" s="529"/>
      <c r="N322" s="532">
        <v>0</v>
      </c>
      <c r="O322" s="529"/>
      <c r="P322" s="509"/>
      <c r="Q322" s="532">
        <v>0</v>
      </c>
      <c r="R322" s="529"/>
      <c r="S322" s="555">
        <v>0</v>
      </c>
      <c r="T322" s="509"/>
      <c r="U322" s="509"/>
      <c r="V322" s="509"/>
      <c r="W322" s="509"/>
      <c r="X322" s="509"/>
      <c r="Y322" s="509"/>
      <c r="Z322" s="509"/>
      <c r="AA322" s="509"/>
      <c r="AB322" s="509"/>
      <c r="AC322" s="509"/>
      <c r="AD322" s="509"/>
      <c r="AE322" s="509"/>
      <c r="AF322" s="509"/>
      <c r="AG322" s="509"/>
      <c r="AH322" s="509"/>
      <c r="AI322" s="509"/>
      <c r="AJ322" s="509"/>
      <c r="AK322" s="509"/>
      <c r="AL322" s="509"/>
      <c r="AM322" s="509"/>
      <c r="AN322" s="509"/>
    </row>
    <row r="323" spans="1:40" ht="15.75" hidden="1" customHeight="1">
      <c r="A323" s="494" t="s">
        <v>411</v>
      </c>
      <c r="B323" s="509" t="s">
        <v>103</v>
      </c>
      <c r="C323" s="529" t="s">
        <v>20</v>
      </c>
      <c r="D323" s="581"/>
      <c r="E323" s="509"/>
      <c r="F323" s="530">
        <v>0</v>
      </c>
      <c r="G323" s="582"/>
      <c r="H323" s="509"/>
      <c r="I323" s="530"/>
      <c r="J323" s="529"/>
      <c r="K323" s="509"/>
      <c r="L323" s="532">
        <v>0</v>
      </c>
      <c r="M323" s="529"/>
      <c r="N323" s="532">
        <v>0</v>
      </c>
      <c r="O323" s="529"/>
      <c r="P323" s="509"/>
      <c r="Q323" s="532">
        <v>0</v>
      </c>
      <c r="R323" s="529"/>
      <c r="S323" s="555">
        <v>0</v>
      </c>
      <c r="T323" s="509"/>
      <c r="U323" s="509"/>
      <c r="V323" s="509"/>
      <c r="W323" s="509"/>
      <c r="X323" s="509"/>
      <c r="Y323" s="509"/>
      <c r="Z323" s="509"/>
      <c r="AA323" s="509"/>
      <c r="AB323" s="509"/>
      <c r="AC323" s="509"/>
      <c r="AD323" s="509"/>
      <c r="AE323" s="509"/>
      <c r="AF323" s="509"/>
      <c r="AG323" s="509"/>
      <c r="AH323" s="509"/>
      <c r="AI323" s="509"/>
      <c r="AJ323" s="509"/>
      <c r="AK323" s="509"/>
      <c r="AL323" s="509"/>
      <c r="AM323" s="509"/>
      <c r="AN323" s="509"/>
    </row>
    <row r="324" spans="1:40" ht="15.75" hidden="1" customHeight="1">
      <c r="A324" s="494" t="s">
        <v>411</v>
      </c>
      <c r="B324" s="509" t="s">
        <v>103</v>
      </c>
      <c r="C324" s="529" t="s">
        <v>20</v>
      </c>
      <c r="D324" s="581"/>
      <c r="E324" s="509"/>
      <c r="F324" s="530">
        <v>0</v>
      </c>
      <c r="G324" s="582"/>
      <c r="H324" s="509"/>
      <c r="I324" s="530"/>
      <c r="J324" s="529"/>
      <c r="K324" s="509"/>
      <c r="L324" s="532">
        <v>0</v>
      </c>
      <c r="M324" s="529"/>
      <c r="N324" s="532">
        <v>0</v>
      </c>
      <c r="O324" s="529"/>
      <c r="P324" s="509"/>
      <c r="Q324" s="532">
        <v>0</v>
      </c>
      <c r="R324" s="529"/>
      <c r="S324" s="555">
        <v>0</v>
      </c>
      <c r="T324" s="509"/>
      <c r="U324" s="509"/>
      <c r="V324" s="509"/>
      <c r="W324" s="509"/>
      <c r="X324" s="509"/>
      <c r="Y324" s="509"/>
      <c r="Z324" s="509"/>
      <c r="AA324" s="509"/>
      <c r="AB324" s="509"/>
      <c r="AC324" s="509"/>
      <c r="AD324" s="509"/>
      <c r="AE324" s="509"/>
      <c r="AF324" s="509"/>
      <c r="AG324" s="509"/>
      <c r="AH324" s="509"/>
      <c r="AI324" s="509"/>
      <c r="AJ324" s="509"/>
      <c r="AK324" s="509"/>
      <c r="AL324" s="509"/>
      <c r="AM324" s="509"/>
      <c r="AN324" s="509"/>
    </row>
    <row r="325" spans="1:40" ht="15.75" customHeight="1">
      <c r="A325" s="494" t="s">
        <v>426</v>
      </c>
      <c r="B325" s="509" t="s">
        <v>103</v>
      </c>
      <c r="C325" s="598" t="s">
        <v>45</v>
      </c>
      <c r="D325" s="581"/>
      <c r="E325" s="509"/>
      <c r="F325" s="524">
        <v>4997.4343644871806</v>
      </c>
      <c r="G325" s="582"/>
      <c r="H325" s="509"/>
      <c r="I325" s="524"/>
      <c r="J325" s="529"/>
      <c r="K325" s="509"/>
      <c r="L325" s="532">
        <v>5375.55</v>
      </c>
      <c r="M325" s="529"/>
      <c r="N325" s="532">
        <v>378.11563551281961</v>
      </c>
      <c r="O325" s="529"/>
      <c r="P325" s="509"/>
      <c r="Q325" s="532">
        <v>3530.61</v>
      </c>
      <c r="R325" s="529"/>
      <c r="S325" s="555">
        <v>1844.94</v>
      </c>
      <c r="T325" s="509"/>
      <c r="U325" s="509"/>
      <c r="V325" s="509"/>
      <c r="W325" s="509"/>
      <c r="X325" s="509"/>
      <c r="Y325" s="509"/>
      <c r="Z325" s="509"/>
      <c r="AA325" s="509"/>
      <c r="AB325" s="509"/>
      <c r="AC325" s="509"/>
      <c r="AD325" s="509"/>
      <c r="AE325" s="509"/>
      <c r="AF325" s="509"/>
      <c r="AG325" s="509"/>
      <c r="AH325" s="509"/>
      <c r="AI325" s="509"/>
      <c r="AJ325" s="509"/>
      <c r="AK325" s="509"/>
      <c r="AL325" s="509"/>
      <c r="AM325" s="509"/>
      <c r="AN325" s="509"/>
    </row>
    <row r="326" spans="1:40" ht="15.75" customHeight="1">
      <c r="A326" s="494" t="s">
        <v>427</v>
      </c>
      <c r="B326" s="509" t="s">
        <v>103</v>
      </c>
      <c r="C326" s="596" t="s">
        <v>46</v>
      </c>
      <c r="D326" s="599"/>
      <c r="E326" s="600"/>
      <c r="F326" s="530">
        <v>6076.175703076924</v>
      </c>
      <c r="G326" s="601"/>
      <c r="H326" s="600"/>
      <c r="I326" s="530"/>
      <c r="J326" s="517"/>
      <c r="K326" s="600"/>
      <c r="L326" s="551">
        <v>8164.9400000000005</v>
      </c>
      <c r="M326" s="517"/>
      <c r="N326" s="551">
        <v>2088.7642969230765</v>
      </c>
      <c r="O326" s="517"/>
      <c r="P326" s="600"/>
      <c r="Q326" s="551">
        <v>7594.6799999999903</v>
      </c>
      <c r="R326" s="517"/>
      <c r="S326" s="602">
        <v>570.26000000001022</v>
      </c>
      <c r="T326" s="509"/>
      <c r="U326" s="509"/>
      <c r="V326" s="509"/>
      <c r="W326" s="509"/>
      <c r="X326" s="509"/>
      <c r="Y326" s="509"/>
      <c r="Z326" s="509"/>
      <c r="AA326" s="509"/>
      <c r="AB326" s="509"/>
      <c r="AC326" s="509"/>
      <c r="AD326" s="509"/>
      <c r="AE326" s="509"/>
      <c r="AF326" s="509"/>
      <c r="AG326" s="509"/>
      <c r="AH326" s="509"/>
      <c r="AI326" s="509"/>
      <c r="AJ326" s="509"/>
      <c r="AK326" s="509"/>
      <c r="AL326" s="509"/>
      <c r="AM326" s="509"/>
      <c r="AN326" s="509"/>
    </row>
    <row r="327" spans="1:40" ht="15.75" customHeight="1">
      <c r="A327" s="494" t="s">
        <v>428</v>
      </c>
      <c r="B327" s="509" t="s">
        <v>103</v>
      </c>
      <c r="C327" s="596" t="s">
        <v>47</v>
      </c>
      <c r="D327" s="581"/>
      <c r="E327" s="509"/>
      <c r="F327" s="530">
        <v>3130.5513948461539</v>
      </c>
      <c r="G327" s="582"/>
      <c r="H327" s="509"/>
      <c r="I327" s="530"/>
      <c r="J327" s="529"/>
      <c r="K327" s="509"/>
      <c r="L327" s="532">
        <v>1439.68</v>
      </c>
      <c r="M327" s="529"/>
      <c r="N327" s="532">
        <v>-1690.8713948461539</v>
      </c>
      <c r="O327" s="529"/>
      <c r="P327" s="509"/>
      <c r="Q327" s="532">
        <v>1440.48</v>
      </c>
      <c r="R327" s="529"/>
      <c r="S327" s="555">
        <v>-0.79999999999995453</v>
      </c>
      <c r="T327" s="509"/>
      <c r="U327" s="509"/>
      <c r="V327" s="509"/>
      <c r="W327" s="509"/>
      <c r="X327" s="509"/>
      <c r="Y327" s="509"/>
      <c r="Z327" s="509"/>
      <c r="AA327" s="509"/>
      <c r="AB327" s="509"/>
      <c r="AC327" s="509"/>
      <c r="AD327" s="509"/>
      <c r="AE327" s="509"/>
      <c r="AF327" s="509"/>
      <c r="AG327" s="509"/>
      <c r="AH327" s="509"/>
      <c r="AI327" s="509"/>
      <c r="AJ327" s="509"/>
      <c r="AK327" s="509"/>
      <c r="AL327" s="509"/>
      <c r="AM327" s="509"/>
      <c r="AN327" s="509"/>
    </row>
    <row r="328" spans="1:40" ht="15.75" customHeight="1">
      <c r="A328" s="494" t="s">
        <v>429</v>
      </c>
      <c r="B328" s="509" t="s">
        <v>103</v>
      </c>
      <c r="C328" s="596" t="s">
        <v>48</v>
      </c>
      <c r="D328" s="581"/>
      <c r="E328" s="509"/>
      <c r="F328" s="530">
        <v>1364.9380202564105</v>
      </c>
      <c r="G328" s="582"/>
      <c r="H328" s="509"/>
      <c r="I328" s="530"/>
      <c r="J328" s="529"/>
      <c r="K328" s="509"/>
      <c r="L328" s="532">
        <v>1065.93</v>
      </c>
      <c r="M328" s="529"/>
      <c r="N328" s="532">
        <v>-299.00802025641042</v>
      </c>
      <c r="O328" s="529"/>
      <c r="P328" s="509"/>
      <c r="Q328" s="532">
        <v>793.09</v>
      </c>
      <c r="R328" s="529"/>
      <c r="S328" s="555">
        <v>272.84000000000003</v>
      </c>
      <c r="T328" s="509"/>
      <c r="U328" s="509"/>
      <c r="V328" s="509"/>
      <c r="W328" s="509"/>
      <c r="X328" s="509"/>
      <c r="Y328" s="509"/>
      <c r="Z328" s="509"/>
      <c r="AA328" s="509"/>
      <c r="AB328" s="509"/>
      <c r="AC328" s="509"/>
      <c r="AD328" s="509"/>
      <c r="AE328" s="509"/>
      <c r="AF328" s="509"/>
      <c r="AG328" s="509"/>
      <c r="AH328" s="509"/>
      <c r="AI328" s="509"/>
      <c r="AJ328" s="509"/>
      <c r="AK328" s="509"/>
      <c r="AL328" s="509"/>
      <c r="AM328" s="509"/>
      <c r="AN328" s="509"/>
    </row>
    <row r="329" spans="1:40" ht="15.75" hidden="1" customHeight="1">
      <c r="A329" s="494" t="s">
        <v>411</v>
      </c>
      <c r="B329" s="509" t="s">
        <v>103</v>
      </c>
      <c r="C329" s="529" t="s">
        <v>20</v>
      </c>
      <c r="D329" s="583"/>
      <c r="E329" s="603"/>
      <c r="F329" s="530">
        <v>0</v>
      </c>
      <c r="G329" s="584"/>
      <c r="H329" s="603"/>
      <c r="I329" s="530"/>
      <c r="J329" s="522"/>
      <c r="K329" s="603"/>
      <c r="L329" s="532">
        <v>0</v>
      </c>
      <c r="M329" s="522"/>
      <c r="N329" s="579">
        <v>0</v>
      </c>
      <c r="O329" s="522"/>
      <c r="P329" s="603"/>
      <c r="Q329" s="532">
        <v>0</v>
      </c>
      <c r="R329" s="522"/>
      <c r="S329" s="579">
        <v>0</v>
      </c>
      <c r="T329" s="509"/>
      <c r="U329" s="509"/>
      <c r="V329" s="509"/>
      <c r="W329" s="509"/>
      <c r="X329" s="509"/>
      <c r="Y329" s="509"/>
      <c r="Z329" s="509"/>
      <c r="AA329" s="509"/>
      <c r="AB329" s="509"/>
      <c r="AC329" s="509"/>
      <c r="AD329" s="509"/>
      <c r="AE329" s="509"/>
      <c r="AF329" s="509"/>
      <c r="AG329" s="509"/>
      <c r="AH329" s="509"/>
      <c r="AI329" s="509"/>
      <c r="AJ329" s="509"/>
      <c r="AK329" s="509"/>
      <c r="AL329" s="509"/>
      <c r="AM329" s="509"/>
      <c r="AN329" s="509"/>
    </row>
    <row r="330" spans="1:40" ht="15.75" customHeight="1">
      <c r="A330" s="494" t="s">
        <v>430</v>
      </c>
      <c r="B330" s="509" t="s">
        <v>103</v>
      </c>
      <c r="C330" s="588" t="s">
        <v>49</v>
      </c>
      <c r="D330" s="589" t="s">
        <v>39</v>
      </c>
      <c r="E330" s="590">
        <v>0.33423252812589227</v>
      </c>
      <c r="F330" s="591">
        <v>56394.291533948723</v>
      </c>
      <c r="G330" s="592"/>
      <c r="H330" s="590"/>
      <c r="I330" s="591"/>
      <c r="J330" s="592" t="s">
        <v>39</v>
      </c>
      <c r="K330" s="590">
        <v>0.44276594986028828</v>
      </c>
      <c r="L330" s="591">
        <v>54761.120000000003</v>
      </c>
      <c r="M330" s="646"/>
      <c r="N330" s="605">
        <v>-1633.17153394872</v>
      </c>
      <c r="O330" s="592" t="s">
        <v>39</v>
      </c>
      <c r="P330" s="590">
        <v>0.38448266591444374</v>
      </c>
      <c r="Q330" s="591">
        <v>46478.609999999993</v>
      </c>
      <c r="R330" s="646"/>
      <c r="S330" s="605">
        <v>8282.5100000000093</v>
      </c>
      <c r="T330" s="509"/>
      <c r="U330" s="509"/>
      <c r="V330" s="509"/>
      <c r="W330" s="509"/>
      <c r="X330" s="509"/>
      <c r="Y330" s="509"/>
      <c r="Z330" s="509"/>
      <c r="AA330" s="509"/>
      <c r="AB330" s="509"/>
      <c r="AC330" s="509"/>
      <c r="AD330" s="509"/>
      <c r="AE330" s="509"/>
      <c r="AF330" s="509"/>
      <c r="AG330" s="509"/>
      <c r="AH330" s="509"/>
      <c r="AI330" s="509"/>
      <c r="AJ330" s="509"/>
      <c r="AK330" s="509"/>
      <c r="AL330" s="509"/>
      <c r="AM330" s="509"/>
      <c r="AN330" s="509"/>
    </row>
    <row r="331" spans="1:40" ht="15.75" customHeight="1">
      <c r="A331" s="494" t="s">
        <v>431</v>
      </c>
      <c r="B331" s="509" t="s">
        <v>103</v>
      </c>
      <c r="C331" s="703" t="s">
        <v>50</v>
      </c>
      <c r="D331" s="581"/>
      <c r="E331" s="509"/>
      <c r="F331" s="530">
        <v>4451.5681367708321</v>
      </c>
      <c r="G331" s="582"/>
      <c r="H331" s="509"/>
      <c r="I331" s="530"/>
      <c r="J331" s="529"/>
      <c r="K331" s="509"/>
      <c r="L331" s="532">
        <v>4654.3900000000003</v>
      </c>
      <c r="M331" s="529"/>
      <c r="N331" s="555">
        <v>202.82186322916823</v>
      </c>
      <c r="O331" s="529"/>
      <c r="P331" s="509"/>
      <c r="Q331" s="532">
        <v>2512.11</v>
      </c>
      <c r="R331" s="529"/>
      <c r="S331" s="555">
        <v>2142.2800000000002</v>
      </c>
      <c r="T331" s="509"/>
      <c r="U331" s="509"/>
      <c r="V331" s="509"/>
      <c r="W331" s="570"/>
      <c r="X331" s="509"/>
      <c r="Y331" s="509"/>
      <c r="Z331" s="509"/>
      <c r="AA331" s="509"/>
      <c r="AB331" s="509"/>
      <c r="AC331" s="509"/>
      <c r="AD331" s="509"/>
      <c r="AE331" s="509"/>
      <c r="AF331" s="509"/>
      <c r="AG331" s="509"/>
      <c r="AH331" s="509"/>
      <c r="AI331" s="509"/>
      <c r="AJ331" s="509"/>
      <c r="AK331" s="509"/>
      <c r="AL331" s="509"/>
      <c r="AM331" s="509"/>
      <c r="AN331" s="509"/>
    </row>
    <row r="332" spans="1:40" ht="15.75" customHeight="1">
      <c r="A332" s="494" t="s">
        <v>432</v>
      </c>
      <c r="B332" s="509" t="s">
        <v>103</v>
      </c>
      <c r="C332" s="596" t="s">
        <v>51</v>
      </c>
      <c r="D332" s="581"/>
      <c r="E332" s="509"/>
      <c r="F332" s="530">
        <v>1484.7664064747862</v>
      </c>
      <c r="G332" s="582"/>
      <c r="H332" s="509"/>
      <c r="I332" s="530"/>
      <c r="J332" s="529"/>
      <c r="K332" s="509"/>
      <c r="L332" s="532">
        <v>2532.06</v>
      </c>
      <c r="M332" s="529"/>
      <c r="N332" s="555">
        <v>1047.2935935252137</v>
      </c>
      <c r="O332" s="529"/>
      <c r="P332" s="509"/>
      <c r="Q332" s="532">
        <v>1812.07</v>
      </c>
      <c r="R332" s="529"/>
      <c r="S332" s="555">
        <v>719.99</v>
      </c>
      <c r="T332" s="509"/>
      <c r="U332" s="509"/>
      <c r="V332" s="509"/>
      <c r="W332" s="509"/>
      <c r="X332" s="509"/>
      <c r="Y332" s="509"/>
      <c r="Z332" s="509"/>
      <c r="AA332" s="509"/>
      <c r="AB332" s="509"/>
      <c r="AC332" s="509"/>
      <c r="AD332" s="509"/>
      <c r="AE332" s="509"/>
      <c r="AF332" s="509"/>
      <c r="AG332" s="509"/>
      <c r="AH332" s="509"/>
      <c r="AI332" s="509"/>
      <c r="AJ332" s="509"/>
      <c r="AK332" s="509"/>
      <c r="AL332" s="509"/>
      <c r="AM332" s="509"/>
      <c r="AN332" s="509"/>
    </row>
    <row r="333" spans="1:40" ht="15.75" customHeight="1">
      <c r="A333" s="494" t="s">
        <v>433</v>
      </c>
      <c r="B333" s="509" t="s">
        <v>103</v>
      </c>
      <c r="C333" s="598" t="s">
        <v>52</v>
      </c>
      <c r="D333" s="583"/>
      <c r="E333" s="603"/>
      <c r="F333" s="524">
        <v>1083.3333333333333</v>
      </c>
      <c r="G333" s="584"/>
      <c r="H333" s="603"/>
      <c r="I333" s="524"/>
      <c r="J333" s="522"/>
      <c r="K333" s="603"/>
      <c r="L333" s="532">
        <v>1412.1</v>
      </c>
      <c r="M333" s="522"/>
      <c r="N333" s="579">
        <v>328.76666666666665</v>
      </c>
      <c r="O333" s="522"/>
      <c r="P333" s="603"/>
      <c r="Q333" s="532">
        <v>1056.55</v>
      </c>
      <c r="R333" s="522"/>
      <c r="S333" s="579">
        <v>355.54999999999995</v>
      </c>
      <c r="T333" s="509"/>
      <c r="U333" s="509"/>
      <c r="V333" s="509"/>
      <c r="W333" s="509"/>
      <c r="X333" s="509"/>
      <c r="Y333" s="509"/>
      <c r="Z333" s="509"/>
      <c r="AA333" s="509"/>
      <c r="AB333" s="509"/>
      <c r="AC333" s="509"/>
      <c r="AD333" s="509"/>
      <c r="AE333" s="509"/>
      <c r="AF333" s="509"/>
      <c r="AG333" s="509"/>
      <c r="AH333" s="509"/>
      <c r="AI333" s="509"/>
      <c r="AJ333" s="509"/>
      <c r="AK333" s="509"/>
      <c r="AL333" s="509"/>
      <c r="AM333" s="509"/>
      <c r="AN333" s="509"/>
    </row>
    <row r="334" spans="1:40" ht="15.75" customHeight="1">
      <c r="A334" s="494" t="s">
        <v>434</v>
      </c>
      <c r="B334" s="509" t="s">
        <v>103</v>
      </c>
      <c r="C334" s="596" t="s">
        <v>53</v>
      </c>
      <c r="D334" s="581"/>
      <c r="E334" s="509"/>
      <c r="F334" s="530">
        <v>3808.9357027777774</v>
      </c>
      <c r="G334" s="582"/>
      <c r="H334" s="509"/>
      <c r="I334" s="530"/>
      <c r="J334" s="529"/>
      <c r="K334" s="509"/>
      <c r="L334" s="551">
        <v>4532.71</v>
      </c>
      <c r="M334" s="529"/>
      <c r="N334" s="555">
        <v>723.77429722222269</v>
      </c>
      <c r="O334" s="529"/>
      <c r="P334" s="509"/>
      <c r="Q334" s="551">
        <v>4277.7299999999996</v>
      </c>
      <c r="R334" s="529"/>
      <c r="S334" s="555">
        <v>254.98000000000047</v>
      </c>
      <c r="T334" s="509"/>
      <c r="U334" s="509"/>
      <c r="V334" s="509"/>
      <c r="W334" s="509"/>
      <c r="X334" s="509"/>
      <c r="Y334" s="509"/>
      <c r="Z334" s="509"/>
      <c r="AA334" s="509"/>
      <c r="AB334" s="509"/>
      <c r="AC334" s="509"/>
      <c r="AD334" s="509"/>
      <c r="AE334" s="509"/>
      <c r="AF334" s="509"/>
      <c r="AG334" s="509"/>
      <c r="AH334" s="509"/>
      <c r="AI334" s="509"/>
      <c r="AJ334" s="509"/>
      <c r="AK334" s="509"/>
      <c r="AL334" s="509"/>
      <c r="AM334" s="509"/>
      <c r="AN334" s="509"/>
    </row>
    <row r="335" spans="1:40" ht="15.75" customHeight="1">
      <c r="A335" s="494" t="s">
        <v>435</v>
      </c>
      <c r="B335" s="509" t="s">
        <v>103</v>
      </c>
      <c r="C335" s="596" t="s">
        <v>54</v>
      </c>
      <c r="D335" s="581"/>
      <c r="E335" s="509"/>
      <c r="F335" s="530">
        <v>685.62049669649684</v>
      </c>
      <c r="G335" s="582"/>
      <c r="H335" s="509"/>
      <c r="I335" s="530"/>
      <c r="J335" s="529"/>
      <c r="K335" s="509"/>
      <c r="L335" s="532">
        <v>584.44000000000005</v>
      </c>
      <c r="M335" s="529"/>
      <c r="N335" s="555">
        <v>-101.18049669649679</v>
      </c>
      <c r="O335" s="529"/>
      <c r="P335" s="509"/>
      <c r="Q335" s="532">
        <v>1320.64</v>
      </c>
      <c r="R335" s="529"/>
      <c r="S335" s="555">
        <v>-736.2</v>
      </c>
      <c r="T335" s="509"/>
      <c r="U335" s="509"/>
      <c r="V335" s="509"/>
      <c r="W335" s="509"/>
      <c r="X335" s="509"/>
      <c r="Y335" s="509"/>
      <c r="Z335" s="509"/>
      <c r="AA335" s="509"/>
      <c r="AB335" s="509"/>
      <c r="AC335" s="509"/>
      <c r="AD335" s="509"/>
      <c r="AE335" s="509"/>
      <c r="AF335" s="509"/>
      <c r="AG335" s="509"/>
      <c r="AH335" s="509"/>
      <c r="AI335" s="509"/>
      <c r="AJ335" s="509"/>
      <c r="AK335" s="509"/>
      <c r="AL335" s="509"/>
      <c r="AM335" s="509"/>
      <c r="AN335" s="509"/>
    </row>
    <row r="336" spans="1:40" ht="15.75" customHeight="1">
      <c r="A336" s="494" t="s">
        <v>436</v>
      </c>
      <c r="B336" s="509" t="s">
        <v>103</v>
      </c>
      <c r="C336" s="598" t="s">
        <v>55</v>
      </c>
      <c r="D336" s="583"/>
      <c r="E336" s="603"/>
      <c r="F336" s="524">
        <v>12416.827750532408</v>
      </c>
      <c r="G336" s="584"/>
      <c r="H336" s="603"/>
      <c r="I336" s="524"/>
      <c r="J336" s="522"/>
      <c r="K336" s="603"/>
      <c r="L336" s="524">
        <v>11822.3</v>
      </c>
      <c r="M336" s="522"/>
      <c r="N336" s="579">
        <v>-594.52775053240839</v>
      </c>
      <c r="O336" s="522"/>
      <c r="P336" s="603"/>
      <c r="Q336" s="524">
        <v>16362.1</v>
      </c>
      <c r="R336" s="522"/>
      <c r="S336" s="579">
        <v>-4539.8000000000011</v>
      </c>
      <c r="T336" s="509"/>
      <c r="U336" s="509"/>
      <c r="V336" s="509"/>
      <c r="W336" s="509"/>
      <c r="X336" s="509"/>
      <c r="Y336" s="509"/>
      <c r="Z336" s="509"/>
      <c r="AA336" s="509"/>
      <c r="AB336" s="509"/>
      <c r="AC336" s="509"/>
      <c r="AD336" s="509"/>
      <c r="AE336" s="509"/>
      <c r="AF336" s="509"/>
      <c r="AG336" s="509"/>
      <c r="AH336" s="509"/>
      <c r="AI336" s="509"/>
      <c r="AJ336" s="509"/>
      <c r="AK336" s="509"/>
      <c r="AL336" s="509"/>
      <c r="AM336" s="509"/>
      <c r="AN336" s="509"/>
    </row>
    <row r="337" spans="1:40" ht="15.75" customHeight="1">
      <c r="A337" s="494" t="s">
        <v>437</v>
      </c>
      <c r="B337" s="509" t="s">
        <v>103</v>
      </c>
      <c r="C337" s="596" t="s">
        <v>98</v>
      </c>
      <c r="D337" s="581"/>
      <c r="E337" s="509"/>
      <c r="F337" s="530"/>
      <c r="G337" s="582"/>
      <c r="H337" s="509"/>
      <c r="I337" s="530"/>
      <c r="J337" s="529"/>
      <c r="K337" s="509"/>
      <c r="L337" s="532">
        <v>0</v>
      </c>
      <c r="M337" s="529"/>
      <c r="N337" s="555">
        <v>0</v>
      </c>
      <c r="O337" s="529"/>
      <c r="P337" s="509"/>
      <c r="Q337" s="532">
        <v>0</v>
      </c>
      <c r="R337" s="529"/>
      <c r="S337" s="555">
        <v>0</v>
      </c>
      <c r="T337" s="509"/>
      <c r="U337" s="509"/>
      <c r="V337" s="509"/>
      <c r="W337" s="509"/>
      <c r="X337" s="509"/>
      <c r="Y337" s="509"/>
      <c r="Z337" s="509"/>
      <c r="AA337" s="509"/>
      <c r="AB337" s="509"/>
      <c r="AC337" s="509"/>
      <c r="AD337" s="509"/>
      <c r="AE337" s="509"/>
      <c r="AF337" s="509"/>
      <c r="AG337" s="509"/>
      <c r="AH337" s="509"/>
      <c r="AI337" s="509"/>
      <c r="AJ337" s="509"/>
      <c r="AK337" s="509"/>
      <c r="AL337" s="509"/>
      <c r="AM337" s="509"/>
      <c r="AN337" s="509"/>
    </row>
    <row r="338" spans="1:40" ht="15.75" customHeight="1">
      <c r="A338" s="494" t="s">
        <v>438</v>
      </c>
      <c r="B338" s="509" t="s">
        <v>103</v>
      </c>
      <c r="C338" s="596" t="s">
        <v>56</v>
      </c>
      <c r="D338" s="581"/>
      <c r="E338" s="509"/>
      <c r="F338" s="530">
        <v>125</v>
      </c>
      <c r="G338" s="582"/>
      <c r="H338" s="509"/>
      <c r="I338" s="530"/>
      <c r="J338" s="529"/>
      <c r="K338" s="509"/>
      <c r="L338" s="532">
        <v>99.95</v>
      </c>
      <c r="M338" s="529"/>
      <c r="N338" s="555">
        <v>-25.049999999999997</v>
      </c>
      <c r="O338" s="529"/>
      <c r="P338" s="509"/>
      <c r="Q338" s="532">
        <v>345.67</v>
      </c>
      <c r="R338" s="529"/>
      <c r="S338" s="555">
        <v>-245.72000000000003</v>
      </c>
      <c r="T338" s="509"/>
      <c r="U338" s="509"/>
      <c r="V338" s="509"/>
      <c r="W338" s="509"/>
      <c r="X338" s="509"/>
      <c r="Y338" s="509"/>
      <c r="Z338" s="509"/>
      <c r="AA338" s="509"/>
      <c r="AB338" s="509"/>
      <c r="AC338" s="509"/>
      <c r="AD338" s="509"/>
      <c r="AE338" s="509"/>
      <c r="AF338" s="509"/>
      <c r="AG338" s="509"/>
      <c r="AH338" s="509"/>
      <c r="AI338" s="509"/>
      <c r="AJ338" s="509"/>
      <c r="AK338" s="509"/>
      <c r="AL338" s="509"/>
      <c r="AM338" s="509"/>
      <c r="AN338" s="509"/>
    </row>
    <row r="339" spans="1:40" ht="15.75" customHeight="1">
      <c r="A339" s="494" t="s">
        <v>439</v>
      </c>
      <c r="B339" s="509" t="s">
        <v>103</v>
      </c>
      <c r="C339" s="596" t="s">
        <v>57</v>
      </c>
      <c r="D339" s="581"/>
      <c r="E339" s="509"/>
      <c r="F339" s="530">
        <v>83.333333333333329</v>
      </c>
      <c r="G339" s="582"/>
      <c r="H339" s="509"/>
      <c r="I339" s="530"/>
      <c r="J339" s="529"/>
      <c r="K339" s="509"/>
      <c r="L339" s="532">
        <v>0</v>
      </c>
      <c r="M339" s="529"/>
      <c r="N339" s="555">
        <v>-83.333333333333329</v>
      </c>
      <c r="O339" s="529"/>
      <c r="P339" s="509"/>
      <c r="Q339" s="532">
        <v>0</v>
      </c>
      <c r="R339" s="529"/>
      <c r="S339" s="555">
        <v>0</v>
      </c>
      <c r="T339" s="509"/>
      <c r="U339" s="509"/>
      <c r="V339" s="509"/>
      <c r="W339" s="509"/>
      <c r="X339" s="509"/>
      <c r="Y339" s="509"/>
      <c r="Z339" s="509"/>
      <c r="AA339" s="509"/>
      <c r="AB339" s="509"/>
      <c r="AC339" s="509"/>
      <c r="AD339" s="509"/>
      <c r="AE339" s="509"/>
      <c r="AF339" s="509"/>
      <c r="AG339" s="509"/>
      <c r="AH339" s="509"/>
      <c r="AI339" s="509"/>
      <c r="AJ339" s="509"/>
      <c r="AK339" s="509"/>
      <c r="AL339" s="509"/>
      <c r="AM339" s="509"/>
      <c r="AN339" s="509"/>
    </row>
    <row r="340" spans="1:40" ht="15.75" customHeight="1">
      <c r="A340" s="494" t="s">
        <v>440</v>
      </c>
      <c r="B340" s="509" t="s">
        <v>103</v>
      </c>
      <c r="C340" s="596" t="s">
        <v>58</v>
      </c>
      <c r="D340" s="581"/>
      <c r="E340" s="509"/>
      <c r="F340" s="530">
        <v>617.95293122500004</v>
      </c>
      <c r="G340" s="582"/>
      <c r="H340" s="509"/>
      <c r="I340" s="530"/>
      <c r="J340" s="529"/>
      <c r="K340" s="509"/>
      <c r="L340" s="532">
        <v>691.77</v>
      </c>
      <c r="M340" s="529"/>
      <c r="N340" s="555">
        <v>73.817068774999939</v>
      </c>
      <c r="O340" s="529"/>
      <c r="P340" s="509"/>
      <c r="Q340" s="532">
        <v>419.31</v>
      </c>
      <c r="R340" s="529"/>
      <c r="S340" s="555">
        <v>272.45999999999998</v>
      </c>
      <c r="T340" s="509"/>
      <c r="U340" s="509"/>
      <c r="V340" s="509"/>
      <c r="W340" s="509"/>
      <c r="X340" s="509"/>
      <c r="Y340" s="509"/>
      <c r="Z340" s="509"/>
      <c r="AA340" s="509"/>
      <c r="AB340" s="509"/>
      <c r="AC340" s="509"/>
      <c r="AD340" s="509"/>
      <c r="AE340" s="509"/>
      <c r="AF340" s="509"/>
      <c r="AG340" s="509"/>
      <c r="AH340" s="509"/>
      <c r="AI340" s="509"/>
      <c r="AJ340" s="509"/>
      <c r="AK340" s="509"/>
      <c r="AL340" s="509"/>
      <c r="AM340" s="509"/>
      <c r="AN340" s="509"/>
    </row>
    <row r="341" spans="1:40" ht="15.75" customHeight="1">
      <c r="A341" s="494" t="s">
        <v>441</v>
      </c>
      <c r="B341" s="509" t="s">
        <v>103</v>
      </c>
      <c r="C341" s="596" t="s">
        <v>59</v>
      </c>
      <c r="D341" s="581"/>
      <c r="E341" s="509"/>
      <c r="F341" s="530">
        <v>131.35821644756945</v>
      </c>
      <c r="G341" s="582"/>
      <c r="H341" s="509"/>
      <c r="I341" s="530"/>
      <c r="J341" s="529"/>
      <c r="K341" s="509"/>
      <c r="L341" s="532">
        <v>86.59</v>
      </c>
      <c r="M341" s="529"/>
      <c r="N341" s="555">
        <v>-44.768216447569444</v>
      </c>
      <c r="O341" s="529"/>
      <c r="P341" s="509"/>
      <c r="Q341" s="532">
        <v>74.930000000000007</v>
      </c>
      <c r="R341" s="529"/>
      <c r="S341" s="555">
        <v>11.659999999999997</v>
      </c>
      <c r="T341" s="509"/>
      <c r="U341" s="509"/>
      <c r="V341" s="509"/>
      <c r="W341" s="509"/>
      <c r="X341" s="509"/>
      <c r="Y341" s="509"/>
      <c r="Z341" s="509"/>
      <c r="AA341" s="509"/>
      <c r="AB341" s="509"/>
      <c r="AC341" s="509"/>
      <c r="AD341" s="509"/>
      <c r="AE341" s="509"/>
      <c r="AF341" s="509"/>
      <c r="AG341" s="509"/>
      <c r="AH341" s="509"/>
      <c r="AI341" s="509"/>
      <c r="AJ341" s="509"/>
      <c r="AK341" s="509"/>
      <c r="AL341" s="509"/>
      <c r="AM341" s="509"/>
      <c r="AN341" s="509"/>
    </row>
    <row r="342" spans="1:40" ht="15.75" customHeight="1">
      <c r="A342" s="494" t="s">
        <v>442</v>
      </c>
      <c r="B342" s="509" t="s">
        <v>103</v>
      </c>
      <c r="C342" s="596" t="s">
        <v>60</v>
      </c>
      <c r="D342" s="581"/>
      <c r="E342" s="509"/>
      <c r="F342" s="530">
        <v>160.29647805243053</v>
      </c>
      <c r="G342" s="582"/>
      <c r="H342" s="509"/>
      <c r="I342" s="530"/>
      <c r="J342" s="529"/>
      <c r="K342" s="509"/>
      <c r="L342" s="532">
        <v>-264.58999999999997</v>
      </c>
      <c r="M342" s="529"/>
      <c r="N342" s="555">
        <v>-424.8864780524305</v>
      </c>
      <c r="O342" s="529"/>
      <c r="P342" s="509"/>
      <c r="Q342" s="532">
        <v>-192.32</v>
      </c>
      <c r="R342" s="529"/>
      <c r="S342" s="555">
        <v>-72.269999999999982</v>
      </c>
      <c r="T342" s="509"/>
      <c r="U342" s="509"/>
      <c r="V342" s="509"/>
      <c r="W342" s="509"/>
      <c r="X342" s="509"/>
      <c r="Y342" s="509"/>
      <c r="Z342" s="509"/>
      <c r="AA342" s="509"/>
      <c r="AB342" s="509"/>
      <c r="AC342" s="509"/>
      <c r="AD342" s="509"/>
      <c r="AE342" s="509"/>
      <c r="AF342" s="509"/>
      <c r="AG342" s="509"/>
      <c r="AH342" s="509"/>
      <c r="AI342" s="509"/>
      <c r="AJ342" s="509"/>
      <c r="AK342" s="509"/>
      <c r="AL342" s="509"/>
      <c r="AM342" s="509"/>
      <c r="AN342" s="509"/>
    </row>
    <row r="343" spans="1:40" ht="15.75" customHeight="1">
      <c r="A343" s="494" t="s">
        <v>443</v>
      </c>
      <c r="B343" s="509" t="s">
        <v>103</v>
      </c>
      <c r="C343" s="596" t="s">
        <v>61</v>
      </c>
      <c r="D343" s="581"/>
      <c r="E343" s="509"/>
      <c r="F343" s="530">
        <v>218.76449018368055</v>
      </c>
      <c r="G343" s="582"/>
      <c r="H343" s="509"/>
      <c r="I343" s="530"/>
      <c r="J343" s="529"/>
      <c r="K343" s="509"/>
      <c r="L343" s="532">
        <v>82.26</v>
      </c>
      <c r="M343" s="529"/>
      <c r="N343" s="555">
        <v>-136.50449018368056</v>
      </c>
      <c r="O343" s="529"/>
      <c r="P343" s="509"/>
      <c r="Q343" s="532">
        <v>61.33</v>
      </c>
      <c r="R343" s="529"/>
      <c r="S343" s="555">
        <v>20.930000000000007</v>
      </c>
      <c r="T343" s="509"/>
      <c r="U343" s="509"/>
      <c r="V343" s="509"/>
      <c r="W343" s="509"/>
      <c r="X343" s="509"/>
      <c r="Y343" s="509"/>
      <c r="Z343" s="509"/>
      <c r="AA343" s="509"/>
      <c r="AB343" s="509"/>
      <c r="AC343" s="509"/>
      <c r="AD343" s="509"/>
      <c r="AE343" s="509"/>
      <c r="AF343" s="509"/>
      <c r="AG343" s="509"/>
      <c r="AH343" s="509"/>
      <c r="AI343" s="509"/>
      <c r="AJ343" s="509"/>
      <c r="AK343" s="509"/>
      <c r="AL343" s="509"/>
      <c r="AM343" s="509"/>
      <c r="AN343" s="509"/>
    </row>
    <row r="344" spans="1:40" ht="15.75" customHeight="1">
      <c r="A344" s="494" t="s">
        <v>444</v>
      </c>
      <c r="B344" s="509" t="s">
        <v>103</v>
      </c>
      <c r="C344" s="596" t="s">
        <v>62</v>
      </c>
      <c r="D344" s="581"/>
      <c r="E344" s="509"/>
      <c r="F344" s="530">
        <v>822.25903298327421</v>
      </c>
      <c r="G344" s="582"/>
      <c r="H344" s="509"/>
      <c r="I344" s="530"/>
      <c r="J344" s="529"/>
      <c r="K344" s="509"/>
      <c r="L344" s="532">
        <v>248.5</v>
      </c>
      <c r="M344" s="529"/>
      <c r="N344" s="555">
        <v>-573.75903298327421</v>
      </c>
      <c r="O344" s="529"/>
      <c r="P344" s="509"/>
      <c r="Q344" s="532">
        <v>2540.88</v>
      </c>
      <c r="R344" s="529"/>
      <c r="S344" s="555">
        <v>-2292.38</v>
      </c>
      <c r="T344" s="509"/>
      <c r="X344" s="509"/>
      <c r="Y344" s="509"/>
      <c r="Z344" s="509"/>
      <c r="AA344" s="509"/>
      <c r="AB344" s="509"/>
      <c r="AC344" s="509"/>
      <c r="AD344" s="509"/>
      <c r="AE344" s="509"/>
      <c r="AF344" s="509"/>
      <c r="AG344" s="509"/>
      <c r="AH344" s="509"/>
      <c r="AI344" s="509"/>
      <c r="AJ344" s="509"/>
      <c r="AK344" s="509"/>
      <c r="AL344" s="509"/>
      <c r="AM344" s="509"/>
      <c r="AN344" s="509"/>
    </row>
    <row r="345" spans="1:40" ht="15.75" customHeight="1">
      <c r="A345" s="494" t="s">
        <v>445</v>
      </c>
      <c r="B345" s="509" t="s">
        <v>103</v>
      </c>
      <c r="C345" s="596" t="s">
        <v>63</v>
      </c>
      <c r="D345" s="581"/>
      <c r="E345" s="509"/>
      <c r="F345" s="530">
        <v>1479.6608489796454</v>
      </c>
      <c r="G345" s="582"/>
      <c r="H345" s="509"/>
      <c r="I345" s="530"/>
      <c r="J345" s="529"/>
      <c r="K345" s="509"/>
      <c r="L345" s="532">
        <v>2111.31</v>
      </c>
      <c r="M345" s="529"/>
      <c r="N345" s="555">
        <v>631.64915102035457</v>
      </c>
      <c r="O345" s="529"/>
      <c r="P345" s="509"/>
      <c r="Q345" s="532">
        <v>3436.4</v>
      </c>
      <c r="R345" s="529"/>
      <c r="S345" s="555">
        <v>-1325.0900000000001</v>
      </c>
      <c r="T345" s="509"/>
      <c r="X345" s="509"/>
      <c r="Y345" s="509"/>
      <c r="Z345" s="509"/>
      <c r="AA345" s="509"/>
      <c r="AB345" s="509"/>
      <c r="AC345" s="509"/>
      <c r="AD345" s="509"/>
      <c r="AE345" s="509"/>
      <c r="AF345" s="509"/>
      <c r="AG345" s="509"/>
      <c r="AH345" s="509"/>
      <c r="AI345" s="509"/>
      <c r="AJ345" s="509"/>
      <c r="AK345" s="509"/>
      <c r="AL345" s="509"/>
      <c r="AM345" s="509"/>
      <c r="AN345" s="509"/>
    </row>
    <row r="346" spans="1:40" ht="15.75" hidden="1" customHeight="1">
      <c r="A346" s="494" t="s">
        <v>411</v>
      </c>
      <c r="B346" s="509" t="s">
        <v>103</v>
      </c>
      <c r="C346" s="596" t="s">
        <v>20</v>
      </c>
      <c r="D346" s="581"/>
      <c r="E346" s="509"/>
      <c r="F346" s="530">
        <v>0</v>
      </c>
      <c r="G346" s="582"/>
      <c r="H346" s="509"/>
      <c r="I346" s="530"/>
      <c r="J346" s="529"/>
      <c r="K346" s="509"/>
      <c r="L346" s="532">
        <v>0</v>
      </c>
      <c r="M346" s="529"/>
      <c r="N346" s="555">
        <v>0</v>
      </c>
      <c r="O346" s="529"/>
      <c r="P346" s="509"/>
      <c r="Q346" s="532">
        <v>0</v>
      </c>
      <c r="R346" s="529"/>
      <c r="S346" s="555">
        <v>0</v>
      </c>
      <c r="T346" s="509"/>
      <c r="X346" s="509"/>
      <c r="Y346" s="509"/>
      <c r="Z346" s="509"/>
      <c r="AA346" s="509"/>
      <c r="AB346" s="509"/>
      <c r="AC346" s="509"/>
      <c r="AD346" s="509"/>
      <c r="AE346" s="509"/>
      <c r="AF346" s="509"/>
      <c r="AG346" s="509"/>
      <c r="AH346" s="509"/>
      <c r="AI346" s="509"/>
      <c r="AJ346" s="509"/>
      <c r="AK346" s="509"/>
      <c r="AL346" s="509"/>
      <c r="AM346" s="509"/>
      <c r="AN346" s="509"/>
    </row>
    <row r="347" spans="1:40" ht="15.75" hidden="1" customHeight="1">
      <c r="A347" s="494" t="s">
        <v>411</v>
      </c>
      <c r="B347" s="509" t="s">
        <v>103</v>
      </c>
      <c r="C347" s="596" t="s">
        <v>20</v>
      </c>
      <c r="D347" s="581"/>
      <c r="E347" s="509"/>
      <c r="F347" s="530">
        <v>0</v>
      </c>
      <c r="G347" s="582"/>
      <c r="H347" s="509"/>
      <c r="I347" s="530"/>
      <c r="J347" s="529"/>
      <c r="K347" s="509"/>
      <c r="L347" s="532">
        <v>0</v>
      </c>
      <c r="M347" s="529"/>
      <c r="N347" s="555">
        <v>0</v>
      </c>
      <c r="O347" s="529"/>
      <c r="P347" s="509"/>
      <c r="Q347" s="532">
        <v>0</v>
      </c>
      <c r="R347" s="529"/>
      <c r="S347" s="555">
        <v>0</v>
      </c>
      <c r="T347" s="509"/>
      <c r="X347" s="509"/>
      <c r="Y347" s="509"/>
      <c r="Z347" s="509"/>
      <c r="AA347" s="509"/>
      <c r="AB347" s="509"/>
      <c r="AC347" s="509"/>
      <c r="AD347" s="509"/>
      <c r="AE347" s="509"/>
      <c r="AF347" s="509"/>
      <c r="AG347" s="509"/>
      <c r="AH347" s="509"/>
      <c r="AI347" s="509"/>
      <c r="AJ347" s="509"/>
      <c r="AK347" s="509"/>
      <c r="AL347" s="509"/>
      <c r="AM347" s="509"/>
      <c r="AN347" s="509"/>
    </row>
    <row r="348" spans="1:40" ht="15.75" hidden="1" customHeight="1">
      <c r="A348" s="494" t="s">
        <v>411</v>
      </c>
      <c r="B348" s="509" t="s">
        <v>103</v>
      </c>
      <c r="C348" s="596" t="s">
        <v>20</v>
      </c>
      <c r="D348" s="581"/>
      <c r="E348" s="509"/>
      <c r="F348" s="530">
        <v>0</v>
      </c>
      <c r="G348" s="582"/>
      <c r="H348" s="509"/>
      <c r="I348" s="530"/>
      <c r="J348" s="529"/>
      <c r="K348" s="509"/>
      <c r="L348" s="532">
        <v>0</v>
      </c>
      <c r="M348" s="529"/>
      <c r="N348" s="555">
        <v>0</v>
      </c>
      <c r="O348" s="529"/>
      <c r="P348" s="509"/>
      <c r="Q348" s="532">
        <v>0</v>
      </c>
      <c r="R348" s="529"/>
      <c r="S348" s="555">
        <v>0</v>
      </c>
      <c r="T348" s="509"/>
      <c r="X348" s="509"/>
      <c r="Y348" s="509"/>
      <c r="Z348" s="509"/>
      <c r="AA348" s="509"/>
      <c r="AB348" s="509"/>
      <c r="AC348" s="509"/>
      <c r="AD348" s="509"/>
      <c r="AE348" s="509"/>
      <c r="AF348" s="509"/>
      <c r="AG348" s="509"/>
      <c r="AH348" s="509"/>
      <c r="AI348" s="509"/>
      <c r="AJ348" s="509"/>
      <c r="AK348" s="509"/>
      <c r="AL348" s="509"/>
      <c r="AM348" s="509"/>
      <c r="AN348" s="509"/>
    </row>
    <row r="349" spans="1:40" ht="15.75" customHeight="1">
      <c r="B349" s="503"/>
      <c r="C349" s="588" t="s">
        <v>64</v>
      </c>
      <c r="D349" s="589" t="s">
        <v>39</v>
      </c>
      <c r="E349" s="590">
        <v>0.16339744051072738</v>
      </c>
      <c r="F349" s="591">
        <v>27569.677157790564</v>
      </c>
      <c r="G349" s="592"/>
      <c r="H349" s="590"/>
      <c r="I349" s="591"/>
      <c r="J349" s="592" t="s">
        <v>39</v>
      </c>
      <c r="K349" s="590">
        <v>0.23119243341727877</v>
      </c>
      <c r="L349" s="591">
        <v>28593.79</v>
      </c>
      <c r="M349" s="595"/>
      <c r="N349" s="591">
        <v>1024.1128422094325</v>
      </c>
      <c r="O349" s="592" t="s">
        <v>39</v>
      </c>
      <c r="P349" s="590">
        <v>0.28148314818659909</v>
      </c>
      <c r="Q349" s="591">
        <v>34027.4</v>
      </c>
      <c r="R349" s="595"/>
      <c r="S349" s="591">
        <v>-5433.6100000000006</v>
      </c>
      <c r="T349" s="509"/>
      <c r="X349" s="509"/>
      <c r="Y349" s="509"/>
      <c r="Z349" s="509"/>
      <c r="AA349" s="509"/>
      <c r="AB349" s="509"/>
      <c r="AC349" s="509"/>
      <c r="AD349" s="509"/>
      <c r="AE349" s="509"/>
      <c r="AF349" s="509"/>
      <c r="AG349" s="509"/>
      <c r="AH349" s="509"/>
      <c r="AI349" s="509"/>
      <c r="AJ349" s="509"/>
      <c r="AK349" s="509"/>
      <c r="AL349" s="509"/>
      <c r="AM349" s="509"/>
      <c r="AN349" s="509"/>
    </row>
    <row r="350" spans="1:40" ht="15.75" customHeight="1">
      <c r="B350" s="503"/>
      <c r="C350" s="522"/>
      <c r="D350" s="583"/>
      <c r="E350" s="603"/>
      <c r="F350" s="555"/>
      <c r="G350" s="584"/>
      <c r="H350" s="603"/>
      <c r="I350" s="555"/>
      <c r="J350" s="522"/>
      <c r="K350" s="603"/>
      <c r="L350" s="579"/>
      <c r="M350" s="522"/>
      <c r="N350" s="579"/>
      <c r="O350" s="522"/>
      <c r="P350" s="603"/>
      <c r="Q350" s="579"/>
      <c r="R350" s="522"/>
      <c r="S350" s="579"/>
      <c r="T350" s="509"/>
      <c r="U350" s="509"/>
      <c r="V350" s="509"/>
      <c r="W350" s="509"/>
      <c r="X350" s="509"/>
      <c r="Y350" s="509"/>
      <c r="Z350" s="509"/>
      <c r="AA350" s="509"/>
      <c r="AB350" s="509"/>
      <c r="AC350" s="509"/>
      <c r="AD350" s="509"/>
      <c r="AE350" s="509"/>
      <c r="AF350" s="509"/>
      <c r="AG350" s="509"/>
      <c r="AH350" s="509"/>
      <c r="AI350" s="509"/>
      <c r="AJ350" s="509"/>
      <c r="AK350" s="509"/>
      <c r="AL350" s="509"/>
      <c r="AM350" s="509"/>
      <c r="AN350" s="509"/>
    </row>
    <row r="351" spans="1:40" ht="15.75" customHeight="1">
      <c r="B351" s="503"/>
      <c r="C351" s="588" t="s">
        <v>65</v>
      </c>
      <c r="D351" s="589" t="s">
        <v>39</v>
      </c>
      <c r="E351" s="590">
        <v>0.49762996863661962</v>
      </c>
      <c r="F351" s="591">
        <v>83963.968691739283</v>
      </c>
      <c r="G351" s="592"/>
      <c r="H351" s="590"/>
      <c r="I351" s="591"/>
      <c r="J351" s="592" t="s">
        <v>39</v>
      </c>
      <c r="K351" s="590">
        <v>0.67395838327756707</v>
      </c>
      <c r="L351" s="591">
        <v>83354.91</v>
      </c>
      <c r="M351" s="595"/>
      <c r="N351" s="605">
        <v>-609.05869173927931</v>
      </c>
      <c r="O351" s="592" t="s">
        <v>39</v>
      </c>
      <c r="P351" s="590">
        <v>0.66596581410104283</v>
      </c>
      <c r="Q351" s="591">
        <v>80506.009999999995</v>
      </c>
      <c r="R351" s="595"/>
      <c r="S351" s="605">
        <v>2848.9000000000087</v>
      </c>
      <c r="T351" s="509"/>
      <c r="U351" s="509"/>
      <c r="V351" s="509"/>
      <c r="W351" s="509"/>
      <c r="X351" s="509"/>
      <c r="Y351" s="509"/>
      <c r="Z351" s="509"/>
      <c r="AA351" s="509"/>
      <c r="AB351" s="509"/>
      <c r="AC351" s="509"/>
      <c r="AD351" s="509"/>
      <c r="AE351" s="509"/>
      <c r="AF351" s="509"/>
      <c r="AG351" s="509"/>
      <c r="AH351" s="509"/>
      <c r="AI351" s="509"/>
      <c r="AJ351" s="509"/>
      <c r="AK351" s="509"/>
      <c r="AL351" s="509"/>
      <c r="AM351" s="509"/>
      <c r="AN351" s="509"/>
    </row>
    <row r="352" spans="1:40" ht="15.75" customHeight="1">
      <c r="B352" s="503"/>
      <c r="C352" s="529"/>
      <c r="D352" s="581"/>
      <c r="E352" s="509"/>
      <c r="F352" s="555"/>
      <c r="G352" s="582"/>
      <c r="H352" s="509"/>
      <c r="I352" s="555"/>
      <c r="J352" s="529"/>
      <c r="K352" s="509"/>
      <c r="L352" s="555"/>
      <c r="M352" s="529"/>
      <c r="N352" s="555">
        <v>0</v>
      </c>
      <c r="O352" s="529"/>
      <c r="P352" s="509"/>
      <c r="Q352" s="555"/>
      <c r="R352" s="529"/>
      <c r="S352" s="555"/>
      <c r="T352" s="509"/>
      <c r="U352" s="509"/>
      <c r="V352" s="509"/>
      <c r="W352" s="509"/>
      <c r="X352" s="509"/>
      <c r="Y352" s="509"/>
      <c r="Z352" s="509"/>
      <c r="AA352" s="509"/>
      <c r="AB352" s="509"/>
      <c r="AC352" s="509"/>
      <c r="AD352" s="509"/>
      <c r="AE352" s="509"/>
      <c r="AF352" s="509"/>
      <c r="AG352" s="509"/>
      <c r="AH352" s="509"/>
      <c r="AI352" s="509"/>
      <c r="AJ352" s="509"/>
      <c r="AK352" s="509"/>
      <c r="AL352" s="509"/>
      <c r="AM352" s="509"/>
      <c r="AN352" s="509"/>
    </row>
    <row r="353" spans="1:40" ht="24" customHeight="1" thickBot="1">
      <c r="B353" s="503"/>
      <c r="C353" s="621" t="s">
        <v>72</v>
      </c>
      <c r="D353" s="651"/>
      <c r="E353" s="622"/>
      <c r="F353" s="624">
        <v>84763.748655709351</v>
      </c>
      <c r="G353" s="652"/>
      <c r="H353" s="622"/>
      <c r="I353" s="624"/>
      <c r="J353" s="621"/>
      <c r="K353" s="623"/>
      <c r="L353" s="624">
        <v>40324.699999999983</v>
      </c>
      <c r="M353" s="621"/>
      <c r="N353" s="624">
        <v>-44439.048655709368</v>
      </c>
      <c r="O353" s="621"/>
      <c r="P353" s="626">
        <v>9.5049405808367043E-2</v>
      </c>
      <c r="Q353" s="624">
        <v>40380.089999999895</v>
      </c>
      <c r="R353" s="621"/>
      <c r="S353" s="624">
        <v>-55.389999999912106</v>
      </c>
      <c r="T353" s="509"/>
      <c r="U353" s="509"/>
      <c r="V353" s="509"/>
      <c r="W353" s="509"/>
      <c r="X353" s="509"/>
      <c r="Y353" s="509"/>
      <c r="Z353" s="509"/>
      <c r="AA353" s="509"/>
      <c r="AB353" s="509"/>
      <c r="AC353" s="509"/>
      <c r="AD353" s="509"/>
      <c r="AE353" s="509"/>
      <c r="AF353" s="509"/>
      <c r="AG353" s="509"/>
      <c r="AH353" s="509"/>
      <c r="AI353" s="509"/>
      <c r="AJ353" s="509"/>
      <c r="AK353" s="509"/>
      <c r="AL353" s="509"/>
      <c r="AM353" s="509"/>
      <c r="AN353" s="509"/>
    </row>
    <row r="354" spans="1:40" ht="15.75" customHeight="1" thickTop="1">
      <c r="B354" s="503"/>
      <c r="C354" s="568"/>
      <c r="D354" s="581"/>
      <c r="E354" s="509"/>
      <c r="F354" s="604"/>
      <c r="G354" s="581"/>
      <c r="H354" s="509"/>
      <c r="I354" s="604"/>
      <c r="J354" s="568"/>
      <c r="K354" s="568"/>
      <c r="L354" s="604"/>
      <c r="M354" s="568"/>
      <c r="N354" s="604"/>
      <c r="O354" s="568"/>
      <c r="P354" s="568"/>
      <c r="Q354" s="604"/>
      <c r="R354" s="568"/>
      <c r="S354" s="604"/>
      <c r="T354" s="509"/>
      <c r="U354" s="509"/>
      <c r="V354" s="509"/>
      <c r="W354" s="509"/>
      <c r="X354" s="509"/>
      <c r="Y354" s="509"/>
      <c r="Z354" s="509"/>
      <c r="AA354" s="509"/>
      <c r="AB354" s="509"/>
      <c r="AC354" s="509"/>
      <c r="AD354" s="509"/>
      <c r="AE354" s="509"/>
      <c r="AF354" s="509"/>
      <c r="AG354" s="509"/>
      <c r="AH354" s="509"/>
      <c r="AI354" s="509"/>
      <c r="AJ354" s="509"/>
      <c r="AK354" s="509"/>
      <c r="AL354" s="509"/>
      <c r="AM354" s="509"/>
      <c r="AN354" s="509"/>
    </row>
    <row r="355" spans="1:40" ht="15.75" hidden="1" customHeight="1">
      <c r="B355" s="503"/>
      <c r="C355" s="568"/>
      <c r="D355" s="581"/>
      <c r="E355" s="509"/>
      <c r="F355" s="604"/>
      <c r="G355" s="581"/>
      <c r="H355" s="509"/>
      <c r="I355" s="604"/>
      <c r="J355" s="568"/>
      <c r="K355" s="568"/>
      <c r="L355" s="604"/>
      <c r="M355" s="568"/>
      <c r="N355" s="604"/>
      <c r="O355" s="568"/>
      <c r="P355" s="568"/>
      <c r="Q355" s="604"/>
      <c r="R355" s="568"/>
      <c r="S355" s="604"/>
      <c r="T355" s="509"/>
      <c r="U355" s="509"/>
      <c r="V355" s="509"/>
      <c r="W355" s="509"/>
      <c r="X355" s="509"/>
      <c r="Y355" s="509"/>
      <c r="Z355" s="509"/>
      <c r="AA355" s="509"/>
      <c r="AB355" s="509"/>
      <c r="AC355" s="509"/>
      <c r="AD355" s="509"/>
      <c r="AE355" s="509"/>
      <c r="AF355" s="509"/>
      <c r="AG355" s="509"/>
      <c r="AH355" s="509"/>
      <c r="AI355" s="509"/>
      <c r="AJ355" s="509"/>
      <c r="AK355" s="509"/>
      <c r="AL355" s="509"/>
      <c r="AM355" s="509"/>
      <c r="AN355" s="509"/>
    </row>
    <row r="356" spans="1:40" ht="34.5" hidden="1" customHeight="1">
      <c r="B356" s="503"/>
      <c r="C356" s="631" t="s">
        <v>477</v>
      </c>
      <c r="D356" s="497"/>
      <c r="E356" s="497"/>
      <c r="F356" s="497"/>
      <c r="G356" s="497"/>
      <c r="H356" s="495"/>
      <c r="I356" s="495"/>
      <c r="J356" s="495"/>
      <c r="K356" s="499" t="s">
        <v>119</v>
      </c>
      <c r="L356" s="497"/>
      <c r="M356" s="497"/>
      <c r="N356" s="495"/>
      <c r="O356" s="495"/>
      <c r="P356" s="497"/>
      <c r="Q356" s="495"/>
      <c r="R356" s="497"/>
      <c r="S356" s="632" t="s">
        <v>484</v>
      </c>
      <c r="T356" s="506"/>
      <c r="U356" s="506"/>
      <c r="V356" s="509"/>
      <c r="W356" s="506"/>
      <c r="X356" s="506"/>
      <c r="Y356" s="506"/>
      <c r="Z356" s="506"/>
      <c r="AA356" s="506"/>
      <c r="AB356" s="506"/>
      <c r="AC356" s="506"/>
      <c r="AD356" s="506"/>
      <c r="AE356" s="506"/>
      <c r="AF356" s="506"/>
      <c r="AG356" s="506"/>
      <c r="AH356" s="506"/>
      <c r="AI356" s="506"/>
      <c r="AJ356" s="506"/>
      <c r="AK356" s="506"/>
      <c r="AL356" s="506"/>
      <c r="AM356" s="506"/>
      <c r="AN356" s="506"/>
    </row>
    <row r="357" spans="1:40" ht="15.75" hidden="1" customHeight="1">
      <c r="B357" s="503"/>
      <c r="C357" s="504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9"/>
      <c r="W357" s="506"/>
      <c r="X357" s="506"/>
      <c r="Y357" s="506"/>
      <c r="Z357" s="506"/>
      <c r="AA357" s="506"/>
      <c r="AB357" s="506"/>
      <c r="AC357" s="506"/>
      <c r="AD357" s="506"/>
      <c r="AE357" s="506"/>
      <c r="AF357" s="506"/>
      <c r="AG357" s="506"/>
      <c r="AH357" s="506"/>
      <c r="AI357" s="506"/>
      <c r="AJ357" s="506"/>
      <c r="AK357" s="506"/>
      <c r="AL357" s="506"/>
      <c r="AM357" s="506"/>
      <c r="AN357" s="506"/>
    </row>
    <row r="358" spans="1:40" ht="15.75" hidden="1" customHeight="1">
      <c r="B358" s="503"/>
      <c r="C358" s="510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3"/>
      <c r="T358" s="506"/>
      <c r="U358" s="506"/>
      <c r="V358" s="509"/>
      <c r="W358" s="506"/>
      <c r="X358" s="506"/>
      <c r="Y358" s="506"/>
      <c r="Z358" s="506"/>
      <c r="AA358" s="506"/>
      <c r="AB358" s="506"/>
      <c r="AC358" s="506"/>
      <c r="AD358" s="506"/>
      <c r="AE358" s="506"/>
      <c r="AF358" s="506"/>
      <c r="AG358" s="506"/>
      <c r="AH358" s="506"/>
      <c r="AI358" s="506"/>
      <c r="AJ358" s="506"/>
      <c r="AK358" s="506"/>
      <c r="AL358" s="506"/>
      <c r="AM358" s="506"/>
      <c r="AN358" s="506"/>
    </row>
    <row r="359" spans="1:40" ht="15.75" hidden="1" customHeight="1">
      <c r="A359" s="494" t="s">
        <v>119</v>
      </c>
      <c r="B359" s="509" t="s">
        <v>119</v>
      </c>
      <c r="C359" s="529"/>
      <c r="D359" s="716" t="s">
        <v>84</v>
      </c>
      <c r="E359" s="716" t="s">
        <v>104</v>
      </c>
      <c r="F359" s="717" t="s">
        <v>12</v>
      </c>
      <c r="G359" s="718"/>
      <c r="H359" s="716"/>
      <c r="I359" s="717"/>
      <c r="J359" s="655" t="s">
        <v>84</v>
      </c>
      <c r="K359" s="572" t="s">
        <v>104</v>
      </c>
      <c r="L359" s="654" t="s">
        <v>12</v>
      </c>
      <c r="M359" s="655"/>
      <c r="N359" s="654"/>
      <c r="O359" s="655" t="s">
        <v>84</v>
      </c>
      <c r="P359" s="572" t="s">
        <v>104</v>
      </c>
      <c r="Q359" s="654" t="s">
        <v>12</v>
      </c>
      <c r="R359" s="655" t="s">
        <v>85</v>
      </c>
      <c r="S359" s="654" t="s">
        <v>12</v>
      </c>
      <c r="T359" s="506"/>
      <c r="U359" s="506"/>
      <c r="V359" s="509"/>
      <c r="W359" s="506"/>
      <c r="X359" s="506"/>
      <c r="Y359" s="506"/>
      <c r="Z359" s="506"/>
      <c r="AA359" s="506"/>
      <c r="AB359" s="506"/>
      <c r="AC359" s="506"/>
      <c r="AD359" s="506"/>
      <c r="AE359" s="506"/>
      <c r="AF359" s="506"/>
      <c r="AG359" s="506"/>
      <c r="AH359" s="506"/>
      <c r="AI359" s="506"/>
      <c r="AJ359" s="506"/>
      <c r="AK359" s="506"/>
      <c r="AL359" s="506"/>
      <c r="AM359" s="506"/>
      <c r="AN359" s="506"/>
    </row>
    <row r="360" spans="1:40" ht="15.75" hidden="1" customHeight="1">
      <c r="A360" s="494" t="s">
        <v>446</v>
      </c>
      <c r="B360" s="509" t="s">
        <v>119</v>
      </c>
      <c r="C360" s="557" t="s">
        <v>119</v>
      </c>
      <c r="D360" s="719">
        <v>0</v>
      </c>
      <c r="E360" s="720">
        <v>0</v>
      </c>
      <c r="F360" s="721">
        <v>0</v>
      </c>
      <c r="G360" s="719"/>
      <c r="H360" s="720"/>
      <c r="I360" s="719"/>
      <c r="J360" s="722">
        <v>0</v>
      </c>
      <c r="K360" s="707">
        <v>0</v>
      </c>
      <c r="L360" s="723">
        <v>0</v>
      </c>
      <c r="M360" s="708"/>
      <c r="N360" s="709"/>
      <c r="O360" s="722">
        <v>0</v>
      </c>
      <c r="P360" s="707">
        <v>0</v>
      </c>
      <c r="Q360" s="723">
        <v>0</v>
      </c>
      <c r="R360" s="708">
        <v>0</v>
      </c>
      <c r="S360" s="709">
        <v>0</v>
      </c>
      <c r="T360" s="506"/>
      <c r="U360" s="506"/>
      <c r="V360" s="724"/>
      <c r="W360" s="506"/>
      <c r="X360" s="506"/>
      <c r="Y360" s="506"/>
      <c r="Z360" s="506"/>
      <c r="AA360" s="506"/>
      <c r="AB360" s="506"/>
      <c r="AC360" s="506"/>
      <c r="AD360" s="506"/>
      <c r="AE360" s="506"/>
      <c r="AF360" s="506"/>
      <c r="AG360" s="506"/>
      <c r="AH360" s="506"/>
      <c r="AI360" s="506"/>
      <c r="AJ360" s="506"/>
      <c r="AK360" s="506"/>
      <c r="AL360" s="506"/>
      <c r="AM360" s="506"/>
      <c r="AN360" s="506"/>
    </row>
    <row r="361" spans="1:40" ht="15.75" hidden="1" customHeight="1">
      <c r="A361" s="494" t="s">
        <v>119</v>
      </c>
      <c r="B361" s="509" t="s">
        <v>119</v>
      </c>
      <c r="C361" s="621"/>
      <c r="D361" s="710"/>
      <c r="E361" s="711"/>
      <c r="F361" s="624"/>
      <c r="G361" s="712"/>
      <c r="H361" s="711"/>
      <c r="I361" s="624"/>
      <c r="J361" s="712"/>
      <c r="K361" s="711"/>
      <c r="L361" s="624"/>
      <c r="M361" s="714"/>
      <c r="N361" s="567"/>
      <c r="O361" s="712"/>
      <c r="P361" s="711"/>
      <c r="Q361" s="624"/>
      <c r="R361" s="714"/>
      <c r="S361" s="567"/>
      <c r="T361" s="506"/>
      <c r="U361" s="506"/>
      <c r="V361" s="509"/>
      <c r="W361" s="506"/>
      <c r="X361" s="506"/>
      <c r="Y361" s="506"/>
      <c r="Z361" s="506"/>
      <c r="AA361" s="506"/>
      <c r="AB361" s="506"/>
      <c r="AC361" s="506"/>
      <c r="AD361" s="506"/>
      <c r="AE361" s="506"/>
      <c r="AF361" s="506"/>
      <c r="AG361" s="506"/>
      <c r="AH361" s="506"/>
      <c r="AI361" s="506"/>
      <c r="AJ361" s="506"/>
      <c r="AK361" s="506"/>
      <c r="AL361" s="506"/>
      <c r="AM361" s="506"/>
      <c r="AN361" s="506"/>
    </row>
    <row r="362" spans="1:40" ht="15.75" hidden="1" customHeight="1">
      <c r="A362" s="494" t="s">
        <v>447</v>
      </c>
      <c r="B362" s="509" t="s">
        <v>119</v>
      </c>
      <c r="C362" s="548" t="s">
        <v>120</v>
      </c>
      <c r="D362" s="604">
        <v>0</v>
      </c>
      <c r="E362" s="666">
        <v>0</v>
      </c>
      <c r="F362" s="668">
        <v>0</v>
      </c>
      <c r="G362" s="667"/>
      <c r="H362" s="666"/>
      <c r="I362" s="668"/>
      <c r="J362" s="667">
        <v>0</v>
      </c>
      <c r="K362" s="666">
        <v>0</v>
      </c>
      <c r="L362" s="668">
        <v>0</v>
      </c>
      <c r="M362" s="644"/>
      <c r="N362" s="725"/>
      <c r="O362" s="667">
        <v>0</v>
      </c>
      <c r="P362" s="666">
        <v>0</v>
      </c>
      <c r="Q362" s="668">
        <v>0</v>
      </c>
      <c r="R362" s="529">
        <v>0</v>
      </c>
      <c r="S362" s="547">
        <v>0</v>
      </c>
      <c r="T362" s="506"/>
      <c r="U362" s="506"/>
      <c r="V362" s="509"/>
      <c r="W362" s="506"/>
      <c r="X362" s="506"/>
      <c r="Y362" s="506"/>
      <c r="Z362" s="506"/>
      <c r="AA362" s="506"/>
      <c r="AB362" s="506"/>
      <c r="AC362" s="506"/>
      <c r="AD362" s="506"/>
      <c r="AE362" s="506"/>
      <c r="AF362" s="506"/>
      <c r="AG362" s="506"/>
      <c r="AH362" s="506"/>
      <c r="AI362" s="506"/>
      <c r="AJ362" s="506"/>
      <c r="AK362" s="506"/>
      <c r="AL362" s="506"/>
      <c r="AM362" s="506"/>
      <c r="AN362" s="506"/>
    </row>
    <row r="363" spans="1:40" ht="15.75" hidden="1" customHeight="1">
      <c r="A363" s="494" t="s">
        <v>119</v>
      </c>
      <c r="B363" s="509" t="s">
        <v>119</v>
      </c>
      <c r="C363" s="571"/>
      <c r="D363" s="509"/>
      <c r="E363" s="509"/>
      <c r="F363" s="555"/>
      <c r="G363" s="529"/>
      <c r="H363" s="509"/>
      <c r="I363" s="555"/>
      <c r="J363" s="529"/>
      <c r="K363" s="509"/>
      <c r="L363" s="539"/>
      <c r="M363" s="529"/>
      <c r="N363" s="656"/>
      <c r="O363" s="529"/>
      <c r="P363" s="509"/>
      <c r="Q363" s="539"/>
      <c r="R363" s="529"/>
      <c r="S363" s="539">
        <v>0</v>
      </c>
      <c r="T363" s="506"/>
      <c r="U363" s="506"/>
      <c r="V363" s="509"/>
      <c r="W363" s="506"/>
      <c r="X363" s="506"/>
      <c r="Y363" s="506"/>
      <c r="Z363" s="506"/>
      <c r="AA363" s="506"/>
      <c r="AB363" s="506"/>
      <c r="AC363" s="506"/>
      <c r="AD363" s="506"/>
      <c r="AE363" s="506"/>
      <c r="AF363" s="506"/>
      <c r="AG363" s="506"/>
      <c r="AH363" s="506"/>
      <c r="AI363" s="506"/>
      <c r="AJ363" s="506"/>
      <c r="AK363" s="506"/>
      <c r="AL363" s="506"/>
      <c r="AM363" s="506"/>
      <c r="AN363" s="506"/>
    </row>
    <row r="364" spans="1:40" ht="15.75" hidden="1" customHeight="1">
      <c r="A364" s="494" t="s">
        <v>448</v>
      </c>
      <c r="B364" s="509" t="s">
        <v>119</v>
      </c>
      <c r="C364" s="571" t="s">
        <v>30</v>
      </c>
      <c r="D364" s="509"/>
      <c r="E364" s="509"/>
      <c r="F364" s="555"/>
      <c r="G364" s="529"/>
      <c r="H364" s="509"/>
      <c r="I364" s="555"/>
      <c r="J364" s="529"/>
      <c r="K364" s="509"/>
      <c r="L364" s="539"/>
      <c r="M364" s="529"/>
      <c r="N364" s="539"/>
      <c r="O364" s="529"/>
      <c r="P364" s="509"/>
      <c r="Q364" s="539"/>
      <c r="R364" s="529"/>
      <c r="S364" s="539"/>
      <c r="T364" s="506"/>
      <c r="U364" s="506"/>
      <c r="V364" s="509"/>
      <c r="W364" s="506"/>
      <c r="X364" s="506"/>
      <c r="Y364" s="506"/>
      <c r="Z364" s="506"/>
      <c r="AA364" s="506"/>
      <c r="AB364" s="506"/>
      <c r="AC364" s="506"/>
      <c r="AD364" s="506"/>
      <c r="AE364" s="506"/>
      <c r="AF364" s="506"/>
      <c r="AG364" s="506"/>
      <c r="AH364" s="506"/>
      <c r="AI364" s="506"/>
      <c r="AJ364" s="506"/>
      <c r="AK364" s="506"/>
      <c r="AL364" s="506"/>
      <c r="AM364" s="506"/>
      <c r="AN364" s="506"/>
    </row>
    <row r="365" spans="1:40" ht="15.75" hidden="1" customHeight="1">
      <c r="A365" s="494" t="s">
        <v>449</v>
      </c>
      <c r="B365" s="509" t="s">
        <v>119</v>
      </c>
      <c r="C365" s="596" t="s">
        <v>41</v>
      </c>
      <c r="D365" s="509"/>
      <c r="E365" s="509"/>
      <c r="F365" s="530">
        <v>0</v>
      </c>
      <c r="G365" s="529"/>
      <c r="H365" s="509"/>
      <c r="I365" s="530"/>
      <c r="J365" s="529"/>
      <c r="K365" s="509"/>
      <c r="L365" s="532">
        <v>0</v>
      </c>
      <c r="M365" s="529"/>
      <c r="N365" s="539"/>
      <c r="O365" s="529"/>
      <c r="P365" s="509"/>
      <c r="Q365" s="532">
        <v>0</v>
      </c>
      <c r="R365" s="529"/>
      <c r="S365" s="532">
        <v>0</v>
      </c>
      <c r="T365" s="506"/>
      <c r="U365" s="506"/>
      <c r="V365" s="509"/>
      <c r="W365" s="506"/>
      <c r="X365" s="506"/>
      <c r="Y365" s="506"/>
      <c r="Z365" s="506"/>
      <c r="AA365" s="506"/>
      <c r="AB365" s="506"/>
      <c r="AC365" s="506"/>
      <c r="AD365" s="506"/>
      <c r="AE365" s="506"/>
      <c r="AF365" s="506"/>
      <c r="AG365" s="506"/>
      <c r="AH365" s="506"/>
      <c r="AI365" s="506"/>
      <c r="AJ365" s="506"/>
      <c r="AK365" s="506"/>
      <c r="AL365" s="506"/>
      <c r="AM365" s="506"/>
      <c r="AN365" s="506"/>
    </row>
    <row r="366" spans="1:40" ht="15.75" hidden="1" customHeight="1">
      <c r="A366" s="494" t="s">
        <v>450</v>
      </c>
      <c r="B366" s="509" t="s">
        <v>119</v>
      </c>
      <c r="C366" s="598" t="s">
        <v>42</v>
      </c>
      <c r="D366" s="581"/>
      <c r="E366" s="509"/>
      <c r="F366" s="524">
        <v>0</v>
      </c>
      <c r="G366" s="582"/>
      <c r="H366" s="509"/>
      <c r="I366" s="524"/>
      <c r="J366" s="529"/>
      <c r="K366" s="509"/>
      <c r="L366" s="524">
        <v>0</v>
      </c>
      <c r="M366" s="529"/>
      <c r="N366" s="555"/>
      <c r="O366" s="529"/>
      <c r="P366" s="509"/>
      <c r="Q366" s="524">
        <v>0</v>
      </c>
      <c r="R366" s="529"/>
      <c r="S366" s="555">
        <v>0</v>
      </c>
      <c r="T366" s="506"/>
      <c r="U366" s="506"/>
      <c r="V366" s="509"/>
      <c r="W366" s="506"/>
      <c r="X366" s="506"/>
      <c r="Y366" s="506"/>
      <c r="Z366" s="506"/>
      <c r="AA366" s="506"/>
      <c r="AB366" s="506"/>
      <c r="AC366" s="506"/>
      <c r="AD366" s="506"/>
      <c r="AE366" s="506"/>
      <c r="AF366" s="506"/>
      <c r="AG366" s="506"/>
      <c r="AH366" s="506"/>
      <c r="AI366" s="506"/>
      <c r="AJ366" s="506"/>
      <c r="AK366" s="506"/>
      <c r="AL366" s="506"/>
      <c r="AM366" s="506"/>
      <c r="AN366" s="506"/>
    </row>
    <row r="367" spans="1:40" ht="15.75" hidden="1" customHeight="1">
      <c r="A367" s="494" t="s">
        <v>451</v>
      </c>
      <c r="B367" s="509" t="s">
        <v>119</v>
      </c>
      <c r="C367" s="596" t="s">
        <v>43</v>
      </c>
      <c r="D367" s="599"/>
      <c r="E367" s="600"/>
      <c r="F367" s="530">
        <v>0</v>
      </c>
      <c r="G367" s="601"/>
      <c r="H367" s="600"/>
      <c r="I367" s="530"/>
      <c r="J367" s="517"/>
      <c r="K367" s="600"/>
      <c r="L367" s="532">
        <v>0</v>
      </c>
      <c r="M367" s="517"/>
      <c r="N367" s="602"/>
      <c r="O367" s="517"/>
      <c r="P367" s="600"/>
      <c r="Q367" s="532">
        <v>0</v>
      </c>
      <c r="R367" s="517"/>
      <c r="S367" s="602">
        <v>0</v>
      </c>
      <c r="T367" s="506"/>
      <c r="U367" s="506"/>
      <c r="V367" s="509"/>
      <c r="W367" s="506"/>
      <c r="X367" s="506"/>
      <c r="Y367" s="506"/>
      <c r="Z367" s="506"/>
      <c r="AA367" s="506"/>
      <c r="AB367" s="506"/>
      <c r="AC367" s="506"/>
      <c r="AD367" s="506"/>
      <c r="AE367" s="506"/>
      <c r="AF367" s="506"/>
      <c r="AG367" s="506"/>
      <c r="AH367" s="506"/>
      <c r="AI367" s="506"/>
      <c r="AJ367" s="506"/>
      <c r="AK367" s="506"/>
      <c r="AL367" s="506"/>
      <c r="AM367" s="506"/>
      <c r="AN367" s="506"/>
    </row>
    <row r="368" spans="1:40" ht="15.75" hidden="1" customHeight="1">
      <c r="A368" s="494" t="s">
        <v>452</v>
      </c>
      <c r="B368" s="509" t="s">
        <v>119</v>
      </c>
      <c r="C368" s="596" t="s">
        <v>44</v>
      </c>
      <c r="D368" s="581"/>
      <c r="E368" s="509"/>
      <c r="F368" s="530">
        <v>0</v>
      </c>
      <c r="G368" s="582"/>
      <c r="H368" s="509"/>
      <c r="I368" s="530"/>
      <c r="J368" s="529"/>
      <c r="K368" s="509"/>
      <c r="L368" s="532">
        <v>0</v>
      </c>
      <c r="M368" s="529"/>
      <c r="N368" s="555"/>
      <c r="O368" s="529"/>
      <c r="P368" s="509"/>
      <c r="Q368" s="532">
        <v>0</v>
      </c>
      <c r="R368" s="529"/>
      <c r="S368" s="555">
        <v>0</v>
      </c>
      <c r="T368" s="506"/>
      <c r="U368" s="506"/>
      <c r="V368" s="509"/>
      <c r="W368" s="506"/>
      <c r="X368" s="506"/>
      <c r="Y368" s="506"/>
      <c r="Z368" s="506"/>
      <c r="AA368" s="506"/>
      <c r="AB368" s="506"/>
      <c r="AC368" s="506"/>
      <c r="AD368" s="506"/>
      <c r="AE368" s="506"/>
      <c r="AF368" s="506"/>
      <c r="AG368" s="506"/>
      <c r="AH368" s="506"/>
      <c r="AI368" s="506"/>
      <c r="AJ368" s="506"/>
      <c r="AK368" s="506"/>
      <c r="AL368" s="506"/>
      <c r="AM368" s="506"/>
      <c r="AN368" s="506"/>
    </row>
    <row r="369" spans="1:40" ht="15.75" hidden="1" customHeight="1">
      <c r="A369" s="494" t="s">
        <v>453</v>
      </c>
      <c r="B369" s="509" t="s">
        <v>119</v>
      </c>
      <c r="C369" s="529" t="s">
        <v>20</v>
      </c>
      <c r="D369" s="581"/>
      <c r="E369" s="509"/>
      <c r="F369" s="530">
        <v>0</v>
      </c>
      <c r="G369" s="582"/>
      <c r="H369" s="509"/>
      <c r="I369" s="530"/>
      <c r="J369" s="529"/>
      <c r="K369" s="509"/>
      <c r="L369" s="532">
        <v>0</v>
      </c>
      <c r="M369" s="529"/>
      <c r="N369" s="555"/>
      <c r="O369" s="529"/>
      <c r="P369" s="509"/>
      <c r="Q369" s="532">
        <v>0</v>
      </c>
      <c r="R369" s="529"/>
      <c r="S369" s="555">
        <v>0</v>
      </c>
      <c r="T369" s="506"/>
      <c r="U369" s="506"/>
      <c r="V369" s="509"/>
      <c r="W369" s="506"/>
      <c r="X369" s="506"/>
      <c r="Y369" s="506"/>
      <c r="Z369" s="506"/>
      <c r="AA369" s="506"/>
      <c r="AB369" s="506"/>
      <c r="AC369" s="506"/>
      <c r="AD369" s="506"/>
      <c r="AE369" s="506"/>
      <c r="AF369" s="506"/>
      <c r="AG369" s="506"/>
      <c r="AH369" s="506"/>
      <c r="AI369" s="506"/>
      <c r="AJ369" s="506"/>
      <c r="AK369" s="506"/>
      <c r="AL369" s="506"/>
      <c r="AM369" s="506"/>
      <c r="AN369" s="506"/>
    </row>
    <row r="370" spans="1:40" ht="15.75" hidden="1" customHeight="1">
      <c r="A370" s="494" t="s">
        <v>453</v>
      </c>
      <c r="B370" s="509" t="s">
        <v>119</v>
      </c>
      <c r="C370" s="529" t="s">
        <v>20</v>
      </c>
      <c r="D370" s="581"/>
      <c r="E370" s="509"/>
      <c r="F370" s="530">
        <v>0</v>
      </c>
      <c r="G370" s="582"/>
      <c r="H370" s="509"/>
      <c r="I370" s="530"/>
      <c r="J370" s="529"/>
      <c r="K370" s="509"/>
      <c r="L370" s="532">
        <v>0</v>
      </c>
      <c r="M370" s="529"/>
      <c r="N370" s="555"/>
      <c r="O370" s="529"/>
      <c r="P370" s="509"/>
      <c r="Q370" s="532">
        <v>0</v>
      </c>
      <c r="R370" s="529"/>
      <c r="S370" s="555">
        <v>0</v>
      </c>
      <c r="T370" s="506"/>
      <c r="U370" s="506"/>
      <c r="V370" s="509"/>
      <c r="W370" s="506"/>
      <c r="X370" s="506"/>
      <c r="Y370" s="506"/>
      <c r="Z370" s="506"/>
      <c r="AA370" s="506"/>
      <c r="AB370" s="506"/>
      <c r="AC370" s="506"/>
      <c r="AD370" s="506"/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</row>
    <row r="371" spans="1:40" ht="15.75" hidden="1" customHeight="1">
      <c r="A371" s="494" t="s">
        <v>453</v>
      </c>
      <c r="B371" s="509" t="s">
        <v>119</v>
      </c>
      <c r="C371" s="529" t="s">
        <v>20</v>
      </c>
      <c r="D371" s="581"/>
      <c r="E371" s="509"/>
      <c r="F371" s="530">
        <v>0</v>
      </c>
      <c r="G371" s="582"/>
      <c r="H371" s="509"/>
      <c r="I371" s="530"/>
      <c r="J371" s="529"/>
      <c r="K371" s="509"/>
      <c r="L371" s="532">
        <v>0</v>
      </c>
      <c r="M371" s="529"/>
      <c r="N371" s="555"/>
      <c r="O371" s="529"/>
      <c r="P371" s="509"/>
      <c r="Q371" s="532">
        <v>0</v>
      </c>
      <c r="R371" s="529"/>
      <c r="S371" s="555">
        <v>0</v>
      </c>
      <c r="T371" s="506"/>
      <c r="U371" s="506"/>
      <c r="V371" s="509"/>
      <c r="W371" s="506"/>
      <c r="X371" s="506"/>
      <c r="Y371" s="506"/>
      <c r="Z371" s="506"/>
      <c r="AA371" s="506"/>
      <c r="AB371" s="506"/>
      <c r="AC371" s="506"/>
      <c r="AD371" s="506"/>
      <c r="AE371" s="506"/>
      <c r="AF371" s="506"/>
      <c r="AG371" s="506"/>
      <c r="AH371" s="506"/>
      <c r="AI371" s="506"/>
      <c r="AJ371" s="506"/>
      <c r="AK371" s="506"/>
      <c r="AL371" s="506"/>
      <c r="AM371" s="506"/>
      <c r="AN371" s="506"/>
    </row>
    <row r="372" spans="1:40" ht="15.75" hidden="1" customHeight="1">
      <c r="A372" s="494" t="s">
        <v>454</v>
      </c>
      <c r="B372" s="509" t="s">
        <v>119</v>
      </c>
      <c r="C372" s="598" t="s">
        <v>45</v>
      </c>
      <c r="D372" s="581"/>
      <c r="E372" s="509"/>
      <c r="F372" s="524">
        <v>0</v>
      </c>
      <c r="G372" s="582"/>
      <c r="H372" s="509"/>
      <c r="I372" s="524"/>
      <c r="J372" s="529"/>
      <c r="K372" s="509"/>
      <c r="L372" s="524">
        <v>0</v>
      </c>
      <c r="M372" s="529"/>
      <c r="N372" s="555"/>
      <c r="O372" s="529"/>
      <c r="P372" s="509"/>
      <c r="Q372" s="524">
        <v>0</v>
      </c>
      <c r="R372" s="529"/>
      <c r="S372" s="555">
        <v>0</v>
      </c>
      <c r="T372" s="506"/>
      <c r="U372" s="506"/>
      <c r="V372" s="509"/>
      <c r="W372" s="506"/>
      <c r="X372" s="506"/>
      <c r="Y372" s="506"/>
      <c r="Z372" s="506"/>
      <c r="AA372" s="506"/>
      <c r="AB372" s="506"/>
      <c r="AC372" s="506"/>
      <c r="AD372" s="506"/>
      <c r="AE372" s="506"/>
      <c r="AF372" s="506"/>
      <c r="AG372" s="506"/>
      <c r="AH372" s="506"/>
      <c r="AI372" s="506"/>
      <c r="AJ372" s="506"/>
      <c r="AK372" s="506"/>
      <c r="AL372" s="506"/>
      <c r="AM372" s="506"/>
      <c r="AN372" s="506"/>
    </row>
    <row r="373" spans="1:40" ht="15.75" hidden="1" customHeight="1">
      <c r="A373" s="494" t="s">
        <v>455</v>
      </c>
      <c r="B373" s="509" t="s">
        <v>119</v>
      </c>
      <c r="C373" s="596" t="s">
        <v>46</v>
      </c>
      <c r="D373" s="599"/>
      <c r="E373" s="600"/>
      <c r="F373" s="530">
        <v>0</v>
      </c>
      <c r="G373" s="601"/>
      <c r="H373" s="600"/>
      <c r="I373" s="530"/>
      <c r="J373" s="517"/>
      <c r="K373" s="600"/>
      <c r="L373" s="532">
        <v>0</v>
      </c>
      <c r="M373" s="517"/>
      <c r="N373" s="602"/>
      <c r="O373" s="517"/>
      <c r="P373" s="600"/>
      <c r="Q373" s="532">
        <v>0</v>
      </c>
      <c r="R373" s="517"/>
      <c r="S373" s="602">
        <v>0</v>
      </c>
      <c r="T373" s="506"/>
      <c r="U373" s="506"/>
      <c r="V373" s="509"/>
      <c r="W373" s="506"/>
      <c r="X373" s="506"/>
      <c r="Y373" s="506"/>
      <c r="Z373" s="506"/>
      <c r="AA373" s="506"/>
      <c r="AB373" s="506"/>
      <c r="AC373" s="506"/>
      <c r="AD373" s="506"/>
      <c r="AE373" s="506"/>
      <c r="AF373" s="506"/>
      <c r="AG373" s="506"/>
      <c r="AH373" s="506"/>
      <c r="AI373" s="506"/>
      <c r="AJ373" s="506"/>
      <c r="AK373" s="506"/>
      <c r="AL373" s="506"/>
      <c r="AM373" s="506"/>
      <c r="AN373" s="506"/>
    </row>
    <row r="374" spans="1:40" ht="15.75" hidden="1" customHeight="1">
      <c r="A374" s="494" t="s">
        <v>456</v>
      </c>
      <c r="B374" s="509" t="s">
        <v>119</v>
      </c>
      <c r="C374" s="596" t="s">
        <v>47</v>
      </c>
      <c r="D374" s="581"/>
      <c r="E374" s="509"/>
      <c r="F374" s="530">
        <v>0</v>
      </c>
      <c r="G374" s="582"/>
      <c r="H374" s="509"/>
      <c r="I374" s="530"/>
      <c r="J374" s="529"/>
      <c r="K374" s="509"/>
      <c r="L374" s="532">
        <v>0</v>
      </c>
      <c r="M374" s="529"/>
      <c r="N374" s="555"/>
      <c r="O374" s="529"/>
      <c r="P374" s="509"/>
      <c r="Q374" s="532">
        <v>0</v>
      </c>
      <c r="R374" s="529"/>
      <c r="S374" s="555">
        <v>0</v>
      </c>
      <c r="T374" s="506"/>
      <c r="U374" s="506"/>
      <c r="V374" s="509"/>
      <c r="W374" s="506"/>
      <c r="X374" s="506"/>
      <c r="Y374" s="506"/>
      <c r="Z374" s="506"/>
      <c r="AA374" s="506"/>
      <c r="AB374" s="506"/>
      <c r="AC374" s="506"/>
      <c r="AD374" s="506"/>
      <c r="AE374" s="506"/>
      <c r="AF374" s="506"/>
      <c r="AG374" s="506"/>
      <c r="AH374" s="506"/>
      <c r="AI374" s="506"/>
      <c r="AJ374" s="506"/>
      <c r="AK374" s="506"/>
      <c r="AL374" s="506"/>
      <c r="AM374" s="506"/>
      <c r="AN374" s="506"/>
    </row>
    <row r="375" spans="1:40" ht="15.75" hidden="1" customHeight="1">
      <c r="A375" s="494" t="s">
        <v>457</v>
      </c>
      <c r="B375" s="509" t="s">
        <v>119</v>
      </c>
      <c r="C375" s="596" t="s">
        <v>48</v>
      </c>
      <c r="D375" s="581"/>
      <c r="E375" s="509"/>
      <c r="F375" s="530">
        <v>0</v>
      </c>
      <c r="G375" s="582"/>
      <c r="H375" s="509"/>
      <c r="I375" s="530"/>
      <c r="J375" s="529"/>
      <c r="K375" s="509"/>
      <c r="L375" s="532">
        <v>0</v>
      </c>
      <c r="M375" s="529"/>
      <c r="N375" s="555"/>
      <c r="O375" s="529"/>
      <c r="P375" s="509"/>
      <c r="Q375" s="532">
        <v>0</v>
      </c>
      <c r="R375" s="529"/>
      <c r="S375" s="555">
        <v>0</v>
      </c>
      <c r="T375" s="506"/>
      <c r="U375" s="506"/>
      <c r="V375" s="509"/>
      <c r="W375" s="506"/>
      <c r="X375" s="506"/>
      <c r="Y375" s="506"/>
      <c r="Z375" s="506"/>
      <c r="AA375" s="506"/>
      <c r="AB375" s="506"/>
      <c r="AC375" s="506"/>
      <c r="AD375" s="506"/>
      <c r="AE375" s="506"/>
      <c r="AF375" s="506"/>
      <c r="AG375" s="506"/>
      <c r="AH375" s="506"/>
      <c r="AI375" s="506"/>
      <c r="AJ375" s="506"/>
      <c r="AK375" s="506"/>
      <c r="AL375" s="506"/>
      <c r="AM375" s="506"/>
      <c r="AN375" s="506"/>
    </row>
    <row r="376" spans="1:40" ht="15.75" hidden="1" customHeight="1">
      <c r="A376" s="494" t="s">
        <v>453</v>
      </c>
      <c r="B376" s="509" t="s">
        <v>119</v>
      </c>
      <c r="C376" s="529" t="s">
        <v>20</v>
      </c>
      <c r="D376" s="583"/>
      <c r="E376" s="603"/>
      <c r="F376" s="530">
        <v>0</v>
      </c>
      <c r="G376" s="584"/>
      <c r="H376" s="603"/>
      <c r="I376" s="530"/>
      <c r="J376" s="522"/>
      <c r="K376" s="603"/>
      <c r="L376" s="532">
        <v>0</v>
      </c>
      <c r="M376" s="522"/>
      <c r="N376" s="579"/>
      <c r="O376" s="522"/>
      <c r="P376" s="603"/>
      <c r="Q376" s="532">
        <v>0</v>
      </c>
      <c r="R376" s="522"/>
      <c r="S376" s="579">
        <v>0</v>
      </c>
      <c r="T376" s="506"/>
      <c r="U376" s="506"/>
      <c r="V376" s="509"/>
      <c r="W376" s="506"/>
      <c r="X376" s="506"/>
      <c r="Y376" s="506"/>
      <c r="Z376" s="506"/>
      <c r="AA376" s="506"/>
      <c r="AB376" s="506"/>
      <c r="AC376" s="506"/>
      <c r="AD376" s="506"/>
      <c r="AE376" s="506"/>
      <c r="AF376" s="506"/>
      <c r="AG376" s="506"/>
      <c r="AH376" s="506"/>
      <c r="AI376" s="506"/>
      <c r="AJ376" s="506"/>
      <c r="AK376" s="506"/>
      <c r="AL376" s="506"/>
      <c r="AM376" s="506"/>
      <c r="AN376" s="506"/>
    </row>
    <row r="377" spans="1:40" ht="15.75" hidden="1" customHeight="1">
      <c r="A377" s="494" t="s">
        <v>458</v>
      </c>
      <c r="B377" s="509" t="s">
        <v>119</v>
      </c>
      <c r="C377" s="588" t="s">
        <v>49</v>
      </c>
      <c r="D377" s="589" t="s">
        <v>39</v>
      </c>
      <c r="E377" s="590">
        <v>0</v>
      </c>
      <c r="F377" s="591">
        <v>0</v>
      </c>
      <c r="G377" s="592"/>
      <c r="H377" s="590"/>
      <c r="I377" s="591"/>
      <c r="J377" s="592" t="s">
        <v>39</v>
      </c>
      <c r="K377" s="590">
        <v>0</v>
      </c>
      <c r="L377" s="591">
        <v>0</v>
      </c>
      <c r="M377" s="646"/>
      <c r="N377" s="605"/>
      <c r="O377" s="592" t="s">
        <v>39</v>
      </c>
      <c r="P377" s="590">
        <v>0</v>
      </c>
      <c r="Q377" s="591">
        <v>0</v>
      </c>
      <c r="R377" s="646"/>
      <c r="S377" s="605">
        <v>0</v>
      </c>
      <c r="T377" s="506"/>
      <c r="U377" s="506"/>
      <c r="V377" s="509"/>
      <c r="W377" s="506"/>
      <c r="X377" s="506"/>
      <c r="Y377" s="506"/>
      <c r="Z377" s="506"/>
      <c r="AA377" s="506"/>
      <c r="AB377" s="506"/>
      <c r="AC377" s="506"/>
      <c r="AD377" s="506"/>
      <c r="AE377" s="506"/>
      <c r="AF377" s="506"/>
      <c r="AG377" s="506"/>
      <c r="AH377" s="506"/>
      <c r="AI377" s="506"/>
      <c r="AJ377" s="506"/>
      <c r="AK377" s="506"/>
      <c r="AL377" s="506"/>
      <c r="AM377" s="506"/>
      <c r="AN377" s="506"/>
    </row>
    <row r="378" spans="1:40" ht="15.75" hidden="1" customHeight="1">
      <c r="A378" s="494" t="s">
        <v>459</v>
      </c>
      <c r="B378" s="509" t="s">
        <v>119</v>
      </c>
      <c r="C378" s="703" t="s">
        <v>50</v>
      </c>
      <c r="D378" s="581"/>
      <c r="E378" s="509"/>
      <c r="F378" s="530">
        <v>0</v>
      </c>
      <c r="G378" s="582"/>
      <c r="H378" s="509"/>
      <c r="I378" s="530"/>
      <c r="J378" s="529"/>
      <c r="K378" s="509"/>
      <c r="L378" s="532">
        <v>0</v>
      </c>
      <c r="M378" s="529"/>
      <c r="N378" s="555"/>
      <c r="O378" s="529"/>
      <c r="P378" s="509"/>
      <c r="Q378" s="532">
        <v>0</v>
      </c>
      <c r="R378" s="529"/>
      <c r="S378" s="555">
        <v>0</v>
      </c>
      <c r="T378" s="506"/>
      <c r="U378" s="506"/>
      <c r="V378" s="509"/>
      <c r="W378" s="506"/>
      <c r="X378" s="506"/>
      <c r="Y378" s="506"/>
      <c r="Z378" s="506"/>
      <c r="AA378" s="506"/>
      <c r="AB378" s="506"/>
      <c r="AC378" s="506"/>
      <c r="AD378" s="506"/>
      <c r="AE378" s="506"/>
      <c r="AF378" s="506"/>
      <c r="AG378" s="506"/>
      <c r="AH378" s="506"/>
      <c r="AI378" s="506"/>
      <c r="AJ378" s="506"/>
      <c r="AK378" s="506"/>
      <c r="AL378" s="506"/>
      <c r="AM378" s="506"/>
      <c r="AN378" s="506"/>
    </row>
    <row r="379" spans="1:40" ht="15.75" hidden="1" customHeight="1">
      <c r="A379" s="494" t="s">
        <v>460</v>
      </c>
      <c r="B379" s="509" t="s">
        <v>119</v>
      </c>
      <c r="C379" s="596" t="s">
        <v>51</v>
      </c>
      <c r="D379" s="581"/>
      <c r="E379" s="509"/>
      <c r="F379" s="530">
        <v>0</v>
      </c>
      <c r="G379" s="582"/>
      <c r="H379" s="509"/>
      <c r="I379" s="530"/>
      <c r="J379" s="529"/>
      <c r="K379" s="509"/>
      <c r="L379" s="532">
        <v>0</v>
      </c>
      <c r="M379" s="529"/>
      <c r="N379" s="555"/>
      <c r="O379" s="529"/>
      <c r="P379" s="509"/>
      <c r="Q379" s="532">
        <v>0</v>
      </c>
      <c r="R379" s="529"/>
      <c r="S379" s="555">
        <v>0</v>
      </c>
      <c r="T379" s="506"/>
      <c r="U379" s="506"/>
      <c r="V379" s="509"/>
      <c r="W379" s="506"/>
      <c r="X379" s="506"/>
      <c r="Y379" s="506"/>
      <c r="Z379" s="506"/>
      <c r="AA379" s="506"/>
      <c r="AB379" s="506"/>
      <c r="AC379" s="506"/>
      <c r="AD379" s="506"/>
      <c r="AE379" s="506"/>
      <c r="AF379" s="506"/>
      <c r="AG379" s="506"/>
      <c r="AH379" s="506"/>
      <c r="AI379" s="506"/>
      <c r="AJ379" s="506"/>
      <c r="AK379" s="506"/>
      <c r="AL379" s="506"/>
      <c r="AM379" s="506"/>
      <c r="AN379" s="506"/>
    </row>
    <row r="380" spans="1:40" ht="15.75" hidden="1" customHeight="1">
      <c r="A380" s="494" t="s">
        <v>461</v>
      </c>
      <c r="B380" s="509" t="s">
        <v>119</v>
      </c>
      <c r="C380" s="598" t="s">
        <v>52</v>
      </c>
      <c r="D380" s="583"/>
      <c r="E380" s="603"/>
      <c r="F380" s="524">
        <v>0</v>
      </c>
      <c r="G380" s="584"/>
      <c r="H380" s="603"/>
      <c r="I380" s="524"/>
      <c r="J380" s="522"/>
      <c r="K380" s="603"/>
      <c r="L380" s="524">
        <v>0</v>
      </c>
      <c r="M380" s="522"/>
      <c r="N380" s="579"/>
      <c r="O380" s="522"/>
      <c r="P380" s="603"/>
      <c r="Q380" s="524">
        <v>0</v>
      </c>
      <c r="R380" s="522"/>
      <c r="S380" s="579">
        <v>0</v>
      </c>
      <c r="T380" s="506"/>
      <c r="U380" s="506"/>
      <c r="V380" s="509"/>
      <c r="W380" s="506"/>
      <c r="X380" s="506"/>
      <c r="Y380" s="506"/>
      <c r="Z380" s="506"/>
      <c r="AA380" s="506"/>
      <c r="AB380" s="506"/>
      <c r="AC380" s="506"/>
      <c r="AD380" s="506"/>
      <c r="AE380" s="506"/>
      <c r="AF380" s="506"/>
      <c r="AG380" s="506"/>
      <c r="AH380" s="506"/>
      <c r="AI380" s="506"/>
      <c r="AJ380" s="506"/>
      <c r="AK380" s="506"/>
      <c r="AL380" s="506"/>
      <c r="AM380" s="506"/>
      <c r="AN380" s="506"/>
    </row>
    <row r="381" spans="1:40" ht="15.75" hidden="1" customHeight="1">
      <c r="A381" s="494" t="s">
        <v>462</v>
      </c>
      <c r="B381" s="509" t="s">
        <v>119</v>
      </c>
      <c r="C381" s="596" t="s">
        <v>53</v>
      </c>
      <c r="D381" s="581"/>
      <c r="E381" s="509"/>
      <c r="F381" s="530">
        <v>0</v>
      </c>
      <c r="G381" s="582"/>
      <c r="H381" s="509"/>
      <c r="I381" s="530"/>
      <c r="J381" s="529"/>
      <c r="K381" s="509"/>
      <c r="L381" s="532">
        <v>0</v>
      </c>
      <c r="M381" s="529"/>
      <c r="N381" s="555"/>
      <c r="O381" s="529"/>
      <c r="P381" s="509"/>
      <c r="Q381" s="532">
        <v>0</v>
      </c>
      <c r="R381" s="529"/>
      <c r="S381" s="555">
        <v>0</v>
      </c>
      <c r="T381" s="506"/>
      <c r="U381" s="506"/>
      <c r="V381" s="509"/>
      <c r="W381" s="506"/>
      <c r="X381" s="506"/>
      <c r="Y381" s="506"/>
      <c r="Z381" s="506"/>
      <c r="AA381" s="506"/>
      <c r="AB381" s="506"/>
      <c r="AC381" s="506"/>
      <c r="AD381" s="506"/>
      <c r="AE381" s="506"/>
      <c r="AF381" s="506"/>
      <c r="AG381" s="506"/>
      <c r="AH381" s="506"/>
      <c r="AI381" s="506"/>
      <c r="AJ381" s="506"/>
      <c r="AK381" s="506"/>
      <c r="AL381" s="506"/>
      <c r="AM381" s="506"/>
      <c r="AN381" s="506"/>
    </row>
    <row r="382" spans="1:40" ht="15.75" hidden="1" customHeight="1">
      <c r="A382" s="494" t="s">
        <v>463</v>
      </c>
      <c r="B382" s="509" t="s">
        <v>119</v>
      </c>
      <c r="C382" s="596" t="s">
        <v>54</v>
      </c>
      <c r="D382" s="581"/>
      <c r="E382" s="509"/>
      <c r="F382" s="530">
        <v>0</v>
      </c>
      <c r="G382" s="582"/>
      <c r="H382" s="509"/>
      <c r="I382" s="530"/>
      <c r="J382" s="529"/>
      <c r="K382" s="509"/>
      <c r="L382" s="532">
        <v>0</v>
      </c>
      <c r="M382" s="529"/>
      <c r="N382" s="555"/>
      <c r="O382" s="529"/>
      <c r="P382" s="509"/>
      <c r="Q382" s="532">
        <v>0</v>
      </c>
      <c r="R382" s="529"/>
      <c r="S382" s="555">
        <v>0</v>
      </c>
      <c r="T382" s="506"/>
      <c r="U382" s="506"/>
      <c r="V382" s="509"/>
      <c r="W382" s="506"/>
      <c r="X382" s="506"/>
      <c r="Y382" s="506"/>
      <c r="Z382" s="506"/>
      <c r="AA382" s="506"/>
      <c r="AB382" s="506"/>
      <c r="AC382" s="506"/>
      <c r="AD382" s="506"/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</row>
    <row r="383" spans="1:40" ht="15.75" hidden="1" customHeight="1">
      <c r="A383" s="494" t="s">
        <v>464</v>
      </c>
      <c r="B383" s="509" t="s">
        <v>119</v>
      </c>
      <c r="C383" s="596" t="s">
        <v>55</v>
      </c>
      <c r="D383" s="583"/>
      <c r="E383" s="603"/>
      <c r="F383" s="524">
        <v>0</v>
      </c>
      <c r="G383" s="584"/>
      <c r="H383" s="603"/>
      <c r="I383" s="524"/>
      <c r="J383" s="522"/>
      <c r="K383" s="603"/>
      <c r="L383" s="524">
        <v>0</v>
      </c>
      <c r="M383" s="522"/>
      <c r="N383" s="579"/>
      <c r="O383" s="522"/>
      <c r="P383" s="603"/>
      <c r="Q383" s="524">
        <v>0</v>
      </c>
      <c r="R383" s="522"/>
      <c r="S383" s="579">
        <v>0</v>
      </c>
      <c r="T383" s="506"/>
      <c r="U383" s="506"/>
      <c r="V383" s="509"/>
      <c r="W383" s="506"/>
      <c r="X383" s="506"/>
      <c r="Y383" s="506"/>
      <c r="Z383" s="506"/>
      <c r="AA383" s="506"/>
      <c r="AB383" s="506"/>
      <c r="AC383" s="506"/>
      <c r="AD383" s="506"/>
      <c r="AE383" s="506"/>
      <c r="AF383" s="506"/>
      <c r="AG383" s="506"/>
      <c r="AH383" s="506"/>
      <c r="AI383" s="506"/>
      <c r="AJ383" s="506"/>
      <c r="AK383" s="506"/>
      <c r="AL383" s="506"/>
      <c r="AM383" s="506"/>
      <c r="AN383" s="506"/>
    </row>
    <row r="384" spans="1:40" ht="20.25" hidden="1" customHeight="1">
      <c r="A384" s="494" t="s">
        <v>465</v>
      </c>
      <c r="B384" s="509" t="s">
        <v>119</v>
      </c>
      <c r="C384" s="703" t="s">
        <v>56</v>
      </c>
      <c r="D384" s="581"/>
      <c r="E384" s="509"/>
      <c r="F384" s="530">
        <v>0</v>
      </c>
      <c r="G384" s="582"/>
      <c r="H384" s="509"/>
      <c r="I384" s="530"/>
      <c r="J384" s="529"/>
      <c r="K384" s="509"/>
      <c r="L384" s="532">
        <v>0</v>
      </c>
      <c r="M384" s="529"/>
      <c r="N384" s="555"/>
      <c r="O384" s="529"/>
      <c r="P384" s="509"/>
      <c r="Q384" s="532">
        <v>0</v>
      </c>
      <c r="R384" s="529"/>
      <c r="S384" s="555">
        <v>0</v>
      </c>
      <c r="T384" s="506"/>
      <c r="U384" s="506"/>
      <c r="V384" s="509"/>
      <c r="W384" s="506"/>
      <c r="X384" s="506"/>
      <c r="Y384" s="506"/>
      <c r="Z384" s="506"/>
      <c r="AA384" s="506"/>
      <c r="AB384" s="506"/>
      <c r="AC384" s="506"/>
      <c r="AD384" s="506"/>
      <c r="AE384" s="506"/>
      <c r="AF384" s="506"/>
      <c r="AG384" s="506"/>
      <c r="AH384" s="506"/>
      <c r="AI384" s="506"/>
      <c r="AJ384" s="506"/>
      <c r="AK384" s="506"/>
      <c r="AL384" s="506"/>
      <c r="AM384" s="506"/>
      <c r="AN384" s="506"/>
    </row>
    <row r="385" spans="1:40" ht="20.25" hidden="1" customHeight="1">
      <c r="A385" s="494" t="s">
        <v>466</v>
      </c>
      <c r="B385" s="509" t="s">
        <v>119</v>
      </c>
      <c r="C385" s="596" t="s">
        <v>57</v>
      </c>
      <c r="D385" s="581"/>
      <c r="E385" s="509"/>
      <c r="F385" s="530">
        <v>0</v>
      </c>
      <c r="G385" s="582"/>
      <c r="H385" s="509"/>
      <c r="I385" s="530"/>
      <c r="J385" s="529"/>
      <c r="K385" s="509"/>
      <c r="L385" s="532">
        <v>0</v>
      </c>
      <c r="M385" s="529"/>
      <c r="N385" s="555"/>
      <c r="O385" s="529"/>
      <c r="P385" s="509"/>
      <c r="Q385" s="532">
        <v>0</v>
      </c>
      <c r="R385" s="529"/>
      <c r="S385" s="555">
        <v>0</v>
      </c>
      <c r="T385" s="506"/>
      <c r="U385" s="506"/>
      <c r="V385" s="509"/>
      <c r="W385" s="506"/>
      <c r="X385" s="506"/>
      <c r="Y385" s="506"/>
      <c r="Z385" s="506"/>
      <c r="AA385" s="506"/>
      <c r="AB385" s="506"/>
      <c r="AC385" s="506"/>
      <c r="AD385" s="506"/>
      <c r="AE385" s="506"/>
      <c r="AF385" s="506"/>
      <c r="AG385" s="506"/>
      <c r="AH385" s="506"/>
      <c r="AI385" s="506"/>
      <c r="AJ385" s="506"/>
      <c r="AK385" s="506"/>
      <c r="AL385" s="506"/>
      <c r="AM385" s="506"/>
      <c r="AN385" s="506"/>
    </row>
    <row r="386" spans="1:40" ht="20.25" hidden="1" customHeight="1">
      <c r="A386" s="494" t="s">
        <v>467</v>
      </c>
      <c r="B386" s="509" t="s">
        <v>119</v>
      </c>
      <c r="C386" s="596" t="s">
        <v>58</v>
      </c>
      <c r="D386" s="581"/>
      <c r="E386" s="509"/>
      <c r="F386" s="530">
        <v>0</v>
      </c>
      <c r="G386" s="582"/>
      <c r="H386" s="509"/>
      <c r="I386" s="530"/>
      <c r="J386" s="529"/>
      <c r="K386" s="509"/>
      <c r="L386" s="532">
        <v>0</v>
      </c>
      <c r="M386" s="529"/>
      <c r="N386" s="555"/>
      <c r="O386" s="529"/>
      <c r="P386" s="509"/>
      <c r="Q386" s="532">
        <v>0</v>
      </c>
      <c r="R386" s="529"/>
      <c r="S386" s="555">
        <v>0</v>
      </c>
      <c r="T386" s="506"/>
      <c r="U386" s="506"/>
      <c r="V386" s="509"/>
      <c r="W386" s="506"/>
      <c r="X386" s="506"/>
      <c r="Y386" s="506"/>
      <c r="Z386" s="506"/>
      <c r="AA386" s="506"/>
      <c r="AB386" s="506"/>
      <c r="AC386" s="506"/>
      <c r="AD386" s="506"/>
      <c r="AE386" s="506"/>
      <c r="AF386" s="506"/>
      <c r="AG386" s="506"/>
      <c r="AH386" s="506"/>
      <c r="AI386" s="506"/>
      <c r="AJ386" s="506"/>
      <c r="AK386" s="506"/>
      <c r="AL386" s="506"/>
      <c r="AM386" s="506"/>
      <c r="AN386" s="506"/>
    </row>
    <row r="387" spans="1:40" ht="20.25" hidden="1" customHeight="1">
      <c r="A387" s="494" t="s">
        <v>468</v>
      </c>
      <c r="B387" s="509" t="s">
        <v>119</v>
      </c>
      <c r="C387" s="596" t="s">
        <v>59</v>
      </c>
      <c r="D387" s="581"/>
      <c r="E387" s="509"/>
      <c r="F387" s="530">
        <v>0</v>
      </c>
      <c r="G387" s="582"/>
      <c r="H387" s="509"/>
      <c r="I387" s="530"/>
      <c r="J387" s="529"/>
      <c r="K387" s="509"/>
      <c r="L387" s="532">
        <v>0</v>
      </c>
      <c r="M387" s="529"/>
      <c r="N387" s="555"/>
      <c r="O387" s="529"/>
      <c r="P387" s="509"/>
      <c r="Q387" s="532">
        <v>0</v>
      </c>
      <c r="R387" s="529"/>
      <c r="S387" s="555">
        <v>0</v>
      </c>
      <c r="T387" s="506"/>
      <c r="U387" s="506"/>
      <c r="V387" s="509"/>
      <c r="W387" s="506"/>
      <c r="X387" s="506"/>
      <c r="Y387" s="506"/>
      <c r="Z387" s="506"/>
      <c r="AA387" s="506"/>
      <c r="AB387" s="506"/>
      <c r="AC387" s="506"/>
      <c r="AD387" s="506"/>
      <c r="AE387" s="506"/>
      <c r="AF387" s="506"/>
      <c r="AG387" s="506"/>
      <c r="AH387" s="506"/>
      <c r="AI387" s="506"/>
      <c r="AJ387" s="506"/>
      <c r="AK387" s="506"/>
      <c r="AL387" s="506"/>
      <c r="AM387" s="506"/>
      <c r="AN387" s="506"/>
    </row>
    <row r="388" spans="1:40" ht="20.25" hidden="1" customHeight="1">
      <c r="A388" s="494" t="s">
        <v>469</v>
      </c>
      <c r="B388" s="509" t="s">
        <v>119</v>
      </c>
      <c r="C388" s="596" t="s">
        <v>60</v>
      </c>
      <c r="D388" s="581"/>
      <c r="E388" s="509"/>
      <c r="F388" s="530">
        <v>0</v>
      </c>
      <c r="G388" s="582"/>
      <c r="H388" s="509"/>
      <c r="I388" s="530"/>
      <c r="J388" s="529"/>
      <c r="K388" s="509"/>
      <c r="L388" s="532">
        <v>0</v>
      </c>
      <c r="M388" s="529"/>
      <c r="N388" s="555"/>
      <c r="O388" s="529"/>
      <c r="P388" s="509"/>
      <c r="Q388" s="532">
        <v>0</v>
      </c>
      <c r="R388" s="529"/>
      <c r="S388" s="555">
        <v>0</v>
      </c>
      <c r="T388" s="506"/>
      <c r="U388" s="506"/>
      <c r="V388" s="509"/>
      <c r="W388" s="506"/>
      <c r="X388" s="506"/>
      <c r="Y388" s="506"/>
      <c r="Z388" s="506"/>
      <c r="AA388" s="506"/>
      <c r="AB388" s="506"/>
      <c r="AC388" s="506"/>
      <c r="AD388" s="506"/>
      <c r="AE388" s="506"/>
      <c r="AF388" s="506"/>
      <c r="AG388" s="506"/>
      <c r="AH388" s="506"/>
      <c r="AI388" s="506"/>
      <c r="AJ388" s="506"/>
      <c r="AK388" s="506"/>
      <c r="AL388" s="506"/>
      <c r="AM388" s="506"/>
      <c r="AN388" s="506"/>
    </row>
    <row r="389" spans="1:40" ht="20.25" hidden="1" customHeight="1">
      <c r="A389" s="494" t="s">
        <v>470</v>
      </c>
      <c r="B389" s="509" t="s">
        <v>119</v>
      </c>
      <c r="C389" s="596" t="s">
        <v>61</v>
      </c>
      <c r="D389" s="581"/>
      <c r="E389" s="509"/>
      <c r="F389" s="530">
        <v>0</v>
      </c>
      <c r="G389" s="582"/>
      <c r="H389" s="509"/>
      <c r="I389" s="530"/>
      <c r="J389" s="529"/>
      <c r="K389" s="509"/>
      <c r="L389" s="532">
        <v>0</v>
      </c>
      <c r="M389" s="529"/>
      <c r="N389" s="555"/>
      <c r="O389" s="529"/>
      <c r="P389" s="509"/>
      <c r="Q389" s="532">
        <v>0</v>
      </c>
      <c r="R389" s="529"/>
      <c r="S389" s="555">
        <v>0</v>
      </c>
      <c r="T389" s="506"/>
      <c r="U389" s="506"/>
      <c r="V389" s="509"/>
      <c r="W389" s="506"/>
      <c r="X389" s="506"/>
      <c r="Y389" s="506"/>
      <c r="Z389" s="506"/>
      <c r="AA389" s="506"/>
      <c r="AB389" s="506"/>
      <c r="AC389" s="506"/>
      <c r="AD389" s="506"/>
      <c r="AE389" s="506"/>
      <c r="AF389" s="506"/>
      <c r="AG389" s="506"/>
      <c r="AH389" s="506"/>
      <c r="AI389" s="506"/>
      <c r="AJ389" s="506"/>
      <c r="AK389" s="506"/>
      <c r="AL389" s="506"/>
      <c r="AM389" s="506"/>
      <c r="AN389" s="506"/>
    </row>
    <row r="390" spans="1:40" ht="20.25" hidden="1" customHeight="1">
      <c r="A390" s="494" t="s">
        <v>471</v>
      </c>
      <c r="B390" s="509" t="s">
        <v>119</v>
      </c>
      <c r="C390" s="596" t="s">
        <v>62</v>
      </c>
      <c r="D390" s="581"/>
      <c r="E390" s="509"/>
      <c r="F390" s="530">
        <v>0</v>
      </c>
      <c r="G390" s="582"/>
      <c r="H390" s="509"/>
      <c r="I390" s="530"/>
      <c r="J390" s="529"/>
      <c r="K390" s="509"/>
      <c r="L390" s="532">
        <v>0</v>
      </c>
      <c r="M390" s="529"/>
      <c r="N390" s="555"/>
      <c r="O390" s="529"/>
      <c r="P390" s="509"/>
      <c r="Q390" s="532">
        <v>0</v>
      </c>
      <c r="R390" s="529"/>
      <c r="S390" s="555">
        <v>0</v>
      </c>
      <c r="T390" s="506"/>
      <c r="U390" s="506"/>
      <c r="V390" s="509"/>
      <c r="W390" s="506"/>
      <c r="X390" s="506"/>
      <c r="Y390" s="506"/>
      <c r="Z390" s="506"/>
      <c r="AA390" s="506"/>
      <c r="AB390" s="506"/>
      <c r="AC390" s="506"/>
      <c r="AD390" s="506"/>
      <c r="AE390" s="506"/>
      <c r="AF390" s="506"/>
      <c r="AG390" s="506"/>
      <c r="AH390" s="506"/>
      <c r="AI390" s="506"/>
      <c r="AJ390" s="506"/>
      <c r="AK390" s="506"/>
      <c r="AL390" s="506"/>
      <c r="AM390" s="506"/>
      <c r="AN390" s="506"/>
    </row>
    <row r="391" spans="1:40" ht="20.25" hidden="1" customHeight="1">
      <c r="A391" s="494" t="s">
        <v>472</v>
      </c>
      <c r="B391" s="509" t="s">
        <v>119</v>
      </c>
      <c r="C391" s="596" t="s">
        <v>63</v>
      </c>
      <c r="D391" s="581"/>
      <c r="E391" s="509"/>
      <c r="F391" s="530">
        <v>0</v>
      </c>
      <c r="G391" s="582"/>
      <c r="H391" s="509"/>
      <c r="I391" s="530"/>
      <c r="J391" s="529"/>
      <c r="K391" s="509"/>
      <c r="L391" s="532">
        <v>0</v>
      </c>
      <c r="M391" s="529"/>
      <c r="N391" s="555"/>
      <c r="O391" s="529"/>
      <c r="P391" s="509"/>
      <c r="Q391" s="532">
        <v>0</v>
      </c>
      <c r="R391" s="529"/>
      <c r="S391" s="555">
        <v>0</v>
      </c>
      <c r="T391" s="506"/>
      <c r="U391" s="506"/>
      <c r="V391" s="509"/>
      <c r="W391" s="506"/>
      <c r="X391" s="506"/>
      <c r="Y391" s="506"/>
      <c r="Z391" s="506"/>
      <c r="AA391" s="506"/>
      <c r="AB391" s="506"/>
      <c r="AC391" s="506"/>
      <c r="AD391" s="506"/>
      <c r="AE391" s="506"/>
      <c r="AF391" s="506"/>
      <c r="AG391" s="506"/>
      <c r="AH391" s="506"/>
      <c r="AI391" s="506"/>
      <c r="AJ391" s="506"/>
      <c r="AK391" s="506"/>
      <c r="AL391" s="506"/>
      <c r="AM391" s="506"/>
      <c r="AN391" s="506"/>
    </row>
    <row r="392" spans="1:40" ht="15.75" hidden="1" customHeight="1">
      <c r="A392" s="494" t="s">
        <v>453</v>
      </c>
      <c r="B392" s="509" t="s">
        <v>119</v>
      </c>
      <c r="C392" s="596" t="s">
        <v>20</v>
      </c>
      <c r="D392" s="581"/>
      <c r="E392" s="509"/>
      <c r="F392" s="530">
        <v>0</v>
      </c>
      <c r="G392" s="582"/>
      <c r="H392" s="509"/>
      <c r="I392" s="530"/>
      <c r="J392" s="529"/>
      <c r="K392" s="509"/>
      <c r="L392" s="532">
        <v>0</v>
      </c>
      <c r="M392" s="529"/>
      <c r="N392" s="555"/>
      <c r="O392" s="529"/>
      <c r="P392" s="509"/>
      <c r="Q392" s="532">
        <v>0</v>
      </c>
      <c r="R392" s="529"/>
      <c r="S392" s="555">
        <v>0</v>
      </c>
      <c r="T392" s="506"/>
      <c r="U392" s="506"/>
      <c r="V392" s="509"/>
      <c r="W392" s="506"/>
      <c r="X392" s="506"/>
      <c r="Y392" s="506"/>
      <c r="Z392" s="506"/>
      <c r="AA392" s="506"/>
      <c r="AB392" s="506"/>
      <c r="AC392" s="506"/>
      <c r="AD392" s="506"/>
      <c r="AE392" s="506"/>
      <c r="AF392" s="506"/>
      <c r="AG392" s="506"/>
      <c r="AH392" s="506"/>
      <c r="AI392" s="506"/>
      <c r="AJ392" s="506"/>
      <c r="AK392" s="506"/>
      <c r="AL392" s="506"/>
      <c r="AM392" s="506"/>
      <c r="AN392" s="506"/>
    </row>
    <row r="393" spans="1:40" ht="15.75" hidden="1" customHeight="1">
      <c r="A393" s="494" t="s">
        <v>453</v>
      </c>
      <c r="B393" s="509" t="s">
        <v>119</v>
      </c>
      <c r="C393" s="596" t="s">
        <v>20</v>
      </c>
      <c r="D393" s="581"/>
      <c r="E393" s="509"/>
      <c r="F393" s="530">
        <v>0</v>
      </c>
      <c r="G393" s="582"/>
      <c r="H393" s="509"/>
      <c r="I393" s="530"/>
      <c r="J393" s="529"/>
      <c r="K393" s="509"/>
      <c r="L393" s="532">
        <v>0</v>
      </c>
      <c r="M393" s="529"/>
      <c r="N393" s="555"/>
      <c r="O393" s="529"/>
      <c r="P393" s="509"/>
      <c r="Q393" s="532">
        <v>0</v>
      </c>
      <c r="R393" s="529"/>
      <c r="S393" s="555">
        <v>0</v>
      </c>
      <c r="T393" s="506"/>
      <c r="U393" s="506"/>
      <c r="V393" s="509"/>
      <c r="W393" s="506"/>
      <c r="X393" s="506"/>
      <c r="Y393" s="506"/>
      <c r="Z393" s="506"/>
      <c r="AA393" s="506"/>
      <c r="AB393" s="506"/>
      <c r="AC393" s="506"/>
      <c r="AD393" s="506"/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</row>
    <row r="394" spans="1:40" ht="15.75" hidden="1" customHeight="1">
      <c r="A394" s="494" t="s">
        <v>453</v>
      </c>
      <c r="B394" s="509" t="s">
        <v>119</v>
      </c>
      <c r="C394" s="596" t="s">
        <v>20</v>
      </c>
      <c r="D394" s="583"/>
      <c r="E394" s="603"/>
      <c r="F394" s="530">
        <v>0</v>
      </c>
      <c r="G394" s="584"/>
      <c r="H394" s="603"/>
      <c r="I394" s="530"/>
      <c r="J394" s="522"/>
      <c r="K394" s="603"/>
      <c r="L394" s="532">
        <v>0</v>
      </c>
      <c r="M394" s="522"/>
      <c r="N394" s="579"/>
      <c r="O394" s="522"/>
      <c r="P394" s="603"/>
      <c r="Q394" s="532">
        <v>0</v>
      </c>
      <c r="R394" s="522"/>
      <c r="S394" s="579">
        <v>0</v>
      </c>
      <c r="T394" s="506"/>
      <c r="U394" s="506"/>
      <c r="V394" s="509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</row>
    <row r="395" spans="1:40" ht="15.75" hidden="1" customHeight="1">
      <c r="B395" s="503"/>
      <c r="C395" s="588" t="s">
        <v>64</v>
      </c>
      <c r="D395" s="589" t="s">
        <v>39</v>
      </c>
      <c r="E395" s="590">
        <v>0</v>
      </c>
      <c r="F395" s="591">
        <v>0</v>
      </c>
      <c r="G395" s="592"/>
      <c r="H395" s="590"/>
      <c r="I395" s="591"/>
      <c r="J395" s="592" t="s">
        <v>39</v>
      </c>
      <c r="K395" s="590">
        <v>0</v>
      </c>
      <c r="L395" s="591">
        <v>0</v>
      </c>
      <c r="M395" s="646"/>
      <c r="N395" s="591"/>
      <c r="O395" s="592" t="s">
        <v>39</v>
      </c>
      <c r="P395" s="590">
        <v>0</v>
      </c>
      <c r="Q395" s="591">
        <v>0</v>
      </c>
      <c r="R395" s="646"/>
      <c r="S395" s="605">
        <v>0</v>
      </c>
      <c r="T395" s="506"/>
      <c r="U395" s="506"/>
      <c r="V395" s="509"/>
      <c r="W395" s="506"/>
      <c r="X395" s="506"/>
      <c r="Y395" s="506"/>
      <c r="Z395" s="506"/>
      <c r="AA395" s="506"/>
      <c r="AB395" s="506"/>
      <c r="AC395" s="506"/>
      <c r="AD395" s="506"/>
      <c r="AE395" s="506"/>
      <c r="AF395" s="506"/>
      <c r="AG395" s="506"/>
      <c r="AH395" s="506"/>
      <c r="AI395" s="506"/>
      <c r="AJ395" s="506"/>
      <c r="AK395" s="506"/>
      <c r="AL395" s="506"/>
      <c r="AM395" s="506"/>
      <c r="AN395" s="506"/>
    </row>
    <row r="396" spans="1:40" ht="15.75" hidden="1" customHeight="1">
      <c r="B396" s="503"/>
      <c r="C396" s="529"/>
      <c r="D396" s="509"/>
      <c r="E396" s="509"/>
      <c r="F396" s="539"/>
      <c r="G396" s="529"/>
      <c r="H396" s="509"/>
      <c r="I396" s="539"/>
      <c r="J396" s="529"/>
      <c r="K396" s="509"/>
      <c r="L396" s="539"/>
      <c r="M396" s="548"/>
      <c r="N396" s="569"/>
      <c r="O396" s="529"/>
      <c r="P396" s="509"/>
      <c r="Q396" s="539"/>
      <c r="R396" s="529"/>
      <c r="S396" s="569"/>
      <c r="T396" s="506"/>
      <c r="U396" s="506"/>
      <c r="V396" s="509"/>
      <c r="W396" s="506"/>
      <c r="X396" s="506"/>
      <c r="Y396" s="506"/>
      <c r="Z396" s="506"/>
      <c r="AA396" s="506"/>
      <c r="AB396" s="506"/>
      <c r="AC396" s="506"/>
      <c r="AD396" s="506"/>
      <c r="AE396" s="506"/>
      <c r="AF396" s="506"/>
      <c r="AG396" s="506"/>
      <c r="AH396" s="506"/>
      <c r="AI396" s="506"/>
      <c r="AJ396" s="506"/>
      <c r="AK396" s="506"/>
      <c r="AL396" s="506"/>
      <c r="AM396" s="506"/>
      <c r="AN396" s="506"/>
    </row>
    <row r="397" spans="1:40" ht="15.75" hidden="1" customHeight="1">
      <c r="B397" s="503"/>
      <c r="C397" s="588" t="s">
        <v>65</v>
      </c>
      <c r="D397" s="589" t="s">
        <v>39</v>
      </c>
      <c r="E397" s="590">
        <v>0</v>
      </c>
      <c r="F397" s="591">
        <v>0</v>
      </c>
      <c r="G397" s="592"/>
      <c r="H397" s="590"/>
      <c r="I397" s="591"/>
      <c r="J397" s="592" t="s">
        <v>39</v>
      </c>
      <c r="K397" s="590">
        <v>0</v>
      </c>
      <c r="L397" s="591">
        <v>0</v>
      </c>
      <c r="M397" s="588"/>
      <c r="N397" s="591"/>
      <c r="O397" s="592" t="s">
        <v>39</v>
      </c>
      <c r="P397" s="590">
        <v>0</v>
      </c>
      <c r="Q397" s="591">
        <v>0</v>
      </c>
      <c r="R397" s="595"/>
      <c r="S397" s="591">
        <v>0</v>
      </c>
      <c r="T397" s="506"/>
      <c r="U397" s="506"/>
      <c r="V397" s="509"/>
      <c r="W397" s="506"/>
      <c r="X397" s="506"/>
      <c r="Y397" s="506"/>
      <c r="Z397" s="506"/>
      <c r="AA397" s="506"/>
      <c r="AB397" s="506"/>
      <c r="AC397" s="506"/>
      <c r="AD397" s="506"/>
      <c r="AE397" s="506"/>
      <c r="AF397" s="506"/>
      <c r="AG397" s="506"/>
      <c r="AH397" s="506"/>
      <c r="AI397" s="506"/>
      <c r="AJ397" s="506"/>
      <c r="AK397" s="506"/>
      <c r="AL397" s="506"/>
      <c r="AM397" s="506"/>
      <c r="AN397" s="506"/>
    </row>
    <row r="398" spans="1:40" ht="15.75" hidden="1" customHeight="1">
      <c r="B398" s="503"/>
      <c r="C398" s="529"/>
      <c r="D398" s="509"/>
      <c r="E398" s="509"/>
      <c r="F398" s="555"/>
      <c r="G398" s="529"/>
      <c r="H398" s="509"/>
      <c r="I398" s="555"/>
      <c r="J398" s="529"/>
      <c r="K398" s="509"/>
      <c r="L398" s="555"/>
      <c r="M398" s="548"/>
      <c r="N398" s="569"/>
      <c r="O398" s="529"/>
      <c r="P398" s="509"/>
      <c r="Q398" s="555"/>
      <c r="R398" s="529"/>
      <c r="S398" s="569"/>
      <c r="T398" s="506"/>
      <c r="U398" s="506"/>
      <c r="V398" s="509"/>
      <c r="W398" s="506"/>
      <c r="X398" s="506"/>
      <c r="Y398" s="506"/>
      <c r="Z398" s="506"/>
      <c r="AA398" s="506"/>
      <c r="AB398" s="506"/>
      <c r="AC398" s="506"/>
      <c r="AD398" s="506"/>
      <c r="AE398" s="506"/>
      <c r="AF398" s="506"/>
      <c r="AG398" s="506"/>
      <c r="AH398" s="506"/>
      <c r="AI398" s="506"/>
      <c r="AJ398" s="506"/>
      <c r="AK398" s="506"/>
      <c r="AL398" s="506"/>
      <c r="AM398" s="506"/>
      <c r="AN398" s="506"/>
    </row>
    <row r="399" spans="1:40" ht="15.75" hidden="1" customHeight="1">
      <c r="B399" s="503"/>
      <c r="C399" s="726" t="s">
        <v>72</v>
      </c>
      <c r="D399" s="727"/>
      <c r="E399" s="727"/>
      <c r="F399" s="728">
        <v>0</v>
      </c>
      <c r="G399" s="726"/>
      <c r="H399" s="727"/>
      <c r="I399" s="728"/>
      <c r="J399" s="729"/>
      <c r="K399" s="730"/>
      <c r="L399" s="728">
        <v>0</v>
      </c>
      <c r="M399" s="726"/>
      <c r="N399" s="728"/>
      <c r="O399" s="729"/>
      <c r="P399" s="730"/>
      <c r="Q399" s="728">
        <v>0</v>
      </c>
      <c r="R399" s="729"/>
      <c r="S399" s="728">
        <v>0</v>
      </c>
      <c r="T399" s="506"/>
      <c r="U399" s="506"/>
      <c r="V399" s="509"/>
      <c r="W399" s="506"/>
      <c r="X399" s="506"/>
      <c r="Y399" s="506"/>
      <c r="Z399" s="506"/>
      <c r="AA399" s="506"/>
      <c r="AB399" s="506"/>
      <c r="AC399" s="506"/>
      <c r="AD399" s="506"/>
      <c r="AE399" s="506"/>
      <c r="AF399" s="506"/>
      <c r="AG399" s="506"/>
      <c r="AH399" s="506"/>
      <c r="AI399" s="506"/>
      <c r="AJ399" s="506"/>
      <c r="AK399" s="506"/>
      <c r="AL399" s="506"/>
      <c r="AM399" s="506"/>
      <c r="AN399" s="506"/>
    </row>
    <row r="400" spans="1:40" ht="15.75" customHeight="1">
      <c r="B400" s="503"/>
      <c r="C400" s="568"/>
      <c r="D400" s="731"/>
      <c r="E400" s="509"/>
      <c r="F400" s="604">
        <v>196227.94803599827</v>
      </c>
      <c r="G400" s="581"/>
      <c r="H400" s="509"/>
      <c r="I400" s="604"/>
      <c r="J400" s="731"/>
      <c r="K400" s="568"/>
      <c r="L400" s="604">
        <v>111390.27000000003</v>
      </c>
      <c r="M400" s="568"/>
      <c r="N400" s="604"/>
      <c r="O400" s="568"/>
      <c r="P400" s="568"/>
      <c r="Q400" s="604"/>
      <c r="R400" s="568"/>
      <c r="S400" s="604"/>
      <c r="T400" s="509"/>
      <c r="U400" s="509"/>
      <c r="V400" s="509"/>
      <c r="W400" s="509"/>
      <c r="X400" s="509"/>
      <c r="Y400" s="509"/>
      <c r="Z400" s="509"/>
      <c r="AA400" s="509"/>
      <c r="AB400" s="509"/>
      <c r="AC400" s="509"/>
      <c r="AD400" s="509"/>
      <c r="AE400" s="509"/>
      <c r="AF400" s="509"/>
      <c r="AG400" s="509"/>
      <c r="AH400" s="509"/>
      <c r="AI400" s="509"/>
      <c r="AJ400" s="509"/>
      <c r="AK400" s="509"/>
      <c r="AL400" s="509"/>
      <c r="AM400" s="509"/>
      <c r="AN400" s="509"/>
    </row>
    <row r="401" spans="1:61" ht="15.75" customHeight="1">
      <c r="B401" s="503"/>
      <c r="F401" s="732"/>
      <c r="L401" s="732"/>
      <c r="V401" s="509"/>
      <c r="W401" s="506"/>
      <c r="X401" s="506"/>
      <c r="Y401" s="506"/>
      <c r="Z401" s="506"/>
      <c r="AA401" s="506"/>
      <c r="AB401" s="506"/>
      <c r="AC401" s="506"/>
      <c r="AD401" s="506"/>
      <c r="AE401" s="506"/>
      <c r="AF401" s="506"/>
      <c r="AG401" s="506"/>
      <c r="AH401" s="506"/>
      <c r="AI401" s="506"/>
      <c r="AJ401" s="506"/>
      <c r="AK401" s="506"/>
      <c r="AL401" s="506"/>
      <c r="AM401" s="506"/>
      <c r="AN401" s="506"/>
    </row>
    <row r="402" spans="1:61" ht="35.4">
      <c r="B402" s="503"/>
      <c r="C402" s="733" t="s">
        <v>473</v>
      </c>
      <c r="F402" s="732"/>
      <c r="L402" s="732"/>
      <c r="V402" s="734" t="s">
        <v>477</v>
      </c>
      <c r="W402" s="495"/>
      <c r="X402" s="495"/>
      <c r="Y402" s="495"/>
      <c r="Z402" s="495"/>
      <c r="AA402" s="495"/>
      <c r="AB402" s="495"/>
      <c r="AC402" s="495"/>
      <c r="AD402" s="495"/>
      <c r="AE402" s="497" t="s">
        <v>474</v>
      </c>
      <c r="AF402" s="495"/>
      <c r="AG402" s="495"/>
      <c r="AH402" s="495"/>
      <c r="AI402" s="495"/>
      <c r="AJ402" s="735"/>
      <c r="AK402" s="497"/>
      <c r="AL402" s="495"/>
      <c r="AM402" s="495"/>
      <c r="AN402" s="495"/>
      <c r="AO402" s="735" t="s">
        <v>484</v>
      </c>
      <c r="AP402" s="506"/>
      <c r="AQ402" s="506"/>
      <c r="AR402" s="506"/>
      <c r="AS402" s="506"/>
      <c r="AT402" s="506"/>
      <c r="AU402" s="506"/>
      <c r="AV402" s="506"/>
      <c r="AW402" s="506"/>
      <c r="AX402" s="506"/>
      <c r="AY402" s="506"/>
      <c r="AZ402" s="506"/>
      <c r="BA402" s="506"/>
      <c r="BB402" s="506"/>
      <c r="BC402" s="506"/>
      <c r="BD402" s="506"/>
      <c r="BE402" s="506"/>
      <c r="BF402" s="506"/>
      <c r="BG402" s="506"/>
      <c r="BH402" s="506"/>
      <c r="BI402" s="506"/>
    </row>
    <row r="403" spans="1:61" ht="15.75" customHeight="1" thickBot="1">
      <c r="B403" s="503"/>
      <c r="C403" s="733" t="s">
        <v>473</v>
      </c>
      <c r="V403" s="736"/>
      <c r="W403" s="505"/>
      <c r="X403" s="505"/>
      <c r="Y403" s="505"/>
      <c r="Z403" s="505"/>
      <c r="AA403" s="505"/>
      <c r="AB403" s="505"/>
      <c r="AC403" s="505"/>
      <c r="AD403" s="505"/>
      <c r="AE403" s="505"/>
      <c r="AF403" s="505"/>
      <c r="AG403" s="505"/>
      <c r="AH403" s="505"/>
      <c r="AI403" s="505"/>
      <c r="AJ403" s="505"/>
      <c r="AK403" s="505"/>
      <c r="AL403" s="506"/>
      <c r="AM403" s="506"/>
      <c r="AN403" s="506"/>
      <c r="AO403" s="506"/>
      <c r="AP403" s="506"/>
      <c r="AQ403" s="506"/>
      <c r="AR403" s="506"/>
      <c r="AS403" s="506"/>
      <c r="AT403" s="506"/>
      <c r="AU403" s="506"/>
      <c r="AV403" s="506"/>
      <c r="AW403" s="506"/>
      <c r="AX403" s="506"/>
      <c r="AY403" s="506"/>
      <c r="AZ403" s="506"/>
      <c r="BA403" s="506"/>
      <c r="BB403" s="506"/>
      <c r="BC403" s="506"/>
      <c r="BD403" s="506"/>
      <c r="BE403" s="506"/>
      <c r="BF403" s="506"/>
      <c r="BG403" s="506"/>
      <c r="BH403" s="506"/>
      <c r="BI403" s="506"/>
    </row>
    <row r="404" spans="1:61" ht="15.75" customHeight="1" thickTop="1" thickBot="1">
      <c r="A404" s="494" t="s">
        <v>475</v>
      </c>
      <c r="B404" s="503"/>
      <c r="C404" s="733" t="s">
        <v>473</v>
      </c>
      <c r="V404" s="737"/>
      <c r="W404" s="738"/>
      <c r="X404" s="739" t="s">
        <v>122</v>
      </c>
      <c r="Y404" s="740"/>
      <c r="Z404" s="741"/>
      <c r="AA404" s="742"/>
      <c r="AB404" s="740"/>
      <c r="AC404" s="741"/>
      <c r="AD404" s="742" t="s">
        <v>7</v>
      </c>
      <c r="AE404" s="740"/>
      <c r="AF404" s="741"/>
      <c r="AG404" s="742" t="s">
        <v>221</v>
      </c>
      <c r="AH404" s="740"/>
      <c r="AI404" s="741"/>
      <c r="AJ404" s="742" t="s">
        <v>123</v>
      </c>
      <c r="AK404" s="740"/>
      <c r="AL404" s="740"/>
      <c r="AM404" s="742" t="s">
        <v>124</v>
      </c>
      <c r="AN404" s="740"/>
      <c r="AO404" s="743"/>
      <c r="AP404" s="506"/>
      <c r="AQ404" s="506"/>
      <c r="AR404" s="506"/>
      <c r="AS404" s="506"/>
      <c r="AT404" s="506"/>
      <c r="AU404" s="506"/>
      <c r="AV404" s="506"/>
      <c r="AW404" s="506"/>
      <c r="AX404" s="506"/>
      <c r="AY404" s="506"/>
      <c r="AZ404" s="506"/>
      <c r="BA404" s="506"/>
      <c r="BB404" s="506"/>
      <c r="BC404" s="506"/>
      <c r="BD404" s="506"/>
      <c r="BE404" s="506"/>
      <c r="BF404" s="506"/>
      <c r="BG404" s="506"/>
      <c r="BH404" s="506"/>
      <c r="BI404" s="506"/>
    </row>
    <row r="405" spans="1:61" ht="15.75" customHeight="1">
      <c r="A405" s="494" t="s">
        <v>475</v>
      </c>
      <c r="B405" s="503"/>
      <c r="C405" s="733" t="s">
        <v>473</v>
      </c>
      <c r="V405" s="522"/>
      <c r="W405" s="698" t="s">
        <v>125</v>
      </c>
      <c r="X405" s="698" t="s">
        <v>126</v>
      </c>
      <c r="Y405" s="698" t="s">
        <v>127</v>
      </c>
      <c r="Z405" s="744" t="s">
        <v>128</v>
      </c>
      <c r="AA405" s="698"/>
      <c r="AB405" s="698"/>
      <c r="AC405" s="744"/>
      <c r="AD405" s="745" t="s">
        <v>126</v>
      </c>
      <c r="AE405" s="698" t="s">
        <v>127</v>
      </c>
      <c r="AF405" s="698" t="s">
        <v>128</v>
      </c>
      <c r="AG405" s="745" t="s">
        <v>129</v>
      </c>
      <c r="AH405" s="698" t="s">
        <v>130</v>
      </c>
      <c r="AI405" s="698" t="s">
        <v>131</v>
      </c>
      <c r="AJ405" s="745" t="s">
        <v>126</v>
      </c>
      <c r="AK405" s="698" t="s">
        <v>127</v>
      </c>
      <c r="AL405" s="698" t="s">
        <v>128</v>
      </c>
      <c r="AM405" s="746" t="s">
        <v>129</v>
      </c>
      <c r="AN405" s="698" t="s">
        <v>130</v>
      </c>
      <c r="AO405" s="634" t="s">
        <v>131</v>
      </c>
      <c r="AP405" s="506"/>
      <c r="AQ405" s="506"/>
      <c r="AR405" s="506"/>
      <c r="AS405" s="506"/>
      <c r="AT405" s="506"/>
      <c r="AU405" s="506"/>
      <c r="AV405" s="506"/>
      <c r="AW405" s="506"/>
      <c r="AX405" s="506"/>
      <c r="AY405" s="506"/>
      <c r="AZ405" s="506"/>
      <c r="BA405" s="506"/>
      <c r="BB405" s="506"/>
      <c r="BC405" s="506"/>
      <c r="BD405" s="506"/>
      <c r="BE405" s="506"/>
      <c r="BF405" s="506"/>
      <c r="BG405" s="506"/>
      <c r="BH405" s="506"/>
      <c r="BI405" s="506"/>
    </row>
    <row r="406" spans="1:61" ht="15.75" customHeight="1">
      <c r="A406" s="494" t="s">
        <v>15</v>
      </c>
      <c r="B406" s="503"/>
      <c r="C406" s="733" t="s">
        <v>473</v>
      </c>
      <c r="V406" s="598" t="s">
        <v>15</v>
      </c>
      <c r="W406" s="747"/>
      <c r="X406" s="747"/>
      <c r="Y406" s="747"/>
      <c r="Z406" s="748">
        <v>7055316.1389505528</v>
      </c>
      <c r="AA406" s="747"/>
      <c r="AB406" s="747"/>
      <c r="AC406" s="748"/>
      <c r="AD406" s="749"/>
      <c r="AE406" s="750"/>
      <c r="AF406" s="750">
        <v>6535324.9800000004</v>
      </c>
      <c r="AG406" s="749"/>
      <c r="AH406" s="750"/>
      <c r="AI406" s="751"/>
      <c r="AJ406" s="749"/>
      <c r="AK406" s="750"/>
      <c r="AL406" s="750">
        <v>5194257.959999999</v>
      </c>
      <c r="AM406" s="752"/>
      <c r="AN406" s="750"/>
      <c r="AO406" s="753"/>
      <c r="AP406" s="506"/>
      <c r="AQ406" s="506"/>
      <c r="AR406" s="506"/>
      <c r="AS406" s="506"/>
      <c r="AT406" s="506"/>
      <c r="AU406" s="506"/>
      <c r="AV406" s="506"/>
      <c r="AW406" s="506"/>
      <c r="AX406" s="506"/>
      <c r="AY406" s="506"/>
      <c r="AZ406" s="506"/>
      <c r="BA406" s="506"/>
      <c r="BB406" s="506"/>
      <c r="BC406" s="506"/>
      <c r="BD406" s="506"/>
      <c r="BE406" s="506"/>
      <c r="BF406" s="506"/>
      <c r="BG406" s="506"/>
      <c r="BH406" s="506"/>
      <c r="BI406" s="506"/>
    </row>
    <row r="407" spans="1:61" ht="15.75" customHeight="1">
      <c r="A407" s="494" t="s">
        <v>132</v>
      </c>
      <c r="B407" s="503"/>
      <c r="C407" s="733" t="s">
        <v>473</v>
      </c>
      <c r="V407" s="754" t="s">
        <v>132</v>
      </c>
      <c r="W407" s="755"/>
      <c r="X407" s="755"/>
      <c r="Y407" s="755"/>
      <c r="Z407" s="756">
        <v>1040197.8013297881</v>
      </c>
      <c r="AA407" s="755"/>
      <c r="AB407" s="755"/>
      <c r="AC407" s="756"/>
      <c r="AD407" s="757"/>
      <c r="AE407" s="758"/>
      <c r="AF407" s="756">
        <v>692227.02</v>
      </c>
      <c r="AG407" s="757"/>
      <c r="AH407" s="758">
        <v>-347970.78132978803</v>
      </c>
      <c r="AI407" s="759">
        <v>-0.3345236654845285</v>
      </c>
      <c r="AJ407" s="757">
        <v>0.13773836330608397</v>
      </c>
      <c r="AK407" s="758"/>
      <c r="AL407" s="758">
        <v>715448.58999999845</v>
      </c>
      <c r="AM407" s="760"/>
      <c r="AN407" s="758">
        <v>-23221.569999998435</v>
      </c>
      <c r="AO407" s="761">
        <v>-3.2457356579595031E-2</v>
      </c>
      <c r="AP407" s="506"/>
      <c r="AQ407" s="506"/>
      <c r="AR407" s="506"/>
      <c r="AS407" s="506"/>
      <c r="AT407" s="506"/>
      <c r="AU407" s="506"/>
      <c r="AV407" s="506"/>
      <c r="AW407" s="506"/>
      <c r="AX407" s="506"/>
      <c r="AY407" s="506"/>
      <c r="AZ407" s="506"/>
      <c r="BA407" s="506"/>
      <c r="BB407" s="506"/>
      <c r="BC407" s="506"/>
      <c r="BD407" s="506"/>
      <c r="BE407" s="506"/>
      <c r="BF407" s="506"/>
      <c r="BG407" s="506"/>
      <c r="BH407" s="506"/>
      <c r="BI407" s="506"/>
    </row>
    <row r="408" spans="1:61" ht="15.75" customHeight="1">
      <c r="A408" s="494" t="s">
        <v>133</v>
      </c>
      <c r="B408" s="503"/>
      <c r="C408" s="733" t="s">
        <v>473</v>
      </c>
      <c r="V408" s="762" t="s">
        <v>133</v>
      </c>
      <c r="W408" s="763"/>
      <c r="X408" s="763"/>
      <c r="Y408" s="763"/>
      <c r="Z408" s="764"/>
      <c r="AA408" s="763"/>
      <c r="AB408" s="763"/>
      <c r="AC408" s="764"/>
      <c r="AD408" s="765"/>
      <c r="AE408" s="763"/>
      <c r="AF408" s="766"/>
      <c r="AG408" s="765"/>
      <c r="AH408" s="766"/>
      <c r="AI408" s="767"/>
      <c r="AJ408" s="765"/>
      <c r="AK408" s="763"/>
      <c r="AL408" s="766"/>
      <c r="AM408" s="768"/>
      <c r="AN408" s="766"/>
      <c r="AO408" s="769"/>
      <c r="AP408" s="506"/>
      <c r="AQ408" s="506"/>
      <c r="AR408" s="506"/>
      <c r="AS408" s="506"/>
      <c r="AT408" s="506"/>
      <c r="AU408" s="506"/>
      <c r="AV408" s="506"/>
      <c r="AW408" s="506"/>
      <c r="AX408" s="506"/>
      <c r="AY408" s="506"/>
      <c r="AZ408" s="506"/>
      <c r="BA408" s="506"/>
      <c r="BB408" s="506"/>
      <c r="BC408" s="506"/>
      <c r="BD408" s="506"/>
      <c r="BE408" s="506"/>
      <c r="BF408" s="506"/>
      <c r="BG408" s="506"/>
      <c r="BH408" s="506"/>
      <c r="BI408" s="506"/>
    </row>
    <row r="409" spans="1:61" ht="15.75" customHeight="1">
      <c r="A409" s="494" t="s">
        <v>31</v>
      </c>
      <c r="B409" s="503"/>
      <c r="C409" s="733" t="s">
        <v>473</v>
      </c>
      <c r="V409" s="596" t="s">
        <v>31</v>
      </c>
      <c r="W409" s="770" t="s">
        <v>134</v>
      </c>
      <c r="X409" s="763"/>
      <c r="Y409" s="771">
        <v>845.60390225197466</v>
      </c>
      <c r="Z409" s="764">
        <v>96441.125051837691</v>
      </c>
      <c r="AA409" s="763"/>
      <c r="AB409" s="771"/>
      <c r="AC409" s="764"/>
      <c r="AD409" s="772"/>
      <c r="AE409" s="771">
        <v>521.62779816513751</v>
      </c>
      <c r="AF409" s="764">
        <v>56857.429999999993</v>
      </c>
      <c r="AG409" s="765">
        <v>-323.97610408683715</v>
      </c>
      <c r="AH409" s="766">
        <v>-39583.695051837698</v>
      </c>
      <c r="AI409" s="767">
        <v>-0.41044414434776888</v>
      </c>
      <c r="AJ409" s="773">
        <v>9.6632114405313385E-2</v>
      </c>
      <c r="AK409" s="766">
        <v>973.73676056338024</v>
      </c>
      <c r="AL409" s="764">
        <v>69135.31</v>
      </c>
      <c r="AM409" s="768">
        <v>-323.97610408683715</v>
      </c>
      <c r="AN409" s="766">
        <v>-12277.880000000005</v>
      </c>
      <c r="AO409" s="774">
        <v>-0.17759202931179457</v>
      </c>
      <c r="AP409" s="506"/>
      <c r="AQ409" s="506"/>
      <c r="AR409" s="503"/>
      <c r="AS409" s="506"/>
      <c r="AT409" s="506"/>
      <c r="AU409" s="506"/>
      <c r="AV409" s="506"/>
      <c r="AW409" s="506"/>
      <c r="AX409" s="506"/>
      <c r="AY409" s="506"/>
      <c r="AZ409" s="506"/>
      <c r="BA409" s="506"/>
      <c r="BB409" s="506"/>
      <c r="BC409" s="506"/>
      <c r="BD409" s="506"/>
      <c r="BE409" s="506"/>
      <c r="BF409" s="506"/>
      <c r="BG409" s="506"/>
      <c r="BH409" s="506"/>
      <c r="BI409" s="506"/>
    </row>
    <row r="410" spans="1:61" ht="15.75" customHeight="1">
      <c r="A410" s="494" t="s">
        <v>32</v>
      </c>
      <c r="B410" s="503"/>
      <c r="C410" s="733" t="s">
        <v>473</v>
      </c>
      <c r="V410" s="598" t="s">
        <v>32</v>
      </c>
      <c r="W410" s="775" t="s">
        <v>135</v>
      </c>
      <c r="X410" s="747"/>
      <c r="Y410" s="776">
        <v>511.09031126698818</v>
      </c>
      <c r="Z410" s="748">
        <v>58289.849999999991</v>
      </c>
      <c r="AA410" s="747"/>
      <c r="AB410" s="776"/>
      <c r="AC410" s="748"/>
      <c r="AD410" s="777"/>
      <c r="AE410" s="776">
        <v>387.48935779816509</v>
      </c>
      <c r="AF410" s="748">
        <v>42236.34</v>
      </c>
      <c r="AG410" s="749">
        <v>-123.60095346882309</v>
      </c>
      <c r="AH410" s="750">
        <v>-16053.509999999995</v>
      </c>
      <c r="AI410" s="778">
        <v>-0.27540832580629382</v>
      </c>
      <c r="AJ410" s="779">
        <v>5.4940439535984105E-2</v>
      </c>
      <c r="AK410" s="750">
        <v>553.62056338028162</v>
      </c>
      <c r="AL410" s="748">
        <v>39307.06</v>
      </c>
      <c r="AM410" s="752">
        <v>-123.60095346882309</v>
      </c>
      <c r="AN410" s="750">
        <v>2929.2799999999988</v>
      </c>
      <c r="AO410" s="753">
        <v>7.4522999176229385E-2</v>
      </c>
      <c r="AP410" s="506"/>
      <c r="AQ410" s="506"/>
      <c r="AR410" s="509"/>
      <c r="AS410" s="506"/>
      <c r="AT410" s="506"/>
      <c r="AU410" s="506"/>
      <c r="AV410" s="506"/>
      <c r="AW410" s="506"/>
      <c r="AX410" s="506"/>
      <c r="AY410" s="506"/>
      <c r="AZ410" s="506"/>
      <c r="BA410" s="506"/>
      <c r="BB410" s="506"/>
      <c r="BC410" s="506"/>
      <c r="BD410" s="506"/>
      <c r="BE410" s="506"/>
      <c r="BF410" s="506"/>
      <c r="BG410" s="506"/>
      <c r="BH410" s="506"/>
      <c r="BI410" s="506"/>
    </row>
    <row r="411" spans="1:61" ht="15.75" customHeight="1">
      <c r="A411" s="494" t="s">
        <v>33</v>
      </c>
      <c r="B411" s="503"/>
      <c r="C411" s="733" t="s">
        <v>473</v>
      </c>
      <c r="V411" s="596" t="s">
        <v>33</v>
      </c>
      <c r="W411" s="770" t="s">
        <v>136</v>
      </c>
      <c r="X411" s="763"/>
      <c r="Y411" s="771">
        <v>81.084831214379676</v>
      </c>
      <c r="Z411" s="764">
        <v>9247.7250000000004</v>
      </c>
      <c r="AA411" s="763"/>
      <c r="AB411" s="771"/>
      <c r="AC411" s="764"/>
      <c r="AD411" s="772"/>
      <c r="AE411" s="771">
        <v>129.36137614678898</v>
      </c>
      <c r="AF411" s="764">
        <v>14100.39</v>
      </c>
      <c r="AG411" s="765">
        <v>48.276544932409308</v>
      </c>
      <c r="AH411" s="766">
        <v>4852.6649999999991</v>
      </c>
      <c r="AI411" s="767">
        <v>0.52474149047468421</v>
      </c>
      <c r="AJ411" s="773">
        <v>6.6236205734922339E-3</v>
      </c>
      <c r="AK411" s="766">
        <v>66.744507042253517</v>
      </c>
      <c r="AL411" s="764">
        <v>4738.8599999999997</v>
      </c>
      <c r="AM411" s="768">
        <v>48.276544932409308</v>
      </c>
      <c r="AN411" s="766">
        <v>9361.5299999999988</v>
      </c>
      <c r="AO411" s="774">
        <v>1.9754814449044706</v>
      </c>
      <c r="AP411" s="506"/>
      <c r="AQ411" s="506"/>
      <c r="AR411" s="509"/>
      <c r="AS411" s="506"/>
      <c r="AT411" s="506"/>
      <c r="AU411" s="506"/>
      <c r="AV411" s="506"/>
      <c r="AW411" s="506"/>
      <c r="AX411" s="506"/>
      <c r="AY411" s="506"/>
      <c r="AZ411" s="506"/>
      <c r="BA411" s="506"/>
      <c r="BB411" s="506"/>
      <c r="BC411" s="506"/>
      <c r="BD411" s="506"/>
      <c r="BE411" s="506"/>
      <c r="BF411" s="506"/>
      <c r="BG411" s="506"/>
      <c r="BH411" s="506"/>
      <c r="BI411" s="506"/>
    </row>
    <row r="412" spans="1:61" ht="15.75" customHeight="1">
      <c r="A412" s="494" t="s">
        <v>34</v>
      </c>
      <c r="B412" s="503"/>
      <c r="C412" s="733" t="s">
        <v>473</v>
      </c>
      <c r="V412" s="596" t="s">
        <v>34</v>
      </c>
      <c r="W412" s="770" t="s">
        <v>137</v>
      </c>
      <c r="X412" s="763"/>
      <c r="Y412" s="771">
        <v>4.6566856641823762</v>
      </c>
      <c r="Z412" s="764">
        <v>531.09499999999991</v>
      </c>
      <c r="AA412" s="763"/>
      <c r="AB412" s="771"/>
      <c r="AC412" s="764"/>
      <c r="AD412" s="772"/>
      <c r="AE412" s="771">
        <v>5.3892660550458711</v>
      </c>
      <c r="AF412" s="764">
        <v>587.42999999999995</v>
      </c>
      <c r="AG412" s="765">
        <v>0.73258039086349491</v>
      </c>
      <c r="AH412" s="766">
        <v>56.335000000000036</v>
      </c>
      <c r="AI412" s="767">
        <v>0.10607330138675763</v>
      </c>
      <c r="AJ412" s="773">
        <v>6.2940930528635321E-4</v>
      </c>
      <c r="AK412" s="766">
        <v>6.3423943661971833</v>
      </c>
      <c r="AL412" s="764">
        <v>450.31</v>
      </c>
      <c r="AM412" s="768">
        <v>0.73258039086349491</v>
      </c>
      <c r="AN412" s="766">
        <v>137.11999999999995</v>
      </c>
      <c r="AO412" s="774">
        <v>0.30450134351890906</v>
      </c>
      <c r="AP412" s="506"/>
      <c r="AQ412" s="506"/>
      <c r="AR412" s="509"/>
      <c r="AS412" s="506"/>
      <c r="AT412" s="506"/>
      <c r="AU412" s="506"/>
      <c r="AV412" s="506"/>
      <c r="AW412" s="506"/>
      <c r="AX412" s="506"/>
      <c r="AY412" s="506"/>
      <c r="AZ412" s="506"/>
      <c r="BA412" s="506"/>
      <c r="BB412" s="506"/>
      <c r="BC412" s="506"/>
      <c r="BD412" s="506"/>
      <c r="BE412" s="506"/>
      <c r="BF412" s="506"/>
      <c r="BG412" s="506"/>
      <c r="BH412" s="506"/>
      <c r="BI412" s="506"/>
    </row>
    <row r="413" spans="1:61" ht="15.75" customHeight="1">
      <c r="A413" s="494" t="s">
        <v>35</v>
      </c>
      <c r="B413" s="503"/>
      <c r="C413" s="733" t="s">
        <v>473</v>
      </c>
      <c r="V413" s="598" t="s">
        <v>35</v>
      </c>
      <c r="W413" s="775"/>
      <c r="X413" s="747"/>
      <c r="Y413" s="776">
        <v>118.27118588338449</v>
      </c>
      <c r="Z413" s="748">
        <v>13488.828749999999</v>
      </c>
      <c r="AA413" s="747"/>
      <c r="AB413" s="776"/>
      <c r="AC413" s="748"/>
      <c r="AD413" s="777"/>
      <c r="AE413" s="776">
        <v>136.20183486238531</v>
      </c>
      <c r="AF413" s="748">
        <v>14846</v>
      </c>
      <c r="AG413" s="749">
        <v>17.930648979000821</v>
      </c>
      <c r="AH413" s="750">
        <v>1357.1712500000012</v>
      </c>
      <c r="AI413" s="778">
        <v>0.10061446217115043</v>
      </c>
      <c r="AJ413" s="779">
        <v>1.1377952397669856E-2</v>
      </c>
      <c r="AK413" s="750">
        <v>114.65267605633802</v>
      </c>
      <c r="AL413" s="748">
        <v>8140.34</v>
      </c>
      <c r="AM413" s="752">
        <v>17.930648979000821</v>
      </c>
      <c r="AN413" s="750">
        <v>6705.66</v>
      </c>
      <c r="AO413" s="753">
        <v>0.82375674726117087</v>
      </c>
      <c r="AP413" s="506"/>
      <c r="AQ413" s="506"/>
      <c r="AR413" s="509"/>
      <c r="AS413" s="506"/>
      <c r="AT413" s="506"/>
      <c r="AU413" s="506"/>
      <c r="AV413" s="506"/>
      <c r="AW413" s="506"/>
      <c r="AX413" s="506"/>
      <c r="AY413" s="506"/>
      <c r="AZ413" s="506"/>
      <c r="BA413" s="506"/>
      <c r="BB413" s="506"/>
      <c r="BC413" s="506"/>
      <c r="BD413" s="506"/>
      <c r="BE413" s="506"/>
      <c r="BF413" s="506"/>
      <c r="BG413" s="506"/>
      <c r="BH413" s="506"/>
      <c r="BI413" s="506"/>
    </row>
    <row r="414" spans="1:61" ht="15.75" customHeight="1">
      <c r="A414" s="494" t="s">
        <v>36</v>
      </c>
      <c r="B414" s="503"/>
      <c r="C414" s="733" t="s">
        <v>473</v>
      </c>
      <c r="V414" s="596" t="s">
        <v>36</v>
      </c>
      <c r="W414" s="770" t="s">
        <v>138</v>
      </c>
      <c r="X414" s="767"/>
      <c r="Y414" s="771">
        <v>113.27926348092943</v>
      </c>
      <c r="Z414" s="764">
        <v>12919.5</v>
      </c>
      <c r="AA414" s="767"/>
      <c r="AB414" s="771"/>
      <c r="AC414" s="764"/>
      <c r="AD414" s="772"/>
      <c r="AE414" s="771">
        <v>204.93238532110092</v>
      </c>
      <c r="AF414" s="764">
        <v>22337.63</v>
      </c>
      <c r="AG414" s="765">
        <v>91.653121840171494</v>
      </c>
      <c r="AH414" s="766">
        <v>9418.130000000001</v>
      </c>
      <c r="AI414" s="767">
        <v>0.72898564185920511</v>
      </c>
      <c r="AJ414" s="773">
        <v>2.875281367176925E-2</v>
      </c>
      <c r="AK414" s="766">
        <v>289.73464788732377</v>
      </c>
      <c r="AL414" s="764">
        <v>20571.159999999989</v>
      </c>
      <c r="AM414" s="768">
        <v>91.653121840171494</v>
      </c>
      <c r="AN414" s="766">
        <v>1766.4700000000121</v>
      </c>
      <c r="AO414" s="774">
        <v>8.5871190540543804E-2</v>
      </c>
      <c r="AP414" s="506"/>
      <c r="AQ414" s="506"/>
      <c r="AR414" s="509"/>
      <c r="AS414" s="506"/>
      <c r="AT414" s="506"/>
      <c r="AU414" s="506"/>
      <c r="AV414" s="506"/>
      <c r="AW414" s="506"/>
      <c r="AX414" s="506"/>
      <c r="AY414" s="506"/>
      <c r="AZ414" s="506"/>
      <c r="BA414" s="506"/>
      <c r="BB414" s="506"/>
      <c r="BC414" s="506"/>
      <c r="BD414" s="506"/>
      <c r="BE414" s="506"/>
      <c r="BF414" s="506"/>
      <c r="BG414" s="506"/>
      <c r="BH414" s="506"/>
      <c r="BI414" s="506"/>
    </row>
    <row r="415" spans="1:61" ht="15.75" customHeight="1">
      <c r="A415" s="494" t="s">
        <v>37</v>
      </c>
      <c r="B415" s="503"/>
      <c r="C415" s="733" t="s">
        <v>473</v>
      </c>
      <c r="V415" s="596" t="s">
        <v>37</v>
      </c>
      <c r="W415" s="770" t="s">
        <v>139</v>
      </c>
      <c r="X415" s="763"/>
      <c r="Y415" s="771">
        <v>228.72546741387214</v>
      </c>
      <c r="Z415" s="764">
        <v>26086.139558552113</v>
      </c>
      <c r="AA415" s="763"/>
      <c r="AB415" s="771"/>
      <c r="AC415" s="764"/>
      <c r="AD415" s="772"/>
      <c r="AE415" s="771">
        <v>375.62630434782608</v>
      </c>
      <c r="AF415" s="764">
        <v>51836.43</v>
      </c>
      <c r="AG415" s="765">
        <v>146.90083693395394</v>
      </c>
      <c r="AH415" s="766">
        <v>25750.290441447887</v>
      </c>
      <c r="AI415" s="767">
        <v>0.98712538065088584</v>
      </c>
      <c r="AJ415" s="773">
        <v>1.1232882575112794E-2</v>
      </c>
      <c r="AK415" s="766">
        <v>113.19084507042254</v>
      </c>
      <c r="AL415" s="764">
        <v>8036.55</v>
      </c>
      <c r="AM415" s="768">
        <v>146.90083693395394</v>
      </c>
      <c r="AN415" s="766">
        <v>43799.88</v>
      </c>
      <c r="AO415" s="774">
        <v>5.4500849245011844</v>
      </c>
      <c r="AP415" s="506"/>
      <c r="AQ415" s="506"/>
      <c r="AR415" s="509"/>
      <c r="AS415" s="506"/>
      <c r="AT415" s="506"/>
      <c r="AU415" s="506"/>
      <c r="AV415" s="506"/>
      <c r="AW415" s="506"/>
      <c r="AX415" s="506"/>
      <c r="AY415" s="506"/>
      <c r="AZ415" s="506"/>
      <c r="BA415" s="506"/>
      <c r="BB415" s="506"/>
      <c r="BC415" s="506"/>
      <c r="BD415" s="506"/>
      <c r="BE415" s="506"/>
      <c r="BF415" s="506"/>
      <c r="BG415" s="506"/>
      <c r="BH415" s="506"/>
      <c r="BI415" s="506"/>
    </row>
    <row r="416" spans="1:61" ht="15.75" hidden="1" customHeight="1">
      <c r="A416" s="494" t="s">
        <v>20</v>
      </c>
      <c r="B416" s="503"/>
      <c r="C416" s="733" t="s">
        <v>473</v>
      </c>
      <c r="V416" s="596" t="s">
        <v>20</v>
      </c>
      <c r="W416" s="770"/>
      <c r="X416" s="767"/>
      <c r="Y416" s="771">
        <v>0</v>
      </c>
      <c r="Z416" s="764">
        <v>0</v>
      </c>
      <c r="AA416" s="763"/>
      <c r="AB416" s="771"/>
      <c r="AC416" s="764"/>
      <c r="AD416" s="772"/>
      <c r="AE416" s="771">
        <v>0</v>
      </c>
      <c r="AF416" s="764">
        <v>0</v>
      </c>
      <c r="AG416" s="765">
        <v>0</v>
      </c>
      <c r="AH416" s="766">
        <v>0</v>
      </c>
      <c r="AI416" s="767">
        <v>0</v>
      </c>
      <c r="AJ416" s="772"/>
      <c r="AK416" s="766">
        <v>0</v>
      </c>
      <c r="AL416" s="764">
        <v>0</v>
      </c>
      <c r="AM416" s="768">
        <v>0</v>
      </c>
      <c r="AN416" s="766">
        <v>0</v>
      </c>
      <c r="AO416" s="774">
        <v>0</v>
      </c>
      <c r="AP416" s="506"/>
      <c r="AQ416" s="506"/>
      <c r="AR416" s="509"/>
      <c r="AS416" s="506"/>
      <c r="AT416" s="506"/>
      <c r="AU416" s="506"/>
      <c r="AV416" s="506"/>
      <c r="AW416" s="506"/>
      <c r="AX416" s="506"/>
      <c r="AY416" s="506"/>
      <c r="AZ416" s="506"/>
      <c r="BA416" s="506"/>
      <c r="BB416" s="506"/>
      <c r="BC416" s="506"/>
      <c r="BD416" s="506"/>
      <c r="BE416" s="506"/>
      <c r="BF416" s="506"/>
      <c r="BG416" s="506"/>
      <c r="BH416" s="506"/>
      <c r="BI416" s="506"/>
    </row>
    <row r="417" spans="1:61" ht="15.75" hidden="1" customHeight="1">
      <c r="A417" s="494" t="s">
        <v>20</v>
      </c>
      <c r="B417" s="503"/>
      <c r="C417" s="733" t="s">
        <v>473</v>
      </c>
      <c r="V417" s="596" t="s">
        <v>20</v>
      </c>
      <c r="W417" s="770"/>
      <c r="X417" s="767"/>
      <c r="Y417" s="771">
        <v>0</v>
      </c>
      <c r="Z417" s="764">
        <v>0</v>
      </c>
      <c r="AA417" s="763"/>
      <c r="AB417" s="771"/>
      <c r="AC417" s="764"/>
      <c r="AD417" s="772"/>
      <c r="AE417" s="771">
        <v>0</v>
      </c>
      <c r="AF417" s="764">
        <v>0</v>
      </c>
      <c r="AG417" s="765">
        <v>0</v>
      </c>
      <c r="AH417" s="766">
        <v>0</v>
      </c>
      <c r="AI417" s="767">
        <v>0</v>
      </c>
      <c r="AJ417" s="772"/>
      <c r="AK417" s="766">
        <v>0</v>
      </c>
      <c r="AL417" s="764">
        <v>0</v>
      </c>
      <c r="AM417" s="768">
        <v>0</v>
      </c>
      <c r="AN417" s="766">
        <v>0</v>
      </c>
      <c r="AO417" s="774">
        <v>0</v>
      </c>
      <c r="AP417" s="506"/>
      <c r="AQ417" s="506"/>
      <c r="AR417" s="509"/>
      <c r="AS417" s="506"/>
      <c r="AT417" s="506"/>
      <c r="AU417" s="506"/>
      <c r="AV417" s="506"/>
      <c r="AW417" s="506"/>
      <c r="AX417" s="506"/>
      <c r="AY417" s="506"/>
      <c r="AZ417" s="506"/>
      <c r="BA417" s="506"/>
      <c r="BB417" s="506"/>
      <c r="BC417" s="506"/>
      <c r="BD417" s="506"/>
      <c r="BE417" s="506"/>
      <c r="BF417" s="506"/>
      <c r="BG417" s="506"/>
      <c r="BH417" s="506"/>
      <c r="BI417" s="506"/>
    </row>
    <row r="418" spans="1:61" ht="15.75" hidden="1" customHeight="1">
      <c r="A418" s="494" t="s">
        <v>20</v>
      </c>
      <c r="B418" s="503"/>
      <c r="C418" s="733" t="s">
        <v>473</v>
      </c>
      <c r="V418" s="596" t="s">
        <v>20</v>
      </c>
      <c r="W418" s="770" t="s">
        <v>139</v>
      </c>
      <c r="X418" s="763"/>
      <c r="Y418" s="771">
        <v>0</v>
      </c>
      <c r="Z418" s="764">
        <v>0</v>
      </c>
      <c r="AA418" s="763"/>
      <c r="AB418" s="771"/>
      <c r="AC418" s="764"/>
      <c r="AD418" s="772"/>
      <c r="AE418" s="771">
        <v>0</v>
      </c>
      <c r="AF418" s="764">
        <v>0</v>
      </c>
      <c r="AG418" s="765">
        <v>0</v>
      </c>
      <c r="AH418" s="766">
        <v>0</v>
      </c>
      <c r="AI418" s="767">
        <v>0</v>
      </c>
      <c r="AJ418" s="772"/>
      <c r="AK418" s="766">
        <v>0</v>
      </c>
      <c r="AL418" s="764">
        <v>0</v>
      </c>
      <c r="AM418" s="768">
        <v>0</v>
      </c>
      <c r="AN418" s="766">
        <v>0</v>
      </c>
      <c r="AO418" s="774">
        <v>0</v>
      </c>
      <c r="AP418" s="506"/>
      <c r="AQ418" s="506"/>
      <c r="AR418" s="509"/>
      <c r="AS418" s="506"/>
      <c r="AT418" s="506"/>
      <c r="AU418" s="506"/>
      <c r="AV418" s="506"/>
      <c r="AW418" s="506"/>
      <c r="AX418" s="506"/>
      <c r="AY418" s="506"/>
      <c r="AZ418" s="506"/>
      <c r="BA418" s="506"/>
      <c r="BB418" s="506"/>
      <c r="BC418" s="506"/>
      <c r="BD418" s="506"/>
      <c r="BE418" s="506"/>
      <c r="BF418" s="506"/>
      <c r="BG418" s="506"/>
      <c r="BH418" s="506"/>
      <c r="BI418" s="506"/>
    </row>
    <row r="419" spans="1:61" ht="15.75" customHeight="1">
      <c r="A419" s="494" t="s">
        <v>38</v>
      </c>
      <c r="B419" s="503"/>
      <c r="C419" s="733" t="s">
        <v>473</v>
      </c>
      <c r="V419" s="780" t="s">
        <v>38</v>
      </c>
      <c r="W419" s="781"/>
      <c r="X419" s="782">
        <v>0.20861826768233091</v>
      </c>
      <c r="Y419" s="781"/>
      <c r="Z419" s="783">
        <v>217004.2633603898</v>
      </c>
      <c r="AA419" s="782"/>
      <c r="AB419" s="781"/>
      <c r="AC419" s="783"/>
      <c r="AD419" s="784">
        <v>0.29296985546735804</v>
      </c>
      <c r="AE419" s="781"/>
      <c r="AF419" s="783">
        <v>202801.64999999997</v>
      </c>
      <c r="AG419" s="785"/>
      <c r="AH419" s="786">
        <v>-14202.613360389834</v>
      </c>
      <c r="AI419" s="782">
        <v>-6.5448545297945818E-2</v>
      </c>
      <c r="AJ419" s="784">
        <v>0.21018923246462795</v>
      </c>
      <c r="AK419" s="781"/>
      <c r="AL419" s="783">
        <v>150379.58999999997</v>
      </c>
      <c r="AM419" s="787"/>
      <c r="AN419" s="786">
        <v>52422.06</v>
      </c>
      <c r="AO419" s="761">
        <v>0.34859823730068695</v>
      </c>
      <c r="AP419" s="506"/>
      <c r="AQ419" s="506"/>
      <c r="AR419" s="509"/>
      <c r="AS419" s="506"/>
      <c r="AT419" s="506"/>
      <c r="AU419" s="506"/>
      <c r="AV419" s="506"/>
      <c r="AW419" s="506"/>
      <c r="AX419" s="506"/>
      <c r="AY419" s="506"/>
      <c r="AZ419" s="506"/>
      <c r="BA419" s="506"/>
      <c r="BB419" s="506"/>
      <c r="BC419" s="506"/>
      <c r="BD419" s="506"/>
      <c r="BE419" s="506"/>
      <c r="BF419" s="506"/>
      <c r="BG419" s="506"/>
      <c r="BH419" s="506"/>
      <c r="BI419" s="506"/>
    </row>
    <row r="420" spans="1:61" ht="15.75" customHeight="1">
      <c r="A420" s="494" t="s">
        <v>140</v>
      </c>
      <c r="B420" s="503"/>
      <c r="C420" s="733" t="s">
        <v>473</v>
      </c>
      <c r="V420" s="596" t="s">
        <v>140</v>
      </c>
      <c r="W420" s="770" t="s">
        <v>141</v>
      </c>
      <c r="X420" s="763"/>
      <c r="Y420" s="763"/>
      <c r="Z420" s="764">
        <v>15922.199999999997</v>
      </c>
      <c r="AA420" s="763"/>
      <c r="AB420" s="763"/>
      <c r="AC420" s="764"/>
      <c r="AD420" s="772"/>
      <c r="AE420" s="771"/>
      <c r="AF420" s="764">
        <v>18548.37</v>
      </c>
      <c r="AG420" s="765"/>
      <c r="AH420" s="766">
        <v>2626.1700000000019</v>
      </c>
      <c r="AI420" s="767">
        <v>0.16493763424652388</v>
      </c>
      <c r="AJ420" s="772"/>
      <c r="AK420" s="763"/>
      <c r="AL420" s="764">
        <v>20877.259999999998</v>
      </c>
      <c r="AM420" s="768"/>
      <c r="AN420" s="766">
        <v>-2328.8899999999994</v>
      </c>
      <c r="AO420" s="774">
        <v>-0.11155151585983983</v>
      </c>
      <c r="AP420" s="506"/>
      <c r="AQ420" s="506"/>
      <c r="AR420" s="506"/>
      <c r="AS420" s="506"/>
      <c r="AT420" s="506"/>
      <c r="AU420" s="506"/>
      <c r="AV420" s="506"/>
      <c r="AW420" s="506"/>
      <c r="AX420" s="506"/>
      <c r="AY420" s="506"/>
      <c r="AZ420" s="506"/>
      <c r="BA420" s="506"/>
      <c r="BB420" s="506"/>
      <c r="BC420" s="506"/>
      <c r="BD420" s="506"/>
      <c r="BE420" s="506"/>
      <c r="BF420" s="506"/>
      <c r="BG420" s="506"/>
      <c r="BH420" s="506"/>
      <c r="BI420" s="506"/>
    </row>
    <row r="421" spans="1:61" ht="15.75" customHeight="1">
      <c r="A421" s="494" t="s">
        <v>41</v>
      </c>
      <c r="B421" s="503"/>
      <c r="C421" s="733" t="s">
        <v>473</v>
      </c>
      <c r="V421" s="596" t="s">
        <v>41</v>
      </c>
      <c r="W421" s="770" t="s">
        <v>142</v>
      </c>
      <c r="X421" s="763"/>
      <c r="Y421" s="763"/>
      <c r="Z421" s="764">
        <v>62151.320512820515</v>
      </c>
      <c r="AA421" s="763"/>
      <c r="AB421" s="763"/>
      <c r="AC421" s="764"/>
      <c r="AD421" s="772"/>
      <c r="AE421" s="771"/>
      <c r="AF421" s="764">
        <v>43996.639999999999</v>
      </c>
      <c r="AG421" s="765"/>
      <c r="AH421" s="766">
        <v>-18154.680512820516</v>
      </c>
      <c r="AI421" s="767">
        <v>-0.29210450177121478</v>
      </c>
      <c r="AJ421" s="772"/>
      <c r="AK421" s="763"/>
      <c r="AL421" s="764">
        <v>46937.36</v>
      </c>
      <c r="AM421" s="768"/>
      <c r="AN421" s="766">
        <v>-2940.7200000000012</v>
      </c>
      <c r="AO421" s="774">
        <v>-6.2652011105865379E-2</v>
      </c>
      <c r="AP421" s="506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06"/>
      <c r="BC421" s="506"/>
      <c r="BD421" s="506"/>
      <c r="BE421" s="506"/>
      <c r="BF421" s="506"/>
      <c r="BG421" s="506"/>
      <c r="BH421" s="506"/>
      <c r="BI421" s="506"/>
    </row>
    <row r="422" spans="1:61" ht="15.75" customHeight="1">
      <c r="A422" s="494" t="s">
        <v>42</v>
      </c>
      <c r="B422" s="503"/>
      <c r="C422" s="733" t="s">
        <v>473</v>
      </c>
      <c r="V422" s="598" t="s">
        <v>42</v>
      </c>
      <c r="W422" s="775" t="s">
        <v>143</v>
      </c>
      <c r="X422" s="747"/>
      <c r="Y422" s="747"/>
      <c r="Z422" s="748">
        <v>68206.630769230775</v>
      </c>
      <c r="AA422" s="747"/>
      <c r="AB422" s="747"/>
      <c r="AC422" s="748"/>
      <c r="AD422" s="777"/>
      <c r="AE422" s="776"/>
      <c r="AF422" s="748">
        <v>52421.899999999994</v>
      </c>
      <c r="AG422" s="749"/>
      <c r="AH422" s="750">
        <v>-15784.73076923078</v>
      </c>
      <c r="AI422" s="778">
        <v>-0.23142516484411299</v>
      </c>
      <c r="AJ422" s="777"/>
      <c r="AK422" s="747"/>
      <c r="AL422" s="748">
        <v>51414.06</v>
      </c>
      <c r="AM422" s="752"/>
      <c r="AN422" s="750">
        <v>1007.8399999999965</v>
      </c>
      <c r="AO422" s="753">
        <v>1.960242003840966E-2</v>
      </c>
      <c r="AP422" s="506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06"/>
      <c r="BC422" s="506"/>
      <c r="BD422" s="506"/>
      <c r="BE422" s="506"/>
      <c r="BF422" s="506"/>
      <c r="BG422" s="506"/>
      <c r="BH422" s="506"/>
      <c r="BI422" s="506"/>
    </row>
    <row r="423" spans="1:61" ht="15.75" customHeight="1">
      <c r="A423" s="494" t="s">
        <v>43</v>
      </c>
      <c r="B423" s="503"/>
      <c r="C423" s="733" t="s">
        <v>473</v>
      </c>
      <c r="V423" s="596" t="s">
        <v>43</v>
      </c>
      <c r="W423" s="770" t="s">
        <v>144</v>
      </c>
      <c r="X423" s="763"/>
      <c r="Y423" s="763"/>
      <c r="Z423" s="764">
        <v>32252.999999999996</v>
      </c>
      <c r="AA423" s="763"/>
      <c r="AB423" s="763"/>
      <c r="AC423" s="764"/>
      <c r="AD423" s="772"/>
      <c r="AE423" s="771"/>
      <c r="AF423" s="764">
        <v>33599.850000000006</v>
      </c>
      <c r="AG423" s="765"/>
      <c r="AH423" s="766">
        <v>1346.8500000000095</v>
      </c>
      <c r="AI423" s="767">
        <v>4.1758906148265579E-2</v>
      </c>
      <c r="AJ423" s="772"/>
      <c r="AK423" s="763"/>
      <c r="AL423" s="764">
        <v>39705.81</v>
      </c>
      <c r="AM423" s="768"/>
      <c r="AN423" s="766">
        <v>-6105.9599999999919</v>
      </c>
      <c r="AO423" s="774">
        <v>-0.15378001355469118</v>
      </c>
      <c r="AP423" s="506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06"/>
      <c r="BC423" s="506"/>
      <c r="BD423" s="506"/>
      <c r="BE423" s="506"/>
      <c r="BF423" s="506"/>
      <c r="BG423" s="506"/>
      <c r="BH423" s="506"/>
      <c r="BI423" s="506"/>
    </row>
    <row r="424" spans="1:61" ht="15.75" customHeight="1">
      <c r="A424" s="494" t="s">
        <v>44</v>
      </c>
      <c r="B424" s="503"/>
      <c r="C424" s="733" t="s">
        <v>473</v>
      </c>
      <c r="V424" s="596" t="s">
        <v>44</v>
      </c>
      <c r="W424" s="770" t="s">
        <v>145</v>
      </c>
      <c r="X424" s="763"/>
      <c r="Y424" s="763"/>
      <c r="Z424" s="764">
        <v>42491.9338336</v>
      </c>
      <c r="AA424" s="763"/>
      <c r="AB424" s="763"/>
      <c r="AC424" s="764"/>
      <c r="AD424" s="772"/>
      <c r="AE424" s="771"/>
      <c r="AF424" s="764">
        <v>37414.44</v>
      </c>
      <c r="AG424" s="765"/>
      <c r="AH424" s="766">
        <v>-5077.4938335999977</v>
      </c>
      <c r="AI424" s="767">
        <v>-0.11949312200013426</v>
      </c>
      <c r="AJ424" s="772"/>
      <c r="AK424" s="763"/>
      <c r="AL424" s="764">
        <v>34253.58</v>
      </c>
      <c r="AM424" s="768"/>
      <c r="AN424" s="766">
        <v>3160.8600000000006</v>
      </c>
      <c r="AO424" s="774">
        <v>9.227823777835778E-2</v>
      </c>
      <c r="AP424" s="506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06"/>
      <c r="BC424" s="506"/>
      <c r="BD424" s="506"/>
      <c r="BE424" s="506"/>
      <c r="BF424" s="506"/>
      <c r="BG424" s="506"/>
      <c r="BH424" s="506"/>
      <c r="BI424" s="506"/>
    </row>
    <row r="425" spans="1:61" ht="15.75" hidden="1" customHeight="1">
      <c r="A425" s="494" t="s">
        <v>20</v>
      </c>
      <c r="B425" s="503"/>
      <c r="C425" s="733" t="s">
        <v>473</v>
      </c>
      <c r="V425" s="596" t="s">
        <v>20</v>
      </c>
      <c r="W425" s="770"/>
      <c r="X425" s="763"/>
      <c r="Y425" s="763"/>
      <c r="Z425" s="764">
        <v>0</v>
      </c>
      <c r="AA425" s="763"/>
      <c r="AB425" s="763"/>
      <c r="AC425" s="764"/>
      <c r="AD425" s="772"/>
      <c r="AE425" s="771"/>
      <c r="AF425" s="764">
        <v>0</v>
      </c>
      <c r="AG425" s="765"/>
      <c r="AH425" s="766">
        <v>0</v>
      </c>
      <c r="AI425" s="767">
        <v>0</v>
      </c>
      <c r="AJ425" s="772"/>
      <c r="AK425" s="763"/>
      <c r="AL425" s="764">
        <v>0</v>
      </c>
      <c r="AM425" s="768"/>
      <c r="AN425" s="766">
        <v>0</v>
      </c>
      <c r="AO425" s="774">
        <v>0</v>
      </c>
      <c r="AP425" s="506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06"/>
      <c r="BC425" s="506"/>
      <c r="BD425" s="506"/>
      <c r="BE425" s="506"/>
      <c r="BF425" s="506"/>
      <c r="BG425" s="506"/>
      <c r="BH425" s="506"/>
      <c r="BI425" s="506"/>
    </row>
    <row r="426" spans="1:61" ht="15.75" hidden="1" customHeight="1">
      <c r="A426" s="494" t="s">
        <v>20</v>
      </c>
      <c r="B426" s="503"/>
      <c r="C426" s="733" t="s">
        <v>473</v>
      </c>
      <c r="V426" s="596" t="s">
        <v>20</v>
      </c>
      <c r="W426" s="770"/>
      <c r="X426" s="763"/>
      <c r="Y426" s="763"/>
      <c r="Z426" s="764">
        <v>0</v>
      </c>
      <c r="AA426" s="763"/>
      <c r="AB426" s="763"/>
      <c r="AC426" s="764"/>
      <c r="AD426" s="772"/>
      <c r="AE426" s="771"/>
      <c r="AF426" s="764">
        <v>0</v>
      </c>
      <c r="AG426" s="765"/>
      <c r="AH426" s="766">
        <v>0</v>
      </c>
      <c r="AI426" s="767">
        <v>0</v>
      </c>
      <c r="AJ426" s="772"/>
      <c r="AK426" s="763"/>
      <c r="AL426" s="764">
        <v>0</v>
      </c>
      <c r="AM426" s="768"/>
      <c r="AN426" s="766">
        <v>0</v>
      </c>
      <c r="AO426" s="774">
        <v>0</v>
      </c>
      <c r="AP426" s="506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06"/>
      <c r="BC426" s="506"/>
      <c r="BD426" s="506"/>
      <c r="BE426" s="506"/>
      <c r="BF426" s="506"/>
      <c r="BG426" s="506"/>
      <c r="BH426" s="506"/>
      <c r="BI426" s="506"/>
    </row>
    <row r="427" spans="1:61" ht="15.75" hidden="1" customHeight="1">
      <c r="A427" s="494" t="s">
        <v>20</v>
      </c>
      <c r="B427" s="503"/>
      <c r="C427" s="733" t="s">
        <v>473</v>
      </c>
      <c r="V427" s="596" t="s">
        <v>20</v>
      </c>
      <c r="W427" s="770"/>
      <c r="X427" s="763"/>
      <c r="Y427" s="763"/>
      <c r="Z427" s="764">
        <v>0</v>
      </c>
      <c r="AA427" s="763"/>
      <c r="AB427" s="763"/>
      <c r="AC427" s="764"/>
      <c r="AD427" s="772"/>
      <c r="AE427" s="771"/>
      <c r="AF427" s="764">
        <v>0</v>
      </c>
      <c r="AG427" s="765"/>
      <c r="AH427" s="766">
        <v>0</v>
      </c>
      <c r="AI427" s="767">
        <v>0</v>
      </c>
      <c r="AJ427" s="772"/>
      <c r="AK427" s="763"/>
      <c r="AL427" s="764">
        <v>0</v>
      </c>
      <c r="AM427" s="768"/>
      <c r="AN427" s="766">
        <v>0</v>
      </c>
      <c r="AO427" s="774">
        <v>0</v>
      </c>
      <c r="AP427" s="506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06"/>
      <c r="BC427" s="506"/>
      <c r="BD427" s="506"/>
      <c r="BE427" s="506"/>
      <c r="BF427" s="506"/>
      <c r="BG427" s="506"/>
      <c r="BH427" s="506"/>
      <c r="BI427" s="506"/>
    </row>
    <row r="428" spans="1:61" ht="15.75" customHeight="1">
      <c r="A428" s="494" t="s">
        <v>45</v>
      </c>
      <c r="B428" s="503"/>
      <c r="C428" s="733" t="s">
        <v>473</v>
      </c>
      <c r="V428" s="598" t="s">
        <v>45</v>
      </c>
      <c r="W428" s="775" t="s">
        <v>146</v>
      </c>
      <c r="X428" s="747"/>
      <c r="Y428" s="788">
        <v>0.10475550256431472</v>
      </c>
      <c r="Z428" s="748">
        <v>53870.769262356829</v>
      </c>
      <c r="AA428" s="747"/>
      <c r="AB428" s="747"/>
      <c r="AC428" s="748"/>
      <c r="AD428" s="777"/>
      <c r="AE428" s="776"/>
      <c r="AF428" s="748">
        <v>55516.55</v>
      </c>
      <c r="AG428" s="749"/>
      <c r="AH428" s="750">
        <v>1645.7807376431738</v>
      </c>
      <c r="AI428" s="778">
        <v>3.0550533437308694E-2</v>
      </c>
      <c r="AJ428" s="777"/>
      <c r="AK428" s="747"/>
      <c r="AL428" s="748">
        <v>41286.800000000003</v>
      </c>
      <c r="AM428" s="752"/>
      <c r="AN428" s="750">
        <v>14229.75</v>
      </c>
      <c r="AO428" s="753">
        <v>0.34465616129126014</v>
      </c>
      <c r="AP428" s="506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06"/>
      <c r="BC428" s="506"/>
      <c r="BD428" s="506"/>
      <c r="BE428" s="506"/>
      <c r="BF428" s="506"/>
      <c r="BG428" s="506"/>
      <c r="BH428" s="506"/>
      <c r="BI428" s="506"/>
    </row>
    <row r="429" spans="1:61" ht="15.75" customHeight="1">
      <c r="A429" s="494" t="s">
        <v>46</v>
      </c>
      <c r="B429" s="503"/>
      <c r="C429" s="733" t="s">
        <v>473</v>
      </c>
      <c r="V429" s="596" t="s">
        <v>46</v>
      </c>
      <c r="W429" s="770" t="s">
        <v>147</v>
      </c>
      <c r="X429" s="763"/>
      <c r="Y429" s="789">
        <v>0.12736792382269105</v>
      </c>
      <c r="Z429" s="764">
        <v>65499.26130577307</v>
      </c>
      <c r="AA429" s="763"/>
      <c r="AB429" s="763"/>
      <c r="AC429" s="764"/>
      <c r="AD429" s="772"/>
      <c r="AE429" s="771"/>
      <c r="AF429" s="764">
        <v>58711.41</v>
      </c>
      <c r="AG429" s="765"/>
      <c r="AH429" s="766">
        <v>-6787.851305773067</v>
      </c>
      <c r="AI429" s="767">
        <v>-0.10363248638919824</v>
      </c>
      <c r="AJ429" s="772"/>
      <c r="AK429" s="763"/>
      <c r="AL429" s="764">
        <v>49363.539999999994</v>
      </c>
      <c r="AM429" s="768"/>
      <c r="AN429" s="766">
        <v>9347.8700000000099</v>
      </c>
      <c r="AO429" s="774">
        <v>0.18936790189682529</v>
      </c>
      <c r="AP429" s="506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06"/>
      <c r="BC429" s="506"/>
      <c r="BD429" s="506"/>
      <c r="BE429" s="506"/>
      <c r="BF429" s="506"/>
      <c r="BG429" s="506"/>
      <c r="BH429" s="506"/>
      <c r="BI429" s="506"/>
    </row>
    <row r="430" spans="1:61" ht="15.75" customHeight="1">
      <c r="A430" s="494" t="s">
        <v>47</v>
      </c>
      <c r="B430" s="503"/>
      <c r="C430" s="733" t="s">
        <v>473</v>
      </c>
      <c r="V430" s="596" t="s">
        <v>47</v>
      </c>
      <c r="W430" s="770" t="s">
        <v>148</v>
      </c>
      <c r="X430" s="763"/>
      <c r="Y430" s="789">
        <v>6.5622169447777767E-2</v>
      </c>
      <c r="Z430" s="764">
        <v>33746.35854232221</v>
      </c>
      <c r="AA430" s="763"/>
      <c r="AB430" s="763"/>
      <c r="AC430" s="764"/>
      <c r="AD430" s="772"/>
      <c r="AE430" s="771"/>
      <c r="AF430" s="764">
        <v>25693.35</v>
      </c>
      <c r="AG430" s="765"/>
      <c r="AH430" s="766">
        <v>-8053.0085423222117</v>
      </c>
      <c r="AI430" s="767">
        <v>-0.23863340787488874</v>
      </c>
      <c r="AJ430" s="772"/>
      <c r="AK430" s="763"/>
      <c r="AL430" s="764">
        <v>18806.84</v>
      </c>
      <c r="AM430" s="768"/>
      <c r="AN430" s="766">
        <v>6886.5099999999984</v>
      </c>
      <c r="AO430" s="774">
        <v>0.36617049966926918</v>
      </c>
      <c r="AP430" s="506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06"/>
      <c r="BC430" s="506"/>
      <c r="BD430" s="506"/>
      <c r="BE430" s="506"/>
      <c r="BF430" s="506"/>
      <c r="BG430" s="506"/>
      <c r="BH430" s="506"/>
      <c r="BI430" s="506"/>
    </row>
    <row r="431" spans="1:61" ht="15.75" customHeight="1">
      <c r="A431" s="494" t="s">
        <v>48</v>
      </c>
      <c r="B431" s="503"/>
      <c r="C431" s="733" t="s">
        <v>473</v>
      </c>
      <c r="V431" s="596" t="s">
        <v>48</v>
      </c>
      <c r="W431" s="770"/>
      <c r="X431" s="763"/>
      <c r="Y431" s="763"/>
      <c r="Z431" s="764">
        <v>14713.602177383804</v>
      </c>
      <c r="AA431" s="763"/>
      <c r="AB431" s="763"/>
      <c r="AC431" s="764"/>
      <c r="AD431" s="772"/>
      <c r="AE431" s="771"/>
      <c r="AF431" s="764">
        <v>10441.59</v>
      </c>
      <c r="AG431" s="765"/>
      <c r="AH431" s="766">
        <v>-4272.0121773838036</v>
      </c>
      <c r="AI431" s="790">
        <v>-0.29034441232550717</v>
      </c>
      <c r="AJ431" s="772"/>
      <c r="AK431" s="763"/>
      <c r="AL431" s="764">
        <v>7963.3899999999994</v>
      </c>
      <c r="AM431" s="768"/>
      <c r="AN431" s="766">
        <v>2478.2000000000007</v>
      </c>
      <c r="AO431" s="774">
        <v>0.31119912499576197</v>
      </c>
      <c r="AP431" s="506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06"/>
      <c r="BC431" s="506"/>
      <c r="BD431" s="506"/>
      <c r="BE431" s="506"/>
      <c r="BF431" s="506"/>
      <c r="BG431" s="506"/>
      <c r="BH431" s="506"/>
      <c r="BI431" s="506"/>
    </row>
    <row r="432" spans="1:61" ht="15.75" hidden="1" customHeight="1">
      <c r="A432" s="494" t="s">
        <v>20</v>
      </c>
      <c r="B432" s="503"/>
      <c r="C432" s="733" t="s">
        <v>473</v>
      </c>
      <c r="V432" s="529" t="s">
        <v>20</v>
      </c>
      <c r="W432" s="770"/>
      <c r="X432" s="763"/>
      <c r="Y432" s="771"/>
      <c r="Z432" s="764">
        <v>0</v>
      </c>
      <c r="AA432" s="763"/>
      <c r="AB432" s="763"/>
      <c r="AC432" s="764"/>
      <c r="AD432" s="772"/>
      <c r="AE432" s="771"/>
      <c r="AF432" s="764">
        <v>0</v>
      </c>
      <c r="AG432" s="765"/>
      <c r="AH432" s="766">
        <v>0</v>
      </c>
      <c r="AI432" s="767">
        <v>0</v>
      </c>
      <c r="AJ432" s="772"/>
      <c r="AK432" s="763"/>
      <c r="AL432" s="764">
        <v>0</v>
      </c>
      <c r="AM432" s="768"/>
      <c r="AN432" s="766"/>
      <c r="AO432" s="753"/>
      <c r="AP432" s="506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06"/>
      <c r="BC432" s="506"/>
      <c r="BD432" s="506"/>
      <c r="BE432" s="506"/>
      <c r="BF432" s="506"/>
      <c r="BG432" s="506"/>
      <c r="BH432" s="506"/>
      <c r="BI432" s="506"/>
    </row>
    <row r="433" spans="1:62" ht="15.75" customHeight="1">
      <c r="A433" s="494" t="s">
        <v>49</v>
      </c>
      <c r="B433" s="503"/>
      <c r="C433" s="733" t="s">
        <v>473</v>
      </c>
      <c r="V433" s="780" t="s">
        <v>49</v>
      </c>
      <c r="W433" s="781"/>
      <c r="X433" s="782">
        <v>0.37382801223611045</v>
      </c>
      <c r="Y433" s="781"/>
      <c r="Z433" s="783">
        <v>388855.07640348718</v>
      </c>
      <c r="AA433" s="782"/>
      <c r="AB433" s="781"/>
      <c r="AC433" s="783"/>
      <c r="AD433" s="784">
        <v>0.48588698545745879</v>
      </c>
      <c r="AE433" s="791"/>
      <c r="AF433" s="783">
        <v>336344.10000000003</v>
      </c>
      <c r="AG433" s="785"/>
      <c r="AH433" s="786">
        <v>-52510.976403487148</v>
      </c>
      <c r="AI433" s="782">
        <v>-0.13503996627525122</v>
      </c>
      <c r="AJ433" s="784">
        <v>0.43414529617005843</v>
      </c>
      <c r="AK433" s="781"/>
      <c r="AL433" s="783">
        <v>310608.64000000001</v>
      </c>
      <c r="AM433" s="792"/>
      <c r="AN433" s="786">
        <v>25735.460000000021</v>
      </c>
      <c r="AO433" s="761">
        <v>8.2854939257324012E-2</v>
      </c>
      <c r="AP433" s="506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06"/>
      <c r="BC433" s="506"/>
      <c r="BD433" s="506"/>
      <c r="BE433" s="506"/>
      <c r="BF433" s="506"/>
      <c r="BG433" s="506"/>
      <c r="BH433" s="506"/>
      <c r="BI433" s="506"/>
    </row>
    <row r="434" spans="1:62" ht="15.75" customHeight="1">
      <c r="A434" s="494" t="s">
        <v>50</v>
      </c>
      <c r="B434" s="503"/>
      <c r="C434" s="733" t="s">
        <v>473</v>
      </c>
      <c r="V434" s="703" t="s">
        <v>50</v>
      </c>
      <c r="W434" s="793" t="s">
        <v>138</v>
      </c>
      <c r="X434" s="794"/>
      <c r="Y434" s="794"/>
      <c r="Z434" s="795">
        <v>14838.560455902774</v>
      </c>
      <c r="AA434" s="794"/>
      <c r="AB434" s="794"/>
      <c r="AC434" s="795"/>
      <c r="AD434" s="796"/>
      <c r="AE434" s="797"/>
      <c r="AF434" s="795">
        <v>16013.77</v>
      </c>
      <c r="AG434" s="796"/>
      <c r="AH434" s="798">
        <v>1175.2095440972262</v>
      </c>
      <c r="AI434" s="799">
        <v>7.9199700509339388E-2</v>
      </c>
      <c r="AJ434" s="796"/>
      <c r="AK434" s="794"/>
      <c r="AL434" s="795">
        <v>11795.04</v>
      </c>
      <c r="AM434" s="800"/>
      <c r="AN434" s="798">
        <v>4218.7299999999996</v>
      </c>
      <c r="AO434" s="769">
        <v>0.35766983409975711</v>
      </c>
      <c r="AP434" s="506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06"/>
      <c r="BC434" s="506"/>
      <c r="BD434" s="506"/>
      <c r="BE434" s="506"/>
      <c r="BF434" s="506"/>
      <c r="BG434" s="506"/>
      <c r="BH434" s="506"/>
      <c r="BI434" s="506"/>
    </row>
    <row r="435" spans="1:62" ht="15.75" customHeight="1">
      <c r="A435" s="494" t="s">
        <v>51</v>
      </c>
      <c r="B435" s="503"/>
      <c r="C435" s="733" t="s">
        <v>473</v>
      </c>
      <c r="V435" s="596" t="s">
        <v>51</v>
      </c>
      <c r="W435" s="770" t="s">
        <v>149</v>
      </c>
      <c r="X435" s="763"/>
      <c r="Y435" s="763"/>
      <c r="Z435" s="764">
        <v>5939.0656258991448</v>
      </c>
      <c r="AA435" s="763"/>
      <c r="AB435" s="763"/>
      <c r="AC435" s="764"/>
      <c r="AD435" s="772"/>
      <c r="AE435" s="771"/>
      <c r="AF435" s="764">
        <v>6870.41</v>
      </c>
      <c r="AG435" s="765"/>
      <c r="AH435" s="766">
        <v>931.34437410085502</v>
      </c>
      <c r="AI435" s="767">
        <v>0.15681664975033074</v>
      </c>
      <c r="AJ435" s="772"/>
      <c r="AK435" s="763"/>
      <c r="AL435" s="764">
        <v>8077.33</v>
      </c>
      <c r="AM435" s="768"/>
      <c r="AN435" s="766">
        <v>-1206.92</v>
      </c>
      <c r="AO435" s="774">
        <v>-0.1494206625209073</v>
      </c>
      <c r="AP435" s="506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06"/>
      <c r="BC435" s="506"/>
      <c r="BD435" s="506"/>
      <c r="BE435" s="506"/>
      <c r="BF435" s="506"/>
      <c r="BG435" s="506"/>
      <c r="BH435" s="506"/>
      <c r="BI435" s="506"/>
    </row>
    <row r="436" spans="1:62" ht="15.75" customHeight="1">
      <c r="A436" s="494" t="s">
        <v>52</v>
      </c>
      <c r="B436" s="503"/>
      <c r="C436" s="733" t="s">
        <v>473</v>
      </c>
      <c r="U436" s="801"/>
      <c r="V436" s="598" t="s">
        <v>52</v>
      </c>
      <c r="W436" s="775" t="s">
        <v>150</v>
      </c>
      <c r="X436" s="747"/>
      <c r="Y436" s="747"/>
      <c r="Z436" s="748">
        <v>26075</v>
      </c>
      <c r="AA436" s="747"/>
      <c r="AB436" s="747"/>
      <c r="AC436" s="748"/>
      <c r="AD436" s="777"/>
      <c r="AE436" s="776"/>
      <c r="AF436" s="748">
        <v>22664.019999999997</v>
      </c>
      <c r="AG436" s="749"/>
      <c r="AH436" s="750">
        <v>-3410.9800000000032</v>
      </c>
      <c r="AI436" s="778">
        <v>-0.13081418983700877</v>
      </c>
      <c r="AJ436" s="777"/>
      <c r="AK436" s="747"/>
      <c r="AL436" s="748">
        <v>25941.01</v>
      </c>
      <c r="AM436" s="752"/>
      <c r="AN436" s="750">
        <v>-3276.9900000000016</v>
      </c>
      <c r="AO436" s="753">
        <v>-0.12632468820604911</v>
      </c>
      <c r="AP436" s="506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06"/>
      <c r="BC436" s="506"/>
      <c r="BD436" s="506"/>
      <c r="BE436" s="506"/>
      <c r="BF436" s="506"/>
      <c r="BG436" s="506"/>
      <c r="BH436" s="506"/>
      <c r="BI436" s="506"/>
    </row>
    <row r="437" spans="1:62" ht="15.75" customHeight="1">
      <c r="A437" s="494" t="s">
        <v>53</v>
      </c>
      <c r="B437" s="503"/>
      <c r="C437" s="733" t="s">
        <v>473</v>
      </c>
      <c r="U437" s="801"/>
      <c r="V437" s="596" t="s">
        <v>53</v>
      </c>
      <c r="W437" s="770" t="s">
        <v>151</v>
      </c>
      <c r="X437" s="763"/>
      <c r="Y437" s="763"/>
      <c r="Z437" s="764">
        <v>22270.688511111108</v>
      </c>
      <c r="AA437" s="763"/>
      <c r="AB437" s="763"/>
      <c r="AC437" s="764"/>
      <c r="AD437" s="772"/>
      <c r="AE437" s="771"/>
      <c r="AF437" s="764">
        <v>22579.48</v>
      </c>
      <c r="AG437" s="765"/>
      <c r="AH437" s="802">
        <v>308.79148888889176</v>
      </c>
      <c r="AI437" s="767">
        <v>1.3865376848804296E-2</v>
      </c>
      <c r="AJ437" s="772"/>
      <c r="AK437" s="763"/>
      <c r="AL437" s="764">
        <v>24895.379999999997</v>
      </c>
      <c r="AM437" s="768"/>
      <c r="AN437" s="766">
        <v>-2315.8999999999978</v>
      </c>
      <c r="AO437" s="774">
        <v>-9.3025292242978341E-2</v>
      </c>
      <c r="AP437" s="506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06"/>
      <c r="BC437" s="506"/>
      <c r="BD437" s="506"/>
      <c r="BE437" s="506"/>
      <c r="BF437" s="506"/>
      <c r="BG437" s="506"/>
      <c r="BH437" s="506"/>
      <c r="BI437" s="506"/>
    </row>
    <row r="438" spans="1:62" ht="15.75" customHeight="1">
      <c r="A438" s="494" t="s">
        <v>54</v>
      </c>
      <c r="B438" s="503"/>
      <c r="C438" s="733" t="s">
        <v>473</v>
      </c>
      <c r="U438" s="801"/>
      <c r="V438" s="596" t="s">
        <v>54</v>
      </c>
      <c r="W438" s="770" t="s">
        <v>152</v>
      </c>
      <c r="X438" s="763"/>
      <c r="Y438" s="763"/>
      <c r="Z438" s="764">
        <v>3589.7692131944445</v>
      </c>
      <c r="AA438" s="763"/>
      <c r="AB438" s="763"/>
      <c r="AC438" s="764"/>
      <c r="AD438" s="772"/>
      <c r="AE438" s="771"/>
      <c r="AF438" s="764">
        <v>2910.03</v>
      </c>
      <c r="AG438" s="765"/>
      <c r="AH438" s="766">
        <v>-679.73921319444435</v>
      </c>
      <c r="AI438" s="767">
        <v>-0.18935457206998599</v>
      </c>
      <c r="AJ438" s="772"/>
      <c r="AK438" s="763"/>
      <c r="AL438" s="764">
        <v>9758.67</v>
      </c>
      <c r="AM438" s="768"/>
      <c r="AN438" s="766">
        <v>-6848.6399999999994</v>
      </c>
      <c r="AO438" s="774">
        <v>-0.70180055273925646</v>
      </c>
      <c r="AP438" s="506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06"/>
      <c r="BC438" s="506"/>
      <c r="BD438" s="506"/>
      <c r="BE438" s="506"/>
      <c r="BF438" s="506"/>
      <c r="BG438" s="506"/>
      <c r="BH438" s="506"/>
      <c r="BI438" s="506"/>
    </row>
    <row r="439" spans="1:62" ht="15.75" customHeight="1">
      <c r="A439" s="494" t="s">
        <v>55</v>
      </c>
      <c r="B439" s="503"/>
      <c r="C439" s="733" t="s">
        <v>473</v>
      </c>
      <c r="V439" s="596" t="s">
        <v>55</v>
      </c>
      <c r="W439" s="770" t="s">
        <v>153</v>
      </c>
      <c r="X439" s="763"/>
      <c r="Y439" s="763"/>
      <c r="Z439" s="764">
        <v>31436.160651539354</v>
      </c>
      <c r="AA439" s="763"/>
      <c r="AB439" s="763"/>
      <c r="AC439" s="764"/>
      <c r="AD439" s="772"/>
      <c r="AE439" s="771"/>
      <c r="AF439" s="764">
        <v>32122.880000000001</v>
      </c>
      <c r="AG439" s="765"/>
      <c r="AH439" s="766">
        <v>686.71934846064687</v>
      </c>
      <c r="AI439" s="767">
        <v>2.1844886087481547E-2</v>
      </c>
      <c r="AJ439" s="772"/>
      <c r="AK439" s="763"/>
      <c r="AL439" s="764">
        <v>28752.89</v>
      </c>
      <c r="AM439" s="768"/>
      <c r="AN439" s="766">
        <v>3369.9900000000016</v>
      </c>
      <c r="AO439" s="774">
        <v>0.11720526180150941</v>
      </c>
      <c r="AP439" s="506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06"/>
      <c r="BC439" s="506"/>
      <c r="BD439" s="506"/>
      <c r="BE439" s="506"/>
      <c r="BF439" s="506"/>
      <c r="BG439" s="506"/>
      <c r="BH439" s="506"/>
      <c r="BI439" s="506"/>
    </row>
    <row r="440" spans="1:62" ht="15.75" customHeight="1">
      <c r="B440" s="503"/>
      <c r="C440" s="733" t="s">
        <v>473</v>
      </c>
      <c r="V440" s="703" t="s">
        <v>98</v>
      </c>
      <c r="W440" s="793"/>
      <c r="X440" s="794"/>
      <c r="Y440" s="794"/>
      <c r="Z440" s="795">
        <v>0</v>
      </c>
      <c r="AA440" s="794"/>
      <c r="AB440" s="794"/>
      <c r="AC440" s="795"/>
      <c r="AD440" s="796"/>
      <c r="AE440" s="797"/>
      <c r="AF440" s="795">
        <v>0</v>
      </c>
      <c r="AG440" s="804"/>
      <c r="AH440" s="798">
        <v>0</v>
      </c>
      <c r="AI440" s="799">
        <v>0</v>
      </c>
      <c r="AJ440" s="796"/>
      <c r="AK440" s="794"/>
      <c r="AL440" s="795">
        <v>0</v>
      </c>
      <c r="AM440" s="800"/>
      <c r="AN440" s="798">
        <v>0</v>
      </c>
      <c r="AO440" s="769">
        <v>0</v>
      </c>
      <c r="AP440" s="506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06"/>
      <c r="BC440" s="506"/>
      <c r="BD440" s="506"/>
      <c r="BE440" s="506"/>
      <c r="BF440" s="506"/>
      <c r="BG440" s="506"/>
      <c r="BH440" s="506"/>
      <c r="BI440" s="506"/>
    </row>
    <row r="441" spans="1:62" ht="15.75" customHeight="1">
      <c r="A441" s="494" t="s">
        <v>56</v>
      </c>
      <c r="B441" s="503"/>
      <c r="C441" s="733" t="s">
        <v>473</v>
      </c>
      <c r="V441" s="596" t="s">
        <v>56</v>
      </c>
      <c r="W441" s="770" t="s">
        <v>154</v>
      </c>
      <c r="X441" s="763"/>
      <c r="Y441" s="771"/>
      <c r="Z441" s="764">
        <v>6083.333333333333</v>
      </c>
      <c r="AA441" s="763"/>
      <c r="AB441" s="771"/>
      <c r="AC441" s="764"/>
      <c r="AD441" s="772"/>
      <c r="AE441" s="771"/>
      <c r="AF441" s="764">
        <v>1656.44</v>
      </c>
      <c r="AG441" s="765"/>
      <c r="AH441" s="766">
        <v>-4426.8933333333334</v>
      </c>
      <c r="AI441" s="767">
        <v>-0.72770849315068498</v>
      </c>
      <c r="AJ441" s="772"/>
      <c r="AK441" s="763"/>
      <c r="AL441" s="764">
        <v>6209.67</v>
      </c>
      <c r="AM441" s="768"/>
      <c r="AN441" s="766">
        <v>-4553.2299999999996</v>
      </c>
      <c r="AO441" s="774">
        <v>-0.73324830466031199</v>
      </c>
      <c r="AP441" s="506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06"/>
      <c r="BC441" s="506"/>
      <c r="BD441" s="506"/>
      <c r="BE441" s="506"/>
      <c r="BF441" s="506"/>
      <c r="BG441" s="506"/>
      <c r="BH441" s="506"/>
      <c r="BI441" s="506"/>
      <c r="BJ441" s="506"/>
    </row>
    <row r="442" spans="1:62" ht="15.75" customHeight="1">
      <c r="A442" s="494" t="s">
        <v>57</v>
      </c>
      <c r="B442" s="503"/>
      <c r="C442" s="733" t="s">
        <v>473</v>
      </c>
      <c r="U442" s="506"/>
      <c r="V442" s="596" t="s">
        <v>57</v>
      </c>
      <c r="W442" s="770" t="s">
        <v>155</v>
      </c>
      <c r="X442" s="763"/>
      <c r="Y442" s="763"/>
      <c r="Z442" s="764">
        <v>1555.2749709404429</v>
      </c>
      <c r="AA442" s="763"/>
      <c r="AB442" s="763"/>
      <c r="AC442" s="764"/>
      <c r="AD442" s="772"/>
      <c r="AE442" s="771"/>
      <c r="AF442" s="764">
        <v>1556.43</v>
      </c>
      <c r="AG442" s="765"/>
      <c r="AH442" s="766">
        <v>1.1550290595571369</v>
      </c>
      <c r="AI442" s="790">
        <v>7.4265263772534985E-4</v>
      </c>
      <c r="AJ442" s="772"/>
      <c r="AK442" s="763"/>
      <c r="AL442" s="764">
        <v>822.42</v>
      </c>
      <c r="AM442" s="768"/>
      <c r="AN442" s="766">
        <v>734.0100000000001</v>
      </c>
      <c r="AO442" s="774">
        <v>0.89250018238856077</v>
      </c>
      <c r="AP442" s="506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06"/>
      <c r="BC442" s="506"/>
      <c r="BD442" s="506"/>
      <c r="BE442" s="506"/>
      <c r="BF442" s="506"/>
      <c r="BG442" s="506"/>
      <c r="BH442" s="506"/>
      <c r="BI442" s="506"/>
      <c r="BJ442" s="506"/>
    </row>
    <row r="443" spans="1:62" ht="15.75" customHeight="1">
      <c r="A443" s="494" t="s">
        <v>58</v>
      </c>
      <c r="B443" s="503"/>
      <c r="C443" s="733" t="s">
        <v>473</v>
      </c>
      <c r="T443" s="506"/>
      <c r="U443" s="506"/>
      <c r="V443" s="596" t="s">
        <v>58</v>
      </c>
      <c r="W443" s="770" t="s">
        <v>156</v>
      </c>
      <c r="X443" s="763"/>
      <c r="Y443" s="763"/>
      <c r="Z443" s="764">
        <v>2587.4465749000001</v>
      </c>
      <c r="AA443" s="763"/>
      <c r="AB443" s="763"/>
      <c r="AC443" s="764"/>
      <c r="AD443" s="772"/>
      <c r="AE443" s="771"/>
      <c r="AF443" s="764">
        <v>3223.6699999999996</v>
      </c>
      <c r="AG443" s="765"/>
      <c r="AH443" s="766">
        <v>636.22342509999953</v>
      </c>
      <c r="AI443" s="767">
        <v>0.24588852626825286</v>
      </c>
      <c r="AJ443" s="772"/>
      <c r="AK443" s="763"/>
      <c r="AL443" s="764">
        <v>1935.03</v>
      </c>
      <c r="AM443" s="768"/>
      <c r="AN443" s="766">
        <v>1288.6399999999996</v>
      </c>
      <c r="AO443" s="774">
        <v>0.66595349942894921</v>
      </c>
      <c r="AP443" s="506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06"/>
      <c r="BC443" s="506"/>
      <c r="BD443" s="506"/>
      <c r="BE443" s="506"/>
      <c r="BF443" s="506"/>
      <c r="BG443" s="506"/>
      <c r="BH443" s="506"/>
      <c r="BI443" s="506"/>
      <c r="BJ443" s="506"/>
    </row>
    <row r="444" spans="1:62" ht="15.75" customHeight="1">
      <c r="A444" s="494" t="s">
        <v>59</v>
      </c>
      <c r="B444" s="503"/>
      <c r="C444" s="733" t="s">
        <v>473</v>
      </c>
      <c r="T444" s="506"/>
      <c r="U444" s="506"/>
      <c r="V444" s="596" t="s">
        <v>59</v>
      </c>
      <c r="W444" s="770" t="s">
        <v>157</v>
      </c>
      <c r="X444" s="763"/>
      <c r="Y444" s="763"/>
      <c r="Z444" s="764">
        <v>778.11576579027781</v>
      </c>
      <c r="AA444" s="763"/>
      <c r="AB444" s="763"/>
      <c r="AC444" s="764"/>
      <c r="AD444" s="772"/>
      <c r="AE444" s="771"/>
      <c r="AF444" s="764">
        <v>621.94000000000005</v>
      </c>
      <c r="AG444" s="765"/>
      <c r="AH444" s="766">
        <v>-156.17576579027775</v>
      </c>
      <c r="AI444" s="790">
        <v>-0.20071019333692711</v>
      </c>
      <c r="AJ444" s="772"/>
      <c r="AK444" s="763"/>
      <c r="AL444" s="764">
        <v>823.79</v>
      </c>
      <c r="AM444" s="768"/>
      <c r="AN444" s="766">
        <v>-201.84999999999991</v>
      </c>
      <c r="AO444" s="774">
        <v>-0.24502603818934426</v>
      </c>
      <c r="AP444" s="506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06"/>
      <c r="BC444" s="506"/>
      <c r="BD444" s="506"/>
      <c r="BE444" s="506"/>
      <c r="BF444" s="506"/>
      <c r="BG444" s="506"/>
      <c r="BH444" s="506"/>
      <c r="BI444" s="506"/>
      <c r="BJ444" s="506"/>
    </row>
    <row r="445" spans="1:62" ht="15.75" customHeight="1">
      <c r="A445" s="494" t="s">
        <v>60</v>
      </c>
      <c r="B445" s="503"/>
      <c r="C445" s="733" t="s">
        <v>473</v>
      </c>
      <c r="T445" s="506"/>
      <c r="U445" s="506"/>
      <c r="V445" s="596" t="s">
        <v>60</v>
      </c>
      <c r="W445" s="770" t="s">
        <v>158</v>
      </c>
      <c r="X445" s="763"/>
      <c r="Y445" s="763"/>
      <c r="Z445" s="764">
        <v>462.27621220972219</v>
      </c>
      <c r="AA445" s="763"/>
      <c r="AB445" s="763"/>
      <c r="AC445" s="764"/>
      <c r="AD445" s="772"/>
      <c r="AE445" s="771"/>
      <c r="AF445" s="764">
        <v>-212.03999999999996</v>
      </c>
      <c r="AG445" s="765"/>
      <c r="AH445" s="766">
        <v>-674.31621220972215</v>
      </c>
      <c r="AI445" s="767">
        <v>-1.4586868075829158</v>
      </c>
      <c r="AJ445" s="772"/>
      <c r="AK445" s="763"/>
      <c r="AL445" s="764">
        <v>148.27000000000004</v>
      </c>
      <c r="AM445" s="768"/>
      <c r="AN445" s="766">
        <v>-360.31</v>
      </c>
      <c r="AO445" s="774">
        <v>-2.4300937478923581</v>
      </c>
      <c r="AP445" s="506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06"/>
      <c r="BC445" s="506"/>
      <c r="BD445" s="506"/>
      <c r="BE445" s="506"/>
      <c r="BF445" s="506"/>
      <c r="BG445" s="506"/>
      <c r="BH445" s="506"/>
      <c r="BI445" s="506"/>
      <c r="BJ445" s="506"/>
    </row>
    <row r="446" spans="1:62" ht="15.75" customHeight="1">
      <c r="A446" s="494" t="s">
        <v>61</v>
      </c>
      <c r="B446" s="503"/>
      <c r="C446" s="733" t="s">
        <v>473</v>
      </c>
      <c r="T446" s="506"/>
      <c r="U446" s="506"/>
      <c r="V446" s="596" t="s">
        <v>61</v>
      </c>
      <c r="W446" s="770" t="s">
        <v>159</v>
      </c>
      <c r="X446" s="763"/>
      <c r="Y446" s="771"/>
      <c r="Z446" s="764">
        <v>1152.4792607347222</v>
      </c>
      <c r="AA446" s="763"/>
      <c r="AB446" s="771"/>
      <c r="AC446" s="764"/>
      <c r="AD446" s="772"/>
      <c r="AE446" s="771"/>
      <c r="AF446" s="764">
        <v>329.1</v>
      </c>
      <c r="AG446" s="765"/>
      <c r="AH446" s="766">
        <v>-823.37926073472215</v>
      </c>
      <c r="AI446" s="790">
        <v>-0.71444171603557183</v>
      </c>
      <c r="AJ446" s="772"/>
      <c r="AK446" s="763"/>
      <c r="AL446" s="764">
        <v>245.38</v>
      </c>
      <c r="AM446" s="768"/>
      <c r="AN446" s="766">
        <v>83.720000000000027</v>
      </c>
      <c r="AO446" s="774">
        <v>0.34118510066020064</v>
      </c>
      <c r="AP446" s="506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06"/>
      <c r="BC446" s="506"/>
      <c r="BD446" s="506"/>
      <c r="BE446" s="506"/>
      <c r="BF446" s="506"/>
      <c r="BG446" s="506"/>
      <c r="BH446" s="506"/>
      <c r="BI446" s="506"/>
      <c r="BJ446" s="506"/>
    </row>
    <row r="447" spans="1:62" ht="15.75" customHeight="1">
      <c r="A447" s="494" t="s">
        <v>62</v>
      </c>
      <c r="B447" s="503"/>
      <c r="C447" s="733" t="s">
        <v>473</v>
      </c>
      <c r="T447" s="506"/>
      <c r="U447" s="506"/>
      <c r="V447" s="596" t="s">
        <v>62</v>
      </c>
      <c r="W447" s="770" t="s">
        <v>160</v>
      </c>
      <c r="X447" s="763"/>
      <c r="Y447" s="771"/>
      <c r="Z447" s="764">
        <v>7644.3785104434319</v>
      </c>
      <c r="AA447" s="763"/>
      <c r="AB447" s="771"/>
      <c r="AC447" s="764"/>
      <c r="AD447" s="772"/>
      <c r="AE447" s="771"/>
      <c r="AF447" s="764">
        <v>2278.56</v>
      </c>
      <c r="AG447" s="765"/>
      <c r="AH447" s="766">
        <v>-5365.8185104434324</v>
      </c>
      <c r="AI447" s="767">
        <v>-0.70192998725964106</v>
      </c>
      <c r="AJ447" s="772"/>
      <c r="AK447" s="763"/>
      <c r="AL447" s="764">
        <v>9031.02</v>
      </c>
      <c r="AM447" s="768"/>
      <c r="AN447" s="766">
        <v>-6752.4600000000009</v>
      </c>
      <c r="AO447" s="774">
        <v>-0.74769627351063339</v>
      </c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06"/>
      <c r="BC447" s="506"/>
      <c r="BD447" s="506"/>
      <c r="BE447" s="506"/>
      <c r="BF447" s="506"/>
      <c r="BG447" s="506"/>
      <c r="BH447" s="506"/>
      <c r="BI447" s="506"/>
      <c r="BJ447" s="506"/>
    </row>
    <row r="448" spans="1:62" ht="15.75" customHeight="1">
      <c r="A448" s="494" t="s">
        <v>63</v>
      </c>
      <c r="B448" s="503"/>
      <c r="C448" s="733" t="s">
        <v>473</v>
      </c>
      <c r="T448" s="506"/>
      <c r="U448" s="506"/>
      <c r="V448" s="596" t="s">
        <v>63</v>
      </c>
      <c r="W448" s="770" t="s">
        <v>161</v>
      </c>
      <c r="X448" s="763"/>
      <c r="Y448" s="789">
        <v>1.1027537437756844E-3</v>
      </c>
      <c r="Z448" s="764">
        <v>7780.2762857487296</v>
      </c>
      <c r="AA448" s="763"/>
      <c r="AB448" s="771"/>
      <c r="AC448" s="764"/>
      <c r="AD448" s="772"/>
      <c r="AE448" s="771"/>
      <c r="AF448" s="764">
        <v>10571.46</v>
      </c>
      <c r="AG448" s="765"/>
      <c r="AH448" s="766">
        <v>2791.1837142512695</v>
      </c>
      <c r="AI448" s="767">
        <v>0.35875123347019572</v>
      </c>
      <c r="AJ448" s="772"/>
      <c r="AK448" s="763"/>
      <c r="AL448" s="764">
        <v>17196.879999999997</v>
      </c>
      <c r="AM448" s="768"/>
      <c r="AN448" s="766">
        <v>-6625.4199999999983</v>
      </c>
      <c r="AO448" s="774">
        <v>-0.38526872316373661</v>
      </c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06"/>
      <c r="BC448" s="506"/>
      <c r="BD448" s="506"/>
      <c r="BE448" s="506"/>
      <c r="BF448" s="506"/>
      <c r="BG448" s="506"/>
      <c r="BH448" s="506"/>
      <c r="BI448" s="506"/>
      <c r="BJ448" s="506"/>
    </row>
    <row r="449" spans="1:62" ht="15.75" hidden="1" customHeight="1">
      <c r="A449" s="494" t="s">
        <v>20</v>
      </c>
      <c r="B449" s="503"/>
      <c r="C449" s="733" t="s">
        <v>473</v>
      </c>
      <c r="T449" s="506"/>
      <c r="U449" s="506"/>
      <c r="V449" s="596" t="s">
        <v>20</v>
      </c>
      <c r="W449" s="770"/>
      <c r="X449" s="763"/>
      <c r="Y449" s="771"/>
      <c r="Z449" s="764">
        <v>0</v>
      </c>
      <c r="AA449" s="763"/>
      <c r="AB449" s="763"/>
      <c r="AC449" s="764"/>
      <c r="AD449" s="772"/>
      <c r="AE449" s="771"/>
      <c r="AF449" s="764">
        <v>0</v>
      </c>
      <c r="AG449" s="765"/>
      <c r="AH449" s="766">
        <v>0</v>
      </c>
      <c r="AI449" s="767">
        <v>0</v>
      </c>
      <c r="AJ449" s="772"/>
      <c r="AK449" s="763"/>
      <c r="AL449" s="764">
        <v>0</v>
      </c>
      <c r="AM449" s="768"/>
      <c r="AN449" s="766">
        <v>0</v>
      </c>
      <c r="AO449" s="774">
        <v>0</v>
      </c>
      <c r="AP449" s="506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06"/>
      <c r="BC449" s="506"/>
      <c r="BD449" s="506"/>
      <c r="BE449" s="506"/>
      <c r="BF449" s="506"/>
      <c r="BG449" s="506"/>
      <c r="BH449" s="506"/>
      <c r="BI449" s="506"/>
      <c r="BJ449" s="506"/>
    </row>
    <row r="450" spans="1:62" ht="15.75" hidden="1" customHeight="1">
      <c r="A450" s="494" t="s">
        <v>20</v>
      </c>
      <c r="B450" s="503"/>
      <c r="C450" s="733" t="s">
        <v>473</v>
      </c>
      <c r="T450" s="506"/>
      <c r="U450" s="506"/>
      <c r="V450" s="596" t="s">
        <v>20</v>
      </c>
      <c r="W450" s="770"/>
      <c r="X450" s="763"/>
      <c r="Y450" s="771"/>
      <c r="Z450" s="764">
        <v>0</v>
      </c>
      <c r="AA450" s="763"/>
      <c r="AB450" s="763"/>
      <c r="AC450" s="764"/>
      <c r="AD450" s="772"/>
      <c r="AE450" s="771"/>
      <c r="AF450" s="764">
        <v>0</v>
      </c>
      <c r="AG450" s="765"/>
      <c r="AH450" s="766">
        <v>0</v>
      </c>
      <c r="AI450" s="767">
        <v>0</v>
      </c>
      <c r="AJ450" s="772"/>
      <c r="AK450" s="763"/>
      <c r="AL450" s="764">
        <v>0</v>
      </c>
      <c r="AM450" s="768"/>
      <c r="AN450" s="766">
        <v>0</v>
      </c>
      <c r="AO450" s="774">
        <v>0</v>
      </c>
      <c r="AP450" s="506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06"/>
      <c r="BC450" s="506"/>
      <c r="BD450" s="506"/>
      <c r="BE450" s="506"/>
      <c r="BF450" s="506"/>
      <c r="BG450" s="506"/>
      <c r="BH450" s="506"/>
      <c r="BI450" s="506"/>
      <c r="BJ450" s="506"/>
    </row>
    <row r="451" spans="1:62" ht="15.75" hidden="1" customHeight="1">
      <c r="A451" s="494" t="s">
        <v>20</v>
      </c>
      <c r="B451" s="503"/>
      <c r="C451" s="733" t="s">
        <v>473</v>
      </c>
      <c r="T451" s="506"/>
      <c r="U451" s="506"/>
      <c r="V451" s="596" t="s">
        <v>20</v>
      </c>
      <c r="W451" s="770"/>
      <c r="X451" s="763"/>
      <c r="Y451" s="771"/>
      <c r="Z451" s="764">
        <v>0</v>
      </c>
      <c r="AA451" s="763"/>
      <c r="AB451" s="763"/>
      <c r="AC451" s="764"/>
      <c r="AD451" s="772"/>
      <c r="AE451" s="771"/>
      <c r="AF451" s="764">
        <v>0</v>
      </c>
      <c r="AG451" s="765"/>
      <c r="AH451" s="766">
        <v>0</v>
      </c>
      <c r="AI451" s="767">
        <v>0</v>
      </c>
      <c r="AJ451" s="772"/>
      <c r="AK451" s="763"/>
      <c r="AL451" s="764">
        <v>0</v>
      </c>
      <c r="AM451" s="768"/>
      <c r="AN451" s="766">
        <v>0</v>
      </c>
      <c r="AO451" s="774">
        <v>0</v>
      </c>
      <c r="AP451" s="506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06"/>
      <c r="BC451" s="506"/>
      <c r="BD451" s="506"/>
      <c r="BE451" s="506"/>
      <c r="BF451" s="506"/>
      <c r="BG451" s="506"/>
      <c r="BH451" s="506"/>
      <c r="BI451" s="506"/>
      <c r="BJ451" s="506"/>
    </row>
    <row r="452" spans="1:62" ht="15.75" customHeight="1">
      <c r="A452" s="494" t="s">
        <v>64</v>
      </c>
      <c r="B452" s="503"/>
      <c r="C452" s="733" t="s">
        <v>473</v>
      </c>
      <c r="T452" s="506"/>
      <c r="U452" s="506"/>
      <c r="V452" s="780" t="s">
        <v>64</v>
      </c>
      <c r="W452" s="805"/>
      <c r="X452" s="782">
        <v>0.12708431531267639</v>
      </c>
      <c r="Y452" s="781"/>
      <c r="Z452" s="783">
        <v>132192.82537174749</v>
      </c>
      <c r="AA452" s="782"/>
      <c r="AB452" s="781"/>
      <c r="AC452" s="783"/>
      <c r="AD452" s="784">
        <v>0.17795628665289603</v>
      </c>
      <c r="AE452" s="781"/>
      <c r="AF452" s="783">
        <v>123186.15</v>
      </c>
      <c r="AG452" s="806"/>
      <c r="AH452" s="807">
        <v>-9006.6753717474894</v>
      </c>
      <c r="AI452" s="782">
        <v>-6.8132860814641566E-2</v>
      </c>
      <c r="AJ452" s="784">
        <v>0.20355449998161337</v>
      </c>
      <c r="AK452" s="782"/>
      <c r="AL452" s="783">
        <v>145632.78</v>
      </c>
      <c r="AM452" s="792"/>
      <c r="AN452" s="786">
        <v>-22446.629999999997</v>
      </c>
      <c r="AO452" s="808">
        <v>-0.15413171402756987</v>
      </c>
      <c r="AP452" s="506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06"/>
      <c r="BC452" s="506"/>
      <c r="BD452" s="506"/>
      <c r="BE452" s="506"/>
      <c r="BF452" s="506"/>
      <c r="BG452" s="506"/>
      <c r="BH452" s="506"/>
      <c r="BI452" s="506"/>
      <c r="BJ452" s="506"/>
    </row>
    <row r="453" spans="1:62" ht="15.75" customHeight="1">
      <c r="A453" s="494" t="s">
        <v>162</v>
      </c>
      <c r="B453" s="503"/>
      <c r="C453" s="733" t="s">
        <v>473</v>
      </c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6"/>
      <c r="S453" s="506"/>
      <c r="T453" s="506"/>
      <c r="U453" s="506"/>
      <c r="V453" s="596" t="s">
        <v>162</v>
      </c>
      <c r="W453" s="770" t="s">
        <v>163</v>
      </c>
      <c r="X453" s="763"/>
      <c r="Y453" s="771"/>
      <c r="Z453" s="764">
        <v>36000</v>
      </c>
      <c r="AA453" s="763"/>
      <c r="AB453" s="771"/>
      <c r="AC453" s="764"/>
      <c r="AD453" s="772"/>
      <c r="AE453" s="771"/>
      <c r="AF453" s="764">
        <v>36000</v>
      </c>
      <c r="AG453" s="765"/>
      <c r="AH453" s="766">
        <v>0</v>
      </c>
      <c r="AI453" s="767">
        <v>0</v>
      </c>
      <c r="AJ453" s="772"/>
      <c r="AK453" s="763"/>
      <c r="AL453" s="764">
        <v>26000</v>
      </c>
      <c r="AM453" s="768"/>
      <c r="AN453" s="766">
        <v>10000</v>
      </c>
      <c r="AO453" s="774">
        <v>0.38461538461538464</v>
      </c>
      <c r="AP453" s="506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06"/>
      <c r="BC453" s="506"/>
      <c r="BD453" s="506"/>
      <c r="BE453" s="506"/>
      <c r="BF453" s="506"/>
      <c r="BG453" s="506"/>
      <c r="BH453" s="506"/>
      <c r="BI453" s="506"/>
      <c r="BJ453" s="506"/>
    </row>
    <row r="454" spans="1:62" ht="15.75" customHeight="1">
      <c r="A454" s="494" t="s">
        <v>164</v>
      </c>
      <c r="B454" s="503"/>
      <c r="C454" s="733" t="s">
        <v>473</v>
      </c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6"/>
      <c r="S454" s="506"/>
      <c r="T454" s="506"/>
      <c r="U454" s="506"/>
      <c r="V454" s="596" t="s">
        <v>164</v>
      </c>
      <c r="W454" s="770" t="s">
        <v>165</v>
      </c>
      <c r="X454" s="763"/>
      <c r="Y454" s="771"/>
      <c r="Z454" s="764">
        <v>5176.92</v>
      </c>
      <c r="AA454" s="763"/>
      <c r="AB454" s="771"/>
      <c r="AC454" s="764"/>
      <c r="AD454" s="772"/>
      <c r="AE454" s="771"/>
      <c r="AF454" s="764">
        <v>5177</v>
      </c>
      <c r="AG454" s="765"/>
      <c r="AH454" s="766">
        <v>7.999999999992724E-2</v>
      </c>
      <c r="AI454" s="767">
        <v>1.5453203835471139E-5</v>
      </c>
      <c r="AJ454" s="772"/>
      <c r="AK454" s="763"/>
      <c r="AL454" s="764">
        <v>5589</v>
      </c>
      <c r="AM454" s="768"/>
      <c r="AN454" s="766">
        <v>-412</v>
      </c>
      <c r="AO454" s="774">
        <v>-7.371622830560029E-2</v>
      </c>
      <c r="AP454" s="506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06"/>
      <c r="BC454" s="506"/>
      <c r="BD454" s="506"/>
      <c r="BE454" s="506"/>
      <c r="BF454" s="506"/>
      <c r="BG454" s="506"/>
      <c r="BH454" s="506"/>
      <c r="BI454" s="506"/>
      <c r="BJ454" s="506"/>
    </row>
    <row r="455" spans="1:62" ht="15.75" customHeight="1">
      <c r="A455" s="494" t="s">
        <v>166</v>
      </c>
      <c r="B455" s="503"/>
      <c r="C455" s="733" t="s">
        <v>473</v>
      </c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6"/>
      <c r="S455" s="506"/>
      <c r="T455" s="506"/>
      <c r="U455" s="506"/>
      <c r="V455" s="598" t="s">
        <v>166</v>
      </c>
      <c r="W455" s="775" t="s">
        <v>167</v>
      </c>
      <c r="X455" s="747"/>
      <c r="Y455" s="776"/>
      <c r="Z455" s="748">
        <v>3444.8400000000006</v>
      </c>
      <c r="AA455" s="747"/>
      <c r="AB455" s="776"/>
      <c r="AC455" s="748"/>
      <c r="AD455" s="777"/>
      <c r="AE455" s="776"/>
      <c r="AF455" s="748">
        <v>3445.0000000000005</v>
      </c>
      <c r="AG455" s="749"/>
      <c r="AH455" s="750">
        <v>0.15999999999985448</v>
      </c>
      <c r="AI455" s="778">
        <v>4.6446279072425558E-5</v>
      </c>
      <c r="AJ455" s="777"/>
      <c r="AK455" s="747"/>
      <c r="AL455" s="748">
        <v>3279.99999999999</v>
      </c>
      <c r="AM455" s="752"/>
      <c r="AN455" s="750">
        <v>165.00000000001046</v>
      </c>
      <c r="AO455" s="753">
        <v>5.0304878048783828E-2</v>
      </c>
      <c r="AP455" s="506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06"/>
      <c r="BC455" s="506"/>
      <c r="BD455" s="506"/>
      <c r="BE455" s="506"/>
      <c r="BF455" s="506"/>
      <c r="BG455" s="506"/>
      <c r="BH455" s="506"/>
      <c r="BI455" s="506"/>
      <c r="BJ455" s="506"/>
    </row>
    <row r="456" spans="1:62" ht="15.75" customHeight="1">
      <c r="A456" s="494" t="s">
        <v>168</v>
      </c>
      <c r="B456" s="503"/>
      <c r="C456" s="733" t="s">
        <v>473</v>
      </c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6"/>
      <c r="S456" s="506"/>
      <c r="T456" s="506"/>
      <c r="U456" s="506"/>
      <c r="V456" s="596" t="s">
        <v>168</v>
      </c>
      <c r="W456" s="770"/>
      <c r="X456" s="763"/>
      <c r="Y456" s="771"/>
      <c r="Z456" s="764">
        <v>0</v>
      </c>
      <c r="AA456" s="763"/>
      <c r="AB456" s="771"/>
      <c r="AC456" s="764"/>
      <c r="AD456" s="772"/>
      <c r="AE456" s="771"/>
      <c r="AF456" s="764">
        <v>0</v>
      </c>
      <c r="AG456" s="765"/>
      <c r="AH456" s="766">
        <v>0</v>
      </c>
      <c r="AI456" s="767">
        <v>0</v>
      </c>
      <c r="AJ456" s="772"/>
      <c r="AK456" s="763"/>
      <c r="AL456" s="764">
        <v>0</v>
      </c>
      <c r="AM456" s="768"/>
      <c r="AN456" s="766">
        <v>0</v>
      </c>
      <c r="AO456" s="774">
        <v>0</v>
      </c>
      <c r="AP456" s="506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06"/>
      <c r="BC456" s="506"/>
      <c r="BD456" s="506"/>
      <c r="BE456" s="506"/>
      <c r="BF456" s="506"/>
      <c r="BG456" s="506"/>
      <c r="BH456" s="506"/>
      <c r="BI456" s="506"/>
      <c r="BJ456" s="506"/>
    </row>
    <row r="457" spans="1:62" ht="15.75" customHeight="1">
      <c r="A457" s="494" t="s">
        <v>169</v>
      </c>
      <c r="B457" s="503"/>
      <c r="C457" s="733" t="s">
        <v>473</v>
      </c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6"/>
      <c r="S457" s="506"/>
      <c r="T457" s="506"/>
      <c r="U457" s="506"/>
      <c r="V457" s="598" t="s">
        <v>169</v>
      </c>
      <c r="W457" s="775" t="s">
        <v>170</v>
      </c>
      <c r="X457" s="747"/>
      <c r="Y457" s="776"/>
      <c r="Z457" s="748">
        <v>3893.083333333333</v>
      </c>
      <c r="AA457" s="747"/>
      <c r="AB457" s="776"/>
      <c r="AC457" s="748"/>
      <c r="AD457" s="777"/>
      <c r="AE457" s="776"/>
      <c r="AF457" s="748">
        <v>3893.08</v>
      </c>
      <c r="AG457" s="749"/>
      <c r="AH457" s="750">
        <v>-3.333333333102928E-3</v>
      </c>
      <c r="AI457" s="778">
        <v>-8.5621936334172008E-7</v>
      </c>
      <c r="AJ457" s="777"/>
      <c r="AK457" s="747"/>
      <c r="AL457" s="748">
        <v>4271</v>
      </c>
      <c r="AM457" s="752"/>
      <c r="AN457" s="750">
        <v>-377.92000000000007</v>
      </c>
      <c r="AO457" s="753">
        <v>-8.8485132287520502E-2</v>
      </c>
      <c r="AP457" s="506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06"/>
      <c r="BC457" s="506"/>
      <c r="BD457" s="506"/>
      <c r="BE457" s="506"/>
      <c r="BF457" s="506"/>
      <c r="BG457" s="506"/>
      <c r="BH457" s="506"/>
      <c r="BI457" s="506"/>
      <c r="BJ457" s="506"/>
    </row>
    <row r="458" spans="1:62" ht="15.75" customHeight="1">
      <c r="A458" s="494" t="s">
        <v>171</v>
      </c>
      <c r="B458" s="503"/>
      <c r="C458" s="733" t="s">
        <v>473</v>
      </c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6"/>
      <c r="S458" s="506"/>
      <c r="T458" s="506"/>
      <c r="U458" s="506"/>
      <c r="V458" s="596" t="s">
        <v>171</v>
      </c>
      <c r="W458" s="770" t="s">
        <v>172</v>
      </c>
      <c r="X458" s="809"/>
      <c r="Y458" s="810"/>
      <c r="Z458" s="764">
        <v>3451.2500000000005</v>
      </c>
      <c r="AA458" s="809"/>
      <c r="AB458" s="810"/>
      <c r="AC458" s="764"/>
      <c r="AD458" s="772"/>
      <c r="AE458" s="771"/>
      <c r="AF458" s="811">
        <v>2432.3200000000002</v>
      </c>
      <c r="AG458" s="765"/>
      <c r="AH458" s="766">
        <v>-1018.9300000000003</v>
      </c>
      <c r="AI458" s="767">
        <v>-0.29523505976095621</v>
      </c>
      <c r="AJ458" s="772"/>
      <c r="AK458" s="763"/>
      <c r="AL458" s="764">
        <v>4881.34</v>
      </c>
      <c r="AM458" s="768"/>
      <c r="AN458" s="766">
        <v>-2449.02</v>
      </c>
      <c r="AO458" s="774">
        <v>-0.50171059586097255</v>
      </c>
      <c r="AP458" s="506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06"/>
      <c r="BC458" s="506"/>
      <c r="BD458" s="506"/>
      <c r="BE458" s="506"/>
      <c r="BF458" s="506"/>
      <c r="BG458" s="506"/>
      <c r="BH458" s="506"/>
      <c r="BI458" s="506"/>
      <c r="BJ458" s="506"/>
    </row>
    <row r="459" spans="1:62" ht="15.75" customHeight="1">
      <c r="A459" s="494" t="s">
        <v>173</v>
      </c>
      <c r="B459" s="503"/>
      <c r="C459" s="733" t="s">
        <v>473</v>
      </c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6"/>
      <c r="S459" s="506"/>
      <c r="T459" s="506"/>
      <c r="U459" s="506"/>
      <c r="V459" s="596" t="s">
        <v>173</v>
      </c>
      <c r="W459" s="770" t="s">
        <v>174</v>
      </c>
      <c r="X459" s="763"/>
      <c r="Y459" s="771"/>
      <c r="Z459" s="764">
        <v>6784.05</v>
      </c>
      <c r="AA459" s="763"/>
      <c r="AB459" s="771"/>
      <c r="AC459" s="764"/>
      <c r="AD459" s="772"/>
      <c r="AE459" s="771"/>
      <c r="AF459" s="764">
        <v>7623.329999999999</v>
      </c>
      <c r="AG459" s="765"/>
      <c r="AH459" s="766">
        <v>839.27999999999884</v>
      </c>
      <c r="AI459" s="767">
        <v>0.12371371083644708</v>
      </c>
      <c r="AJ459" s="772"/>
      <c r="AK459" s="763"/>
      <c r="AL459" s="764">
        <v>6828.57</v>
      </c>
      <c r="AM459" s="768"/>
      <c r="AN459" s="766">
        <v>794.75999999999931</v>
      </c>
      <c r="AO459" s="774">
        <v>0.1163874720475882</v>
      </c>
      <c r="AP459" s="506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06"/>
      <c r="BC459" s="506"/>
      <c r="BD459" s="506"/>
      <c r="BE459" s="506"/>
      <c r="BF459" s="506"/>
      <c r="BG459" s="506"/>
      <c r="BH459" s="506"/>
      <c r="BI459" s="506"/>
      <c r="BJ459" s="506"/>
    </row>
    <row r="460" spans="1:62" ht="15.75" customHeight="1">
      <c r="A460" s="494" t="s">
        <v>175</v>
      </c>
      <c r="B460" s="503"/>
      <c r="C460" s="733" t="s">
        <v>473</v>
      </c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6"/>
      <c r="S460" s="506"/>
      <c r="T460" s="506"/>
      <c r="U460" s="506"/>
      <c r="V460" s="598" t="s">
        <v>175</v>
      </c>
      <c r="W460" s="775" t="s">
        <v>176</v>
      </c>
      <c r="X460" s="747"/>
      <c r="Y460" s="776"/>
      <c r="Z460" s="748">
        <v>1946.9211566305551</v>
      </c>
      <c r="AA460" s="747"/>
      <c r="AB460" s="776"/>
      <c r="AC460" s="748"/>
      <c r="AD460" s="777"/>
      <c r="AE460" s="776"/>
      <c r="AF460" s="748">
        <v>311.39999999999998</v>
      </c>
      <c r="AG460" s="749"/>
      <c r="AH460" s="750">
        <v>-1635.5211566305552</v>
      </c>
      <c r="AI460" s="778">
        <v>-0.8400551563480233</v>
      </c>
      <c r="AJ460" s="777"/>
      <c r="AK460" s="747"/>
      <c r="AL460" s="748">
        <v>4533.54</v>
      </c>
      <c r="AM460" s="752"/>
      <c r="AN460" s="750">
        <v>-4222.1400000000003</v>
      </c>
      <c r="AO460" s="753">
        <v>-0.93131195489617391</v>
      </c>
      <c r="AP460" s="506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06"/>
      <c r="BC460" s="506"/>
      <c r="BD460" s="506"/>
      <c r="BE460" s="506"/>
      <c r="BF460" s="506"/>
      <c r="BG460" s="506"/>
      <c r="BH460" s="506"/>
      <c r="BI460" s="506"/>
      <c r="BJ460" s="506"/>
    </row>
    <row r="461" spans="1:62" ht="15.75" customHeight="1">
      <c r="A461" s="494" t="s">
        <v>177</v>
      </c>
      <c r="B461" s="503"/>
      <c r="C461" s="733" t="s">
        <v>473</v>
      </c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6"/>
      <c r="S461" s="506"/>
      <c r="T461" s="506"/>
      <c r="U461" s="812"/>
      <c r="V461" s="596" t="s">
        <v>177</v>
      </c>
      <c r="W461" s="770" t="s">
        <v>178</v>
      </c>
      <c r="X461" s="763"/>
      <c r="Y461" s="771"/>
      <c r="Z461" s="764">
        <v>1000</v>
      </c>
      <c r="AA461" s="763"/>
      <c r="AB461" s="771"/>
      <c r="AC461" s="764"/>
      <c r="AD461" s="772"/>
      <c r="AE461" s="771"/>
      <c r="AF461" s="764">
        <v>614.35</v>
      </c>
      <c r="AG461" s="765"/>
      <c r="AH461" s="766">
        <v>-385.65</v>
      </c>
      <c r="AI461" s="813">
        <v>-0.38564999999999999</v>
      </c>
      <c r="AJ461" s="763"/>
      <c r="AK461" s="763"/>
      <c r="AL461" s="764">
        <v>1369.06</v>
      </c>
      <c r="AM461" s="768"/>
      <c r="AN461" s="766">
        <v>-754.70999999999992</v>
      </c>
      <c r="AO461" s="774">
        <v>-0.55126144946167444</v>
      </c>
      <c r="AP461" s="506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06"/>
      <c r="BC461" s="506"/>
      <c r="BD461" s="506"/>
      <c r="BE461" s="506"/>
      <c r="BF461" s="506"/>
      <c r="BG461" s="506"/>
      <c r="BH461" s="506"/>
      <c r="BI461" s="506"/>
      <c r="BJ461" s="506"/>
    </row>
    <row r="462" spans="1:62" ht="15.75" customHeight="1">
      <c r="A462" s="494" t="s">
        <v>179</v>
      </c>
      <c r="B462" s="503"/>
      <c r="C462" s="733" t="s">
        <v>473</v>
      </c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6"/>
      <c r="S462" s="506"/>
      <c r="T462" s="506"/>
      <c r="U462" s="812"/>
      <c r="V462" s="596" t="s">
        <v>179</v>
      </c>
      <c r="W462" s="770" t="s">
        <v>180</v>
      </c>
      <c r="X462" s="763"/>
      <c r="Y462" s="771"/>
      <c r="Z462" s="764">
        <v>0</v>
      </c>
      <c r="AA462" s="763"/>
      <c r="AB462" s="771"/>
      <c r="AC462" s="764"/>
      <c r="AD462" s="772"/>
      <c r="AE462" s="771"/>
      <c r="AF462" s="764">
        <v>0</v>
      </c>
      <c r="AG462" s="765"/>
      <c r="AH462" s="766">
        <v>0</v>
      </c>
      <c r="AI462" s="790">
        <v>0</v>
      </c>
      <c r="AJ462" s="763"/>
      <c r="AK462" s="763"/>
      <c r="AL462" s="764">
        <v>0</v>
      </c>
      <c r="AM462" s="768"/>
      <c r="AN462" s="766">
        <v>0</v>
      </c>
      <c r="AO462" s="774">
        <v>0</v>
      </c>
      <c r="AP462" s="506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06"/>
      <c r="BC462" s="506"/>
      <c r="BD462" s="506"/>
      <c r="BE462" s="506"/>
      <c r="BF462" s="506"/>
      <c r="BG462" s="506"/>
      <c r="BH462" s="506"/>
      <c r="BI462" s="506"/>
      <c r="BJ462" s="506"/>
    </row>
    <row r="463" spans="1:62" ht="15.75" hidden="1" customHeight="1">
      <c r="A463" s="494" t="s">
        <v>20</v>
      </c>
      <c r="B463" s="503"/>
      <c r="C463" s="733" t="s">
        <v>473</v>
      </c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6"/>
      <c r="S463" s="506"/>
      <c r="T463" s="506"/>
      <c r="U463" s="812"/>
      <c r="V463" s="596" t="s">
        <v>20</v>
      </c>
      <c r="W463" s="770"/>
      <c r="X463" s="763"/>
      <c r="Y463" s="771"/>
      <c r="Z463" s="764">
        <v>0</v>
      </c>
      <c r="AA463" s="763"/>
      <c r="AB463" s="763"/>
      <c r="AC463" s="764"/>
      <c r="AD463" s="772"/>
      <c r="AE463" s="771"/>
      <c r="AF463" s="764">
        <v>0</v>
      </c>
      <c r="AG463" s="765"/>
      <c r="AH463" s="766">
        <v>0</v>
      </c>
      <c r="AI463" s="767">
        <v>0</v>
      </c>
      <c r="AJ463" s="772"/>
      <c r="AK463" s="763"/>
      <c r="AL463" s="764">
        <v>0</v>
      </c>
      <c r="AM463" s="768"/>
      <c r="AN463" s="766">
        <v>0</v>
      </c>
      <c r="AO463" s="774">
        <v>1</v>
      </c>
      <c r="AP463" s="506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06"/>
      <c r="BC463" s="506"/>
      <c r="BD463" s="506"/>
      <c r="BE463" s="506"/>
      <c r="BF463" s="506"/>
      <c r="BG463" s="506"/>
      <c r="BH463" s="506"/>
      <c r="BI463" s="506"/>
      <c r="BJ463" s="506"/>
    </row>
    <row r="464" spans="1:62" ht="15.75" hidden="1" customHeight="1">
      <c r="A464" s="494" t="s">
        <v>20</v>
      </c>
      <c r="B464" s="503"/>
      <c r="C464" s="733" t="s">
        <v>473</v>
      </c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6"/>
      <c r="S464" s="506"/>
      <c r="T464" s="506"/>
      <c r="U464" s="812"/>
      <c r="V464" s="596" t="s">
        <v>20</v>
      </c>
      <c r="W464" s="770"/>
      <c r="X464" s="763"/>
      <c r="Y464" s="771"/>
      <c r="Z464" s="764">
        <v>0</v>
      </c>
      <c r="AA464" s="763"/>
      <c r="AB464" s="763"/>
      <c r="AC464" s="764"/>
      <c r="AD464" s="772"/>
      <c r="AE464" s="771"/>
      <c r="AF464" s="764">
        <v>0</v>
      </c>
      <c r="AG464" s="765"/>
      <c r="AH464" s="766">
        <v>0</v>
      </c>
      <c r="AI464" s="767">
        <v>0</v>
      </c>
      <c r="AJ464" s="772"/>
      <c r="AK464" s="763"/>
      <c r="AL464" s="764">
        <v>0</v>
      </c>
      <c r="AM464" s="768"/>
      <c r="AN464" s="766">
        <v>0</v>
      </c>
      <c r="AO464" s="774">
        <v>2</v>
      </c>
      <c r="AP464" s="506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06"/>
      <c r="BC464" s="506"/>
      <c r="BD464" s="506"/>
      <c r="BE464" s="506"/>
      <c r="BF464" s="506"/>
      <c r="BG464" s="506"/>
      <c r="BH464" s="506"/>
      <c r="BI464" s="506"/>
      <c r="BJ464" s="506"/>
    </row>
    <row r="465" spans="1:62" ht="15.75" hidden="1" customHeight="1">
      <c r="A465" s="494" t="s">
        <v>20</v>
      </c>
      <c r="B465" s="503"/>
      <c r="C465" s="733" t="s">
        <v>473</v>
      </c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6"/>
      <c r="S465" s="506"/>
      <c r="T465" s="506"/>
      <c r="U465" s="506"/>
      <c r="V465" s="596" t="s">
        <v>20</v>
      </c>
      <c r="W465" s="770"/>
      <c r="X465" s="763"/>
      <c r="Y465" s="771"/>
      <c r="Z465" s="764">
        <v>0</v>
      </c>
      <c r="AA465" s="763"/>
      <c r="AB465" s="763"/>
      <c r="AC465" s="764"/>
      <c r="AD465" s="772"/>
      <c r="AE465" s="771"/>
      <c r="AF465" s="764">
        <v>0</v>
      </c>
      <c r="AG465" s="765"/>
      <c r="AH465" s="766">
        <v>0</v>
      </c>
      <c r="AI465" s="767">
        <v>0</v>
      </c>
      <c r="AJ465" s="772"/>
      <c r="AK465" s="763"/>
      <c r="AL465" s="764">
        <v>0</v>
      </c>
      <c r="AM465" s="768"/>
      <c r="AN465" s="766">
        <v>0</v>
      </c>
      <c r="AO465" s="774">
        <v>3</v>
      </c>
      <c r="AP465" s="506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06"/>
      <c r="BC465" s="506"/>
      <c r="BD465" s="506"/>
      <c r="BE465" s="506"/>
      <c r="BF465" s="506"/>
      <c r="BG465" s="506"/>
      <c r="BH465" s="506"/>
      <c r="BI465" s="506"/>
      <c r="BJ465" s="506"/>
    </row>
    <row r="466" spans="1:62" ht="15.75" customHeight="1">
      <c r="A466" s="494" t="s">
        <v>181</v>
      </c>
      <c r="B466" s="503"/>
      <c r="C466" s="733" t="s">
        <v>473</v>
      </c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6"/>
      <c r="S466" s="506"/>
      <c r="T466" s="506"/>
      <c r="U466" s="506"/>
      <c r="V466" s="780" t="s">
        <v>181</v>
      </c>
      <c r="W466" s="781"/>
      <c r="X466" s="782">
        <v>5.9312819553252676E-2</v>
      </c>
      <c r="Y466" s="781"/>
      <c r="Z466" s="783">
        <v>61697.064489963894</v>
      </c>
      <c r="AA466" s="782"/>
      <c r="AB466" s="781"/>
      <c r="AC466" s="783"/>
      <c r="AD466" s="784">
        <v>8.5949375394216779E-2</v>
      </c>
      <c r="AE466" s="781"/>
      <c r="AF466" s="783">
        <v>59496.480000000003</v>
      </c>
      <c r="AG466" s="806"/>
      <c r="AH466" s="807">
        <v>-2200.5844899638901</v>
      </c>
      <c r="AI466" s="782">
        <v>-3.5667572001287902E-2</v>
      </c>
      <c r="AJ466" s="784">
        <v>7.9324371860178128E-2</v>
      </c>
      <c r="AK466" s="782"/>
      <c r="AL466" s="783">
        <v>56752.509999999995</v>
      </c>
      <c r="AM466" s="792"/>
      <c r="AN466" s="786">
        <v>2743.9700000000093</v>
      </c>
      <c r="AO466" s="808">
        <v>4.8349755808157376E-2</v>
      </c>
      <c r="AP466" s="506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06"/>
      <c r="BC466" s="506"/>
      <c r="BD466" s="506"/>
      <c r="BE466" s="506"/>
      <c r="BF466" s="506"/>
      <c r="BG466" s="506"/>
      <c r="BH466" s="506"/>
      <c r="BI466" s="506"/>
      <c r="BJ466" s="506"/>
    </row>
    <row r="467" spans="1:62" ht="15.75" customHeight="1">
      <c r="A467" s="494" t="s">
        <v>475</v>
      </c>
      <c r="B467" s="503"/>
      <c r="C467" s="733" t="s">
        <v>473</v>
      </c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6"/>
      <c r="S467" s="506"/>
      <c r="T467" s="506"/>
      <c r="U467" s="506"/>
      <c r="V467" s="596"/>
      <c r="W467" s="763"/>
      <c r="X467" s="763"/>
      <c r="Y467" s="763"/>
      <c r="Z467" s="814"/>
      <c r="AA467" s="763"/>
      <c r="AB467" s="763"/>
      <c r="AC467" s="814"/>
      <c r="AD467" s="772"/>
      <c r="AE467" s="763"/>
      <c r="AF467" s="814"/>
      <c r="AG467" s="772"/>
      <c r="AH467" s="766">
        <v>0</v>
      </c>
      <c r="AI467" s="767"/>
      <c r="AJ467" s="772"/>
      <c r="AK467" s="763"/>
      <c r="AL467" s="814"/>
      <c r="AM467" s="815"/>
      <c r="AN467" s="766">
        <v>0</v>
      </c>
      <c r="AO467" s="816">
        <v>0</v>
      </c>
      <c r="AP467" s="506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06"/>
      <c r="BC467" s="506"/>
      <c r="BD467" s="506"/>
      <c r="BE467" s="506"/>
      <c r="BF467" s="506"/>
      <c r="BG467" s="506"/>
      <c r="BH467" s="506"/>
      <c r="BI467" s="506"/>
      <c r="BJ467" s="506"/>
    </row>
    <row r="468" spans="1:62" ht="15.75" customHeight="1">
      <c r="A468" s="494" t="s">
        <v>65</v>
      </c>
      <c r="B468" s="503"/>
      <c r="C468" s="733" t="s">
        <v>473</v>
      </c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6"/>
      <c r="S468" s="506"/>
      <c r="T468" s="506"/>
      <c r="U468" s="506"/>
      <c r="V468" s="780" t="s">
        <v>65</v>
      </c>
      <c r="W468" s="781"/>
      <c r="X468" s="782">
        <v>0.76884341478437046</v>
      </c>
      <c r="Y468" s="781"/>
      <c r="Z468" s="783">
        <v>799749.2296255884</v>
      </c>
      <c r="AA468" s="782"/>
      <c r="AB468" s="781"/>
      <c r="AC468" s="783"/>
      <c r="AD468" s="784">
        <v>1.0427625029719296</v>
      </c>
      <c r="AE468" s="781"/>
      <c r="AF468" s="783">
        <v>721828.38</v>
      </c>
      <c r="AG468" s="806"/>
      <c r="AH468" s="807">
        <v>-77920.849625588395</v>
      </c>
      <c r="AI468" s="782">
        <v>-9.7431603231512856E-2</v>
      </c>
      <c r="AJ468" s="784">
        <v>0.92721340047647793</v>
      </c>
      <c r="AK468" s="782"/>
      <c r="AL468" s="783">
        <v>663373.52</v>
      </c>
      <c r="AM468" s="792"/>
      <c r="AN468" s="786">
        <v>58454.859999999986</v>
      </c>
      <c r="AO468" s="761">
        <v>8.8117566103633416E-2</v>
      </c>
      <c r="AP468" s="506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06"/>
      <c r="BC468" s="506"/>
      <c r="BD468" s="506"/>
      <c r="BE468" s="506"/>
      <c r="BF468" s="506"/>
      <c r="BG468" s="506"/>
      <c r="BH468" s="506"/>
      <c r="BI468" s="506"/>
      <c r="BJ468" s="506"/>
    </row>
    <row r="469" spans="1:62" ht="15.75" customHeight="1">
      <c r="A469" s="494" t="s">
        <v>182</v>
      </c>
      <c r="B469" s="503"/>
      <c r="C469" s="733" t="s">
        <v>473</v>
      </c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6"/>
      <c r="S469" s="506"/>
      <c r="T469" s="506"/>
      <c r="U469" s="506"/>
      <c r="V469" s="596" t="s">
        <v>182</v>
      </c>
      <c r="W469" s="810"/>
      <c r="X469" s="810"/>
      <c r="Y469" s="763"/>
      <c r="Z469" s="795">
        <v>0</v>
      </c>
      <c r="AA469" s="817"/>
      <c r="AB469" s="818"/>
      <c r="AC469" s="795"/>
      <c r="AD469" s="819"/>
      <c r="AE469" s="818"/>
      <c r="AF469" s="764">
        <v>125.88</v>
      </c>
      <c r="AG469" s="820"/>
      <c r="AH469" s="766">
        <v>125.88</v>
      </c>
      <c r="AI469" s="813" t="e">
        <v>#DIV/0!</v>
      </c>
      <c r="AJ469" s="819"/>
      <c r="AK469" s="817"/>
      <c r="AL469" s="821">
        <v>12636.76</v>
      </c>
      <c r="AM469" s="822"/>
      <c r="AN469" s="766">
        <v>-12510.880000000001</v>
      </c>
      <c r="AO469" s="774">
        <v>-0.99003858584004134</v>
      </c>
      <c r="AP469" s="506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06"/>
      <c r="BC469" s="506"/>
      <c r="BD469" s="506"/>
      <c r="BE469" s="506"/>
      <c r="BF469" s="506"/>
      <c r="BG469" s="506"/>
      <c r="BH469" s="506"/>
      <c r="BI469" s="506"/>
      <c r="BJ469" s="506"/>
    </row>
    <row r="470" spans="1:62" ht="15.75" customHeight="1">
      <c r="A470" s="494" t="s">
        <v>69</v>
      </c>
      <c r="B470" s="503"/>
      <c r="C470" s="733" t="s">
        <v>473</v>
      </c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6"/>
      <c r="S470" s="506"/>
      <c r="T470" s="506"/>
      <c r="U470" s="506"/>
      <c r="V470" s="596" t="s">
        <v>69</v>
      </c>
      <c r="W470" s="763"/>
      <c r="X470" s="763"/>
      <c r="Y470" s="763"/>
      <c r="Z470" s="764">
        <v>107806.00285172804</v>
      </c>
      <c r="AA470" s="809"/>
      <c r="AB470" s="766"/>
      <c r="AC470" s="764"/>
      <c r="AD470" s="823"/>
      <c r="AE470" s="824"/>
      <c r="AF470" s="764">
        <v>99044.7</v>
      </c>
      <c r="AG470" s="825"/>
      <c r="AH470" s="766">
        <v>-8761.3028517280472</v>
      </c>
      <c r="AI470" s="790">
        <v>-8.1269155890864295E-2</v>
      </c>
      <c r="AJ470" s="826"/>
      <c r="AK470" s="809"/>
      <c r="AL470" s="827">
        <v>67424.75</v>
      </c>
      <c r="AM470" s="823"/>
      <c r="AN470" s="766">
        <v>31619.949999999997</v>
      </c>
      <c r="AO470" s="774">
        <v>0.46896651452174459</v>
      </c>
      <c r="AP470" s="506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06"/>
      <c r="BC470" s="506"/>
      <c r="BD470" s="506"/>
      <c r="BE470" s="506"/>
      <c r="BF470" s="506"/>
      <c r="BG470" s="506"/>
      <c r="BH470" s="506"/>
      <c r="BI470" s="506"/>
      <c r="BJ470" s="506"/>
    </row>
    <row r="471" spans="1:62" ht="15.75" customHeight="1">
      <c r="A471" s="494" t="s">
        <v>197</v>
      </c>
      <c r="B471" s="503"/>
      <c r="C471" s="733" t="s">
        <v>473</v>
      </c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6"/>
      <c r="S471" s="506"/>
      <c r="T471" s="506"/>
      <c r="U471" s="506"/>
      <c r="V471" s="596" t="s">
        <v>197</v>
      </c>
      <c r="W471" s="763"/>
      <c r="X471" s="763"/>
      <c r="Y471" s="763"/>
      <c r="Z471" s="764">
        <v>0</v>
      </c>
      <c r="AA471" s="809"/>
      <c r="AB471" s="810"/>
      <c r="AC471" s="764"/>
      <c r="AD471" s="826"/>
      <c r="AF471" s="764">
        <v>0</v>
      </c>
      <c r="AG471" s="825"/>
      <c r="AH471" s="766">
        <v>0</v>
      </c>
      <c r="AI471" s="790">
        <v>0</v>
      </c>
      <c r="AJ471" s="826"/>
      <c r="AK471" s="809"/>
      <c r="AL471" s="827">
        <v>0</v>
      </c>
      <c r="AM471" s="823"/>
      <c r="AN471" s="766">
        <v>0</v>
      </c>
      <c r="AO471" s="774">
        <v>0</v>
      </c>
      <c r="AP471" s="506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06"/>
      <c r="BC471" s="506"/>
      <c r="BD471" s="506"/>
      <c r="BE471" s="506"/>
      <c r="BF471" s="506"/>
      <c r="BG471" s="506"/>
      <c r="BH471" s="506"/>
      <c r="BI471" s="506"/>
      <c r="BJ471" s="506"/>
    </row>
    <row r="472" spans="1:62" ht="15.75" customHeight="1">
      <c r="A472" s="494" t="s">
        <v>194</v>
      </c>
      <c r="B472" s="503"/>
      <c r="C472" s="733" t="s">
        <v>473</v>
      </c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  <c r="S472" s="506"/>
      <c r="T472" s="506"/>
      <c r="U472" s="506"/>
      <c r="V472" s="596" t="s">
        <v>194</v>
      </c>
      <c r="W472" s="763"/>
      <c r="X472" s="763"/>
      <c r="Y472" s="763"/>
      <c r="Z472" s="764">
        <v>0</v>
      </c>
      <c r="AA472" s="809"/>
      <c r="AB472" s="810"/>
      <c r="AC472" s="764"/>
      <c r="AD472" s="826"/>
      <c r="AE472" s="810"/>
      <c r="AF472" s="764">
        <v>0</v>
      </c>
      <c r="AG472" s="825"/>
      <c r="AH472" s="766">
        <v>0</v>
      </c>
      <c r="AI472" s="790">
        <v>0</v>
      </c>
      <c r="AJ472" s="826"/>
      <c r="AK472" s="809"/>
      <c r="AL472" s="827">
        <v>0</v>
      </c>
      <c r="AM472" s="823"/>
      <c r="AN472" s="766">
        <v>0</v>
      </c>
      <c r="AO472" s="774">
        <v>0</v>
      </c>
      <c r="AP472" s="506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06"/>
      <c r="BC472" s="506"/>
      <c r="BD472" s="506"/>
      <c r="BE472" s="506"/>
      <c r="BF472" s="506"/>
      <c r="BG472" s="506"/>
      <c r="BH472" s="506"/>
      <c r="BI472" s="506"/>
      <c r="BJ472" s="506"/>
    </row>
    <row r="473" spans="1:62" ht="15.75" customHeight="1">
      <c r="A473" s="494" t="s">
        <v>68</v>
      </c>
      <c r="B473" s="503"/>
      <c r="C473" s="733" t="s">
        <v>473</v>
      </c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6"/>
      <c r="S473" s="506"/>
      <c r="T473" s="506"/>
      <c r="U473" s="506"/>
      <c r="V473" s="596" t="s">
        <v>68</v>
      </c>
      <c r="W473" s="763"/>
      <c r="X473" s="763"/>
      <c r="Y473" s="763"/>
      <c r="Z473" s="764">
        <v>0</v>
      </c>
      <c r="AA473" s="809"/>
      <c r="AB473" s="810"/>
      <c r="AC473" s="764"/>
      <c r="AD473" s="826"/>
      <c r="AE473" s="810"/>
      <c r="AF473" s="764">
        <v>0</v>
      </c>
      <c r="AG473" s="825"/>
      <c r="AH473" s="766">
        <v>0</v>
      </c>
      <c r="AI473" s="790">
        <v>0</v>
      </c>
      <c r="AJ473" s="826"/>
      <c r="AK473" s="809"/>
      <c r="AL473" s="827">
        <v>0</v>
      </c>
      <c r="AM473" s="823"/>
      <c r="AN473" s="766">
        <v>0</v>
      </c>
      <c r="AO473" s="774">
        <v>0</v>
      </c>
      <c r="AP473" s="506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06"/>
      <c r="BC473" s="506"/>
      <c r="BD473" s="506"/>
      <c r="BE473" s="506"/>
      <c r="BF473" s="506"/>
      <c r="BG473" s="506"/>
      <c r="BH473" s="506"/>
      <c r="BI473" s="506"/>
      <c r="BJ473" s="506"/>
    </row>
    <row r="474" spans="1:62" ht="15.75" customHeight="1">
      <c r="A474" s="494" t="s">
        <v>331</v>
      </c>
      <c r="B474" s="503"/>
      <c r="C474" s="733" t="s">
        <v>473</v>
      </c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6"/>
      <c r="S474" s="506"/>
      <c r="T474" s="506"/>
      <c r="U474" s="506"/>
      <c r="V474" s="596" t="s">
        <v>331</v>
      </c>
      <c r="W474" s="763"/>
      <c r="X474" s="763"/>
      <c r="Y474" s="763"/>
      <c r="Z474" s="764">
        <v>0</v>
      </c>
      <c r="AA474" s="809"/>
      <c r="AB474" s="810"/>
      <c r="AC474" s="764"/>
      <c r="AD474" s="826"/>
      <c r="AE474" s="810"/>
      <c r="AF474" s="764">
        <v>0</v>
      </c>
      <c r="AG474" s="825"/>
      <c r="AH474" s="766">
        <v>0</v>
      </c>
      <c r="AI474" s="790">
        <v>0</v>
      </c>
      <c r="AJ474" s="826"/>
      <c r="AK474" s="809"/>
      <c r="AL474" s="827">
        <v>0</v>
      </c>
      <c r="AM474" s="823"/>
      <c r="AN474" s="766">
        <v>0</v>
      </c>
      <c r="AO474" s="774">
        <v>0</v>
      </c>
      <c r="AP474" s="506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06"/>
      <c r="BC474" s="506"/>
      <c r="BD474" s="506"/>
      <c r="BE474" s="506"/>
      <c r="BF474" s="506"/>
      <c r="BG474" s="506"/>
      <c r="BH474" s="506"/>
      <c r="BI474" s="506"/>
      <c r="BJ474" s="506"/>
    </row>
    <row r="475" spans="1:62" ht="15.75" customHeight="1">
      <c r="A475" s="494" t="s">
        <v>81</v>
      </c>
      <c r="B475" s="503"/>
      <c r="C475" s="733" t="s">
        <v>473</v>
      </c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6"/>
      <c r="S475" s="506"/>
      <c r="T475" s="506"/>
      <c r="U475" s="506"/>
      <c r="V475" s="596" t="s">
        <v>81</v>
      </c>
      <c r="W475" s="763"/>
      <c r="X475" s="763"/>
      <c r="Y475" s="763"/>
      <c r="Z475" s="764">
        <v>0</v>
      </c>
      <c r="AA475" s="809"/>
      <c r="AB475" s="810"/>
      <c r="AC475" s="764"/>
      <c r="AD475" s="826"/>
      <c r="AE475" s="810"/>
      <c r="AF475" s="764">
        <v>0</v>
      </c>
      <c r="AG475" s="825"/>
      <c r="AH475" s="766">
        <v>0</v>
      </c>
      <c r="AI475" s="790">
        <v>0</v>
      </c>
      <c r="AJ475" s="826"/>
      <c r="AK475" s="809"/>
      <c r="AL475" s="827">
        <v>0</v>
      </c>
      <c r="AM475" s="823"/>
      <c r="AN475" s="766">
        <v>0</v>
      </c>
      <c r="AO475" s="774">
        <v>0</v>
      </c>
      <c r="AP475" s="506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06"/>
      <c r="BC475" s="506"/>
      <c r="BD475" s="506"/>
      <c r="BE475" s="506"/>
      <c r="BF475" s="506"/>
      <c r="BG475" s="506"/>
      <c r="BH475" s="506"/>
      <c r="BI475" s="506"/>
      <c r="BJ475" s="506"/>
    </row>
    <row r="476" spans="1:62" ht="15.75" customHeight="1">
      <c r="A476" s="494" t="s">
        <v>82</v>
      </c>
      <c r="B476" s="503"/>
      <c r="C476" s="733" t="s">
        <v>473</v>
      </c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6"/>
      <c r="S476" s="506"/>
      <c r="T476" s="506"/>
      <c r="U476" s="506"/>
      <c r="V476" s="596" t="s">
        <v>82</v>
      </c>
      <c r="W476" s="763"/>
      <c r="X476" s="763"/>
      <c r="Y476" s="763"/>
      <c r="Z476" s="764">
        <v>0</v>
      </c>
      <c r="AA476" s="809"/>
      <c r="AB476" s="810"/>
      <c r="AC476" s="764"/>
      <c r="AD476" s="826"/>
      <c r="AE476" s="810"/>
      <c r="AF476" s="764">
        <v>0</v>
      </c>
      <c r="AG476" s="825"/>
      <c r="AH476" s="766">
        <v>0</v>
      </c>
      <c r="AI476" s="790">
        <v>0</v>
      </c>
      <c r="AJ476" s="826"/>
      <c r="AK476" s="809"/>
      <c r="AL476" s="827">
        <v>0</v>
      </c>
      <c r="AM476" s="823"/>
      <c r="AN476" s="766">
        <v>0</v>
      </c>
      <c r="AO476" s="774">
        <v>0</v>
      </c>
      <c r="AP476" s="506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06"/>
      <c r="BC476" s="506"/>
      <c r="BD476" s="506"/>
      <c r="BE476" s="506"/>
      <c r="BF476" s="506"/>
      <c r="BG476" s="506"/>
      <c r="BH476" s="506"/>
      <c r="BI476" s="506"/>
      <c r="BJ476" s="506"/>
    </row>
    <row r="477" spans="1:62" ht="15.75" hidden="1" customHeight="1">
      <c r="A477" s="494" t="s">
        <v>20</v>
      </c>
      <c r="B477" s="503"/>
      <c r="C477" s="733" t="s">
        <v>473</v>
      </c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6"/>
      <c r="S477" s="506"/>
      <c r="T477" s="506"/>
      <c r="U477" s="506"/>
      <c r="V477" s="596" t="s">
        <v>20</v>
      </c>
      <c r="W477" s="763"/>
      <c r="X477" s="763"/>
      <c r="Y477" s="763"/>
      <c r="Z477" s="764">
        <v>0</v>
      </c>
      <c r="AA477" s="763"/>
      <c r="AB477" s="763"/>
      <c r="AC477" s="764"/>
      <c r="AD477" s="772"/>
      <c r="AE477" s="771"/>
      <c r="AF477" s="764">
        <v>0</v>
      </c>
      <c r="AG477" s="765"/>
      <c r="AH477" s="766">
        <v>0</v>
      </c>
      <c r="AI477" s="767">
        <v>0</v>
      </c>
      <c r="AJ477" s="772"/>
      <c r="AK477" s="763"/>
      <c r="AL477" s="764">
        <v>0</v>
      </c>
      <c r="AM477" s="823"/>
      <c r="AN477" s="766">
        <v>0</v>
      </c>
      <c r="AO477" s="774">
        <v>0</v>
      </c>
      <c r="AP477" s="506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06"/>
      <c r="BC477" s="506"/>
      <c r="BD477" s="506"/>
      <c r="BE477" s="506"/>
      <c r="BF477" s="506"/>
      <c r="BG477" s="506"/>
      <c r="BH477" s="506"/>
      <c r="BI477" s="506"/>
      <c r="BJ477" s="506"/>
    </row>
    <row r="478" spans="1:62" ht="15.75" hidden="1" customHeight="1">
      <c r="A478" s="494" t="s">
        <v>20</v>
      </c>
      <c r="B478" s="503"/>
      <c r="C478" s="733" t="s">
        <v>473</v>
      </c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6"/>
      <c r="S478" s="506"/>
      <c r="T478" s="506"/>
      <c r="U478" s="506"/>
      <c r="V478" s="596" t="s">
        <v>20</v>
      </c>
      <c r="W478" s="763"/>
      <c r="X478" s="763"/>
      <c r="Y478" s="763"/>
      <c r="Z478" s="764">
        <v>0</v>
      </c>
      <c r="AA478" s="763"/>
      <c r="AB478" s="763"/>
      <c r="AC478" s="764"/>
      <c r="AD478" s="772"/>
      <c r="AE478" s="771"/>
      <c r="AF478" s="764">
        <v>0</v>
      </c>
      <c r="AG478" s="765"/>
      <c r="AH478" s="766">
        <v>0</v>
      </c>
      <c r="AI478" s="767">
        <v>0</v>
      </c>
      <c r="AJ478" s="772"/>
      <c r="AK478" s="763"/>
      <c r="AL478" s="764">
        <v>0</v>
      </c>
      <c r="AM478" s="823"/>
      <c r="AN478" s="766">
        <v>0</v>
      </c>
      <c r="AO478" s="774">
        <v>0</v>
      </c>
      <c r="AP478" s="506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06"/>
      <c r="BC478" s="506"/>
      <c r="BD478" s="506"/>
      <c r="BE478" s="506"/>
      <c r="BF478" s="506"/>
      <c r="BG478" s="506"/>
      <c r="BH478" s="506"/>
      <c r="BI478" s="506"/>
      <c r="BJ478" s="506"/>
    </row>
    <row r="479" spans="1:62" ht="15.75" hidden="1" customHeight="1">
      <c r="A479" s="494" t="s">
        <v>20</v>
      </c>
      <c r="B479" s="503"/>
      <c r="C479" s="733" t="s">
        <v>473</v>
      </c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6"/>
      <c r="S479" s="506"/>
      <c r="T479" s="506"/>
      <c r="U479" s="506"/>
      <c r="V479" s="596" t="s">
        <v>20</v>
      </c>
      <c r="W479" s="763"/>
      <c r="X479" s="763"/>
      <c r="Y479" s="763"/>
      <c r="Z479" s="764">
        <v>0</v>
      </c>
      <c r="AA479" s="763"/>
      <c r="AB479" s="763"/>
      <c r="AC479" s="764"/>
      <c r="AD479" s="772"/>
      <c r="AE479" s="771"/>
      <c r="AF479" s="764">
        <v>0</v>
      </c>
      <c r="AG479" s="765"/>
      <c r="AH479" s="766">
        <v>0</v>
      </c>
      <c r="AI479" s="767">
        <v>0</v>
      </c>
      <c r="AJ479" s="772"/>
      <c r="AK479" s="763"/>
      <c r="AL479" s="764">
        <v>0</v>
      </c>
      <c r="AM479" s="823"/>
      <c r="AN479" s="766">
        <v>0</v>
      </c>
      <c r="AO479" s="774">
        <v>0</v>
      </c>
      <c r="AP479" s="506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06"/>
      <c r="BC479" s="506"/>
      <c r="BD479" s="506"/>
      <c r="BE479" s="506"/>
      <c r="BF479" s="506"/>
      <c r="BG479" s="506"/>
      <c r="BH479" s="506"/>
      <c r="BI479" s="506"/>
      <c r="BJ479" s="506"/>
    </row>
    <row r="480" spans="1:62" ht="15.75" customHeight="1">
      <c r="A480" s="494" t="s">
        <v>70</v>
      </c>
      <c r="B480" s="503"/>
      <c r="C480" s="733" t="s">
        <v>473</v>
      </c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6"/>
      <c r="S480" s="506"/>
      <c r="T480" s="506"/>
      <c r="U480" s="506"/>
      <c r="V480" s="598" t="s">
        <v>70</v>
      </c>
      <c r="W480" s="763"/>
      <c r="X480" s="763"/>
      <c r="Y480" s="763"/>
      <c r="Z480" s="764">
        <v>56736.674249999989</v>
      </c>
      <c r="AA480" s="809"/>
      <c r="AB480" s="810"/>
      <c r="AC480" s="764"/>
      <c r="AD480" s="828">
        <v>87.100200400801597</v>
      </c>
      <c r="AE480" s="809">
        <v>0.95552477685441672</v>
      </c>
      <c r="AF480" s="764">
        <v>43463</v>
      </c>
      <c r="AG480" s="825"/>
      <c r="AH480" s="766">
        <v>-13273.674249999989</v>
      </c>
      <c r="AI480" s="790">
        <v>-0.2339522791116011</v>
      </c>
      <c r="AJ480" s="826"/>
      <c r="AK480" s="809"/>
      <c r="AL480" s="827">
        <v>32220</v>
      </c>
      <c r="AM480" s="823"/>
      <c r="AN480" s="766">
        <v>11243</v>
      </c>
      <c r="AO480" s="774">
        <v>0.34894475481067661</v>
      </c>
      <c r="AP480" s="506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06"/>
      <c r="BC480" s="506"/>
      <c r="BD480" s="506"/>
      <c r="BE480" s="506"/>
      <c r="BF480" s="506"/>
      <c r="BG480" s="506"/>
      <c r="BH480" s="506"/>
      <c r="BI480" s="506"/>
      <c r="BJ480" s="506"/>
    </row>
    <row r="481" spans="1:62" ht="15.75" customHeight="1">
      <c r="A481" s="494" t="s">
        <v>183</v>
      </c>
      <c r="B481" s="503"/>
      <c r="C481" s="733" t="s">
        <v>473</v>
      </c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6"/>
      <c r="S481" s="506"/>
      <c r="T481" s="506"/>
      <c r="U481" s="506"/>
      <c r="V481" s="780" t="s">
        <v>183</v>
      </c>
      <c r="W481" s="781"/>
      <c r="X481" s="782">
        <v>0.15818402701041745</v>
      </c>
      <c r="Y481" s="805"/>
      <c r="Z481" s="783">
        <v>164542.67710172804</v>
      </c>
      <c r="AA481" s="782"/>
      <c r="AB481" s="805"/>
      <c r="AC481" s="783"/>
      <c r="AD481" s="782">
        <v>0.20605029257598181</v>
      </c>
      <c r="AE481" s="805"/>
      <c r="AF481" s="783">
        <v>142633.58000000002</v>
      </c>
      <c r="AG481" s="806"/>
      <c r="AH481" s="786">
        <v>-21909.097101728024</v>
      </c>
      <c r="AI481" s="782">
        <v>-0.13315145643450779</v>
      </c>
      <c r="AJ481" s="829"/>
      <c r="AK481" s="830"/>
      <c r="AL481" s="783">
        <v>112281.51</v>
      </c>
      <c r="AM481" s="831"/>
      <c r="AN481" s="786">
        <v>30352.070000000022</v>
      </c>
      <c r="AO481" s="808">
        <v>0.27032117754739871</v>
      </c>
      <c r="AP481" s="506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06"/>
      <c r="BC481" s="506"/>
      <c r="BD481" s="506"/>
      <c r="BE481" s="506"/>
      <c r="BF481" s="506"/>
      <c r="BG481" s="506"/>
      <c r="BH481" s="506"/>
      <c r="BI481" s="506"/>
      <c r="BJ481" s="506"/>
    </row>
    <row r="482" spans="1:62" ht="6" customHeight="1" thickBot="1">
      <c r="A482" s="494" t="s">
        <v>475</v>
      </c>
      <c r="B482" s="503"/>
      <c r="C482" s="733" t="s">
        <v>473</v>
      </c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6"/>
      <c r="S482" s="506"/>
      <c r="T482" s="506"/>
      <c r="U482" s="506"/>
      <c r="V482" s="832"/>
      <c r="W482" s="833"/>
      <c r="X482" s="833"/>
      <c r="Y482" s="834"/>
      <c r="Z482" s="835"/>
      <c r="AA482" s="833"/>
      <c r="AB482" s="836"/>
      <c r="AC482" s="835"/>
      <c r="AD482" s="833"/>
      <c r="AE482" s="836"/>
      <c r="AF482" s="837"/>
      <c r="AG482" s="838"/>
      <c r="AH482" s="839"/>
      <c r="AI482" s="840"/>
      <c r="AJ482" s="841"/>
      <c r="AK482" s="842"/>
      <c r="AL482" s="837"/>
      <c r="AM482" s="843"/>
      <c r="AN482" s="839">
        <v>0</v>
      </c>
      <c r="AO482" s="844">
        <v>0</v>
      </c>
      <c r="AP482" s="506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06"/>
      <c r="BC482" s="506"/>
      <c r="BD482" s="506"/>
      <c r="BE482" s="506"/>
      <c r="BF482" s="506"/>
      <c r="BG482" s="506"/>
      <c r="BH482" s="506"/>
      <c r="BI482" s="506"/>
      <c r="BJ482" s="506"/>
    </row>
    <row r="483" spans="1:62" ht="15.75" customHeight="1" thickTop="1" thickBot="1">
      <c r="A483" s="494" t="s">
        <v>184</v>
      </c>
      <c r="B483" s="503"/>
      <c r="C483" s="733" t="s">
        <v>473</v>
      </c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6"/>
      <c r="S483" s="506"/>
      <c r="T483" s="506"/>
      <c r="U483" s="506"/>
      <c r="V483" s="845" t="s">
        <v>184</v>
      </c>
      <c r="W483" s="846"/>
      <c r="X483" s="847" t="s">
        <v>185</v>
      </c>
      <c r="Y483" s="848">
        <v>5.7402282311642572E-2</v>
      </c>
      <c r="Z483" s="849">
        <v>404991.24880592769</v>
      </c>
      <c r="AA483" s="847"/>
      <c r="AB483" s="848"/>
      <c r="AC483" s="849"/>
      <c r="AD483" s="847" t="s">
        <v>185</v>
      </c>
      <c r="AE483" s="848">
        <v>1.7295577549075458E-2</v>
      </c>
      <c r="AF483" s="850">
        <v>113032.22000000003</v>
      </c>
      <c r="AG483" s="851"/>
      <c r="AH483" s="851">
        <v>-291959.02880592766</v>
      </c>
      <c r="AI483" s="852">
        <v>-0.72090206804896861</v>
      </c>
      <c r="AJ483" s="853" t="s">
        <v>185</v>
      </c>
      <c r="AK483" s="848">
        <v>3.1641974901069118E-2</v>
      </c>
      <c r="AL483" s="850">
        <v>164356.57999999844</v>
      </c>
      <c r="AM483" s="854"/>
      <c r="AN483" s="850">
        <v>-51324.359999998414</v>
      </c>
      <c r="AO483" s="855">
        <v>-0.31227444620713635</v>
      </c>
      <c r="AP483" s="506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06"/>
      <c r="BC483" s="506"/>
      <c r="BD483" s="506"/>
      <c r="BE483" s="506"/>
      <c r="BF483" s="506"/>
      <c r="BG483" s="506"/>
      <c r="BH483" s="506"/>
      <c r="BI483" s="506"/>
      <c r="BJ483" s="506"/>
    </row>
    <row r="484" spans="1:62" ht="8.25" customHeight="1" thickTop="1">
      <c r="A484" s="494" t="s">
        <v>475</v>
      </c>
      <c r="B484" s="503"/>
      <c r="C484" s="733" t="s">
        <v>473</v>
      </c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6"/>
      <c r="S484" s="506"/>
      <c r="T484" s="506"/>
      <c r="U484" s="506"/>
      <c r="V484" s="495"/>
      <c r="W484" s="495"/>
      <c r="X484" s="495"/>
      <c r="Y484" s="495"/>
      <c r="Z484" s="570"/>
      <c r="AA484" s="509"/>
      <c r="AB484" s="509"/>
      <c r="AC484" s="570"/>
      <c r="AD484" s="509"/>
      <c r="AE484" s="509"/>
      <c r="AF484" s="856"/>
      <c r="AG484" s="509"/>
      <c r="AH484" s="509"/>
      <c r="AI484" s="509"/>
      <c r="AJ484" s="509"/>
      <c r="AK484" s="509"/>
      <c r="AL484" s="570"/>
      <c r="AM484" s="509"/>
      <c r="AN484" s="509"/>
      <c r="AO484" s="509"/>
      <c r="AP484" s="506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06"/>
      <c r="BC484" s="506"/>
      <c r="BD484" s="506"/>
      <c r="BE484" s="506"/>
      <c r="BF484" s="506"/>
      <c r="BG484" s="506"/>
      <c r="BH484" s="506"/>
      <c r="BI484" s="506"/>
      <c r="BJ484" s="506"/>
    </row>
    <row r="485" spans="1:62" ht="18" customHeight="1">
      <c r="A485" s="494" t="s">
        <v>477</v>
      </c>
      <c r="B485" s="503"/>
      <c r="C485" s="733" t="s">
        <v>473</v>
      </c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6"/>
      <c r="S485" s="506"/>
      <c r="T485" s="506"/>
      <c r="U485" s="506"/>
      <c r="V485" s="857" t="s">
        <v>477</v>
      </c>
      <c r="W485" s="857"/>
      <c r="X485" s="857"/>
      <c r="Y485" s="857"/>
      <c r="Z485" s="857"/>
      <c r="AA485" s="857"/>
      <c r="AB485" s="857"/>
      <c r="AC485" s="857"/>
      <c r="AD485" s="857"/>
      <c r="AE485" s="858" t="s">
        <v>186</v>
      </c>
      <c r="AF485" s="857"/>
      <c r="AG485" s="857"/>
      <c r="AH485" s="857"/>
      <c r="AI485" s="857"/>
      <c r="AJ485" s="859"/>
      <c r="AK485" s="860"/>
      <c r="AL485" s="857"/>
      <c r="AM485" s="857"/>
      <c r="AN485" s="857"/>
      <c r="AO485" s="861" t="s">
        <v>484</v>
      </c>
      <c r="AP485" s="506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06"/>
      <c r="BC485" s="506"/>
      <c r="BD485" s="506"/>
      <c r="BE485" s="506"/>
      <c r="BF485" s="506"/>
      <c r="BG485" s="506"/>
      <c r="BH485" s="506"/>
      <c r="BI485" s="506"/>
      <c r="BJ485" s="506"/>
    </row>
    <row r="486" spans="1:62" ht="3" customHeight="1">
      <c r="A486" s="494" t="s">
        <v>475</v>
      </c>
      <c r="B486" s="503"/>
      <c r="C486" s="733" t="s">
        <v>473</v>
      </c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6"/>
      <c r="S486" s="506"/>
      <c r="T486" s="506"/>
      <c r="U486" s="506"/>
      <c r="V486" s="495"/>
      <c r="W486" s="495"/>
      <c r="X486" s="495"/>
      <c r="Y486" s="495"/>
      <c r="Z486" s="570"/>
      <c r="AA486" s="509"/>
      <c r="AB486" s="509"/>
      <c r="AC486" s="570"/>
      <c r="AD486" s="509"/>
      <c r="AE486" s="509"/>
      <c r="AF486" s="856"/>
      <c r="AG486" s="509"/>
      <c r="AH486" s="509"/>
      <c r="AI486" s="509"/>
      <c r="AJ486" s="509"/>
      <c r="AK486" s="509"/>
      <c r="AL486" s="570"/>
      <c r="AM486" s="509"/>
      <c r="AN486" s="509"/>
      <c r="AO486" s="509"/>
      <c r="AP486" s="506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06"/>
      <c r="BC486" s="506"/>
      <c r="BD486" s="506"/>
      <c r="BE486" s="506"/>
      <c r="BF486" s="506"/>
      <c r="BG486" s="506"/>
      <c r="BH486" s="506"/>
      <c r="BI486" s="506"/>
      <c r="BJ486" s="506"/>
    </row>
    <row r="487" spans="1:62" ht="3" customHeight="1">
      <c r="A487" s="494" t="s">
        <v>475</v>
      </c>
      <c r="B487" s="503"/>
      <c r="C487" s="733" t="s">
        <v>473</v>
      </c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6"/>
      <c r="S487" s="506"/>
      <c r="T487" s="506"/>
      <c r="U487" s="506"/>
      <c r="V487" s="495"/>
      <c r="W487" s="495"/>
      <c r="X487" s="495"/>
      <c r="Y487" s="495"/>
      <c r="Z487" s="570"/>
      <c r="AA487" s="509"/>
      <c r="AB487" s="509"/>
      <c r="AC487" s="570"/>
      <c r="AD487" s="509"/>
      <c r="AE487" s="509"/>
      <c r="AF487" s="856"/>
      <c r="AG487" s="509"/>
      <c r="AH487" s="509"/>
      <c r="AI487" s="509"/>
      <c r="AJ487" s="509"/>
      <c r="AK487" s="509"/>
      <c r="AL487" s="570"/>
      <c r="AM487" s="509"/>
      <c r="AN487" s="509"/>
      <c r="AO487" s="509"/>
      <c r="AP487" s="506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06"/>
      <c r="BC487" s="506"/>
      <c r="BD487" s="506"/>
      <c r="BE487" s="506"/>
      <c r="BF487" s="506"/>
      <c r="BG487" s="506"/>
      <c r="BH487" s="506"/>
      <c r="BI487" s="506"/>
      <c r="BJ487" s="506"/>
    </row>
    <row r="488" spans="1:62" ht="3" customHeight="1" thickBot="1">
      <c r="A488" s="494" t="s">
        <v>475</v>
      </c>
      <c r="B488" s="503"/>
      <c r="C488" s="733" t="s">
        <v>473</v>
      </c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6"/>
      <c r="S488" s="506"/>
      <c r="T488" s="506"/>
      <c r="U488" s="506"/>
      <c r="V488" s="495"/>
      <c r="W488" s="495"/>
      <c r="X488" s="495"/>
      <c r="Y488" s="495"/>
      <c r="Z488" s="570"/>
      <c r="AA488" s="509"/>
      <c r="AB488" s="509"/>
      <c r="AC488" s="570"/>
      <c r="AD488" s="509"/>
      <c r="AE488" s="509"/>
      <c r="AF488" s="856"/>
      <c r="AG488" s="509"/>
      <c r="AH488" s="509"/>
      <c r="AI488" s="509"/>
      <c r="AJ488" s="509"/>
      <c r="AK488" s="509"/>
      <c r="AL488" s="570"/>
      <c r="AM488" s="509"/>
      <c r="AN488" s="509"/>
      <c r="AO488" s="509"/>
      <c r="AP488" s="506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06"/>
      <c r="BC488" s="506"/>
      <c r="BD488" s="506"/>
      <c r="BE488" s="506"/>
      <c r="BF488" s="506"/>
      <c r="BG488" s="506"/>
      <c r="BH488" s="506"/>
      <c r="BI488" s="506"/>
      <c r="BJ488" s="506"/>
    </row>
    <row r="489" spans="1:62" ht="15.75" customHeight="1" thickTop="1" thickBot="1">
      <c r="A489" s="494" t="s">
        <v>184</v>
      </c>
      <c r="B489" s="503"/>
      <c r="C489" s="733" t="s">
        <v>473</v>
      </c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6"/>
      <c r="S489" s="506"/>
      <c r="T489" s="506"/>
      <c r="U489" s="506"/>
      <c r="V489" s="845" t="s">
        <v>184</v>
      </c>
      <c r="W489" s="846"/>
      <c r="X489" s="847" t="s">
        <v>185</v>
      </c>
      <c r="Y489" s="848">
        <v>5.7402282311642572E-2</v>
      </c>
      <c r="Z489" s="849">
        <v>404991.24880592769</v>
      </c>
      <c r="AA489" s="847"/>
      <c r="AB489" s="848"/>
      <c r="AC489" s="849"/>
      <c r="AD489" s="847" t="s">
        <v>185</v>
      </c>
      <c r="AE489" s="848">
        <v>1.7295577549075458E-2</v>
      </c>
      <c r="AF489" s="849">
        <v>113032.22000000003</v>
      </c>
      <c r="AG489" s="850"/>
      <c r="AH489" s="851">
        <v>-291959.02880592766</v>
      </c>
      <c r="AI489" s="852">
        <v>-0.72090206804896861</v>
      </c>
      <c r="AJ489" s="847" t="s">
        <v>185</v>
      </c>
      <c r="AK489" s="848">
        <v>3.1641974901069118E-2</v>
      </c>
      <c r="AL489" s="862">
        <v>164356.57999999844</v>
      </c>
      <c r="AM489" s="863"/>
      <c r="AN489" s="864">
        <v>-51324.359999998414</v>
      </c>
      <c r="AO489" s="865">
        <v>-0.31227444620713635</v>
      </c>
      <c r="AP489" s="506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06"/>
      <c r="BC489" s="506"/>
      <c r="BD489" s="506"/>
      <c r="BE489" s="506"/>
      <c r="BF489" s="506"/>
      <c r="BG489" s="506"/>
      <c r="BH489" s="506"/>
      <c r="BI489" s="506"/>
      <c r="BJ489" s="506"/>
    </row>
    <row r="490" spans="1:62" ht="15.75" customHeight="1" thickTop="1">
      <c r="A490" s="494" t="s">
        <v>475</v>
      </c>
      <c r="B490" s="503"/>
      <c r="C490" s="733" t="s">
        <v>473</v>
      </c>
      <c r="D490" s="506"/>
      <c r="E490" s="506"/>
      <c r="F490" s="653"/>
      <c r="G490" s="506"/>
      <c r="H490" s="506"/>
      <c r="I490" s="653"/>
      <c r="J490" s="506"/>
      <c r="K490" s="506"/>
      <c r="L490" s="506"/>
      <c r="M490" s="653"/>
      <c r="N490" s="506"/>
      <c r="O490" s="506"/>
      <c r="P490" s="506"/>
      <c r="Q490" s="653"/>
      <c r="R490" s="653"/>
      <c r="S490" s="653"/>
      <c r="T490" s="812"/>
      <c r="U490" s="812"/>
      <c r="V490" s="866"/>
      <c r="W490" s="506"/>
      <c r="X490" s="506"/>
      <c r="Y490" s="506"/>
      <c r="Z490" s="867"/>
      <c r="AA490" s="506"/>
      <c r="AB490" s="506"/>
      <c r="AC490" s="868"/>
      <c r="AD490" s="506"/>
      <c r="AE490" s="506"/>
      <c r="AF490" s="868"/>
      <c r="AG490" s="506"/>
      <c r="AH490" s="506"/>
      <c r="AI490" s="868"/>
      <c r="AJ490" s="506"/>
      <c r="AK490" s="506"/>
      <c r="AL490" s="869"/>
      <c r="AM490" s="870"/>
      <c r="AN490" s="506"/>
      <c r="AO490" s="871"/>
      <c r="AP490" s="506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06"/>
      <c r="BC490" s="506"/>
      <c r="BD490" s="506"/>
      <c r="BE490" s="506"/>
      <c r="BF490" s="506"/>
      <c r="BG490" s="506"/>
      <c r="BH490" s="506"/>
      <c r="BI490" s="506"/>
      <c r="BJ490" s="506"/>
    </row>
    <row r="491" spans="1:62" ht="15.75" customHeight="1">
      <c r="A491" s="494" t="s">
        <v>187</v>
      </c>
      <c r="B491" s="503"/>
      <c r="C491" s="733" t="s">
        <v>473</v>
      </c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6"/>
      <c r="S491" s="506"/>
      <c r="T491" s="506"/>
      <c r="U491" s="506"/>
      <c r="V491" s="596" t="s">
        <v>187</v>
      </c>
      <c r="W491" s="770"/>
      <c r="X491" s="763"/>
      <c r="Y491" s="771"/>
      <c r="Z491" s="764">
        <v>6315</v>
      </c>
      <c r="AA491" s="763"/>
      <c r="AB491" s="771"/>
      <c r="AC491" s="764"/>
      <c r="AD491" s="763"/>
      <c r="AE491" s="771"/>
      <c r="AF491" s="764">
        <v>6315</v>
      </c>
      <c r="AG491" s="763"/>
      <c r="AH491" s="766">
        <v>0</v>
      </c>
      <c r="AI491" s="790">
        <v>0</v>
      </c>
      <c r="AJ491" s="763"/>
      <c r="AK491" s="763"/>
      <c r="AL491" s="764">
        <v>4314.5</v>
      </c>
      <c r="AM491" s="768"/>
      <c r="AN491" s="766">
        <v>2000.5</v>
      </c>
      <c r="AO491" s="774">
        <v>0.46366902306176844</v>
      </c>
      <c r="AP491" s="506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06"/>
      <c r="BC491" s="506"/>
      <c r="BD491" s="506"/>
      <c r="BE491" s="506"/>
      <c r="BF491" s="506"/>
      <c r="BG491" s="506"/>
      <c r="BH491" s="506"/>
      <c r="BI491" s="506"/>
      <c r="BJ491" s="506"/>
    </row>
    <row r="492" spans="1:62" ht="15.75" customHeight="1">
      <c r="A492" s="494" t="s">
        <v>188</v>
      </c>
      <c r="B492" s="503"/>
      <c r="C492" s="733" t="s">
        <v>473</v>
      </c>
      <c r="D492" s="506"/>
      <c r="E492" s="506"/>
      <c r="F492" s="653"/>
      <c r="G492" s="506"/>
      <c r="H492" s="506"/>
      <c r="I492" s="653"/>
      <c r="J492" s="506"/>
      <c r="K492" s="506"/>
      <c r="L492" s="506"/>
      <c r="M492" s="653"/>
      <c r="N492" s="506"/>
      <c r="O492" s="506"/>
      <c r="P492" s="506"/>
      <c r="Q492" s="653"/>
      <c r="R492" s="653"/>
      <c r="S492" s="653"/>
      <c r="T492" s="506"/>
      <c r="U492" s="506"/>
      <c r="V492" s="596" t="s">
        <v>188</v>
      </c>
      <c r="W492" s="506"/>
      <c r="X492" s="506"/>
      <c r="Y492" s="506"/>
      <c r="Z492" s="764">
        <v>0</v>
      </c>
      <c r="AA492" s="506"/>
      <c r="AB492" s="506"/>
      <c r="AC492" s="764"/>
      <c r="AD492" s="506"/>
      <c r="AE492" s="509"/>
      <c r="AF492" s="764">
        <v>0</v>
      </c>
      <c r="AG492" s="506"/>
      <c r="AH492" s="766">
        <v>0</v>
      </c>
      <c r="AI492" s="790">
        <v>0</v>
      </c>
      <c r="AJ492" s="506"/>
      <c r="AK492" s="506"/>
      <c r="AL492" s="764">
        <v>0</v>
      </c>
      <c r="AM492" s="870"/>
      <c r="AN492" s="766">
        <v>0</v>
      </c>
      <c r="AO492" s="774">
        <v>0</v>
      </c>
      <c r="AP492" s="506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06"/>
      <c r="BC492" s="506"/>
      <c r="BD492" s="506"/>
      <c r="BE492" s="506"/>
      <c r="BF492" s="506"/>
      <c r="BG492" s="506"/>
      <c r="BH492" s="506"/>
      <c r="BI492" s="506"/>
      <c r="BJ492" s="506"/>
    </row>
    <row r="493" spans="1:62" ht="15.75" customHeight="1">
      <c r="A493" s="494" t="s">
        <v>189</v>
      </c>
      <c r="B493" s="503"/>
      <c r="C493" s="733" t="s">
        <v>473</v>
      </c>
      <c r="D493" s="506"/>
      <c r="E493" s="506"/>
      <c r="F493" s="653"/>
      <c r="G493" s="506"/>
      <c r="H493" s="506"/>
      <c r="I493" s="653"/>
      <c r="J493" s="506"/>
      <c r="K493" s="506"/>
      <c r="L493" s="506"/>
      <c r="M493" s="653"/>
      <c r="N493" s="506"/>
      <c r="O493" s="506"/>
      <c r="P493" s="506"/>
      <c r="Q493" s="653"/>
      <c r="R493" s="653"/>
      <c r="S493" s="653"/>
      <c r="T493" s="506"/>
      <c r="U493" s="506"/>
      <c r="V493" s="596" t="s">
        <v>189</v>
      </c>
      <c r="W493" s="509"/>
      <c r="X493" s="509"/>
      <c r="Y493" s="509"/>
      <c r="Z493" s="764">
        <v>0</v>
      </c>
      <c r="AA493" s="506"/>
      <c r="AB493" s="506"/>
      <c r="AC493" s="764"/>
      <c r="AD493" s="506"/>
      <c r="AE493" s="509"/>
      <c r="AF493" s="764">
        <v>0</v>
      </c>
      <c r="AG493" s="506"/>
      <c r="AH493" s="766">
        <v>0</v>
      </c>
      <c r="AI493" s="790">
        <v>0</v>
      </c>
      <c r="AJ493" s="506"/>
      <c r="AK493" s="506"/>
      <c r="AL493" s="764">
        <v>0</v>
      </c>
      <c r="AM493" s="870"/>
      <c r="AN493" s="766">
        <v>0</v>
      </c>
      <c r="AO493" s="774">
        <v>0</v>
      </c>
      <c r="AP493" s="506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06"/>
      <c r="BC493" s="506"/>
      <c r="BD493" s="506"/>
      <c r="BE493" s="506"/>
      <c r="BF493" s="506"/>
      <c r="BG493" s="506"/>
      <c r="BH493" s="506"/>
      <c r="BI493" s="506"/>
      <c r="BJ493" s="506"/>
    </row>
    <row r="494" spans="1:62" ht="15.75" customHeight="1">
      <c r="A494" s="494" t="s">
        <v>190</v>
      </c>
      <c r="B494" s="503"/>
      <c r="C494" s="733" t="s">
        <v>473</v>
      </c>
      <c r="D494" s="506"/>
      <c r="E494" s="506"/>
      <c r="F494" s="653"/>
      <c r="G494" s="506"/>
      <c r="H494" s="506"/>
      <c r="I494" s="653"/>
      <c r="J494" s="506"/>
      <c r="K494" s="506"/>
      <c r="L494" s="506"/>
      <c r="M494" s="653"/>
      <c r="N494" s="506"/>
      <c r="O494" s="506"/>
      <c r="P494" s="506"/>
      <c r="Q494" s="653"/>
      <c r="R494" s="653"/>
      <c r="S494" s="653"/>
      <c r="T494" s="506"/>
      <c r="U494" s="506"/>
      <c r="V494" s="596" t="s">
        <v>190</v>
      </c>
      <c r="W494" s="509"/>
      <c r="X494" s="509"/>
      <c r="Y494" s="509"/>
      <c r="Z494" s="764">
        <v>0</v>
      </c>
      <c r="AA494" s="506"/>
      <c r="AB494" s="506"/>
      <c r="AC494" s="764"/>
      <c r="AD494" s="506"/>
      <c r="AE494" s="509"/>
      <c r="AF494" s="764">
        <v>0</v>
      </c>
      <c r="AG494" s="506"/>
      <c r="AH494" s="766">
        <v>0</v>
      </c>
      <c r="AI494" s="790">
        <v>0</v>
      </c>
      <c r="AJ494" s="506"/>
      <c r="AK494" s="506"/>
      <c r="AL494" s="764">
        <v>0</v>
      </c>
      <c r="AM494" s="870"/>
      <c r="AN494" s="766">
        <v>0</v>
      </c>
      <c r="AO494" s="774">
        <v>0</v>
      </c>
      <c r="AP494" s="506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06"/>
      <c r="BC494" s="506"/>
      <c r="BD494" s="506"/>
      <c r="BE494" s="506"/>
      <c r="BF494" s="506"/>
      <c r="BG494" s="506"/>
      <c r="BH494" s="506"/>
      <c r="BI494" s="506"/>
      <c r="BJ494" s="506"/>
    </row>
    <row r="495" spans="1:62" ht="15.75" hidden="1" customHeight="1">
      <c r="A495" s="494" t="s">
        <v>20</v>
      </c>
      <c r="B495" s="503"/>
      <c r="C495" s="733" t="s">
        <v>473</v>
      </c>
      <c r="D495" s="506"/>
      <c r="E495" s="506"/>
      <c r="F495" s="653"/>
      <c r="G495" s="506"/>
      <c r="H495" s="506"/>
      <c r="I495" s="653"/>
      <c r="J495" s="506"/>
      <c r="K495" s="506"/>
      <c r="L495" s="506"/>
      <c r="M495" s="653"/>
      <c r="N495" s="506"/>
      <c r="O495" s="506"/>
      <c r="P495" s="506"/>
      <c r="Q495" s="653"/>
      <c r="R495" s="653"/>
      <c r="S495" s="653"/>
      <c r="T495" s="506"/>
      <c r="U495" s="506"/>
      <c r="V495" s="596" t="s">
        <v>20</v>
      </c>
      <c r="W495" s="509"/>
      <c r="X495" s="509"/>
      <c r="Y495" s="509"/>
      <c r="Z495" s="764">
        <v>0</v>
      </c>
      <c r="AA495" s="763"/>
      <c r="AB495" s="763"/>
      <c r="AC495" s="764"/>
      <c r="AD495" s="772"/>
      <c r="AE495" s="771"/>
      <c r="AF495" s="764">
        <v>0</v>
      </c>
      <c r="AG495" s="765"/>
      <c r="AH495" s="766">
        <v>0</v>
      </c>
      <c r="AI495" s="767">
        <v>0</v>
      </c>
      <c r="AJ495" s="772"/>
      <c r="AK495" s="763"/>
      <c r="AL495" s="764">
        <v>0</v>
      </c>
      <c r="AM495" s="870"/>
      <c r="AN495" s="766">
        <v>0</v>
      </c>
      <c r="AO495" s="774">
        <v>0</v>
      </c>
      <c r="AP495" s="506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06"/>
      <c r="BC495" s="506"/>
      <c r="BD495" s="506"/>
      <c r="BE495" s="506"/>
      <c r="BF495" s="506"/>
      <c r="BG495" s="506"/>
      <c r="BH495" s="506"/>
      <c r="BI495" s="506"/>
      <c r="BJ495" s="506"/>
    </row>
    <row r="496" spans="1:62" ht="15.75" customHeight="1" thickBot="1">
      <c r="A496" s="596" t="s">
        <v>216</v>
      </c>
      <c r="B496" s="503"/>
      <c r="C496" s="733" t="s">
        <v>473</v>
      </c>
      <c r="D496" s="506"/>
      <c r="E496" s="506"/>
      <c r="F496" s="653"/>
      <c r="G496" s="506"/>
      <c r="H496" s="506"/>
      <c r="I496" s="653"/>
      <c r="J496" s="506"/>
      <c r="K496" s="506"/>
      <c r="L496" s="506"/>
      <c r="M496" s="653"/>
      <c r="N496" s="506"/>
      <c r="O496" s="506"/>
      <c r="P496" s="506"/>
      <c r="Q496" s="653"/>
      <c r="R496" s="653"/>
      <c r="S496" s="653"/>
      <c r="T496" s="506"/>
      <c r="U496" s="506"/>
      <c r="V496" s="596" t="s">
        <v>216</v>
      </c>
      <c r="W496" s="509"/>
      <c r="X496" s="509"/>
      <c r="Y496" s="509"/>
      <c r="Z496" s="764">
        <v>-4666.666666666667</v>
      </c>
      <c r="AA496" s="763"/>
      <c r="AB496" s="763"/>
      <c r="AC496" s="764"/>
      <c r="AD496" s="772"/>
      <c r="AE496" s="771"/>
      <c r="AF496" s="764">
        <v>-4607.6499999999996</v>
      </c>
      <c r="AG496" s="765"/>
      <c r="AH496" s="766">
        <v>59.016666666667334</v>
      </c>
      <c r="AI496" s="767">
        <v>-1.2646428571428713E-2</v>
      </c>
      <c r="AJ496" s="772"/>
      <c r="AK496" s="763"/>
      <c r="AL496" s="764">
        <v>0</v>
      </c>
      <c r="AM496" s="870"/>
      <c r="AN496" s="766">
        <v>-4607.6499999999996</v>
      </c>
      <c r="AO496" s="774">
        <v>0</v>
      </c>
      <c r="AP496" s="506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06"/>
      <c r="BC496" s="506"/>
      <c r="BD496" s="506"/>
      <c r="BE496" s="506"/>
      <c r="BF496" s="506"/>
      <c r="BG496" s="506"/>
      <c r="BH496" s="506"/>
      <c r="BI496" s="506"/>
      <c r="BJ496" s="506"/>
    </row>
    <row r="497" spans="1:62" ht="15.75" hidden="1" customHeight="1">
      <c r="A497" s="494" t="s">
        <v>20</v>
      </c>
      <c r="B497" s="503"/>
      <c r="C497" s="733" t="s">
        <v>473</v>
      </c>
      <c r="D497" s="506"/>
      <c r="E497" s="506"/>
      <c r="F497" s="653"/>
      <c r="G497" s="506"/>
      <c r="H497" s="506"/>
      <c r="I497" s="653"/>
      <c r="J497" s="506"/>
      <c r="K497" s="506"/>
      <c r="L497" s="506"/>
      <c r="M497" s="653"/>
      <c r="N497" s="506"/>
      <c r="O497" s="506"/>
      <c r="P497" s="506"/>
      <c r="Q497" s="653"/>
      <c r="R497" s="653"/>
      <c r="S497" s="653"/>
      <c r="T497" s="506"/>
      <c r="U497" s="506"/>
      <c r="V497" s="596" t="s">
        <v>20</v>
      </c>
      <c r="W497" s="509"/>
      <c r="X497" s="506"/>
      <c r="Y497" s="509"/>
      <c r="Z497" s="764">
        <v>0</v>
      </c>
      <c r="AA497" s="763"/>
      <c r="AB497" s="763"/>
      <c r="AC497" s="764"/>
      <c r="AD497" s="772"/>
      <c r="AE497" s="771"/>
      <c r="AF497" s="764">
        <v>0</v>
      </c>
      <c r="AG497" s="765"/>
      <c r="AH497" s="766">
        <v>0</v>
      </c>
      <c r="AI497" s="767">
        <v>0</v>
      </c>
      <c r="AJ497" s="772"/>
      <c r="AK497" s="763"/>
      <c r="AL497" s="764">
        <v>0</v>
      </c>
      <c r="AM497" s="870"/>
      <c r="AN497" s="766">
        <v>0</v>
      </c>
      <c r="AO497" s="774">
        <v>0</v>
      </c>
      <c r="AP497" s="506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06"/>
      <c r="BC497" s="506"/>
      <c r="BD497" s="506"/>
      <c r="BE497" s="506"/>
      <c r="BF497" s="506"/>
      <c r="BG497" s="506"/>
      <c r="BH497" s="506"/>
      <c r="BI497" s="506"/>
      <c r="BJ497" s="506"/>
    </row>
    <row r="498" spans="1:62" ht="15.75" customHeight="1" thickTop="1" thickBot="1">
      <c r="A498" s="494" t="s">
        <v>191</v>
      </c>
      <c r="B498" s="503"/>
      <c r="C498" s="733" t="s">
        <v>473</v>
      </c>
      <c r="D498" s="506"/>
      <c r="E498" s="506"/>
      <c r="F498" s="653"/>
      <c r="G498" s="506"/>
      <c r="H498" s="506"/>
      <c r="I498" s="653"/>
      <c r="J498" s="506"/>
      <c r="K498" s="506"/>
      <c r="L498" s="506"/>
      <c r="M498" s="653"/>
      <c r="N498" s="506"/>
      <c r="O498" s="506"/>
      <c r="P498" s="506"/>
      <c r="Q498" s="653"/>
      <c r="R498" s="653"/>
      <c r="S498" s="653"/>
      <c r="T498" s="506"/>
      <c r="U498" s="506"/>
      <c r="V498" s="845" t="s">
        <v>191</v>
      </c>
      <c r="W498" s="846"/>
      <c r="X498" s="847" t="s">
        <v>185</v>
      </c>
      <c r="Y498" s="848">
        <v>5.7168652336618025E-2</v>
      </c>
      <c r="Z498" s="849">
        <v>403342.91547259438</v>
      </c>
      <c r="AA498" s="847"/>
      <c r="AB498" s="848"/>
      <c r="AC498" s="849"/>
      <c r="AD498" s="847" t="s">
        <v>185</v>
      </c>
      <c r="AE498" s="848">
        <v>1.7034328107735509E-2</v>
      </c>
      <c r="AF498" s="850">
        <v>111324.87000000002</v>
      </c>
      <c r="AG498" s="851"/>
      <c r="AH498" s="851">
        <v>-292018.04547259433</v>
      </c>
      <c r="AI498" s="852">
        <v>-0.72399448278504808</v>
      </c>
      <c r="AJ498" s="853" t="s">
        <v>185</v>
      </c>
      <c r="AK498" s="848">
        <v>3.0811346150393822E-2</v>
      </c>
      <c r="AL498" s="850">
        <v>160042.07999999844</v>
      </c>
      <c r="AM498" s="854"/>
      <c r="AN498" s="850">
        <v>-48717.20999999842</v>
      </c>
      <c r="AO498" s="872">
        <v>-0.30440250464127244</v>
      </c>
      <c r="AP498" s="506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06"/>
      <c r="BC498" s="506"/>
      <c r="BD498" s="506"/>
      <c r="BE498" s="506"/>
      <c r="BF498" s="506"/>
      <c r="BG498" s="506"/>
      <c r="BH498" s="506"/>
      <c r="BI498" s="506"/>
      <c r="BJ498" s="506"/>
    </row>
    <row r="499" spans="1:62" ht="15.75" customHeight="1" thickTop="1">
      <c r="A499" s="494" t="s">
        <v>475</v>
      </c>
      <c r="B499" s="503"/>
      <c r="C499" s="506"/>
      <c r="D499" s="506"/>
      <c r="E499" s="506"/>
      <c r="F499" s="653"/>
      <c r="G499" s="506"/>
      <c r="H499" s="506"/>
      <c r="I499" s="653"/>
      <c r="J499" s="506"/>
      <c r="K499" s="506"/>
      <c r="L499" s="506"/>
      <c r="M499" s="653"/>
      <c r="N499" s="506"/>
      <c r="O499" s="506"/>
      <c r="P499" s="506"/>
      <c r="Q499" s="653"/>
      <c r="R499" s="653"/>
      <c r="S499" s="653"/>
      <c r="T499" s="506"/>
      <c r="U499" s="506"/>
      <c r="V499" s="506"/>
      <c r="W499" s="506"/>
      <c r="X499" s="506"/>
      <c r="Y499" s="506"/>
      <c r="Z499" s="506"/>
      <c r="AA499" s="506"/>
      <c r="AB499" s="506"/>
      <c r="AC499" s="506"/>
      <c r="AD499" s="506"/>
      <c r="AE499" s="873"/>
      <c r="AF499" s="874"/>
      <c r="AG499" s="506"/>
      <c r="AH499" s="506"/>
      <c r="AI499" s="506"/>
      <c r="AJ499" s="506"/>
      <c r="AK499" s="506"/>
      <c r="AL499" s="506"/>
      <c r="AM499" s="506"/>
      <c r="AN499" s="506"/>
      <c r="AO499" s="506"/>
      <c r="AP499" s="506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06"/>
      <c r="BC499" s="506"/>
      <c r="BD499" s="506"/>
      <c r="BE499" s="506"/>
      <c r="BF499" s="506"/>
      <c r="BG499" s="506"/>
      <c r="BH499" s="506"/>
      <c r="BI499" s="506"/>
      <c r="BJ499" s="506"/>
    </row>
    <row r="500" spans="1:62" ht="15.75" customHeight="1">
      <c r="B500" s="503"/>
      <c r="T500" s="506"/>
      <c r="U500" s="506"/>
      <c r="V500" s="506"/>
      <c r="W500" s="506"/>
      <c r="X500" s="506"/>
      <c r="Y500" s="506"/>
      <c r="Z500" s="653"/>
      <c r="AA500" s="506"/>
      <c r="AB500" s="506"/>
      <c r="AC500" s="653"/>
      <c r="AE500" s="506" t="s">
        <v>478</v>
      </c>
      <c r="AF500" s="766"/>
      <c r="AG500" s="506"/>
      <c r="AH500" s="506"/>
      <c r="AI500" s="506"/>
      <c r="AJ500" s="875"/>
      <c r="AK500" s="876"/>
      <c r="AL500" s="877"/>
      <c r="AM500" s="506"/>
      <c r="AN500" s="506"/>
      <c r="AO500" s="506"/>
      <c r="AP500" s="506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06"/>
      <c r="BC500" s="506"/>
      <c r="BD500" s="506"/>
      <c r="BE500" s="506"/>
      <c r="BF500" s="506"/>
      <c r="BG500" s="506"/>
      <c r="BH500" s="506"/>
      <c r="BI500" s="506"/>
      <c r="BJ500" s="506"/>
    </row>
    <row r="501" spans="1:62" ht="15.75" customHeight="1">
      <c r="B501" s="503"/>
      <c r="C501" s="506"/>
      <c r="S501" s="653"/>
      <c r="W501" s="506"/>
      <c r="X501" s="506"/>
      <c r="Y501" s="506"/>
      <c r="Z501" s="653"/>
      <c r="AA501" s="506"/>
      <c r="AB501" s="506"/>
      <c r="AC501" s="653"/>
      <c r="AD501" s="506"/>
      <c r="AE501" s="506"/>
      <c r="AF501" s="878"/>
      <c r="AG501" s="506"/>
      <c r="AH501" s="506"/>
      <c r="AI501" s="506"/>
      <c r="AJ501" s="506"/>
      <c r="AL501" s="877"/>
      <c r="AM501" s="506"/>
      <c r="AN501" s="506"/>
      <c r="AO501" s="506"/>
      <c r="AP501" s="506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06"/>
      <c r="BC501" s="506"/>
      <c r="BD501" s="506"/>
      <c r="BE501" s="506"/>
      <c r="BF501" s="506"/>
      <c r="BG501" s="506"/>
      <c r="BH501" s="506"/>
      <c r="BI501" s="506"/>
      <c r="BJ501" s="506"/>
    </row>
    <row r="502" spans="1:62" ht="15.75" customHeight="1">
      <c r="B502" s="503"/>
      <c r="C502" s="763"/>
      <c r="W502" s="506"/>
      <c r="X502" s="506"/>
      <c r="Y502" s="506"/>
      <c r="AE502" s="506"/>
      <c r="AF502" s="878"/>
      <c r="AM502" s="506"/>
      <c r="AN502" s="506"/>
      <c r="AO502" s="506"/>
      <c r="AP502" s="506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06"/>
      <c r="BC502" s="506"/>
      <c r="BD502" s="506"/>
      <c r="BE502" s="506"/>
      <c r="BF502" s="506"/>
      <c r="BG502" s="506"/>
      <c r="BH502" s="506"/>
      <c r="BI502" s="506"/>
      <c r="BJ502" s="506"/>
    </row>
    <row r="503" spans="1:62" ht="15.75" customHeight="1">
      <c r="B503" s="503"/>
      <c r="C503" s="763"/>
      <c r="W503" s="506"/>
      <c r="X503" s="506"/>
      <c r="Y503" s="506"/>
      <c r="Z503" s="506"/>
      <c r="AA503" s="506"/>
      <c r="AB503" s="506"/>
      <c r="AC503" s="506"/>
      <c r="AD503" s="506"/>
      <c r="AE503" s="653"/>
      <c r="AF503" s="878"/>
      <c r="AG503" s="506"/>
      <c r="AH503" s="506"/>
      <c r="AI503" s="506"/>
      <c r="AJ503" s="879"/>
      <c r="AK503" s="876"/>
      <c r="AL503" s="877"/>
      <c r="AM503" s="506"/>
      <c r="AN503" s="506"/>
      <c r="AO503" s="506"/>
      <c r="AP503" s="506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06"/>
      <c r="BC503" s="506"/>
      <c r="BD503" s="506"/>
      <c r="BE503" s="506"/>
      <c r="BF503" s="506"/>
      <c r="BG503" s="506"/>
      <c r="BH503" s="506"/>
      <c r="BI503" s="506"/>
      <c r="BJ503" s="506"/>
    </row>
    <row r="504" spans="1:62" ht="15.75" customHeight="1">
      <c r="B504" s="503"/>
      <c r="C504" s="763"/>
      <c r="W504" s="506"/>
      <c r="X504" s="506"/>
      <c r="Y504" s="506"/>
      <c r="Z504" s="506"/>
      <c r="AA504" s="506"/>
      <c r="AB504" s="506"/>
      <c r="AC504" s="506"/>
      <c r="AD504" s="506"/>
      <c r="AE504" s="506"/>
      <c r="AF504" s="878"/>
      <c r="AG504" s="506"/>
      <c r="AH504" s="506"/>
      <c r="AI504" s="506"/>
      <c r="AJ504" s="506"/>
      <c r="AK504" s="506"/>
      <c r="AL504" s="506"/>
      <c r="AM504" s="506"/>
      <c r="AN504" s="506"/>
      <c r="AO504" s="506"/>
      <c r="AP504" s="506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06"/>
      <c r="BC504" s="506"/>
      <c r="BD504" s="506"/>
      <c r="BE504" s="506"/>
      <c r="BF504" s="506"/>
      <c r="BG504" s="506"/>
      <c r="BH504" s="506"/>
      <c r="BI504" s="506"/>
      <c r="BJ504" s="506"/>
    </row>
    <row r="505" spans="1:62" ht="15.75" customHeight="1">
      <c r="B505" s="503"/>
      <c r="C505" s="763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878"/>
      <c r="AG505" s="506"/>
      <c r="AH505" s="506"/>
      <c r="AI505" s="506"/>
      <c r="AJ505" s="506"/>
      <c r="AK505" s="506"/>
      <c r="AL505" s="506"/>
      <c r="AM505" s="506"/>
      <c r="AN505" s="506"/>
      <c r="AO505" s="506"/>
      <c r="AP505" s="506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06"/>
      <c r="BC505" s="506"/>
      <c r="BD505" s="506"/>
      <c r="BE505" s="506"/>
      <c r="BF505" s="506"/>
      <c r="BG505" s="506"/>
      <c r="BH505" s="506"/>
      <c r="BI505" s="506"/>
      <c r="BJ505" s="506"/>
    </row>
    <row r="506" spans="1:62" ht="15.75" customHeight="1">
      <c r="B506" s="503"/>
      <c r="C506" s="763"/>
      <c r="W506" s="506"/>
      <c r="X506" s="506"/>
      <c r="Y506" s="506"/>
      <c r="Z506" s="506"/>
      <c r="AA506" s="506"/>
      <c r="AB506" s="506"/>
      <c r="AC506" s="506"/>
      <c r="AD506" s="506"/>
      <c r="AE506" s="506"/>
      <c r="AF506" s="878"/>
      <c r="AG506" s="506"/>
      <c r="AH506" s="506"/>
      <c r="AI506" s="506"/>
      <c r="AJ506" s="506"/>
      <c r="AK506" s="506"/>
      <c r="AL506" s="506"/>
      <c r="AM506" s="506"/>
      <c r="AN506" s="506"/>
      <c r="AO506" s="506"/>
      <c r="AP506" s="506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06"/>
      <c r="BC506" s="506"/>
      <c r="BD506" s="506"/>
      <c r="BE506" s="506"/>
      <c r="BF506" s="506"/>
      <c r="BG506" s="506"/>
      <c r="BH506" s="506"/>
      <c r="BI506" s="506"/>
      <c r="BJ506" s="506"/>
    </row>
    <row r="507" spans="1:62" ht="15.75" customHeight="1">
      <c r="B507" s="503"/>
      <c r="C507" s="763"/>
      <c r="W507" s="506"/>
      <c r="X507" s="506"/>
      <c r="Y507" s="506"/>
      <c r="Z507" s="506"/>
      <c r="AA507" s="506"/>
      <c r="AB507" s="506"/>
      <c r="AC507" s="506"/>
      <c r="AD507" s="506"/>
      <c r="AE507" s="506"/>
      <c r="AF507" s="878"/>
      <c r="AG507" s="506"/>
      <c r="AH507" s="506"/>
      <c r="AI507" s="506"/>
      <c r="AJ507" s="506"/>
      <c r="AK507" s="506"/>
      <c r="AL507" s="506"/>
      <c r="AM507" s="506"/>
      <c r="AN507" s="506"/>
      <c r="AO507" s="506"/>
      <c r="AP507" s="506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06"/>
      <c r="BC507" s="506"/>
      <c r="BD507" s="506"/>
      <c r="BE507" s="506"/>
      <c r="BF507" s="506"/>
      <c r="BG507" s="506"/>
      <c r="BH507" s="506"/>
      <c r="BI507" s="506"/>
      <c r="BJ507" s="506"/>
    </row>
    <row r="508" spans="1:62" ht="15.75" customHeight="1">
      <c r="B508" s="503"/>
      <c r="C508" s="763"/>
      <c r="W508" s="506"/>
      <c r="X508" s="506"/>
      <c r="Y508" s="506"/>
      <c r="Z508" s="506"/>
      <c r="AA508" s="506"/>
      <c r="AB508" s="506"/>
      <c r="AC508" s="506"/>
      <c r="AD508" s="506"/>
      <c r="AE508" s="506"/>
      <c r="AF508" s="653"/>
      <c r="AG508" s="506"/>
      <c r="AH508" s="506"/>
      <c r="AI508" s="506"/>
      <c r="AJ508" s="506"/>
      <c r="AK508" s="506"/>
      <c r="AL508" s="506"/>
      <c r="AM508" s="506"/>
      <c r="AN508" s="506"/>
      <c r="AO508" s="506"/>
      <c r="AP508" s="506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06"/>
      <c r="BC508" s="506"/>
      <c r="BD508" s="506"/>
      <c r="BE508" s="506"/>
      <c r="BF508" s="506"/>
      <c r="BG508" s="506"/>
      <c r="BH508" s="506"/>
      <c r="BI508" s="506"/>
      <c r="BJ508" s="506"/>
    </row>
    <row r="509" spans="1:62" ht="15.75" customHeight="1">
      <c r="B509" s="503"/>
      <c r="C509" s="763"/>
      <c r="W509" s="506"/>
      <c r="X509" s="506"/>
      <c r="Y509" s="506"/>
      <c r="Z509" s="506"/>
      <c r="AA509" s="506"/>
      <c r="AB509" s="506"/>
      <c r="AC509" s="506"/>
      <c r="AD509" s="506"/>
      <c r="AE509" s="506"/>
      <c r="AF509" s="878"/>
      <c r="AG509" s="506"/>
      <c r="AH509" s="506"/>
      <c r="AI509" s="506"/>
      <c r="AJ509" s="506"/>
      <c r="AK509" s="506"/>
      <c r="AL509" s="506"/>
      <c r="AM509" s="506"/>
      <c r="AN509" s="506"/>
      <c r="AO509" s="506"/>
      <c r="AP509" s="506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06"/>
      <c r="BC509" s="506"/>
      <c r="BD509" s="506"/>
      <c r="BE509" s="506"/>
      <c r="BF509" s="506"/>
      <c r="BG509" s="506"/>
      <c r="BH509" s="506"/>
      <c r="BI509" s="506"/>
      <c r="BJ509" s="506"/>
    </row>
    <row r="510" spans="1:62" ht="15.75" customHeight="1">
      <c r="B510" s="503"/>
      <c r="C510" s="763"/>
      <c r="W510" s="506"/>
      <c r="X510" s="506"/>
      <c r="Y510" s="506"/>
      <c r="Z510" s="506"/>
      <c r="AA510" s="506"/>
      <c r="AB510" s="506"/>
      <c r="AC510" s="506"/>
      <c r="AD510" s="506"/>
      <c r="AE510" s="506"/>
      <c r="AF510" s="880"/>
      <c r="AG510" s="506"/>
      <c r="AH510" s="506"/>
      <c r="AI510" s="506"/>
      <c r="AJ510" s="506"/>
      <c r="AK510" s="506"/>
      <c r="AL510" s="506"/>
      <c r="AM510" s="506"/>
      <c r="AN510" s="506"/>
      <c r="AO510" s="506"/>
      <c r="AP510" s="506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06"/>
      <c r="BC510" s="506"/>
      <c r="BD510" s="506"/>
      <c r="BE510" s="506"/>
      <c r="BF510" s="506"/>
      <c r="BG510" s="506"/>
      <c r="BH510" s="506"/>
      <c r="BI510" s="506"/>
      <c r="BJ510" s="506"/>
    </row>
    <row r="511" spans="1:62" ht="15.75" customHeight="1">
      <c r="B511" s="503"/>
      <c r="C511" s="763"/>
      <c r="W511" s="506"/>
      <c r="X511" s="506"/>
      <c r="Y511" s="506"/>
      <c r="Z511" s="506"/>
      <c r="AA511" s="506"/>
      <c r="AB511" s="506"/>
      <c r="AC511" s="506"/>
      <c r="AD511" s="506"/>
      <c r="AE511" s="506"/>
      <c r="AF511" s="878"/>
      <c r="AG511" s="506"/>
      <c r="AH511" s="506"/>
      <c r="AI511" s="506"/>
      <c r="AJ511" s="506"/>
      <c r="AK511" s="506"/>
      <c r="AL511" s="506"/>
      <c r="AM511" s="506"/>
      <c r="AN511" s="506"/>
      <c r="AO511" s="506"/>
      <c r="AP511" s="506"/>
      <c r="AQ511" s="506"/>
      <c r="AR511" s="506"/>
      <c r="AS511" s="506"/>
      <c r="AT511" s="506"/>
      <c r="AU511" s="506"/>
      <c r="AV511" s="506"/>
      <c r="AW511" s="506"/>
      <c r="AX511" s="506"/>
      <c r="AY511" s="506"/>
      <c r="AZ511" s="506"/>
      <c r="BA511" s="506"/>
      <c r="BB511" s="506"/>
      <c r="BC511" s="506"/>
      <c r="BD511" s="506"/>
      <c r="BE511" s="506"/>
      <c r="BF511" s="506"/>
      <c r="BG511" s="506"/>
      <c r="BH511" s="506"/>
      <c r="BI511" s="506"/>
      <c r="BJ511" s="506"/>
    </row>
    <row r="512" spans="1:62" ht="15.75" customHeight="1">
      <c r="B512" s="503"/>
      <c r="C512" s="763"/>
      <c r="W512" s="506"/>
      <c r="X512" s="506"/>
      <c r="Y512" s="506"/>
      <c r="Z512" s="506"/>
      <c r="AA512" s="506"/>
      <c r="AB512" s="506"/>
      <c r="AC512" s="506"/>
      <c r="AD512" s="506"/>
      <c r="AE512" s="506"/>
      <c r="AF512" s="506"/>
      <c r="AG512" s="506"/>
      <c r="AH512" s="506"/>
      <c r="AI512" s="506"/>
      <c r="AJ512" s="506"/>
      <c r="AK512" s="506"/>
      <c r="AL512" s="506"/>
      <c r="AM512" s="506"/>
      <c r="AN512" s="506"/>
      <c r="AO512" s="506"/>
      <c r="AP512" s="506"/>
      <c r="AQ512" s="506"/>
      <c r="AR512" s="506"/>
      <c r="AS512" s="506"/>
      <c r="AT512" s="506"/>
      <c r="AU512" s="506"/>
      <c r="AV512" s="506"/>
      <c r="AW512" s="506"/>
      <c r="AX512" s="506"/>
      <c r="AY512" s="506"/>
      <c r="AZ512" s="506"/>
      <c r="BA512" s="506"/>
      <c r="BB512" s="506"/>
      <c r="BC512" s="506"/>
      <c r="BD512" s="506"/>
      <c r="BE512" s="506"/>
      <c r="BF512" s="506"/>
      <c r="BG512" s="506"/>
      <c r="BH512" s="506"/>
      <c r="BI512" s="506"/>
      <c r="BJ512" s="506"/>
    </row>
    <row r="513" spans="2:62" ht="15.75" customHeight="1">
      <c r="B513" s="503"/>
      <c r="C513" s="763"/>
      <c r="W513" s="506"/>
      <c r="X513" s="506"/>
      <c r="Y513" s="506"/>
      <c r="Z513" s="506"/>
      <c r="AA513" s="506"/>
      <c r="AB513" s="506"/>
      <c r="AC513" s="506"/>
      <c r="AD513" s="506"/>
      <c r="AE513" s="506"/>
      <c r="AF513" s="880"/>
      <c r="AG513" s="506"/>
      <c r="AH513" s="506"/>
      <c r="AI513" s="506"/>
      <c r="AJ513" s="506"/>
      <c r="AK513" s="506"/>
      <c r="AL513" s="506"/>
      <c r="AM513" s="506"/>
      <c r="AN513" s="506"/>
      <c r="AO513" s="506"/>
      <c r="AP513" s="506"/>
      <c r="AQ513" s="506"/>
      <c r="AR513" s="506"/>
      <c r="AS513" s="506"/>
      <c r="AT513" s="506"/>
      <c r="AU513" s="506"/>
      <c r="AV513" s="506"/>
      <c r="AW513" s="506"/>
      <c r="AX513" s="506"/>
      <c r="AY513" s="506"/>
      <c r="AZ513" s="506"/>
      <c r="BA513" s="506"/>
      <c r="BB513" s="506"/>
      <c r="BC513" s="506"/>
      <c r="BD513" s="506"/>
      <c r="BE513" s="506"/>
      <c r="BF513" s="506"/>
      <c r="BG513" s="506"/>
      <c r="BH513" s="506"/>
      <c r="BI513" s="506"/>
      <c r="BJ513" s="506"/>
    </row>
    <row r="514" spans="2:62" ht="15.75" customHeight="1">
      <c r="B514" s="503"/>
      <c r="C514" s="763"/>
      <c r="W514" s="506"/>
      <c r="X514" s="506"/>
      <c r="Y514" s="506"/>
      <c r="Z514" s="506"/>
      <c r="AA514" s="506"/>
      <c r="AB514" s="506"/>
      <c r="AC514" s="506"/>
      <c r="AD514" s="506"/>
      <c r="AE514" s="506"/>
      <c r="AF514" s="506"/>
      <c r="AG514" s="506"/>
      <c r="AH514" s="506"/>
      <c r="AI514" s="506"/>
      <c r="AJ514" s="506"/>
      <c r="AK514" s="506"/>
      <c r="AL514" s="506"/>
      <c r="AM514" s="506"/>
      <c r="AN514" s="506"/>
      <c r="AO514" s="506"/>
      <c r="AP514" s="506"/>
      <c r="AQ514" s="506"/>
      <c r="AR514" s="506"/>
      <c r="AS514" s="506"/>
      <c r="AT514" s="506"/>
      <c r="AU514" s="506"/>
      <c r="AV514" s="506"/>
      <c r="AW514" s="506"/>
      <c r="AX514" s="506"/>
      <c r="AY514" s="506"/>
      <c r="AZ514" s="506"/>
      <c r="BA514" s="506"/>
      <c r="BB514" s="506"/>
      <c r="BC514" s="506"/>
      <c r="BD514" s="506"/>
      <c r="BE514" s="506"/>
      <c r="BF514" s="506"/>
      <c r="BG514" s="506"/>
      <c r="BH514" s="506"/>
      <c r="BI514" s="506"/>
      <c r="BJ514" s="506"/>
    </row>
    <row r="515" spans="2:62" ht="15.75" customHeight="1">
      <c r="B515" s="503"/>
      <c r="C515" s="763"/>
      <c r="W515" s="506"/>
      <c r="X515" s="506"/>
      <c r="Y515" s="506"/>
      <c r="Z515" s="506"/>
      <c r="AA515" s="506"/>
      <c r="AB515" s="506"/>
      <c r="AC515" s="506"/>
      <c r="AD515" s="506"/>
      <c r="AE515" s="506"/>
      <c r="AF515" s="506"/>
      <c r="AG515" s="506"/>
      <c r="AH515" s="506"/>
      <c r="AI515" s="506"/>
      <c r="AJ515" s="506"/>
      <c r="AK515" s="506"/>
      <c r="AL515" s="506"/>
      <c r="AM515" s="506"/>
      <c r="AN515" s="506"/>
      <c r="AO515" s="506"/>
      <c r="AP515" s="506"/>
      <c r="AQ515" s="506"/>
      <c r="AR515" s="506"/>
      <c r="AS515" s="506"/>
      <c r="AT515" s="506"/>
      <c r="AU515" s="506"/>
      <c r="AV515" s="506"/>
      <c r="AW515" s="506"/>
      <c r="AX515" s="506"/>
      <c r="AY515" s="506"/>
      <c r="AZ515" s="506"/>
      <c r="BA515" s="506"/>
      <c r="BB515" s="506"/>
      <c r="BC515" s="506"/>
      <c r="BD515" s="506"/>
      <c r="BE515" s="506"/>
      <c r="BF515" s="506"/>
      <c r="BG515" s="506"/>
      <c r="BH515" s="506"/>
      <c r="BI515" s="506"/>
      <c r="BJ515" s="506"/>
    </row>
    <row r="516" spans="2:62" ht="15.75" customHeight="1">
      <c r="B516" s="503"/>
      <c r="W516" s="506"/>
      <c r="X516" s="506"/>
      <c r="Y516" s="506"/>
      <c r="Z516" s="506"/>
      <c r="AA516" s="506"/>
      <c r="AB516" s="506"/>
      <c r="AC516" s="506"/>
      <c r="AD516" s="506"/>
      <c r="AE516" s="506"/>
      <c r="AF516" s="506"/>
      <c r="AG516" s="506"/>
      <c r="AH516" s="506"/>
      <c r="AI516" s="506"/>
      <c r="AJ516" s="506"/>
      <c r="AK516" s="506"/>
      <c r="AL516" s="506"/>
      <c r="AM516" s="506"/>
      <c r="AN516" s="506"/>
      <c r="AO516" s="506"/>
      <c r="AP516" s="506"/>
      <c r="AQ516" s="506"/>
      <c r="AR516" s="506"/>
      <c r="AS516" s="506"/>
      <c r="AT516" s="506"/>
      <c r="AU516" s="506"/>
      <c r="AV516" s="506"/>
      <c r="AW516" s="506"/>
      <c r="AX516" s="506"/>
      <c r="AY516" s="506"/>
      <c r="AZ516" s="506"/>
      <c r="BA516" s="506"/>
      <c r="BB516" s="506"/>
      <c r="BC516" s="506"/>
      <c r="BD516" s="506"/>
      <c r="BE516" s="506"/>
      <c r="BF516" s="506"/>
      <c r="BG516" s="506"/>
      <c r="BH516" s="506"/>
      <c r="BI516" s="506"/>
      <c r="BJ516" s="506"/>
    </row>
    <row r="517" spans="2:62" ht="15.75" customHeight="1">
      <c r="B517" s="503"/>
      <c r="W517" s="506"/>
      <c r="X517" s="506"/>
      <c r="Y517" s="506"/>
      <c r="Z517" s="506"/>
      <c r="AA517" s="506"/>
      <c r="AB517" s="506"/>
      <c r="AC517" s="506"/>
      <c r="AD517" s="506"/>
      <c r="AE517" s="506"/>
      <c r="AF517" s="506"/>
      <c r="AG517" s="506"/>
      <c r="AH517" s="506"/>
      <c r="AI517" s="506"/>
      <c r="AJ517" s="506"/>
      <c r="AK517" s="506"/>
      <c r="AL517" s="506"/>
      <c r="AM517" s="506"/>
      <c r="AN517" s="506"/>
      <c r="AO517" s="506"/>
      <c r="AP517" s="506"/>
      <c r="AQ517" s="506"/>
      <c r="AR517" s="506"/>
      <c r="AS517" s="506"/>
      <c r="AT517" s="506"/>
      <c r="AU517" s="506"/>
      <c r="AV517" s="506"/>
      <c r="AW517" s="506"/>
      <c r="AX517" s="506"/>
      <c r="AY517" s="506"/>
      <c r="AZ517" s="506"/>
      <c r="BA517" s="506"/>
      <c r="BB517" s="506"/>
      <c r="BC517" s="506"/>
      <c r="BD517" s="506"/>
      <c r="BE517" s="506"/>
      <c r="BF517" s="506"/>
      <c r="BG517" s="506"/>
      <c r="BH517" s="506"/>
      <c r="BI517" s="506"/>
      <c r="BJ517" s="506"/>
    </row>
    <row r="518" spans="2:62" ht="15.75" customHeight="1">
      <c r="B518" s="503"/>
      <c r="W518" s="506"/>
      <c r="X518" s="506"/>
      <c r="Y518" s="506"/>
      <c r="Z518" s="506"/>
      <c r="AA518" s="506"/>
      <c r="AB518" s="506"/>
      <c r="AC518" s="506"/>
      <c r="AD518" s="506"/>
      <c r="AE518" s="506"/>
      <c r="AF518" s="506"/>
      <c r="AG518" s="506"/>
      <c r="AH518" s="506"/>
      <c r="AI518" s="506"/>
      <c r="AJ518" s="506"/>
      <c r="AK518" s="506"/>
      <c r="AL518" s="506"/>
      <c r="AM518" s="506"/>
      <c r="AN518" s="506"/>
      <c r="AO518" s="506"/>
      <c r="AP518" s="506"/>
      <c r="AQ518" s="506"/>
      <c r="AR518" s="506"/>
      <c r="AS518" s="506"/>
      <c r="AT518" s="506"/>
      <c r="AU518" s="506"/>
      <c r="AV518" s="506"/>
      <c r="AW518" s="506"/>
      <c r="AX518" s="506"/>
      <c r="AY518" s="506"/>
      <c r="AZ518" s="506"/>
      <c r="BA518" s="506"/>
      <c r="BB518" s="506"/>
      <c r="BC518" s="506"/>
      <c r="BD518" s="506"/>
      <c r="BE518" s="506"/>
      <c r="BF518" s="506"/>
      <c r="BG518" s="506"/>
      <c r="BH518" s="506"/>
      <c r="BI518" s="506"/>
      <c r="BJ518" s="506"/>
    </row>
    <row r="519" spans="2:62" ht="15.75" customHeight="1">
      <c r="B519" s="503"/>
      <c r="W519" s="506"/>
      <c r="X519" s="506"/>
      <c r="Y519" s="506"/>
      <c r="Z519" s="506"/>
      <c r="AA519" s="506"/>
      <c r="AB519" s="506"/>
      <c r="AC519" s="506"/>
      <c r="AD519" s="506"/>
      <c r="AE519" s="506"/>
      <c r="AF519" s="506"/>
      <c r="AG519" s="506"/>
      <c r="AH519" s="506"/>
      <c r="AI519" s="506"/>
      <c r="AJ519" s="506"/>
      <c r="AK519" s="506"/>
      <c r="AL519" s="506"/>
      <c r="AM519" s="506"/>
      <c r="AN519" s="506"/>
      <c r="AO519" s="506"/>
      <c r="AP519" s="506"/>
      <c r="AQ519" s="506"/>
      <c r="AR519" s="506"/>
      <c r="AS519" s="506"/>
      <c r="AT519" s="506"/>
      <c r="AU519" s="506"/>
      <c r="AV519" s="506"/>
      <c r="AW519" s="506"/>
      <c r="AX519" s="506"/>
      <c r="AY519" s="506"/>
      <c r="AZ519" s="506"/>
      <c r="BA519" s="506"/>
      <c r="BB519" s="506"/>
      <c r="BC519" s="506"/>
      <c r="BD519" s="506"/>
      <c r="BE519" s="506"/>
      <c r="BF519" s="506"/>
      <c r="BG519" s="506"/>
      <c r="BH519" s="506"/>
      <c r="BI519" s="506"/>
      <c r="BJ519" s="506"/>
    </row>
    <row r="520" spans="2:62" ht="15.75" customHeight="1">
      <c r="B520" s="503"/>
      <c r="W520" s="506"/>
      <c r="X520" s="506"/>
      <c r="Y520" s="506"/>
      <c r="Z520" s="506"/>
      <c r="AA520" s="506"/>
      <c r="AB520" s="506"/>
      <c r="AC520" s="506"/>
      <c r="AD520" s="506"/>
      <c r="AE520" s="506"/>
      <c r="AF520" s="506"/>
      <c r="AG520" s="506"/>
      <c r="AH520" s="506"/>
      <c r="AI520" s="506"/>
      <c r="AJ520" s="506"/>
      <c r="AK520" s="506"/>
      <c r="AL520" s="506"/>
      <c r="AM520" s="506"/>
      <c r="AN520" s="506"/>
      <c r="AO520" s="506"/>
      <c r="AP520" s="506"/>
      <c r="AQ520" s="506"/>
      <c r="AR520" s="506"/>
      <c r="AS520" s="506"/>
      <c r="AT520" s="506"/>
      <c r="AU520" s="506"/>
      <c r="AV520" s="506"/>
      <c r="AW520" s="506"/>
      <c r="AX520" s="506"/>
      <c r="AY520" s="506"/>
      <c r="AZ520" s="506"/>
      <c r="BA520" s="506"/>
      <c r="BB520" s="506"/>
      <c r="BC520" s="506"/>
      <c r="BD520" s="506"/>
      <c r="BE520" s="506"/>
      <c r="BF520" s="506"/>
      <c r="BG520" s="506"/>
      <c r="BH520" s="506"/>
      <c r="BI520" s="506"/>
      <c r="BJ520" s="506"/>
    </row>
    <row r="521" spans="2:62" ht="15.75" customHeight="1">
      <c r="B521" s="503"/>
      <c r="W521" s="506"/>
      <c r="X521" s="506"/>
      <c r="Y521" s="506"/>
      <c r="Z521" s="506"/>
      <c r="AA521" s="506"/>
      <c r="AB521" s="506"/>
      <c r="AC521" s="506"/>
      <c r="AD521" s="506"/>
      <c r="AE521" s="506"/>
      <c r="AF521" s="506"/>
      <c r="AG521" s="506"/>
      <c r="AH521" s="506"/>
      <c r="AI521" s="506"/>
      <c r="AJ521" s="506"/>
      <c r="AK521" s="506"/>
      <c r="AL521" s="506"/>
      <c r="AM521" s="506"/>
      <c r="AN521" s="506"/>
      <c r="AO521" s="506"/>
      <c r="AP521" s="506"/>
      <c r="AQ521" s="506"/>
      <c r="AR521" s="506"/>
      <c r="AS521" s="506"/>
      <c r="AT521" s="506"/>
      <c r="AU521" s="506"/>
      <c r="AV521" s="506"/>
      <c r="AW521" s="506"/>
      <c r="AX521" s="506"/>
      <c r="AY521" s="506"/>
      <c r="AZ521" s="506"/>
      <c r="BA521" s="506"/>
      <c r="BB521" s="506"/>
      <c r="BC521" s="506"/>
      <c r="BD521" s="506"/>
      <c r="BE521" s="506"/>
      <c r="BF521" s="506"/>
      <c r="BG521" s="506"/>
      <c r="BH521" s="506"/>
      <c r="BI521" s="506"/>
      <c r="BJ521" s="506"/>
    </row>
    <row r="522" spans="2:62" ht="15.75" customHeight="1">
      <c r="B522" s="503"/>
      <c r="W522" s="506"/>
      <c r="X522" s="506"/>
      <c r="Y522" s="506"/>
      <c r="Z522" s="506"/>
      <c r="AA522" s="506"/>
      <c r="AB522" s="506"/>
      <c r="AC522" s="506"/>
      <c r="AD522" s="506"/>
      <c r="AE522" s="506"/>
      <c r="AF522" s="506"/>
      <c r="AG522" s="506"/>
      <c r="AH522" s="506"/>
      <c r="AI522" s="506"/>
      <c r="AJ522" s="506"/>
      <c r="AK522" s="506"/>
      <c r="AL522" s="506"/>
      <c r="AM522" s="506"/>
      <c r="AN522" s="506"/>
      <c r="AO522" s="506"/>
      <c r="AP522" s="506"/>
      <c r="AQ522" s="506"/>
      <c r="AR522" s="506"/>
      <c r="AS522" s="506"/>
      <c r="AT522" s="506"/>
      <c r="AU522" s="506"/>
      <c r="AV522" s="506"/>
      <c r="AW522" s="506"/>
      <c r="AX522" s="506"/>
      <c r="AY522" s="506"/>
      <c r="AZ522" s="506"/>
      <c r="BA522" s="506"/>
      <c r="BB522" s="506"/>
      <c r="BC522" s="506"/>
      <c r="BD522" s="506"/>
      <c r="BE522" s="506"/>
      <c r="BF522" s="506"/>
      <c r="BG522" s="506"/>
      <c r="BH522" s="506"/>
      <c r="BI522" s="506"/>
      <c r="BJ522" s="506"/>
    </row>
    <row r="523" spans="2:62" ht="15.75" customHeight="1">
      <c r="B523" s="503"/>
      <c r="W523" s="506"/>
      <c r="X523" s="506"/>
      <c r="Y523" s="506"/>
      <c r="Z523" s="506"/>
      <c r="AA523" s="506"/>
      <c r="AB523" s="506"/>
      <c r="AC523" s="506"/>
      <c r="AD523" s="506"/>
      <c r="AE523" s="506"/>
      <c r="AF523" s="506"/>
      <c r="AG523" s="506"/>
      <c r="AH523" s="506"/>
      <c r="AI523" s="506"/>
      <c r="AJ523" s="506"/>
      <c r="AK523" s="506"/>
      <c r="AL523" s="506"/>
      <c r="AM523" s="506"/>
      <c r="AN523" s="506"/>
      <c r="AO523" s="506"/>
      <c r="AP523" s="506"/>
      <c r="AQ523" s="506"/>
      <c r="AR523" s="506"/>
      <c r="AS523" s="506"/>
      <c r="AT523" s="506"/>
      <c r="AU523" s="506"/>
      <c r="AV523" s="506"/>
      <c r="AW523" s="506"/>
      <c r="AX523" s="506"/>
      <c r="AY523" s="506"/>
      <c r="AZ523" s="506"/>
      <c r="BA523" s="506"/>
      <c r="BB523" s="506"/>
      <c r="BC523" s="506"/>
      <c r="BD523" s="506"/>
      <c r="BE523" s="506"/>
      <c r="BF523" s="506"/>
      <c r="BG523" s="506"/>
      <c r="BH523" s="506"/>
      <c r="BI523" s="506"/>
      <c r="BJ523" s="506"/>
    </row>
    <row r="524" spans="2:62" ht="15.75" customHeight="1">
      <c r="B524" s="503"/>
      <c r="W524" s="506"/>
      <c r="X524" s="506"/>
      <c r="Y524" s="506"/>
      <c r="Z524" s="506"/>
      <c r="AA524" s="506"/>
      <c r="AB524" s="506"/>
      <c r="AC524" s="506"/>
      <c r="AD524" s="506"/>
      <c r="AE524" s="506"/>
      <c r="AF524" s="506"/>
      <c r="AG524" s="506"/>
      <c r="AH524" s="506"/>
      <c r="AI524" s="506"/>
      <c r="AJ524" s="506"/>
      <c r="AK524" s="506"/>
      <c r="AL524" s="506"/>
      <c r="AM524" s="506"/>
      <c r="AN524" s="506"/>
      <c r="AO524" s="506"/>
      <c r="AP524" s="506"/>
      <c r="AQ524" s="506"/>
      <c r="AR524" s="506"/>
      <c r="AS524" s="506"/>
      <c r="AT524" s="506"/>
      <c r="AU524" s="506"/>
      <c r="AV524" s="506"/>
      <c r="AW524" s="506"/>
      <c r="AX524" s="506"/>
      <c r="AY524" s="506"/>
      <c r="AZ524" s="506"/>
      <c r="BA524" s="506"/>
      <c r="BB524" s="506"/>
      <c r="BC524" s="506"/>
      <c r="BD524" s="506"/>
      <c r="BE524" s="506"/>
      <c r="BF524" s="506"/>
      <c r="BG524" s="506"/>
      <c r="BH524" s="506"/>
      <c r="BI524" s="506"/>
      <c r="BJ524" s="506"/>
    </row>
    <row r="525" spans="2:62" ht="15.75" customHeight="1">
      <c r="B525" s="503"/>
      <c r="C525" s="763"/>
      <c r="W525" s="506"/>
      <c r="X525" s="506"/>
      <c r="Y525" s="506"/>
      <c r="Z525" s="506"/>
      <c r="AA525" s="506"/>
      <c r="AB525" s="506"/>
      <c r="AC525" s="506"/>
      <c r="AD525" s="506"/>
      <c r="AE525" s="506"/>
      <c r="AF525" s="506"/>
      <c r="AG525" s="506"/>
      <c r="AH525" s="506"/>
      <c r="AI525" s="506"/>
      <c r="AJ525" s="506"/>
      <c r="AK525" s="506"/>
      <c r="AL525" s="506"/>
      <c r="AM525" s="506"/>
      <c r="AN525" s="506"/>
      <c r="AO525" s="506"/>
      <c r="AP525" s="506"/>
      <c r="AQ525" s="506"/>
      <c r="AR525" s="506"/>
      <c r="AS525" s="506"/>
      <c r="AT525" s="506"/>
      <c r="AU525" s="506"/>
      <c r="AV525" s="506"/>
      <c r="AW525" s="506"/>
      <c r="AX525" s="506"/>
      <c r="AY525" s="506"/>
      <c r="AZ525" s="506"/>
      <c r="BA525" s="506"/>
      <c r="BB525" s="506"/>
      <c r="BC525" s="506"/>
      <c r="BD525" s="506"/>
      <c r="BE525" s="506"/>
      <c r="BF525" s="506"/>
      <c r="BG525" s="506"/>
      <c r="BH525" s="506"/>
      <c r="BI525" s="506"/>
      <c r="BJ525" s="506"/>
    </row>
    <row r="526" spans="2:62" ht="15.75" customHeight="1">
      <c r="B526" s="503"/>
      <c r="C526" s="763"/>
      <c r="W526" s="506"/>
      <c r="X526" s="506"/>
      <c r="Y526" s="506"/>
      <c r="Z526" s="506"/>
      <c r="AA526" s="506"/>
      <c r="AB526" s="506"/>
      <c r="AC526" s="506"/>
      <c r="AD526" s="506"/>
      <c r="AE526" s="506"/>
      <c r="AF526" s="506"/>
      <c r="AG526" s="506"/>
      <c r="AH526" s="506"/>
      <c r="AI526" s="506"/>
      <c r="AJ526" s="506"/>
      <c r="AK526" s="506"/>
      <c r="AL526" s="506"/>
      <c r="AM526" s="506"/>
      <c r="AN526" s="506"/>
      <c r="AO526" s="506"/>
      <c r="AP526" s="506"/>
      <c r="AQ526" s="506"/>
      <c r="AR526" s="506"/>
      <c r="AS526" s="506"/>
      <c r="AT526" s="506"/>
      <c r="AU526" s="506"/>
      <c r="AV526" s="506"/>
      <c r="AW526" s="506"/>
      <c r="AX526" s="506"/>
      <c r="AY526" s="506"/>
      <c r="AZ526" s="506"/>
      <c r="BA526" s="506"/>
      <c r="BB526" s="506"/>
      <c r="BC526" s="506"/>
      <c r="BD526" s="506"/>
      <c r="BE526" s="506"/>
      <c r="BF526" s="506"/>
      <c r="BG526" s="506"/>
      <c r="BH526" s="506"/>
      <c r="BI526" s="506"/>
      <c r="BJ526" s="506"/>
    </row>
    <row r="527" spans="2:62" ht="15.75" customHeight="1">
      <c r="B527" s="503"/>
      <c r="C527" s="763"/>
      <c r="W527" s="506"/>
      <c r="X527" s="506"/>
      <c r="Y527" s="506"/>
      <c r="Z527" s="506"/>
      <c r="AA527" s="506"/>
      <c r="AB527" s="506"/>
      <c r="AC527" s="506"/>
      <c r="AD527" s="506"/>
      <c r="AE527" s="506"/>
      <c r="AF527" s="506"/>
      <c r="AG527" s="506"/>
      <c r="AH527" s="506"/>
      <c r="AI527" s="506"/>
      <c r="AJ527" s="506"/>
      <c r="AK527" s="506"/>
      <c r="AL527" s="506"/>
      <c r="AM527" s="506"/>
      <c r="AN527" s="506"/>
      <c r="AO527" s="506"/>
      <c r="AP527" s="506"/>
      <c r="AQ527" s="506"/>
      <c r="AR527" s="506"/>
      <c r="AS527" s="506"/>
      <c r="AT527" s="506"/>
      <c r="AU527" s="506"/>
      <c r="AV527" s="506"/>
      <c r="AW527" s="506"/>
      <c r="AX527" s="506"/>
      <c r="AY527" s="506"/>
      <c r="AZ527" s="506"/>
      <c r="BA527" s="506"/>
      <c r="BB527" s="506"/>
      <c r="BC527" s="506"/>
      <c r="BD527" s="506"/>
      <c r="BE527" s="506"/>
      <c r="BF527" s="506"/>
      <c r="BG527" s="506"/>
      <c r="BH527" s="506"/>
      <c r="BI527" s="506"/>
      <c r="BJ527" s="506"/>
    </row>
    <row r="528" spans="2:62" ht="15.75" customHeight="1">
      <c r="B528" s="503"/>
      <c r="C528" s="763"/>
      <c r="W528" s="506"/>
      <c r="X528" s="506"/>
      <c r="Y528" s="506"/>
      <c r="Z528" s="506"/>
      <c r="AA528" s="506"/>
      <c r="AB528" s="506"/>
      <c r="AC528" s="506"/>
      <c r="AD528" s="506"/>
      <c r="AE528" s="506"/>
      <c r="AF528" s="506"/>
      <c r="AG528" s="506"/>
      <c r="AH528" s="506"/>
      <c r="AI528" s="506"/>
      <c r="AJ528" s="506"/>
      <c r="AK528" s="506"/>
      <c r="AL528" s="506"/>
      <c r="AM528" s="506"/>
      <c r="AN528" s="506"/>
      <c r="AO528" s="506"/>
      <c r="AP528" s="506"/>
      <c r="AQ528" s="506"/>
      <c r="AR528" s="506"/>
      <c r="AS528" s="506"/>
      <c r="AT528" s="506"/>
      <c r="AU528" s="506"/>
      <c r="AV528" s="506"/>
      <c r="AW528" s="506"/>
      <c r="AX528" s="506"/>
      <c r="AY528" s="506"/>
      <c r="AZ528" s="506"/>
      <c r="BA528" s="506"/>
      <c r="BB528" s="506"/>
      <c r="BC528" s="506"/>
      <c r="BD528" s="506"/>
      <c r="BE528" s="506"/>
      <c r="BF528" s="506"/>
      <c r="BG528" s="506"/>
      <c r="BH528" s="506"/>
      <c r="BI528" s="506"/>
      <c r="BJ528" s="506"/>
    </row>
    <row r="529" spans="2:62" ht="15.75" customHeight="1">
      <c r="B529" s="503"/>
      <c r="C529" s="763"/>
      <c r="W529" s="506"/>
      <c r="X529" s="506"/>
      <c r="Y529" s="506"/>
      <c r="Z529" s="506"/>
      <c r="AA529" s="506"/>
      <c r="AB529" s="506"/>
      <c r="AC529" s="506"/>
      <c r="AD529" s="506"/>
      <c r="AE529" s="506"/>
      <c r="AF529" s="506"/>
      <c r="AG529" s="506"/>
      <c r="AH529" s="506"/>
      <c r="AI529" s="506"/>
      <c r="AJ529" s="506"/>
      <c r="AK529" s="506"/>
      <c r="AL529" s="506"/>
      <c r="AM529" s="506"/>
      <c r="AN529" s="506"/>
      <c r="AO529" s="506"/>
      <c r="AP529" s="506"/>
      <c r="AQ529" s="506"/>
      <c r="AR529" s="506"/>
      <c r="AS529" s="506"/>
      <c r="AT529" s="506"/>
      <c r="AU529" s="506"/>
      <c r="AV529" s="506"/>
      <c r="AW529" s="506"/>
      <c r="AX529" s="506"/>
      <c r="AY529" s="506"/>
      <c r="AZ529" s="506"/>
      <c r="BA529" s="506"/>
      <c r="BB529" s="506"/>
      <c r="BC529" s="506"/>
      <c r="BD529" s="506"/>
      <c r="BE529" s="506"/>
      <c r="BF529" s="506"/>
      <c r="BG529" s="506"/>
      <c r="BH529" s="506"/>
      <c r="BI529" s="506"/>
      <c r="BJ529" s="506"/>
    </row>
    <row r="530" spans="2:62" ht="15.75" customHeight="1">
      <c r="B530" s="503"/>
      <c r="C530" s="763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06"/>
      <c r="AG530" s="506"/>
      <c r="AH530" s="506"/>
      <c r="AI530" s="506"/>
      <c r="AJ530" s="506"/>
      <c r="AK530" s="506"/>
      <c r="AL530" s="506"/>
      <c r="AM530" s="506"/>
      <c r="AN530" s="506"/>
      <c r="AO530" s="506"/>
      <c r="AP530" s="506"/>
      <c r="AQ530" s="506"/>
      <c r="AR530" s="506"/>
      <c r="AS530" s="506"/>
      <c r="AT530" s="506"/>
      <c r="AU530" s="506"/>
      <c r="AV530" s="506"/>
      <c r="AW530" s="506"/>
      <c r="AX530" s="506"/>
      <c r="AY530" s="506"/>
      <c r="AZ530" s="506"/>
      <c r="BA530" s="506"/>
      <c r="BB530" s="506"/>
      <c r="BC530" s="506"/>
      <c r="BD530" s="506"/>
      <c r="BE530" s="506"/>
      <c r="BF530" s="506"/>
      <c r="BG530" s="506"/>
      <c r="BH530" s="506"/>
      <c r="BI530" s="506"/>
      <c r="BJ530" s="506"/>
    </row>
    <row r="531" spans="2:62" ht="15.75" customHeight="1">
      <c r="B531" s="503"/>
      <c r="C531" s="763"/>
      <c r="W531" s="506"/>
      <c r="X531" s="506"/>
      <c r="Y531" s="506"/>
      <c r="Z531" s="506"/>
      <c r="AA531" s="506"/>
      <c r="AB531" s="506"/>
      <c r="AC531" s="506"/>
      <c r="AD531" s="506"/>
      <c r="AE531" s="506"/>
      <c r="AF531" s="506"/>
      <c r="AG531" s="506"/>
      <c r="AH531" s="506"/>
      <c r="AI531" s="506"/>
      <c r="AJ531" s="506"/>
      <c r="AK531" s="506"/>
      <c r="AL531" s="506"/>
      <c r="AM531" s="506"/>
      <c r="AN531" s="506"/>
      <c r="AO531" s="506"/>
      <c r="AP531" s="506"/>
      <c r="AQ531" s="506"/>
      <c r="AR531" s="506"/>
      <c r="AS531" s="506"/>
      <c r="AT531" s="506"/>
      <c r="AU531" s="506"/>
      <c r="AV531" s="506"/>
      <c r="AW531" s="506"/>
      <c r="AX531" s="506"/>
      <c r="AY531" s="506"/>
      <c r="AZ531" s="506"/>
      <c r="BA531" s="506"/>
      <c r="BB531" s="506"/>
      <c r="BC531" s="506"/>
      <c r="BD531" s="506"/>
      <c r="BE531" s="506"/>
      <c r="BF531" s="506"/>
      <c r="BG531" s="506"/>
      <c r="BH531" s="506"/>
      <c r="BI531" s="506"/>
      <c r="BJ531" s="506"/>
    </row>
    <row r="532" spans="2:62" ht="15.75" customHeight="1">
      <c r="B532" s="503"/>
      <c r="C532" s="763"/>
      <c r="W532" s="506"/>
      <c r="X532" s="506"/>
      <c r="Y532" s="506"/>
      <c r="Z532" s="506"/>
      <c r="AA532" s="506"/>
      <c r="AB532" s="506"/>
      <c r="AC532" s="506"/>
      <c r="AD532" s="506"/>
      <c r="AE532" s="506"/>
      <c r="AF532" s="506"/>
      <c r="AG532" s="506"/>
      <c r="AH532" s="506"/>
      <c r="AI532" s="506"/>
      <c r="AJ532" s="506"/>
      <c r="AK532" s="506"/>
      <c r="AL532" s="506"/>
      <c r="AM532" s="506"/>
      <c r="AN532" s="506"/>
      <c r="AO532" s="506"/>
      <c r="AP532" s="506"/>
      <c r="AQ532" s="506"/>
      <c r="AR532" s="506"/>
      <c r="AS532" s="506"/>
      <c r="AT532" s="506"/>
      <c r="AU532" s="506"/>
      <c r="AV532" s="506"/>
      <c r="AW532" s="506"/>
      <c r="AX532" s="506"/>
      <c r="AY532" s="506"/>
      <c r="AZ532" s="506"/>
      <c r="BA532" s="506"/>
      <c r="BB532" s="506"/>
      <c r="BC532" s="506"/>
      <c r="BD532" s="506"/>
      <c r="BE532" s="506"/>
      <c r="BF532" s="506"/>
      <c r="BG532" s="506"/>
      <c r="BH532" s="506"/>
      <c r="BI532" s="506"/>
      <c r="BJ532" s="506"/>
    </row>
    <row r="533" spans="2:62" ht="15.75" customHeight="1">
      <c r="B533" s="503"/>
      <c r="C533" s="763"/>
      <c r="W533" s="506"/>
      <c r="X533" s="506"/>
      <c r="Y533" s="506"/>
      <c r="Z533" s="506"/>
      <c r="AA533" s="506"/>
      <c r="AB533" s="506"/>
      <c r="AC533" s="506"/>
      <c r="AD533" s="506"/>
      <c r="AE533" s="506"/>
      <c r="AF533" s="506"/>
      <c r="AG533" s="506"/>
      <c r="AH533" s="506"/>
      <c r="AI533" s="506"/>
      <c r="AJ533" s="506"/>
      <c r="AK533" s="506"/>
      <c r="AL533" s="506"/>
      <c r="AM533" s="506"/>
      <c r="AN533" s="506"/>
      <c r="AO533" s="506"/>
      <c r="AP533" s="506"/>
      <c r="AQ533" s="506"/>
      <c r="AR533" s="506"/>
      <c r="AS533" s="506"/>
      <c r="AT533" s="506"/>
      <c r="AU533" s="506"/>
      <c r="AV533" s="506"/>
      <c r="AW533" s="506"/>
      <c r="AX533" s="506"/>
      <c r="AY533" s="506"/>
      <c r="AZ533" s="506"/>
      <c r="BA533" s="506"/>
      <c r="BB533" s="506"/>
      <c r="BC533" s="506"/>
      <c r="BD533" s="506"/>
      <c r="BE533" s="506"/>
      <c r="BF533" s="506"/>
      <c r="BG533" s="506"/>
      <c r="BH533" s="506"/>
      <c r="BI533" s="506"/>
      <c r="BJ533" s="506"/>
    </row>
    <row r="534" spans="2:62" ht="15.75" customHeight="1">
      <c r="B534" s="503"/>
      <c r="C534" s="763"/>
      <c r="W534" s="506"/>
      <c r="X534" s="506"/>
      <c r="Y534" s="506"/>
      <c r="Z534" s="506"/>
      <c r="AA534" s="506"/>
      <c r="AB534" s="506"/>
      <c r="AC534" s="506"/>
      <c r="AD534" s="506"/>
      <c r="AE534" s="506"/>
      <c r="AF534" s="506"/>
      <c r="AG534" s="506"/>
      <c r="AH534" s="506"/>
      <c r="AI534" s="506"/>
      <c r="AJ534" s="506"/>
      <c r="AK534" s="506"/>
      <c r="AL534" s="506"/>
      <c r="AM534" s="506"/>
      <c r="AN534" s="506"/>
      <c r="AO534" s="506"/>
      <c r="AP534" s="506"/>
      <c r="AQ534" s="506"/>
      <c r="AR534" s="506"/>
      <c r="AS534" s="506"/>
      <c r="AT534" s="506"/>
      <c r="AU534" s="506"/>
      <c r="AV534" s="506"/>
      <c r="AW534" s="506"/>
      <c r="AX534" s="506"/>
      <c r="AY534" s="506"/>
      <c r="AZ534" s="506"/>
      <c r="BA534" s="506"/>
      <c r="BB534" s="506"/>
      <c r="BC534" s="506"/>
      <c r="BD534" s="506"/>
      <c r="BE534" s="506"/>
      <c r="BF534" s="506"/>
      <c r="BG534" s="506"/>
      <c r="BH534" s="506"/>
      <c r="BI534" s="506"/>
      <c r="BJ534" s="506"/>
    </row>
    <row r="535" spans="2:62" ht="15.75" customHeight="1">
      <c r="B535" s="503"/>
      <c r="W535" s="506"/>
      <c r="X535" s="506"/>
      <c r="Y535" s="506"/>
      <c r="Z535" s="506"/>
      <c r="AA535" s="506"/>
      <c r="AB535" s="506"/>
      <c r="AC535" s="506"/>
      <c r="AD535" s="506"/>
      <c r="AE535" s="506"/>
      <c r="AF535" s="506"/>
      <c r="AG535" s="506"/>
      <c r="AH535" s="506"/>
      <c r="AI535" s="506"/>
      <c r="AJ535" s="506"/>
      <c r="AK535" s="506"/>
      <c r="AL535" s="506"/>
      <c r="AM535" s="506"/>
      <c r="AN535" s="506"/>
      <c r="AO535" s="506"/>
      <c r="AP535" s="506"/>
      <c r="AQ535" s="506"/>
      <c r="AR535" s="506"/>
      <c r="AS535" s="506"/>
      <c r="AT535" s="506"/>
      <c r="AU535" s="506"/>
      <c r="AV535" s="506"/>
      <c r="AW535" s="506"/>
      <c r="AX535" s="506"/>
      <c r="AY535" s="506"/>
      <c r="AZ535" s="506"/>
      <c r="BA535" s="506"/>
      <c r="BB535" s="506"/>
      <c r="BC535" s="506"/>
      <c r="BD535" s="506"/>
      <c r="BE535" s="506"/>
      <c r="BF535" s="506"/>
      <c r="BG535" s="506"/>
      <c r="BH535" s="506"/>
      <c r="BI535" s="506"/>
      <c r="BJ535" s="506"/>
    </row>
    <row r="536" spans="2:62" ht="15.75" customHeight="1">
      <c r="B536" s="503"/>
      <c r="W536" s="506"/>
      <c r="X536" s="506"/>
      <c r="Y536" s="506"/>
      <c r="Z536" s="506"/>
      <c r="AA536" s="506"/>
      <c r="AB536" s="506"/>
      <c r="AC536" s="506"/>
      <c r="AD536" s="506"/>
      <c r="AE536" s="506"/>
      <c r="AF536" s="506"/>
      <c r="AG536" s="506"/>
      <c r="AH536" s="506"/>
      <c r="AI536" s="506"/>
      <c r="AJ536" s="506"/>
      <c r="AK536" s="506"/>
      <c r="AL536" s="506"/>
      <c r="AM536" s="506"/>
      <c r="AN536" s="506"/>
      <c r="AO536" s="506"/>
      <c r="AP536" s="506"/>
      <c r="AQ536" s="506"/>
      <c r="AR536" s="506"/>
      <c r="AS536" s="506"/>
      <c r="AT536" s="506"/>
      <c r="AU536" s="506"/>
      <c r="AV536" s="506"/>
      <c r="AW536" s="506"/>
      <c r="AX536" s="506"/>
      <c r="AY536" s="506"/>
      <c r="AZ536" s="506"/>
      <c r="BA536" s="506"/>
      <c r="BB536" s="506"/>
      <c r="BC536" s="506"/>
      <c r="BD536" s="506"/>
      <c r="BE536" s="506"/>
      <c r="BF536" s="506"/>
      <c r="BG536" s="506"/>
      <c r="BH536" s="506"/>
      <c r="BI536" s="506"/>
      <c r="BJ536" s="506"/>
    </row>
    <row r="537" spans="2:62" ht="15.75" customHeight="1">
      <c r="B537" s="503"/>
      <c r="W537" s="506"/>
      <c r="X537" s="506"/>
      <c r="Y537" s="506"/>
      <c r="Z537" s="506"/>
      <c r="AA537" s="506"/>
      <c r="AB537" s="506"/>
      <c r="AC537" s="506"/>
      <c r="AD537" s="506"/>
      <c r="AE537" s="506"/>
      <c r="AF537" s="506"/>
      <c r="AG537" s="506"/>
      <c r="AH537" s="506"/>
      <c r="AI537" s="506"/>
      <c r="AJ537" s="506"/>
      <c r="AK537" s="506"/>
      <c r="AL537" s="506"/>
      <c r="AM537" s="506"/>
      <c r="AN537" s="506"/>
      <c r="AO537" s="506"/>
      <c r="AP537" s="506"/>
      <c r="AQ537" s="506"/>
      <c r="AR537" s="506"/>
      <c r="AS537" s="506"/>
      <c r="AT537" s="506"/>
      <c r="AU537" s="506"/>
      <c r="AV537" s="506"/>
      <c r="AW537" s="506"/>
      <c r="AX537" s="506"/>
      <c r="AY537" s="506"/>
      <c r="AZ537" s="506"/>
      <c r="BA537" s="506"/>
      <c r="BB537" s="506"/>
      <c r="BC537" s="506"/>
      <c r="BD537" s="506"/>
      <c r="BE537" s="506"/>
      <c r="BF537" s="506"/>
      <c r="BG537" s="506"/>
      <c r="BH537" s="506"/>
      <c r="BI537" s="506"/>
      <c r="BJ537" s="506"/>
    </row>
    <row r="538" spans="2:62" ht="15.75" customHeight="1">
      <c r="B538" s="503"/>
      <c r="W538" s="506"/>
      <c r="X538" s="506"/>
      <c r="Y538" s="506"/>
      <c r="Z538" s="506"/>
      <c r="AA538" s="506"/>
      <c r="AB538" s="506"/>
      <c r="AC538" s="506"/>
      <c r="AD538" s="506"/>
      <c r="AE538" s="506"/>
      <c r="AF538" s="506"/>
      <c r="AG538" s="506"/>
      <c r="AH538" s="506"/>
      <c r="AI538" s="506"/>
      <c r="AJ538" s="506"/>
      <c r="AK538" s="506"/>
      <c r="AL538" s="506"/>
      <c r="AM538" s="506"/>
      <c r="AN538" s="506"/>
      <c r="AO538" s="506"/>
      <c r="AP538" s="506"/>
      <c r="AQ538" s="506"/>
      <c r="AR538" s="506"/>
      <c r="AS538" s="506"/>
      <c r="AT538" s="506"/>
      <c r="AU538" s="506"/>
      <c r="AV538" s="506"/>
      <c r="AW538" s="506"/>
      <c r="AX538" s="506"/>
      <c r="AY538" s="506"/>
      <c r="AZ538" s="506"/>
      <c r="BA538" s="506"/>
      <c r="BB538" s="506"/>
      <c r="BC538" s="506"/>
      <c r="BD538" s="506"/>
      <c r="BE538" s="506"/>
      <c r="BF538" s="506"/>
      <c r="BG538" s="506"/>
      <c r="BH538" s="506"/>
      <c r="BI538" s="506"/>
      <c r="BJ538" s="506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:D113">
    <cfRule type="expression" dxfId="123" priority="62" stopIfTrue="1">
      <formula>"esterreur(reference)"</formula>
    </cfRule>
  </conditionalFormatting>
  <conditionalFormatting sqref="D172:D181">
    <cfRule type="expression" dxfId="122" priority="59" stopIfTrue="1">
      <formula>"esterreur(reference)"</formula>
    </cfRule>
  </conditionalFormatting>
  <conditionalFormatting sqref="D400">
    <cfRule type="expression" dxfId="121" priority="3" stopIfTrue="1">
      <formula>"esterreur(reference)"</formula>
    </cfRule>
  </conditionalFormatting>
  <conditionalFormatting sqref="E186">
    <cfRule type="expression" dxfId="120" priority="60" stopIfTrue="1">
      <formula>"esterreur(reference)"</formula>
    </cfRule>
  </conditionalFormatting>
  <conditionalFormatting sqref="F5">
    <cfRule type="expression" dxfId="119" priority="57" stopIfTrue="1">
      <formula>"esterreur(reference)"</formula>
    </cfRule>
  </conditionalFormatting>
  <conditionalFormatting sqref="F83:F85">
    <cfRule type="expression" dxfId="118" priority="56" stopIfTrue="1">
      <formula>"esterreur(reference)"</formula>
    </cfRule>
  </conditionalFormatting>
  <conditionalFormatting sqref="F101">
    <cfRule type="expression" dxfId="117" priority="61" stopIfTrue="1">
      <formula>"esterreur(reference)"</formula>
    </cfRule>
  </conditionalFormatting>
  <conditionalFormatting sqref="F184">
    <cfRule type="expression" dxfId="116" priority="25" stopIfTrue="1">
      <formula>"esterreur(reference)"</formula>
    </cfRule>
  </conditionalFormatting>
  <conditionalFormatting sqref="G31:G32">
    <cfRule type="expression" dxfId="115" priority="54" stopIfTrue="1">
      <formula>"esterreur(reference)"</formula>
    </cfRule>
  </conditionalFormatting>
  <conditionalFormatting sqref="G112:G113">
    <cfRule type="expression" dxfId="114" priority="51" stopIfTrue="1">
      <formula>"esterreur(reference)"</formula>
    </cfRule>
  </conditionalFormatting>
  <conditionalFormatting sqref="G172:G181">
    <cfRule type="expression" dxfId="113" priority="58" stopIfTrue="1">
      <formula>"esterreur(reference)"</formula>
    </cfRule>
  </conditionalFormatting>
  <conditionalFormatting sqref="H25:H26 H28:H72">
    <cfRule type="expression" dxfId="112" priority="53" stopIfTrue="1">
      <formula>"esterreur(reference)"</formula>
    </cfRule>
  </conditionalFormatting>
  <conditionalFormatting sqref="H360 J360:L360">
    <cfRule type="expression" dxfId="111" priority="13" stopIfTrue="1">
      <formula>"esterreur(reference)"</formula>
    </cfRule>
  </conditionalFormatting>
  <conditionalFormatting sqref="H197:L197">
    <cfRule type="expression" dxfId="110" priority="15" stopIfTrue="1">
      <formula>"esterreur(reference)"</formula>
    </cfRule>
  </conditionalFormatting>
  <conditionalFormatting sqref="H396:L399">
    <cfRule type="expression" dxfId="109" priority="11" stopIfTrue="1">
      <formula>"esterreur(reference)"</formula>
    </cfRule>
  </conditionalFormatting>
  <conditionalFormatting sqref="I16:I18 I20 I24:I30">
    <cfRule type="expression" dxfId="108" priority="55" stopIfTrue="1">
      <formula>"esterreur(reference)"</formula>
    </cfRule>
  </conditionalFormatting>
  <conditionalFormatting sqref="I377:L377 J378:L394 H378:H395">
    <cfRule type="expression" dxfId="107" priority="12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106" priority="4" stopIfTrue="1">
      <formula>"esterreur(reference)"</formula>
    </cfRule>
  </conditionalFormatting>
  <conditionalFormatting sqref="K395">
    <cfRule type="expression" dxfId="105" priority="14" stopIfTrue="1">
      <formula>"esterreur(reference)"</formula>
    </cfRule>
  </conditionalFormatting>
  <conditionalFormatting sqref="K5:L5">
    <cfRule type="expression" dxfId="104" priority="24" stopIfTrue="1">
      <formula>"esterreur(reference)"</formula>
    </cfRule>
  </conditionalFormatting>
  <conditionalFormatting sqref="K244:L244">
    <cfRule type="expression" dxfId="103" priority="21" stopIfTrue="1">
      <formula>"esterreur(reference)"</formula>
    </cfRule>
  </conditionalFormatting>
  <conditionalFormatting sqref="K247:L247">
    <cfRule type="expression" dxfId="102" priority="22" stopIfTrue="1">
      <formula>"esterreur(reference)"</formula>
    </cfRule>
  </conditionalFormatting>
  <conditionalFormatting sqref="L42:L48">
    <cfRule type="expression" dxfId="101" priority="17" stopIfTrue="1">
      <formula>"esterreur(reference)"</formula>
    </cfRule>
  </conditionalFormatting>
  <conditionalFormatting sqref="L75:L82">
    <cfRule type="expression" dxfId="100" priority="6" stopIfTrue="1">
      <formula>"esterreur(reference)"</formula>
    </cfRule>
  </conditionalFormatting>
  <conditionalFormatting sqref="L156:L162">
    <cfRule type="expression" dxfId="99" priority="20" stopIfTrue="1">
      <formula>"esterreur(reference)"</formula>
    </cfRule>
  </conditionalFormatting>
  <conditionalFormatting sqref="L198:L209">
    <cfRule type="expression" dxfId="98" priority="18" stopIfTrue="1">
      <formula>"esterreur(reference)"</formula>
    </cfRule>
  </conditionalFormatting>
  <conditionalFormatting sqref="L211:L228">
    <cfRule type="expression" dxfId="97" priority="19" stopIfTrue="1">
      <formula>"esterreur(reference)"</formula>
    </cfRule>
  </conditionalFormatting>
  <conditionalFormatting sqref="L254:L265">
    <cfRule type="expression" dxfId="96" priority="23" stopIfTrue="1">
      <formula>"esterreur(reference)"</formula>
    </cfRule>
  </conditionalFormatting>
  <conditionalFormatting sqref="L331:L348">
    <cfRule type="expression" dxfId="95" priority="16" stopIfTrue="1">
      <formula>"esterreur(reference)"</formula>
    </cfRule>
  </conditionalFormatting>
  <conditionalFormatting sqref="L356:L357 H357:I357 K357 J357:J358 H359:L359">
    <cfRule type="expression" dxfId="94" priority="10" stopIfTrue="1">
      <formula>"esterreur(reference)"</formula>
    </cfRule>
  </conditionalFormatting>
  <conditionalFormatting sqref="M95:M97">
    <cfRule type="expression" dxfId="93" priority="5" stopIfTrue="1">
      <formula>"esterreur(reference)"</formula>
    </cfRule>
  </conditionalFormatting>
  <conditionalFormatting sqref="N197:N209">
    <cfRule type="expression" dxfId="92" priority="1" stopIfTrue="1">
      <formula>"esterreur(reference)"</formula>
    </cfRule>
  </conditionalFormatting>
  <conditionalFormatting sqref="N318:N328">
    <cfRule type="expression" dxfId="91" priority="2" stopIfTrue="1">
      <formula>"esterreur(reference)"</formula>
    </cfRule>
  </conditionalFormatting>
  <conditionalFormatting sqref="O295:P303 O304:Q306 O307:P308 O309:Q317 Q318:Q329 O318:P348 O349:Q349 O352:Q352 O353:P353">
    <cfRule type="expression" dxfId="90" priority="46" stopIfTrue="1">
      <formula>"esterreur(reference)"</formula>
    </cfRule>
  </conditionalFormatting>
  <conditionalFormatting sqref="O197:Q197">
    <cfRule type="expression" dxfId="89" priority="35" stopIfTrue="1">
      <formula>"esterreur(reference)"</formula>
    </cfRule>
  </conditionalFormatting>
  <conditionalFormatting sqref="O243:Q243 O252:Q253 O254:P284 Q282:Q285 O285 O288:Q288 O289:P289">
    <cfRule type="expression" dxfId="88" priority="41" stopIfTrue="1">
      <formula>"esterreur(reference)"</formula>
    </cfRule>
  </conditionalFormatting>
  <conditionalFormatting sqref="O359:Q394">
    <cfRule type="expression" dxfId="87" priority="48" stopIfTrue="1">
      <formula>"esterreur(reference)"</formula>
    </cfRule>
  </conditionalFormatting>
  <conditionalFormatting sqref="O396:Q399">
    <cfRule type="expression" dxfId="86" priority="49" stopIfTrue="1">
      <formula>"esterreur(reference)"</formula>
    </cfRule>
  </conditionalFormatting>
  <conditionalFormatting sqref="P5">
    <cfRule type="expression" dxfId="85" priority="29" stopIfTrue="1">
      <formula>"esterreur(reference)"</formula>
    </cfRule>
  </conditionalFormatting>
  <conditionalFormatting sqref="P175">
    <cfRule type="expression" dxfId="84" priority="38" stopIfTrue="1">
      <formula>"esterreur(reference)"</formula>
    </cfRule>
  </conditionalFormatting>
  <conditionalFormatting sqref="P178">
    <cfRule type="expression" dxfId="83" priority="39" stopIfTrue="1">
      <formula>"esterreur(reference)"</formula>
    </cfRule>
  </conditionalFormatting>
  <conditionalFormatting sqref="P181">
    <cfRule type="expression" dxfId="82" priority="40" stopIfTrue="1">
      <formula>"esterreur(reference)"</formula>
    </cfRule>
  </conditionalFormatting>
  <conditionalFormatting sqref="P395">
    <cfRule type="expression" dxfId="81" priority="50" stopIfTrue="1">
      <formula>"esterreur(reference)"</formula>
    </cfRule>
  </conditionalFormatting>
  <conditionalFormatting sqref="P93:Q96 O97:Q98 O156:P157 O164:Q164 O165:P165">
    <cfRule type="expression" dxfId="80" priority="32" stopIfTrue="1">
      <formula>"esterreur(reference)"</formula>
    </cfRule>
  </conditionalFormatting>
  <conditionalFormatting sqref="P99:Q100">
    <cfRule type="expression" dxfId="79" priority="31" stopIfTrue="1">
      <formula>"esterreur(reference)"</formula>
    </cfRule>
  </conditionalFormatting>
  <conditionalFormatting sqref="P172:Q173 O172:O196 Q174:Q175 P176:Q176 Q177:Q178 P179:Q179 Q180:Q181 P182:Q196 O198:P229 O232:Q232 O233:P233">
    <cfRule type="expression" dxfId="78" priority="34" stopIfTrue="1">
      <formula>"esterreur(reference)"</formula>
    </cfRule>
  </conditionalFormatting>
  <conditionalFormatting sqref="P241:Q241">
    <cfRule type="expression" dxfId="77" priority="45" stopIfTrue="1">
      <formula>"esterreur(reference)"</formula>
    </cfRule>
  </conditionalFormatting>
  <conditionalFormatting sqref="P244:Q244">
    <cfRule type="expression" dxfId="76" priority="42" stopIfTrue="1">
      <formula>"esterreur(reference)"</formula>
    </cfRule>
  </conditionalFormatting>
  <conditionalFormatting sqref="P247:Q247">
    <cfRule type="expression" dxfId="75" priority="43" stopIfTrue="1">
      <formula>"esterreur(reference)"</formula>
    </cfRule>
  </conditionalFormatting>
  <conditionalFormatting sqref="Q5:Q14 O13:O14 O16 Q16:Q24 O18:O24 O25:Q26 O27 Q27 O28:Q72 O83:Q85">
    <cfRule type="expression" dxfId="74" priority="28" stopIfTrue="1">
      <formula>"esterreur(reference)"</formula>
    </cfRule>
  </conditionalFormatting>
  <conditionalFormatting sqref="Q75:Q82">
    <cfRule type="expression" dxfId="73" priority="30" stopIfTrue="1">
      <formula>"esterreur(reference)"</formula>
    </cfRule>
  </conditionalFormatting>
  <conditionalFormatting sqref="Q156:Q162">
    <cfRule type="expression" dxfId="72" priority="33" stopIfTrue="1">
      <formula>"esterreur(reference)"</formula>
    </cfRule>
  </conditionalFormatting>
  <conditionalFormatting sqref="Q198:Q209">
    <cfRule type="expression" dxfId="71" priority="36" stopIfTrue="1">
      <formula>"esterreur(reference)"</formula>
    </cfRule>
  </conditionalFormatting>
  <conditionalFormatting sqref="Q211:Q228">
    <cfRule type="expression" dxfId="70" priority="37" stopIfTrue="1">
      <formula>"esterreur(reference)"</formula>
    </cfRule>
  </conditionalFormatting>
  <conditionalFormatting sqref="Q254:Q265">
    <cfRule type="expression" dxfId="69" priority="44" stopIfTrue="1">
      <formula>"esterreur(reference)"</formula>
    </cfRule>
  </conditionalFormatting>
  <conditionalFormatting sqref="Q331:Q348">
    <cfRule type="expression" dxfId="68" priority="47" stopIfTrue="1">
      <formula>"esterreur(reference)"</formula>
    </cfRule>
  </conditionalFormatting>
  <conditionalFormatting sqref="R312">
    <cfRule type="expression" dxfId="67" priority="7" stopIfTrue="1">
      <formula>"esterreur(reference)"</formula>
    </cfRule>
  </conditionalFormatting>
  <conditionalFormatting sqref="S186">
    <cfRule type="expression" dxfId="66" priority="26" stopIfTrue="1">
      <formula>"esterreur(reference)"</formula>
    </cfRule>
  </conditionalFormatting>
  <conditionalFormatting sqref="AG409:AI418 AH420:AI432 AH434:AI451 AH453:AI460 AH461:AH462 AH463:AI465 AH467:AI467 AH491:AI497">
    <cfRule type="cellIs" dxfId="65" priority="8" operator="greaterThan">
      <formula>0</formula>
    </cfRule>
  </conditionalFormatting>
  <conditionalFormatting sqref="AH469:AI476 AH480:AI480">
    <cfRule type="cellIs" dxfId="64" priority="9" operator="lessThan">
      <formula>0</formula>
    </cfRule>
  </conditionalFormatting>
  <conditionalFormatting sqref="AH477:AI479">
    <cfRule type="cellIs" dxfId="63" priority="52" operator="greaterThan">
      <formula>0</formula>
    </cfRule>
  </conditionalFormatting>
  <conditionalFormatting sqref="AO409:AO418">
    <cfRule type="cellIs" dxfId="62" priority="27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42C0-C605-48A1-A500-310C740F4A48}">
  <sheetPr>
    <tabColor rgb="FFFFC000"/>
  </sheetPr>
  <dimension ref="A1:BJ693"/>
  <sheetViews>
    <sheetView topLeftCell="C1" zoomScale="80" zoomScaleNormal="80" workbookViewId="0">
      <selection activeCell="J23" sqref="J23"/>
    </sheetView>
  </sheetViews>
  <sheetFormatPr defaultColWidth="12.59765625" defaultRowHeight="15" customHeight="1"/>
  <cols>
    <col min="1" max="1" width="37.5" style="494" hidden="1" customWidth="1"/>
    <col min="2" max="2" width="21.8984375" style="494" hidden="1" customWidth="1"/>
    <col min="3" max="3" width="31.19921875" style="494" customWidth="1"/>
    <col min="4" max="4" width="16.5" style="494" customWidth="1"/>
    <col min="5" max="5" width="14.59765625" style="494" customWidth="1"/>
    <col min="6" max="6" width="14" style="494" customWidth="1"/>
    <col min="7" max="7" width="17.69921875" style="494" hidden="1" customWidth="1"/>
    <col min="8" max="8" width="15.09765625" style="494" hidden="1" customWidth="1"/>
    <col min="9" max="9" width="14" style="494" hidden="1" customWidth="1"/>
    <col min="10" max="10" width="15.59765625" style="494" customWidth="1"/>
    <col min="11" max="11" width="15.5" style="494" customWidth="1"/>
    <col min="12" max="12" width="14.8984375" style="494" customWidth="1"/>
    <col min="13" max="14" width="16.19921875" style="494" customWidth="1"/>
    <col min="15" max="15" width="15.5" style="494" customWidth="1"/>
    <col min="16" max="16" width="14.59765625" style="494" customWidth="1"/>
    <col min="17" max="17" width="14" style="494" customWidth="1"/>
    <col min="18" max="18" width="14.69921875" style="494" customWidth="1"/>
    <col min="19" max="19" width="19" style="494" customWidth="1"/>
    <col min="20" max="20" width="4.59765625" style="494" customWidth="1"/>
    <col min="21" max="21" width="31.69921875" style="494" customWidth="1"/>
    <col min="22" max="22" width="34" style="494" customWidth="1"/>
    <col min="23" max="23" width="12.19921875" style="494" customWidth="1"/>
    <col min="24" max="24" width="13.69921875" style="494" customWidth="1"/>
    <col min="25" max="25" width="15.09765625" style="494" customWidth="1"/>
    <col min="26" max="26" width="15" style="494" customWidth="1"/>
    <col min="27" max="27" width="11.09765625" style="494" hidden="1" customWidth="1"/>
    <col min="28" max="28" width="9.3984375" style="494" hidden="1" customWidth="1"/>
    <col min="29" max="29" width="14.5" style="494" hidden="1" customWidth="1"/>
    <col min="30" max="30" width="13.5" style="494" customWidth="1"/>
    <col min="31" max="31" width="14.19921875" style="494" customWidth="1"/>
    <col min="32" max="32" width="14.09765625" style="494" customWidth="1"/>
    <col min="33" max="33" width="9" style="494" customWidth="1"/>
    <col min="34" max="34" width="13.5" style="494" customWidth="1"/>
    <col min="35" max="35" width="11.5" style="494" bestFit="1" customWidth="1"/>
    <col min="36" max="36" width="10.8984375" style="494" customWidth="1"/>
    <col min="37" max="37" width="11.3984375" style="494" customWidth="1"/>
    <col min="38" max="38" width="12.69921875" style="494" customWidth="1"/>
    <col min="39" max="39" width="9" style="494" customWidth="1"/>
    <col min="40" max="40" width="11" style="494" customWidth="1"/>
    <col min="41" max="41" width="14.69921875" style="494" customWidth="1"/>
    <col min="42" max="42" width="11" style="494" customWidth="1"/>
    <col min="43" max="43" width="48.3984375" style="494" customWidth="1"/>
    <col min="44" max="62" width="11" style="494" customWidth="1"/>
    <col min="63" max="16384" width="12.59765625" style="494"/>
  </cols>
  <sheetData>
    <row r="1" spans="1:40" ht="36" thickBot="1">
      <c r="B1" s="495"/>
      <c r="C1" s="496" t="s">
        <v>477</v>
      </c>
      <c r="D1" s="497"/>
      <c r="E1" s="498"/>
      <c r="F1" s="497"/>
      <c r="G1" s="497"/>
      <c r="H1" s="495"/>
      <c r="I1" s="497"/>
      <c r="J1" s="495"/>
      <c r="K1" s="499" t="s">
        <v>0</v>
      </c>
      <c r="L1" s="497"/>
      <c r="M1" s="497"/>
      <c r="N1" s="500"/>
      <c r="O1" s="496"/>
      <c r="P1" s="501"/>
      <c r="Q1" s="496"/>
      <c r="R1" s="501"/>
      <c r="S1" s="502" t="s">
        <v>485</v>
      </c>
      <c r="T1" s="497" t="s">
        <v>1</v>
      </c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</row>
    <row r="2" spans="1:40" ht="15" customHeight="1" thickTop="1" thickBot="1">
      <c r="B2" s="503"/>
      <c r="C2" s="504"/>
      <c r="D2" s="505" t="s">
        <v>2</v>
      </c>
      <c r="E2" s="505" t="s">
        <v>3</v>
      </c>
      <c r="F2" s="505" t="s">
        <v>4</v>
      </c>
      <c r="G2" s="505"/>
      <c r="H2" s="505"/>
      <c r="I2" s="505"/>
      <c r="J2" s="505" t="s">
        <v>218</v>
      </c>
      <c r="K2" s="505"/>
      <c r="L2" s="505" t="s">
        <v>219</v>
      </c>
      <c r="M2" s="506"/>
      <c r="N2" s="506"/>
      <c r="O2" s="505" t="s">
        <v>2</v>
      </c>
      <c r="P2" s="505" t="s">
        <v>3</v>
      </c>
      <c r="Q2" s="505" t="s">
        <v>4</v>
      </c>
      <c r="R2" s="506"/>
      <c r="S2" s="506"/>
      <c r="T2" s="506"/>
      <c r="U2" s="506"/>
      <c r="V2" s="507" t="s">
        <v>220</v>
      </c>
      <c r="W2" s="508"/>
    </row>
    <row r="3" spans="1:40" ht="21.6" thickTop="1">
      <c r="B3" s="509"/>
      <c r="C3" s="510"/>
      <c r="D3" s="511" t="s">
        <v>5</v>
      </c>
      <c r="E3" s="512"/>
      <c r="F3" s="513"/>
      <c r="G3" s="514"/>
      <c r="H3" s="512"/>
      <c r="I3" s="513"/>
      <c r="J3" s="514" t="s">
        <v>7</v>
      </c>
      <c r="K3" s="512"/>
      <c r="L3" s="513"/>
      <c r="M3" s="514" t="s">
        <v>221</v>
      </c>
      <c r="N3" s="513"/>
      <c r="O3" s="511" t="s">
        <v>8</v>
      </c>
      <c r="P3" s="512"/>
      <c r="Q3" s="513"/>
      <c r="R3" s="514" t="s">
        <v>222</v>
      </c>
      <c r="S3" s="513"/>
      <c r="T3" s="509"/>
      <c r="U3" s="509"/>
      <c r="V3" s="515" t="s">
        <v>223</v>
      </c>
      <c r="W3" s="516">
        <v>0.45</v>
      </c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  <c r="AI3" s="509"/>
      <c r="AJ3" s="509"/>
      <c r="AK3" s="509"/>
      <c r="AL3" s="509"/>
      <c r="AM3" s="509"/>
      <c r="AN3" s="509"/>
    </row>
    <row r="4" spans="1:40" ht="20.399999999999999">
      <c r="B4" s="509"/>
      <c r="C4" s="517"/>
      <c r="D4" s="518" t="s">
        <v>10</v>
      </c>
      <c r="E4" s="519" t="s">
        <v>11</v>
      </c>
      <c r="F4" s="520" t="s">
        <v>12</v>
      </c>
      <c r="G4" s="521"/>
      <c r="H4" s="519"/>
      <c r="I4" s="520"/>
      <c r="J4" s="521" t="s">
        <v>224</v>
      </c>
      <c r="K4" s="519" t="s">
        <v>13</v>
      </c>
      <c r="L4" s="520" t="s">
        <v>12</v>
      </c>
      <c r="M4" s="521" t="s">
        <v>224</v>
      </c>
      <c r="N4" s="520" t="s">
        <v>12</v>
      </c>
      <c r="O4" s="519" t="s">
        <v>10</v>
      </c>
      <c r="P4" s="519" t="s">
        <v>11</v>
      </c>
      <c r="Q4" s="520" t="s">
        <v>12</v>
      </c>
      <c r="R4" s="521" t="s">
        <v>224</v>
      </c>
      <c r="S4" s="520" t="s">
        <v>12</v>
      </c>
      <c r="T4" s="509"/>
      <c r="U4" s="509"/>
      <c r="V4" s="515" t="s">
        <v>225</v>
      </c>
      <c r="W4" s="516">
        <v>0.1</v>
      </c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509"/>
      <c r="AK4" s="509"/>
      <c r="AL4" s="509"/>
      <c r="AM4" s="509"/>
      <c r="AN4" s="509"/>
    </row>
    <row r="5" spans="1:40" ht="20.399999999999999">
      <c r="A5" s="494" t="s">
        <v>226</v>
      </c>
      <c r="B5" s="509" t="s">
        <v>0</v>
      </c>
      <c r="C5" s="522" t="s">
        <v>15</v>
      </c>
      <c r="D5" s="523"/>
      <c r="E5" s="523"/>
      <c r="F5" s="524">
        <v>2918459.89890309</v>
      </c>
      <c r="G5" s="523"/>
      <c r="H5" s="523"/>
      <c r="I5" s="525"/>
      <c r="J5" s="522"/>
      <c r="K5" s="526"/>
      <c r="L5" s="524">
        <v>2093787.3699999996</v>
      </c>
      <c r="M5" s="527"/>
      <c r="N5" s="528"/>
      <c r="O5" s="522"/>
      <c r="P5" s="526"/>
      <c r="Q5" s="524">
        <v>2851329.31</v>
      </c>
      <c r="R5" s="527"/>
      <c r="S5" s="528"/>
      <c r="T5" s="509"/>
      <c r="U5" s="509"/>
      <c r="V5" s="515" t="s">
        <v>227</v>
      </c>
      <c r="W5" s="516">
        <v>0.22500000000000001</v>
      </c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</row>
    <row r="6" spans="1:40" ht="20.399999999999999">
      <c r="A6" s="494" t="s">
        <v>228</v>
      </c>
      <c r="B6" s="509" t="s">
        <v>0</v>
      </c>
      <c r="C6" s="529" t="s">
        <v>16</v>
      </c>
      <c r="D6" s="530">
        <v>10.999999999999998</v>
      </c>
      <c r="E6" s="530">
        <v>2158.1560753034883</v>
      </c>
      <c r="F6" s="530">
        <v>23739.716828338369</v>
      </c>
      <c r="G6" s="531"/>
      <c r="H6" s="530"/>
      <c r="I6" s="530"/>
      <c r="J6" s="531">
        <v>15</v>
      </c>
      <c r="K6" s="530">
        <v>1651.8939999999982</v>
      </c>
      <c r="L6" s="532">
        <v>24778.409999999974</v>
      </c>
      <c r="M6" s="531">
        <v>4.0000000000000018</v>
      </c>
      <c r="N6" s="532">
        <v>1038.6931716616054</v>
      </c>
      <c r="O6" s="531">
        <v>16</v>
      </c>
      <c r="P6" s="530">
        <v>2103.44875</v>
      </c>
      <c r="Q6" s="532">
        <v>33655.18</v>
      </c>
      <c r="R6" s="531">
        <v>-1</v>
      </c>
      <c r="S6" s="532">
        <v>-8876.7700000000259</v>
      </c>
      <c r="T6" s="509"/>
      <c r="U6" s="509"/>
      <c r="V6" s="515" t="s">
        <v>229</v>
      </c>
      <c r="W6" s="516">
        <v>2.5000000000000001E-2</v>
      </c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</row>
    <row r="7" spans="1:40" ht="20.399999999999999">
      <c r="A7" s="494" t="s">
        <v>230</v>
      </c>
      <c r="B7" s="509" t="s">
        <v>0</v>
      </c>
      <c r="C7" s="529" t="s">
        <v>17</v>
      </c>
      <c r="D7" s="530">
        <v>44.64</v>
      </c>
      <c r="E7" s="530">
        <v>2873.2446535640911</v>
      </c>
      <c r="F7" s="530">
        <v>128261.64133510103</v>
      </c>
      <c r="G7" s="531"/>
      <c r="H7" s="530"/>
      <c r="I7" s="530"/>
      <c r="J7" s="531">
        <v>25</v>
      </c>
      <c r="K7" s="530">
        <v>2415.8503999999957</v>
      </c>
      <c r="L7" s="532">
        <v>60396.259999999893</v>
      </c>
      <c r="M7" s="531">
        <v>-19.64</v>
      </c>
      <c r="N7" s="532">
        <v>-67865.381335101134</v>
      </c>
      <c r="O7" s="531">
        <v>39</v>
      </c>
      <c r="P7" s="530">
        <v>2445.2556410256461</v>
      </c>
      <c r="Q7" s="532">
        <v>95364.970000000205</v>
      </c>
      <c r="R7" s="531">
        <v>-14</v>
      </c>
      <c r="S7" s="532">
        <v>-34968.710000000312</v>
      </c>
      <c r="T7" s="509"/>
      <c r="U7" s="509"/>
      <c r="V7" s="515" t="s">
        <v>231</v>
      </c>
      <c r="W7" s="516">
        <v>0.2</v>
      </c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</row>
    <row r="8" spans="1:40" ht="21" thickBot="1">
      <c r="A8" s="494" t="s">
        <v>232</v>
      </c>
      <c r="B8" s="509" t="s">
        <v>0</v>
      </c>
      <c r="C8" s="529" t="s">
        <v>18</v>
      </c>
      <c r="D8" s="530">
        <v>0</v>
      </c>
      <c r="E8" s="530">
        <v>0</v>
      </c>
      <c r="F8" s="530">
        <v>0</v>
      </c>
      <c r="G8" s="531"/>
      <c r="H8" s="530"/>
      <c r="I8" s="530"/>
      <c r="J8" s="531">
        <v>0</v>
      </c>
      <c r="K8" s="530">
        <v>0</v>
      </c>
      <c r="L8" s="532">
        <v>0</v>
      </c>
      <c r="M8" s="531">
        <v>0</v>
      </c>
      <c r="N8" s="532">
        <v>0</v>
      </c>
      <c r="O8" s="531">
        <v>0</v>
      </c>
      <c r="P8" s="530">
        <v>0</v>
      </c>
      <c r="Q8" s="532">
        <v>0</v>
      </c>
      <c r="R8" s="531">
        <v>0</v>
      </c>
      <c r="S8" s="532">
        <v>0</v>
      </c>
      <c r="T8" s="509"/>
      <c r="U8" s="509"/>
      <c r="V8" s="533"/>
      <c r="W8" s="534">
        <v>1</v>
      </c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</row>
    <row r="9" spans="1:40" ht="21" thickTop="1">
      <c r="A9" s="494" t="s">
        <v>233</v>
      </c>
      <c r="B9" s="509" t="s">
        <v>0</v>
      </c>
      <c r="C9" s="529" t="s">
        <v>19</v>
      </c>
      <c r="D9" s="530">
        <v>0</v>
      </c>
      <c r="E9" s="530">
        <v>0</v>
      </c>
      <c r="F9" s="530">
        <v>0</v>
      </c>
      <c r="G9" s="531"/>
      <c r="H9" s="530"/>
      <c r="I9" s="530"/>
      <c r="J9" s="531">
        <v>0</v>
      </c>
      <c r="K9" s="530">
        <v>0</v>
      </c>
      <c r="L9" s="532">
        <v>0</v>
      </c>
      <c r="M9" s="531">
        <v>0</v>
      </c>
      <c r="N9" s="532">
        <v>0</v>
      </c>
      <c r="O9" s="531">
        <v>0</v>
      </c>
      <c r="P9" s="530">
        <v>0</v>
      </c>
      <c r="Q9" s="532">
        <v>0</v>
      </c>
      <c r="R9" s="531">
        <v>0</v>
      </c>
      <c r="S9" s="532">
        <v>0</v>
      </c>
      <c r="T9" s="509"/>
      <c r="U9" s="509"/>
      <c r="V9" s="509"/>
      <c r="W9" s="509"/>
      <c r="X9" s="509"/>
      <c r="Y9" s="509"/>
      <c r="Z9" s="509"/>
      <c r="AA9" s="509"/>
      <c r="AB9" s="509"/>
      <c r="AC9" s="509"/>
      <c r="AD9" s="509"/>
      <c r="AE9" s="509"/>
      <c r="AF9" s="509"/>
      <c r="AG9" s="509"/>
      <c r="AH9" s="509"/>
      <c r="AI9" s="509"/>
      <c r="AJ9" s="509"/>
      <c r="AK9" s="509"/>
      <c r="AL9" s="509"/>
      <c r="AM9" s="509"/>
      <c r="AN9" s="509"/>
    </row>
    <row r="10" spans="1:40" ht="20.25" hidden="1" customHeight="1">
      <c r="A10" s="494" t="s">
        <v>234</v>
      </c>
      <c r="B10" s="509" t="s">
        <v>0</v>
      </c>
      <c r="C10" s="529" t="s">
        <v>20</v>
      </c>
      <c r="D10" s="530">
        <v>0</v>
      </c>
      <c r="E10" s="530">
        <v>0</v>
      </c>
      <c r="F10" s="530">
        <v>0</v>
      </c>
      <c r="G10" s="531"/>
      <c r="H10" s="530"/>
      <c r="I10" s="530"/>
      <c r="J10" s="531">
        <v>0</v>
      </c>
      <c r="K10" s="530">
        <v>0</v>
      </c>
      <c r="L10" s="532">
        <v>0</v>
      </c>
      <c r="M10" s="531">
        <v>0</v>
      </c>
      <c r="N10" s="532">
        <v>0</v>
      </c>
      <c r="O10" s="531">
        <v>0</v>
      </c>
      <c r="P10" s="530">
        <v>0</v>
      </c>
      <c r="Q10" s="532">
        <v>0</v>
      </c>
      <c r="R10" s="531">
        <v>0</v>
      </c>
      <c r="S10" s="532">
        <v>0</v>
      </c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</row>
    <row r="11" spans="1:40" ht="20.25" hidden="1" customHeight="1">
      <c r="A11" s="494" t="s">
        <v>234</v>
      </c>
      <c r="B11" s="509" t="s">
        <v>0</v>
      </c>
      <c r="C11" s="529" t="s">
        <v>20</v>
      </c>
      <c r="D11" s="530">
        <v>0</v>
      </c>
      <c r="E11" s="530">
        <v>0</v>
      </c>
      <c r="F11" s="530">
        <v>0</v>
      </c>
      <c r="G11" s="531"/>
      <c r="H11" s="530"/>
      <c r="I11" s="530"/>
      <c r="J11" s="531">
        <v>0</v>
      </c>
      <c r="K11" s="530">
        <v>0</v>
      </c>
      <c r="L11" s="532">
        <v>0</v>
      </c>
      <c r="M11" s="531">
        <v>0</v>
      </c>
      <c r="N11" s="532">
        <v>0</v>
      </c>
      <c r="O11" s="531">
        <v>0</v>
      </c>
      <c r="P11" s="530">
        <v>0</v>
      </c>
      <c r="Q11" s="532">
        <v>0</v>
      </c>
      <c r="R11" s="531">
        <v>0</v>
      </c>
      <c r="S11" s="532">
        <v>0</v>
      </c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  <c r="AG11" s="509"/>
      <c r="AH11" s="509"/>
      <c r="AI11" s="509"/>
      <c r="AJ11" s="509"/>
      <c r="AK11" s="509"/>
      <c r="AL11" s="509"/>
      <c r="AM11" s="509"/>
      <c r="AN11" s="509"/>
    </row>
    <row r="12" spans="1:40" ht="20.25" hidden="1" customHeight="1">
      <c r="A12" s="494" t="s">
        <v>234</v>
      </c>
      <c r="B12" s="509" t="s">
        <v>0</v>
      </c>
      <c r="C12" s="529" t="s">
        <v>20</v>
      </c>
      <c r="D12" s="530">
        <v>0</v>
      </c>
      <c r="E12" s="530">
        <v>0</v>
      </c>
      <c r="F12" s="530">
        <v>0</v>
      </c>
      <c r="G12" s="531"/>
      <c r="H12" s="530"/>
      <c r="I12" s="530"/>
      <c r="J12" s="531">
        <v>0</v>
      </c>
      <c r="K12" s="530">
        <v>0</v>
      </c>
      <c r="L12" s="532">
        <v>0</v>
      </c>
      <c r="M12" s="531">
        <v>0</v>
      </c>
      <c r="N12" s="532">
        <v>0</v>
      </c>
      <c r="O12" s="531">
        <v>0</v>
      </c>
      <c r="P12" s="530">
        <v>0</v>
      </c>
      <c r="Q12" s="532">
        <v>0</v>
      </c>
      <c r="R12" s="531">
        <v>0</v>
      </c>
      <c r="S12" s="532">
        <v>0</v>
      </c>
      <c r="T12" s="509"/>
      <c r="U12" s="509"/>
      <c r="V12" s="509"/>
      <c r="W12" s="509"/>
      <c r="X12" s="509"/>
      <c r="Y12" s="509"/>
      <c r="Z12" s="509"/>
      <c r="AA12" s="509"/>
      <c r="AB12" s="509"/>
      <c r="AC12" s="509"/>
      <c r="AD12" s="509"/>
      <c r="AE12" s="509"/>
      <c r="AF12" s="509"/>
      <c r="AG12" s="509"/>
      <c r="AH12" s="509"/>
      <c r="AI12" s="509"/>
      <c r="AJ12" s="509"/>
      <c r="AK12" s="509"/>
      <c r="AL12" s="509"/>
      <c r="AM12" s="509"/>
      <c r="AN12" s="509"/>
    </row>
    <row r="13" spans="1:40" ht="21">
      <c r="A13" s="494" t="s">
        <v>235</v>
      </c>
      <c r="B13" s="509" t="s">
        <v>0</v>
      </c>
      <c r="C13" s="535" t="s">
        <v>21</v>
      </c>
      <c r="D13" s="536">
        <v>55.64</v>
      </c>
      <c r="E13" s="536">
        <v>2731.8720014996297</v>
      </c>
      <c r="F13" s="537">
        <v>152001.35816343941</v>
      </c>
      <c r="G13" s="538"/>
      <c r="H13" s="536"/>
      <c r="I13" s="537"/>
      <c r="J13" s="538">
        <v>40</v>
      </c>
      <c r="K13" s="536">
        <v>2129.3667499999965</v>
      </c>
      <c r="L13" s="537">
        <v>85174.669999999867</v>
      </c>
      <c r="M13" s="538">
        <v>-15.639999999999999</v>
      </c>
      <c r="N13" s="537">
        <v>-66826.688163439525</v>
      </c>
      <c r="O13" s="538">
        <v>55</v>
      </c>
      <c r="P13" s="536">
        <v>2345.8209090909127</v>
      </c>
      <c r="Q13" s="537">
        <v>129020.1500000002</v>
      </c>
      <c r="R13" s="538">
        <v>-15</v>
      </c>
      <c r="S13" s="537">
        <v>-43845.480000000338</v>
      </c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09"/>
      <c r="AI13" s="509"/>
      <c r="AJ13" s="509"/>
      <c r="AK13" s="509"/>
      <c r="AL13" s="509"/>
      <c r="AM13" s="509"/>
      <c r="AN13" s="509"/>
    </row>
    <row r="14" spans="1:40" ht="20.399999999999999">
      <c r="A14" s="494" t="s">
        <v>0</v>
      </c>
      <c r="B14" s="509" t="s">
        <v>0</v>
      </c>
      <c r="C14" s="529"/>
      <c r="D14" s="509"/>
      <c r="E14" s="530"/>
      <c r="F14" s="539"/>
      <c r="G14" s="529"/>
      <c r="H14" s="530"/>
      <c r="I14" s="539"/>
      <c r="J14" s="529"/>
      <c r="K14" s="530"/>
      <c r="L14" s="539"/>
      <c r="M14" s="540">
        <v>-0.28109273903666426</v>
      </c>
      <c r="N14" s="541">
        <v>-0.4396453358764344</v>
      </c>
      <c r="O14" s="529"/>
      <c r="P14" s="530"/>
      <c r="Q14" s="539"/>
      <c r="R14" s="540">
        <v>-0.27272727272727271</v>
      </c>
      <c r="S14" s="541">
        <v>-0.33983435920668414</v>
      </c>
      <c r="T14" s="509"/>
      <c r="U14" s="509"/>
      <c r="V14" s="509"/>
      <c r="W14" s="530"/>
      <c r="X14" s="530"/>
      <c r="Y14" s="509"/>
      <c r="Z14" s="509"/>
      <c r="AA14" s="509"/>
      <c r="AB14" s="509"/>
      <c r="AC14" s="509"/>
      <c r="AD14" s="509">
        <v>20</v>
      </c>
      <c r="AE14" s="509">
        <v>1000</v>
      </c>
      <c r="AF14" s="509">
        <v>20000</v>
      </c>
      <c r="AG14" s="509"/>
      <c r="AH14" s="509"/>
      <c r="AI14" s="509"/>
      <c r="AJ14" s="509"/>
      <c r="AK14" s="509"/>
      <c r="AL14" s="509"/>
      <c r="AM14" s="509"/>
      <c r="AN14" s="509"/>
    </row>
    <row r="15" spans="1:40" ht="21">
      <c r="A15" s="494" t="s">
        <v>236</v>
      </c>
      <c r="B15" s="509" t="s">
        <v>0</v>
      </c>
      <c r="C15" s="542" t="s">
        <v>22</v>
      </c>
      <c r="D15" s="526">
        <v>4.41</v>
      </c>
      <c r="E15" s="526">
        <v>2535.1215876200376</v>
      </c>
      <c r="F15" s="524">
        <v>11179.886201404366</v>
      </c>
      <c r="G15" s="543"/>
      <c r="H15" s="526"/>
      <c r="I15" s="524"/>
      <c r="J15" s="544">
        <v>0</v>
      </c>
      <c r="K15" s="545">
        <v>0</v>
      </c>
      <c r="L15" s="545">
        <v>0</v>
      </c>
      <c r="M15" s="543">
        <v>-4.41</v>
      </c>
      <c r="N15" s="524">
        <v>-11179.886201404366</v>
      </c>
      <c r="O15" s="544">
        <v>2</v>
      </c>
      <c r="P15" s="545">
        <v>1486.73</v>
      </c>
      <c r="Q15" s="545">
        <v>2973.46</v>
      </c>
      <c r="R15" s="543">
        <v>-2</v>
      </c>
      <c r="S15" s="524">
        <v>-2973.46</v>
      </c>
      <c r="T15" s="509"/>
      <c r="V15" s="530"/>
      <c r="W15" s="509"/>
      <c r="X15" s="509"/>
      <c r="Y15" s="509"/>
      <c r="Z15" s="509"/>
      <c r="AA15" s="509"/>
      <c r="AB15" s="509"/>
      <c r="AC15" s="509"/>
      <c r="AD15" s="509">
        <v>25</v>
      </c>
      <c r="AE15" s="509">
        <v>800</v>
      </c>
      <c r="AF15" s="509">
        <v>20000</v>
      </c>
      <c r="AG15" s="509"/>
      <c r="AH15" s="509"/>
      <c r="AI15" s="509"/>
      <c r="AJ15" s="509"/>
      <c r="AK15" s="509"/>
      <c r="AL15" s="509"/>
      <c r="AM15" s="509"/>
      <c r="AN15" s="509"/>
    </row>
    <row r="16" spans="1:40" ht="21">
      <c r="A16" s="494" t="s">
        <v>0</v>
      </c>
      <c r="B16" s="509" t="s">
        <v>0</v>
      </c>
      <c r="C16" s="529"/>
      <c r="D16" s="509"/>
      <c r="E16" s="530"/>
      <c r="F16" s="539"/>
      <c r="G16" s="529"/>
      <c r="H16" s="530"/>
      <c r="I16" s="539"/>
      <c r="J16" s="529"/>
      <c r="K16" s="530"/>
      <c r="L16" s="532"/>
      <c r="M16" s="546"/>
      <c r="N16" s="547"/>
      <c r="O16" s="529"/>
      <c r="P16" s="530"/>
      <c r="Q16" s="532"/>
      <c r="R16" s="546"/>
      <c r="S16" s="547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09"/>
      <c r="AK16" s="509"/>
      <c r="AL16" s="509"/>
      <c r="AM16" s="509"/>
      <c r="AN16" s="509"/>
    </row>
    <row r="17" spans="1:40" ht="21">
      <c r="A17" s="494" t="s">
        <v>237</v>
      </c>
      <c r="B17" s="509" t="s">
        <v>0</v>
      </c>
      <c r="C17" s="548" t="s">
        <v>23</v>
      </c>
      <c r="D17" s="530">
        <v>4.05</v>
      </c>
      <c r="E17" s="530">
        <v>2664.4640678584233</v>
      </c>
      <c r="F17" s="530">
        <v>10791.079474826614</v>
      </c>
      <c r="G17" s="531"/>
      <c r="H17" s="530"/>
      <c r="I17" s="530"/>
      <c r="J17" s="543">
        <v>0</v>
      </c>
      <c r="K17" s="530">
        <v>0</v>
      </c>
      <c r="L17" s="532">
        <v>0</v>
      </c>
      <c r="M17" s="543">
        <v>-4.05</v>
      </c>
      <c r="N17" s="532">
        <v>-10791.079474826614</v>
      </c>
      <c r="O17" s="543">
        <v>2</v>
      </c>
      <c r="P17" s="530">
        <v>2962.9449999999952</v>
      </c>
      <c r="Q17" s="532">
        <v>5925.8899999999903</v>
      </c>
      <c r="R17" s="531">
        <v>-2</v>
      </c>
      <c r="S17" s="532">
        <v>-5925.8899999999903</v>
      </c>
      <c r="T17" s="509"/>
      <c r="U17" s="509"/>
      <c r="V17" s="549"/>
      <c r="W17" s="509"/>
      <c r="X17" s="509"/>
      <c r="Y17" s="509"/>
      <c r="Z17" s="509"/>
      <c r="AA17" s="530"/>
      <c r="AB17" s="509"/>
      <c r="AC17" s="509"/>
      <c r="AD17" s="509"/>
      <c r="AE17" s="509"/>
      <c r="AF17" s="509"/>
      <c r="AG17" s="509"/>
      <c r="AH17" s="509"/>
      <c r="AI17" s="509"/>
      <c r="AJ17" s="509"/>
      <c r="AK17" s="509"/>
      <c r="AL17" s="509"/>
      <c r="AM17" s="509"/>
      <c r="AN17" s="509"/>
    </row>
    <row r="18" spans="1:40" ht="21">
      <c r="A18" s="494" t="s">
        <v>0</v>
      </c>
      <c r="B18" s="509" t="s">
        <v>0</v>
      </c>
      <c r="C18" s="535"/>
      <c r="D18" s="550"/>
      <c r="E18" s="550"/>
      <c r="F18" s="551"/>
      <c r="G18" s="552"/>
      <c r="H18" s="550"/>
      <c r="I18" s="551"/>
      <c r="J18" s="531"/>
      <c r="K18" s="550"/>
      <c r="L18" s="551"/>
      <c r="M18" s="531"/>
      <c r="N18" s="551"/>
      <c r="O18" s="531"/>
      <c r="P18" s="550"/>
      <c r="Q18" s="551"/>
      <c r="R18" s="552"/>
      <c r="S18" s="551"/>
      <c r="T18" s="509"/>
      <c r="U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09"/>
      <c r="AK18" s="509"/>
      <c r="AL18" s="509"/>
      <c r="AM18" s="509"/>
      <c r="AN18" s="509"/>
    </row>
    <row r="19" spans="1:40" ht="21">
      <c r="A19" s="494" t="s">
        <v>238</v>
      </c>
      <c r="B19" s="509" t="s">
        <v>0</v>
      </c>
      <c r="C19" s="542" t="s">
        <v>24</v>
      </c>
      <c r="D19" s="530">
        <v>0</v>
      </c>
      <c r="E19" s="530">
        <v>0</v>
      </c>
      <c r="F19" s="530">
        <v>7650</v>
      </c>
      <c r="G19" s="531"/>
      <c r="H19" s="530"/>
      <c r="I19" s="530"/>
      <c r="J19" s="543"/>
      <c r="K19" s="530"/>
      <c r="L19" s="532">
        <v>6100</v>
      </c>
      <c r="M19" s="531"/>
      <c r="N19" s="532">
        <v>-1550</v>
      </c>
      <c r="O19" s="543"/>
      <c r="P19" s="530"/>
      <c r="Q19" s="532">
        <v>12900.75</v>
      </c>
      <c r="R19" s="531">
        <v>0</v>
      </c>
      <c r="S19" s="532">
        <v>-6800.75</v>
      </c>
      <c r="T19" s="509"/>
      <c r="W19" s="530"/>
      <c r="X19" s="553"/>
      <c r="Y19" s="509"/>
      <c r="Z19" s="509"/>
      <c r="AA19" s="509"/>
      <c r="AB19" s="509"/>
      <c r="AC19" s="509"/>
      <c r="AD19" s="509"/>
      <c r="AE19" s="509"/>
      <c r="AF19" s="509"/>
      <c r="AG19" s="509"/>
      <c r="AH19" s="509"/>
      <c r="AI19" s="509"/>
      <c r="AJ19" s="509"/>
      <c r="AK19" s="509"/>
      <c r="AL19" s="509"/>
      <c r="AM19" s="509"/>
      <c r="AN19" s="509"/>
    </row>
    <row r="20" spans="1:40" ht="21">
      <c r="A20" s="494" t="s">
        <v>0</v>
      </c>
      <c r="B20" s="509" t="s">
        <v>0</v>
      </c>
      <c r="C20" s="535"/>
      <c r="D20" s="550"/>
      <c r="E20" s="550"/>
      <c r="F20" s="551"/>
      <c r="G20" s="552"/>
      <c r="H20" s="550"/>
      <c r="I20" s="551"/>
      <c r="J20" s="531"/>
      <c r="K20" s="550"/>
      <c r="L20" s="551"/>
      <c r="M20" s="552"/>
      <c r="N20" s="551"/>
      <c r="O20" s="531"/>
      <c r="P20" s="550"/>
      <c r="Q20" s="551"/>
      <c r="R20" s="552"/>
      <c r="S20" s="551"/>
      <c r="T20" s="509"/>
      <c r="U20" s="509"/>
      <c r="W20" s="530"/>
      <c r="X20" s="553"/>
      <c r="Y20" s="509"/>
      <c r="Z20" s="509"/>
      <c r="AA20" s="509"/>
      <c r="AB20" s="509"/>
      <c r="AC20" s="509"/>
      <c r="AD20" s="509"/>
      <c r="AE20" s="509"/>
      <c r="AF20" s="509"/>
      <c r="AG20" s="509"/>
      <c r="AH20" s="509"/>
      <c r="AI20" s="509"/>
      <c r="AJ20" s="509"/>
      <c r="AK20" s="509"/>
      <c r="AL20" s="509"/>
      <c r="AM20" s="509"/>
      <c r="AN20" s="509"/>
    </row>
    <row r="21" spans="1:40" ht="15.75" customHeight="1">
      <c r="A21" s="494" t="s">
        <v>239</v>
      </c>
      <c r="B21" s="509" t="s">
        <v>0</v>
      </c>
      <c r="C21" s="529" t="s">
        <v>25</v>
      </c>
      <c r="D21" s="530">
        <v>0</v>
      </c>
      <c r="E21" s="530">
        <v>0</v>
      </c>
      <c r="F21" s="530">
        <v>12010</v>
      </c>
      <c r="G21" s="531"/>
      <c r="H21" s="530"/>
      <c r="I21" s="530"/>
      <c r="J21" s="531"/>
      <c r="K21" s="530">
        <v>0</v>
      </c>
      <c r="L21" s="532">
        <v>0</v>
      </c>
      <c r="M21" s="531"/>
      <c r="N21" s="532">
        <v>-12010</v>
      </c>
      <c r="O21" s="531"/>
      <c r="P21" s="530"/>
      <c r="Q21" s="532">
        <v>5095.8900000000003</v>
      </c>
      <c r="R21" s="531">
        <v>0</v>
      </c>
      <c r="S21" s="532">
        <v>-5095.8900000000003</v>
      </c>
      <c r="T21" s="509"/>
      <c r="U21" s="509"/>
      <c r="W21" s="509"/>
      <c r="X21" s="553"/>
      <c r="Y21" s="509"/>
      <c r="Z21" s="509"/>
      <c r="AA21" s="509"/>
      <c r="AB21" s="509"/>
      <c r="AC21" s="509"/>
      <c r="AD21" s="509"/>
      <c r="AE21" s="509"/>
      <c r="AF21" s="509"/>
      <c r="AG21" s="509"/>
      <c r="AH21" s="509"/>
      <c r="AI21" s="509"/>
      <c r="AJ21" s="509"/>
      <c r="AK21" s="509"/>
      <c r="AL21" s="509"/>
      <c r="AM21" s="509"/>
      <c r="AN21" s="509"/>
    </row>
    <row r="22" spans="1:40" ht="18" customHeight="1">
      <c r="A22" s="494" t="s">
        <v>240</v>
      </c>
      <c r="B22" s="509" t="s">
        <v>0</v>
      </c>
      <c r="C22" s="529" t="s">
        <v>26</v>
      </c>
      <c r="D22" s="530">
        <v>0</v>
      </c>
      <c r="E22" s="530">
        <v>0</v>
      </c>
      <c r="F22" s="530">
        <v>64854</v>
      </c>
      <c r="G22" s="531"/>
      <c r="H22" s="530"/>
      <c r="I22" s="530"/>
      <c r="J22" s="531"/>
      <c r="K22" s="530">
        <v>775.005</v>
      </c>
      <c r="L22" s="532">
        <v>31000.2</v>
      </c>
      <c r="M22" s="531"/>
      <c r="N22" s="532">
        <v>-33853.800000000003</v>
      </c>
      <c r="O22" s="531"/>
      <c r="P22" s="530"/>
      <c r="Q22" s="532">
        <v>49499.24</v>
      </c>
      <c r="R22" s="531">
        <v>-775.005</v>
      </c>
      <c r="S22" s="532">
        <v>-18499.039999999997</v>
      </c>
      <c r="T22" s="509"/>
      <c r="U22" s="509"/>
      <c r="V22" s="509"/>
      <c r="W22" s="509"/>
      <c r="X22" s="509"/>
      <c r="Y22" s="509"/>
      <c r="Z22" s="509"/>
      <c r="AA22" s="509"/>
      <c r="AB22" s="509"/>
      <c r="AC22" s="509"/>
      <c r="AD22" s="509"/>
      <c r="AE22" s="509"/>
      <c r="AF22" s="509"/>
      <c r="AG22" s="509"/>
      <c r="AH22" s="509"/>
      <c r="AI22" s="509"/>
      <c r="AJ22" s="509"/>
      <c r="AK22" s="509"/>
      <c r="AL22" s="509"/>
      <c r="AM22" s="509"/>
      <c r="AN22" s="509"/>
    </row>
    <row r="23" spans="1:40" ht="19.5" customHeight="1">
      <c r="A23" s="494" t="s">
        <v>241</v>
      </c>
      <c r="B23" s="509" t="s">
        <v>0</v>
      </c>
      <c r="C23" s="529" t="s">
        <v>27</v>
      </c>
      <c r="D23" s="530">
        <v>0</v>
      </c>
      <c r="E23" s="530">
        <v>0</v>
      </c>
      <c r="F23" s="530">
        <v>1201</v>
      </c>
      <c r="G23" s="531"/>
      <c r="H23" s="530"/>
      <c r="I23" s="530"/>
      <c r="J23" s="531"/>
      <c r="K23" s="530">
        <v>67.474999999999994</v>
      </c>
      <c r="L23" s="532">
        <v>2699</v>
      </c>
      <c r="M23" s="543"/>
      <c r="N23" s="532">
        <v>1498</v>
      </c>
      <c r="O23" s="531"/>
      <c r="P23" s="530"/>
      <c r="Q23" s="532">
        <v>0</v>
      </c>
      <c r="R23" s="531">
        <v>-67.474999999999994</v>
      </c>
      <c r="S23" s="532">
        <v>2699</v>
      </c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</row>
    <row r="24" spans="1:40" ht="18" customHeight="1">
      <c r="A24" s="494" t="s">
        <v>242</v>
      </c>
      <c r="B24" s="509" t="s">
        <v>0</v>
      </c>
      <c r="C24" s="535" t="s">
        <v>28</v>
      </c>
      <c r="D24" s="536">
        <v>60.05</v>
      </c>
      <c r="E24" s="536">
        <v>1300</v>
      </c>
      <c r="F24" s="537">
        <v>78065</v>
      </c>
      <c r="G24" s="538"/>
      <c r="H24" s="536"/>
      <c r="I24" s="537"/>
      <c r="J24" s="538">
        <v>40</v>
      </c>
      <c r="K24" s="536">
        <v>842.4799999999999</v>
      </c>
      <c r="L24" s="537">
        <v>33699.199999999997</v>
      </c>
      <c r="M24" s="554">
        <v>-20.049999999999997</v>
      </c>
      <c r="N24" s="537">
        <v>-44365.8</v>
      </c>
      <c r="O24" s="538">
        <v>57</v>
      </c>
      <c r="P24" s="536">
        <v>957.80929824561395</v>
      </c>
      <c r="Q24" s="537">
        <v>54595.13</v>
      </c>
      <c r="R24" s="552"/>
      <c r="S24" s="537">
        <v>-20895.93</v>
      </c>
      <c r="T24" s="509"/>
      <c r="U24" s="509"/>
      <c r="V24" s="509"/>
      <c r="W24" s="509"/>
      <c r="X24" s="509"/>
      <c r="Y24" s="509"/>
      <c r="Z24" s="509"/>
      <c r="AA24" s="509"/>
      <c r="AB24" s="509"/>
      <c r="AC24" s="509"/>
      <c r="AD24" s="509"/>
      <c r="AE24" s="509"/>
      <c r="AF24" s="509"/>
      <c r="AG24" s="509"/>
      <c r="AH24" s="509"/>
      <c r="AI24" s="509"/>
      <c r="AJ24" s="509"/>
      <c r="AK24" s="509"/>
      <c r="AL24" s="509"/>
      <c r="AM24" s="509"/>
      <c r="AN24" s="509"/>
    </row>
    <row r="25" spans="1:40" ht="15.75" customHeight="1">
      <c r="A25" s="494" t="s">
        <v>0</v>
      </c>
      <c r="B25" s="509" t="s">
        <v>0</v>
      </c>
      <c r="C25" s="529"/>
      <c r="D25" s="509"/>
      <c r="E25" s="509"/>
      <c r="F25" s="555"/>
      <c r="G25" s="529"/>
      <c r="H25" s="509"/>
      <c r="I25" s="555"/>
      <c r="J25" s="529"/>
      <c r="K25" s="509"/>
      <c r="L25" s="555"/>
      <c r="M25" s="546"/>
      <c r="N25" s="547">
        <v>-0.56831870876833412</v>
      </c>
      <c r="O25" s="529"/>
      <c r="P25" s="509"/>
      <c r="Q25" s="555"/>
      <c r="R25" s="556"/>
      <c r="S25" s="547">
        <v>-0.38274347913449425</v>
      </c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</row>
    <row r="26" spans="1:40" ht="15.75" customHeight="1" thickBot="1">
      <c r="A26" s="494" t="s">
        <v>0</v>
      </c>
      <c r="B26" s="509" t="s">
        <v>0</v>
      </c>
      <c r="C26" s="529"/>
      <c r="D26" s="509"/>
      <c r="E26" s="509"/>
      <c r="F26" s="539"/>
      <c r="G26" s="529"/>
      <c r="H26" s="509"/>
      <c r="I26" s="539"/>
      <c r="J26" s="529"/>
      <c r="K26" s="509"/>
      <c r="L26" s="539"/>
      <c r="M26" s="529"/>
      <c r="N26" s="539"/>
      <c r="O26" s="529"/>
      <c r="P26" s="509"/>
      <c r="Q26" s="539"/>
      <c r="R26" s="529"/>
      <c r="S26" s="539"/>
      <c r="T26" s="509"/>
      <c r="U26" s="509"/>
      <c r="V26" s="509"/>
      <c r="W26" s="509"/>
      <c r="X26" s="509"/>
      <c r="Y26" s="509"/>
      <c r="Z26" s="509"/>
      <c r="AA26" s="509"/>
      <c r="AB26" s="509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</row>
    <row r="27" spans="1:40" ht="18" customHeight="1" thickTop="1">
      <c r="A27" s="494" t="s">
        <v>243</v>
      </c>
      <c r="B27" s="509" t="s">
        <v>0</v>
      </c>
      <c r="C27" s="557" t="s">
        <v>29</v>
      </c>
      <c r="D27" s="558">
        <v>64.099999999999994</v>
      </c>
      <c r="E27" s="559">
        <v>4051.2843032709889</v>
      </c>
      <c r="F27" s="560">
        <v>259687.32383967037</v>
      </c>
      <c r="G27" s="561"/>
      <c r="H27" s="559"/>
      <c r="I27" s="560"/>
      <c r="J27" s="561">
        <v>40</v>
      </c>
      <c r="K27" s="559">
        <v>3124.3467499999965</v>
      </c>
      <c r="L27" s="560">
        <v>124973.86999999986</v>
      </c>
      <c r="M27" s="561">
        <v>-24.099999999999994</v>
      </c>
      <c r="N27" s="560">
        <v>-134713.45383967052</v>
      </c>
      <c r="O27" s="561">
        <v>59</v>
      </c>
      <c r="P27" s="559">
        <v>3481.6166101694944</v>
      </c>
      <c r="Q27" s="560">
        <v>205415.38000000018</v>
      </c>
      <c r="R27" s="561">
        <v>-19</v>
      </c>
      <c r="S27" s="560">
        <v>-80441.510000000315</v>
      </c>
      <c r="T27" s="509"/>
      <c r="U27" s="509"/>
      <c r="V27" s="509"/>
      <c r="W27" s="509"/>
      <c r="X27" s="509"/>
      <c r="Y27" s="509"/>
      <c r="Z27" s="509"/>
      <c r="AA27" s="509"/>
      <c r="AB27" s="509"/>
      <c r="AC27" s="509"/>
      <c r="AD27" s="509"/>
      <c r="AE27" s="509"/>
      <c r="AF27" s="509"/>
      <c r="AG27" s="509"/>
      <c r="AH27" s="509"/>
      <c r="AI27" s="509"/>
      <c r="AJ27" s="509"/>
      <c r="AK27" s="509"/>
      <c r="AL27" s="509"/>
      <c r="AM27" s="509"/>
      <c r="AN27" s="509"/>
    </row>
    <row r="28" spans="1:40" ht="22.5" customHeight="1" thickBot="1">
      <c r="A28" s="494" t="s">
        <v>0</v>
      </c>
      <c r="B28" s="509" t="s">
        <v>0</v>
      </c>
      <c r="C28" s="562"/>
      <c r="D28" s="563"/>
      <c r="E28" s="563"/>
      <c r="F28" s="564"/>
      <c r="G28" s="562"/>
      <c r="H28" s="563"/>
      <c r="I28" s="564"/>
      <c r="J28" s="562"/>
      <c r="K28" s="563"/>
      <c r="L28" s="565">
        <v>0.48124747928458034</v>
      </c>
      <c r="M28" s="566">
        <v>-0.37597503900155999</v>
      </c>
      <c r="N28" s="567">
        <v>-0.51875252071541977</v>
      </c>
      <c r="O28" s="562"/>
      <c r="P28" s="563"/>
      <c r="Q28" s="564"/>
      <c r="R28" s="566">
        <v>-0.32203389830508472</v>
      </c>
      <c r="S28" s="567">
        <v>-0.39160412428709207</v>
      </c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</row>
    <row r="29" spans="1:40" ht="15.75" customHeight="1" thickTop="1">
      <c r="A29" s="494" t="s">
        <v>0</v>
      </c>
      <c r="B29" s="509" t="s">
        <v>0</v>
      </c>
      <c r="C29" s="548"/>
      <c r="D29" s="568"/>
      <c r="E29" s="568"/>
      <c r="F29" s="569"/>
      <c r="G29" s="548"/>
      <c r="H29" s="568"/>
      <c r="I29" s="569"/>
      <c r="J29" s="548"/>
      <c r="K29" s="568"/>
      <c r="L29" s="569"/>
      <c r="M29" s="546"/>
      <c r="N29" s="547"/>
      <c r="O29" s="548"/>
      <c r="P29" s="568"/>
      <c r="Q29" s="569"/>
      <c r="R29" s="546"/>
      <c r="S29" s="547"/>
      <c r="T29" s="509"/>
      <c r="U29" s="570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</row>
    <row r="30" spans="1:40" ht="15.75" customHeight="1">
      <c r="A30" s="494" t="s">
        <v>244</v>
      </c>
      <c r="B30" s="509" t="s">
        <v>0</v>
      </c>
      <c r="C30" s="571" t="s">
        <v>30</v>
      </c>
      <c r="D30" s="509"/>
      <c r="E30" s="572"/>
      <c r="F30" s="555"/>
      <c r="G30" s="529"/>
      <c r="H30" s="572"/>
      <c r="I30" s="555"/>
      <c r="J30" s="529"/>
      <c r="K30" s="572"/>
      <c r="L30" s="539"/>
      <c r="M30" s="529"/>
      <c r="N30" s="539"/>
      <c r="O30" s="529"/>
      <c r="P30" s="572"/>
      <c r="Q30" s="539"/>
      <c r="R30" s="529"/>
      <c r="S30" s="539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09"/>
      <c r="AM30" s="509"/>
      <c r="AN30" s="509"/>
    </row>
    <row r="31" spans="1:40" ht="15.75" customHeight="1">
      <c r="A31" s="494" t="s">
        <v>245</v>
      </c>
      <c r="B31" s="509" t="s">
        <v>0</v>
      </c>
      <c r="C31" s="529" t="s">
        <v>31</v>
      </c>
      <c r="D31" s="573">
        <v>0.34</v>
      </c>
      <c r="E31" s="570">
        <v>923.92378158279575</v>
      </c>
      <c r="F31" s="530">
        <v>55481.623084046885</v>
      </c>
      <c r="G31" s="574"/>
      <c r="H31" s="570"/>
      <c r="I31" s="530"/>
      <c r="J31" s="574">
        <v>0.30022752069365266</v>
      </c>
      <c r="K31" s="570">
        <v>639.29449999999997</v>
      </c>
      <c r="L31" s="530">
        <v>25571.78</v>
      </c>
      <c r="M31" s="529"/>
      <c r="N31" s="555">
        <v>-29909.843084046886</v>
      </c>
      <c r="O31" s="575">
        <v>0.31879371662455236</v>
      </c>
      <c r="P31" s="570">
        <v>771.36614035087723</v>
      </c>
      <c r="Q31" s="532">
        <v>43967.87</v>
      </c>
      <c r="R31" s="529"/>
      <c r="S31" s="555">
        <v>-18396.090000000004</v>
      </c>
      <c r="T31" s="509"/>
      <c r="U31" s="509"/>
      <c r="V31" s="509"/>
      <c r="W31" s="509"/>
      <c r="X31" s="509"/>
      <c r="Y31" s="509"/>
      <c r="Z31" s="509"/>
      <c r="AA31" s="509"/>
      <c r="AB31" s="509"/>
      <c r="AC31" s="509"/>
      <c r="AD31" s="509"/>
      <c r="AE31" s="509"/>
      <c r="AF31" s="509"/>
      <c r="AG31" s="509"/>
      <c r="AH31" s="509"/>
      <c r="AI31" s="509"/>
      <c r="AJ31" s="509"/>
      <c r="AK31" s="509"/>
      <c r="AL31" s="509"/>
      <c r="AM31" s="509"/>
      <c r="AN31" s="509"/>
    </row>
    <row r="32" spans="1:40" ht="15.75" customHeight="1">
      <c r="A32" s="494" t="s">
        <v>246</v>
      </c>
      <c r="B32" s="509" t="s">
        <v>0</v>
      </c>
      <c r="C32" s="522" t="s">
        <v>32</v>
      </c>
      <c r="D32" s="576">
        <v>0.3</v>
      </c>
      <c r="E32" s="577">
        <v>390</v>
      </c>
      <c r="F32" s="524">
        <v>23419.5</v>
      </c>
      <c r="G32" s="578"/>
      <c r="H32" s="577"/>
      <c r="I32" s="524"/>
      <c r="J32" s="578">
        <v>3.262985471465198E-3</v>
      </c>
      <c r="K32" s="577">
        <v>2.7489999999999997</v>
      </c>
      <c r="L32" s="524">
        <v>109.96</v>
      </c>
      <c r="M32" s="522"/>
      <c r="N32" s="579">
        <v>-23309.54</v>
      </c>
      <c r="O32" s="580">
        <v>0.30010863606332655</v>
      </c>
      <c r="P32" s="577">
        <v>287.44684210526316</v>
      </c>
      <c r="Q32" s="524">
        <v>16384.47</v>
      </c>
      <c r="R32" s="522"/>
      <c r="S32" s="579">
        <v>-16274.510000000002</v>
      </c>
      <c r="T32" s="509"/>
      <c r="Z32" s="509"/>
      <c r="AA32" s="509"/>
      <c r="AB32" s="509"/>
      <c r="AC32" s="509"/>
      <c r="AD32" s="509"/>
      <c r="AE32" s="509"/>
      <c r="AF32" s="509"/>
      <c r="AG32" s="509"/>
      <c r="AH32" s="509"/>
      <c r="AI32" s="509"/>
      <c r="AJ32" s="509"/>
      <c r="AK32" s="509"/>
      <c r="AL32" s="509"/>
      <c r="AM32" s="509"/>
      <c r="AN32" s="509"/>
    </row>
    <row r="33" spans="1:40" ht="15.75" customHeight="1">
      <c r="A33" s="494" t="s">
        <v>247</v>
      </c>
      <c r="B33" s="509" t="s">
        <v>0</v>
      </c>
      <c r="C33" s="529" t="s">
        <v>33</v>
      </c>
      <c r="D33" s="581"/>
      <c r="E33" s="570">
        <v>115</v>
      </c>
      <c r="F33" s="530">
        <v>6905.75</v>
      </c>
      <c r="G33" s="582"/>
      <c r="H33" s="570"/>
      <c r="I33" s="530"/>
      <c r="J33" s="529"/>
      <c r="K33" s="570">
        <v>130.5265</v>
      </c>
      <c r="L33" s="530">
        <v>5221.0600000000004</v>
      </c>
      <c r="M33" s="529"/>
      <c r="N33" s="555">
        <v>-1684.6899999999996</v>
      </c>
      <c r="O33" s="529"/>
      <c r="P33" s="570">
        <v>98.259649122807019</v>
      </c>
      <c r="Q33" s="532">
        <v>5600.8</v>
      </c>
      <c r="R33" s="529"/>
      <c r="S33" s="555">
        <v>-379.73999999999978</v>
      </c>
      <c r="T33" s="509"/>
      <c r="Z33" s="509"/>
      <c r="AA33" s="509"/>
      <c r="AB33" s="509"/>
      <c r="AC33" s="509"/>
      <c r="AD33" s="509"/>
      <c r="AE33" s="509"/>
      <c r="AF33" s="509"/>
      <c r="AG33" s="509"/>
      <c r="AH33" s="509"/>
      <c r="AI33" s="509"/>
      <c r="AJ33" s="509"/>
      <c r="AK33" s="509"/>
      <c r="AL33" s="509"/>
      <c r="AM33" s="509"/>
      <c r="AN33" s="509"/>
    </row>
    <row r="34" spans="1:40" ht="15.75" customHeight="1">
      <c r="A34" s="494" t="s">
        <v>248</v>
      </c>
      <c r="B34" s="509" t="s">
        <v>0</v>
      </c>
      <c r="C34" s="529" t="s">
        <v>34</v>
      </c>
      <c r="D34" s="581"/>
      <c r="E34" s="570">
        <v>2.9999999999999996</v>
      </c>
      <c r="F34" s="530">
        <v>180.14999999999998</v>
      </c>
      <c r="G34" s="582"/>
      <c r="H34" s="570"/>
      <c r="I34" s="530"/>
      <c r="J34" s="529"/>
      <c r="K34" s="570">
        <v>4.6237499999999994</v>
      </c>
      <c r="L34" s="530">
        <v>184.95</v>
      </c>
      <c r="M34" s="529"/>
      <c r="N34" s="555">
        <v>4.8000000000000114</v>
      </c>
      <c r="O34" s="529"/>
      <c r="P34" s="570">
        <v>0</v>
      </c>
      <c r="Q34" s="532">
        <v>0</v>
      </c>
      <c r="R34" s="529"/>
      <c r="S34" s="555">
        <v>184.95</v>
      </c>
      <c r="T34" s="509"/>
      <c r="Z34" s="509"/>
      <c r="AA34" s="509"/>
      <c r="AB34" s="509"/>
      <c r="AC34" s="509"/>
      <c r="AD34" s="509"/>
      <c r="AE34" s="509"/>
      <c r="AF34" s="509"/>
      <c r="AG34" s="509"/>
      <c r="AH34" s="509"/>
      <c r="AI34" s="509"/>
      <c r="AJ34" s="509"/>
      <c r="AK34" s="509"/>
      <c r="AL34" s="509"/>
      <c r="AM34" s="509"/>
      <c r="AN34" s="509"/>
    </row>
    <row r="35" spans="1:40" ht="15.75" customHeight="1">
      <c r="A35" s="494" t="s">
        <v>249</v>
      </c>
      <c r="B35" s="509" t="s">
        <v>0</v>
      </c>
      <c r="C35" s="522" t="s">
        <v>35</v>
      </c>
      <c r="D35" s="583"/>
      <c r="E35" s="577">
        <v>85.05</v>
      </c>
      <c r="F35" s="524">
        <v>5107.2524999999996</v>
      </c>
      <c r="G35" s="584"/>
      <c r="H35" s="577"/>
      <c r="I35" s="524"/>
      <c r="J35" s="522"/>
      <c r="K35" s="577">
        <v>185.78149999999999</v>
      </c>
      <c r="L35" s="524">
        <v>7431.26</v>
      </c>
      <c r="M35" s="522"/>
      <c r="N35" s="579">
        <v>2324.0075000000006</v>
      </c>
      <c r="O35" s="522"/>
      <c r="P35" s="577">
        <v>70.21052631578948</v>
      </c>
      <c r="Q35" s="532">
        <v>4002</v>
      </c>
      <c r="R35" s="522"/>
      <c r="S35" s="579">
        <v>3429.26</v>
      </c>
      <c r="T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509"/>
      <c r="AK35" s="509"/>
      <c r="AL35" s="509"/>
      <c r="AM35" s="509"/>
      <c r="AN35" s="509"/>
    </row>
    <row r="36" spans="1:40" ht="15.75" customHeight="1">
      <c r="A36" s="494" t="s">
        <v>250</v>
      </c>
      <c r="B36" s="509" t="s">
        <v>0</v>
      </c>
      <c r="C36" s="529" t="s">
        <v>36</v>
      </c>
      <c r="D36" s="581"/>
      <c r="E36" s="570">
        <v>137.0691090757702</v>
      </c>
      <c r="F36" s="530">
        <v>8231</v>
      </c>
      <c r="G36" s="582"/>
      <c r="H36" s="570"/>
      <c r="I36" s="530"/>
      <c r="J36" s="529"/>
      <c r="K36" s="570">
        <v>266.85924999999997</v>
      </c>
      <c r="L36" s="585">
        <v>10674.369999999999</v>
      </c>
      <c r="M36" s="509"/>
      <c r="N36" s="555">
        <v>2443.369999999999</v>
      </c>
      <c r="O36" s="529"/>
      <c r="P36" s="570">
        <v>122.48649122807016</v>
      </c>
      <c r="Q36" s="551">
        <v>6981.73</v>
      </c>
      <c r="R36" s="529"/>
      <c r="S36" s="555">
        <v>3692.6399999999994</v>
      </c>
      <c r="T36" s="509"/>
      <c r="U36" s="494" t="s">
        <v>479</v>
      </c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</row>
    <row r="37" spans="1:40" ht="15.75" customHeight="1">
      <c r="A37" s="494" t="s">
        <v>251</v>
      </c>
      <c r="B37" s="509" t="s">
        <v>0</v>
      </c>
      <c r="C37" s="529" t="s">
        <v>37</v>
      </c>
      <c r="D37" s="581"/>
      <c r="E37" s="570">
        <v>277.29498755495416</v>
      </c>
      <c r="F37" s="530">
        <v>16651.564002674997</v>
      </c>
      <c r="G37" s="582"/>
      <c r="H37" s="570"/>
      <c r="I37" s="530"/>
      <c r="J37" s="529"/>
      <c r="K37" s="570">
        <v>1001.4042499999999</v>
      </c>
      <c r="L37" s="586">
        <v>40056.17</v>
      </c>
      <c r="M37" s="509"/>
      <c r="N37" s="555">
        <v>23404.605997325001</v>
      </c>
      <c r="O37" s="529"/>
      <c r="P37" s="570">
        <v>83.07263157894738</v>
      </c>
      <c r="Q37" s="532">
        <v>4735.1400000000003</v>
      </c>
      <c r="R37" s="529"/>
      <c r="S37" s="555">
        <v>35321.03</v>
      </c>
      <c r="T37" s="509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</row>
    <row r="38" spans="1:40" ht="15.75" hidden="1" customHeight="1">
      <c r="A38" s="494" t="s">
        <v>234</v>
      </c>
      <c r="B38" s="509" t="s">
        <v>0</v>
      </c>
      <c r="C38" s="529" t="s">
        <v>20</v>
      </c>
      <c r="D38" s="581"/>
      <c r="E38" s="570">
        <v>0</v>
      </c>
      <c r="F38" s="530">
        <v>0</v>
      </c>
      <c r="G38" s="582"/>
      <c r="H38" s="570"/>
      <c r="I38" s="530"/>
      <c r="J38" s="529"/>
      <c r="K38" s="570">
        <v>0</v>
      </c>
      <c r="L38" s="586">
        <v>0</v>
      </c>
      <c r="M38" s="509"/>
      <c r="N38" s="555">
        <v>0</v>
      </c>
      <c r="O38" s="529"/>
      <c r="P38" s="570">
        <v>0</v>
      </c>
      <c r="Q38" s="532">
        <v>0</v>
      </c>
      <c r="R38" s="529"/>
      <c r="S38" s="555">
        <v>0</v>
      </c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09"/>
      <c r="AK38" s="509"/>
      <c r="AL38" s="509"/>
      <c r="AM38" s="509"/>
      <c r="AN38" s="509"/>
    </row>
    <row r="39" spans="1:40" ht="15.75" hidden="1" customHeight="1">
      <c r="A39" s="494" t="s">
        <v>234</v>
      </c>
      <c r="B39" s="509" t="s">
        <v>0</v>
      </c>
      <c r="C39" s="529" t="s">
        <v>20</v>
      </c>
      <c r="D39" s="581"/>
      <c r="E39" s="570">
        <v>0</v>
      </c>
      <c r="F39" s="530">
        <v>0</v>
      </c>
      <c r="G39" s="582"/>
      <c r="H39" s="570"/>
      <c r="I39" s="530"/>
      <c r="J39" s="529"/>
      <c r="K39" s="570">
        <v>0</v>
      </c>
      <c r="L39" s="586">
        <v>0</v>
      </c>
      <c r="M39" s="509"/>
      <c r="N39" s="555">
        <v>0</v>
      </c>
      <c r="O39" s="529"/>
      <c r="P39" s="570">
        <v>0</v>
      </c>
      <c r="Q39" s="532">
        <v>0</v>
      </c>
      <c r="R39" s="529"/>
      <c r="S39" s="555">
        <v>0</v>
      </c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</row>
    <row r="40" spans="1:40" ht="15.75" hidden="1" customHeight="1">
      <c r="A40" s="494" t="s">
        <v>234</v>
      </c>
      <c r="B40" s="509" t="s">
        <v>0</v>
      </c>
      <c r="C40" s="529" t="s">
        <v>20</v>
      </c>
      <c r="D40" s="581"/>
      <c r="E40" s="570">
        <v>0</v>
      </c>
      <c r="F40" s="530">
        <v>0</v>
      </c>
      <c r="G40" s="582"/>
      <c r="H40" s="570"/>
      <c r="I40" s="530"/>
      <c r="J40" s="529"/>
      <c r="K40" s="570">
        <v>0</v>
      </c>
      <c r="L40" s="587">
        <v>0</v>
      </c>
      <c r="M40" s="509"/>
      <c r="N40" s="555">
        <v>0</v>
      </c>
      <c r="O40" s="529"/>
      <c r="P40" s="570">
        <v>0</v>
      </c>
      <c r="Q40" s="532">
        <v>0</v>
      </c>
      <c r="R40" s="529"/>
      <c r="S40" s="555">
        <v>0</v>
      </c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</row>
    <row r="41" spans="1:40" ht="15.75" customHeight="1">
      <c r="A41" s="494" t="s">
        <v>252</v>
      </c>
      <c r="B41" s="509" t="s">
        <v>0</v>
      </c>
      <c r="C41" s="588" t="s">
        <v>38</v>
      </c>
      <c r="D41" s="589" t="s">
        <v>39</v>
      </c>
      <c r="E41" s="590">
        <v>0.44660185130301311</v>
      </c>
      <c r="F41" s="591">
        <v>115976.83958672188</v>
      </c>
      <c r="G41" s="592"/>
      <c r="H41" s="590"/>
      <c r="I41" s="591"/>
      <c r="J41" s="592" t="s">
        <v>39</v>
      </c>
      <c r="K41" s="590">
        <v>0.71414568501399611</v>
      </c>
      <c r="L41" s="591">
        <v>89249.55</v>
      </c>
      <c r="M41" s="593"/>
      <c r="N41" s="591">
        <v>-26727.289586721876</v>
      </c>
      <c r="O41" s="592" t="s">
        <v>39</v>
      </c>
      <c r="P41" s="590">
        <v>0.39759442550017393</v>
      </c>
      <c r="Q41" s="594">
        <v>81672.009999999995</v>
      </c>
      <c r="R41" s="595"/>
      <c r="S41" s="591">
        <v>7577.5400000000081</v>
      </c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</row>
    <row r="42" spans="1:40" ht="15.75" customHeight="1">
      <c r="A42" s="494" t="s">
        <v>253</v>
      </c>
      <c r="B42" s="509" t="s">
        <v>0</v>
      </c>
      <c r="C42" s="596" t="s">
        <v>41</v>
      </c>
      <c r="D42" s="509"/>
      <c r="E42" s="509"/>
      <c r="F42" s="530">
        <v>18197.116666666669</v>
      </c>
      <c r="G42" s="529"/>
      <c r="H42" s="509"/>
      <c r="I42" s="530"/>
      <c r="J42" s="529"/>
      <c r="K42" s="509"/>
      <c r="L42" s="532">
        <v>12515.2</v>
      </c>
      <c r="M42" s="529"/>
      <c r="N42" s="555">
        <v>-5681.9166666666679</v>
      </c>
      <c r="O42" s="529"/>
      <c r="P42" s="597">
        <v>6.7065718253423806E-2</v>
      </c>
      <c r="Q42" s="532">
        <v>13776.33</v>
      </c>
      <c r="R42" s="529"/>
      <c r="S42" s="555">
        <v>-1261.1299999999992</v>
      </c>
      <c r="T42" s="509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09"/>
      <c r="AK42" s="509"/>
      <c r="AL42" s="509"/>
      <c r="AM42" s="509"/>
      <c r="AN42" s="509"/>
    </row>
    <row r="43" spans="1:40" ht="15.75" customHeight="1">
      <c r="A43" s="494" t="s">
        <v>254</v>
      </c>
      <c r="B43" s="509" t="s">
        <v>0</v>
      </c>
      <c r="C43" s="598" t="s">
        <v>42</v>
      </c>
      <c r="D43" s="581"/>
      <c r="E43" s="509"/>
      <c r="F43" s="524">
        <v>11267.511076923076</v>
      </c>
      <c r="G43" s="582"/>
      <c r="H43" s="509"/>
      <c r="I43" s="524"/>
      <c r="J43" s="529"/>
      <c r="K43" s="509"/>
      <c r="L43" s="532">
        <v>10896.4</v>
      </c>
      <c r="M43" s="529"/>
      <c r="N43" s="555">
        <v>-371.11107692307633</v>
      </c>
      <c r="O43" s="529"/>
      <c r="P43" s="509"/>
      <c r="Q43" s="532">
        <v>14509.06</v>
      </c>
      <c r="R43" s="529"/>
      <c r="S43" s="555">
        <v>-3612.66</v>
      </c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</row>
    <row r="44" spans="1:40" ht="15.75" customHeight="1">
      <c r="A44" s="494" t="s">
        <v>255</v>
      </c>
      <c r="B44" s="509" t="s">
        <v>0</v>
      </c>
      <c r="C44" s="596" t="s">
        <v>43</v>
      </c>
      <c r="D44" s="599"/>
      <c r="E44" s="600"/>
      <c r="F44" s="530">
        <v>2664.3538461538465</v>
      </c>
      <c r="G44" s="601"/>
      <c r="H44" s="600"/>
      <c r="I44" s="530"/>
      <c r="J44" s="517"/>
      <c r="K44" s="600"/>
      <c r="L44" s="551">
        <v>2584.64</v>
      </c>
      <c r="M44" s="517"/>
      <c r="N44" s="602">
        <v>-79.713846153846589</v>
      </c>
      <c r="O44" s="517"/>
      <c r="P44" s="600"/>
      <c r="Q44" s="551">
        <v>13387.76</v>
      </c>
      <c r="R44" s="517"/>
      <c r="S44" s="602">
        <v>-10803.12</v>
      </c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</row>
    <row r="45" spans="1:40" ht="15.75" customHeight="1">
      <c r="A45" s="494" t="s">
        <v>256</v>
      </c>
      <c r="B45" s="509" t="s">
        <v>0</v>
      </c>
      <c r="C45" s="596" t="s">
        <v>44</v>
      </c>
      <c r="D45" s="581"/>
      <c r="E45" s="509"/>
      <c r="F45" s="530">
        <v>0</v>
      </c>
      <c r="G45" s="582"/>
      <c r="H45" s="509"/>
      <c r="I45" s="530"/>
      <c r="J45" s="529"/>
      <c r="K45" s="509"/>
      <c r="L45" s="532">
        <v>0</v>
      </c>
      <c r="M45" s="529"/>
      <c r="N45" s="555">
        <v>0</v>
      </c>
      <c r="O45" s="529"/>
      <c r="P45" s="509"/>
      <c r="Q45" s="532">
        <v>0</v>
      </c>
      <c r="R45" s="529"/>
      <c r="S45" s="555">
        <v>0</v>
      </c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</row>
    <row r="46" spans="1:40" ht="15.75" hidden="1" customHeight="1">
      <c r="A46" s="494" t="s">
        <v>234</v>
      </c>
      <c r="B46" s="509" t="s">
        <v>0</v>
      </c>
      <c r="C46" s="596" t="s">
        <v>20</v>
      </c>
      <c r="D46" s="581"/>
      <c r="E46" s="509"/>
      <c r="F46" s="530">
        <v>0</v>
      </c>
      <c r="G46" s="582"/>
      <c r="H46" s="509"/>
      <c r="I46" s="530"/>
      <c r="J46" s="529"/>
      <c r="K46" s="509"/>
      <c r="L46" s="532">
        <v>0</v>
      </c>
      <c r="M46" s="529"/>
      <c r="N46" s="555">
        <v>0</v>
      </c>
      <c r="O46" s="529"/>
      <c r="P46" s="509"/>
      <c r="Q46" s="532">
        <v>0</v>
      </c>
      <c r="R46" s="529"/>
      <c r="S46" s="555">
        <v>0</v>
      </c>
      <c r="T46" s="509"/>
      <c r="U46" s="509"/>
      <c r="V46" s="509"/>
      <c r="W46" s="509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</row>
    <row r="47" spans="1:40" ht="15.75" hidden="1" customHeight="1">
      <c r="A47" s="494" t="s">
        <v>234</v>
      </c>
      <c r="B47" s="509" t="s">
        <v>0</v>
      </c>
      <c r="C47" s="596" t="s">
        <v>20</v>
      </c>
      <c r="D47" s="581"/>
      <c r="E47" s="509"/>
      <c r="F47" s="530">
        <v>0</v>
      </c>
      <c r="G47" s="582"/>
      <c r="H47" s="509"/>
      <c r="I47" s="530"/>
      <c r="J47" s="529"/>
      <c r="K47" s="509"/>
      <c r="L47" s="532">
        <v>0</v>
      </c>
      <c r="M47" s="529"/>
      <c r="N47" s="555">
        <v>0</v>
      </c>
      <c r="O47" s="529"/>
      <c r="P47" s="509"/>
      <c r="Q47" s="532">
        <v>0</v>
      </c>
      <c r="R47" s="529"/>
      <c r="S47" s="555">
        <v>0</v>
      </c>
      <c r="T47" s="509"/>
      <c r="U47" s="509"/>
      <c r="V47" s="509"/>
      <c r="W47" s="509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09"/>
      <c r="AK47" s="509"/>
      <c r="AL47" s="509"/>
      <c r="AM47" s="509"/>
      <c r="AN47" s="509"/>
    </row>
    <row r="48" spans="1:40" ht="15.75" hidden="1" customHeight="1">
      <c r="A48" s="494" t="s">
        <v>234</v>
      </c>
      <c r="B48" s="509" t="s">
        <v>0</v>
      </c>
      <c r="C48" s="596" t="s">
        <v>20</v>
      </c>
      <c r="D48" s="581"/>
      <c r="E48" s="509"/>
      <c r="F48" s="530">
        <v>0</v>
      </c>
      <c r="G48" s="582"/>
      <c r="H48" s="509"/>
      <c r="I48" s="530"/>
      <c r="J48" s="529"/>
      <c r="K48" s="509"/>
      <c r="L48" s="532">
        <v>0</v>
      </c>
      <c r="M48" s="529"/>
      <c r="N48" s="555">
        <v>0</v>
      </c>
      <c r="O48" s="529"/>
      <c r="P48" s="509"/>
      <c r="Q48" s="532">
        <v>0</v>
      </c>
      <c r="R48" s="529"/>
      <c r="S48" s="555">
        <v>0</v>
      </c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</row>
    <row r="49" spans="1:40" ht="15.75" customHeight="1">
      <c r="A49" s="494" t="s">
        <v>257</v>
      </c>
      <c r="B49" s="509" t="s">
        <v>0</v>
      </c>
      <c r="C49" s="598" t="s">
        <v>45</v>
      </c>
      <c r="D49" s="581"/>
      <c r="E49" s="509"/>
      <c r="F49" s="524">
        <v>10829.040602587731</v>
      </c>
      <c r="G49" s="582"/>
      <c r="H49" s="509"/>
      <c r="I49" s="524"/>
      <c r="J49" s="529"/>
      <c r="K49" s="509"/>
      <c r="L49" s="524">
        <v>10189.969999999999</v>
      </c>
      <c r="M49" s="529"/>
      <c r="N49" s="555">
        <v>-639.07060258773163</v>
      </c>
      <c r="O49" s="529"/>
      <c r="P49" s="509"/>
      <c r="Q49" s="524">
        <v>12929.12</v>
      </c>
      <c r="R49" s="529"/>
      <c r="S49" s="555">
        <v>-2739.1500000000015</v>
      </c>
      <c r="T49" s="509"/>
      <c r="U49" s="509"/>
      <c r="V49" s="509"/>
      <c r="W49" s="509"/>
      <c r="X49" s="506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09"/>
      <c r="AK49" s="509"/>
      <c r="AL49" s="509"/>
      <c r="AM49" s="509"/>
      <c r="AN49" s="509"/>
    </row>
    <row r="50" spans="1:40" ht="15.75" customHeight="1">
      <c r="A50" s="494" t="s">
        <v>258</v>
      </c>
      <c r="B50" s="509" t="s">
        <v>0</v>
      </c>
      <c r="C50" s="596" t="s">
        <v>46</v>
      </c>
      <c r="D50" s="599"/>
      <c r="E50" s="600"/>
      <c r="F50" s="530">
        <v>13166.58681195689</v>
      </c>
      <c r="G50" s="601"/>
      <c r="H50" s="600"/>
      <c r="I50" s="530"/>
      <c r="J50" s="517"/>
      <c r="K50" s="600"/>
      <c r="L50" s="532">
        <v>11457.24</v>
      </c>
      <c r="M50" s="517"/>
      <c r="N50" s="602">
        <v>-1709.3468119568897</v>
      </c>
      <c r="O50" s="517"/>
      <c r="P50" s="600"/>
      <c r="Q50" s="532">
        <v>12404.94</v>
      </c>
      <c r="R50" s="517"/>
      <c r="S50" s="602">
        <v>-947.70000000000073</v>
      </c>
      <c r="T50" s="509"/>
      <c r="U50" s="509"/>
      <c r="V50" s="509"/>
      <c r="W50" s="509"/>
      <c r="X50" s="506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9"/>
      <c r="AK50" s="509"/>
      <c r="AL50" s="509"/>
      <c r="AM50" s="509"/>
      <c r="AN50" s="509"/>
    </row>
    <row r="51" spans="1:40" ht="15.75" customHeight="1">
      <c r="A51" s="494" t="s">
        <v>259</v>
      </c>
      <c r="B51" s="509" t="s">
        <v>0</v>
      </c>
      <c r="C51" s="596" t="s">
        <v>47</v>
      </c>
      <c r="D51" s="581"/>
      <c r="E51" s="509"/>
      <c r="F51" s="530">
        <v>6783.6545096386571</v>
      </c>
      <c r="G51" s="582"/>
      <c r="H51" s="509"/>
      <c r="I51" s="530"/>
      <c r="J51" s="529"/>
      <c r="K51" s="509"/>
      <c r="L51" s="532">
        <v>6085.6900000000005</v>
      </c>
      <c r="M51" s="529"/>
      <c r="N51" s="555">
        <v>-697.96450963865664</v>
      </c>
      <c r="O51" s="529"/>
      <c r="P51" s="509"/>
      <c r="Q51" s="532">
        <v>5591.61</v>
      </c>
      <c r="R51" s="529"/>
      <c r="S51" s="555">
        <v>494.08000000000084</v>
      </c>
      <c r="T51" s="509"/>
      <c r="U51" s="509"/>
      <c r="V51" s="509"/>
      <c r="W51" s="509"/>
      <c r="X51" s="506"/>
      <c r="Y51" s="509"/>
      <c r="Z51" s="509"/>
      <c r="AA51" s="509"/>
      <c r="AB51" s="509"/>
      <c r="AC51" s="509"/>
      <c r="AD51" s="509"/>
      <c r="AE51" s="509"/>
      <c r="AF51" s="509"/>
      <c r="AG51" s="509"/>
      <c r="AH51" s="509"/>
      <c r="AI51" s="509"/>
      <c r="AJ51" s="509"/>
      <c r="AK51" s="509"/>
      <c r="AL51" s="509"/>
      <c r="AM51" s="509"/>
      <c r="AN51" s="509"/>
    </row>
    <row r="52" spans="1:40" ht="15.75" customHeight="1">
      <c r="A52" s="494" t="s">
        <v>260</v>
      </c>
      <c r="B52" s="509" t="s">
        <v>0</v>
      </c>
      <c r="C52" s="596" t="s">
        <v>48</v>
      </c>
      <c r="D52" s="581"/>
      <c r="E52" s="509"/>
      <c r="F52" s="530">
        <v>2957.7115302221996</v>
      </c>
      <c r="G52" s="582"/>
      <c r="H52" s="509"/>
      <c r="I52" s="530"/>
      <c r="J52" s="529"/>
      <c r="K52" s="509"/>
      <c r="L52" s="532">
        <v>1674.44</v>
      </c>
      <c r="M52" s="529"/>
      <c r="N52" s="555">
        <v>-1283.2715302221995</v>
      </c>
      <c r="O52" s="529"/>
      <c r="P52" s="509"/>
      <c r="Q52" s="532">
        <v>3273.76</v>
      </c>
      <c r="R52" s="529"/>
      <c r="S52" s="555">
        <v>-1599.3200000000002</v>
      </c>
      <c r="T52" s="509"/>
      <c r="U52" s="509"/>
      <c r="V52" s="509"/>
      <c r="W52" s="509"/>
      <c r="X52" s="506"/>
      <c r="Y52" s="509"/>
      <c r="Z52" s="509"/>
      <c r="AA52" s="509"/>
      <c r="AB52" s="509"/>
      <c r="AC52" s="509"/>
      <c r="AD52" s="509"/>
      <c r="AE52" s="509"/>
      <c r="AF52" s="509"/>
      <c r="AG52" s="509"/>
      <c r="AH52" s="509"/>
      <c r="AI52" s="509"/>
      <c r="AJ52" s="509"/>
      <c r="AK52" s="509"/>
      <c r="AL52" s="509"/>
      <c r="AM52" s="509"/>
      <c r="AN52" s="509"/>
    </row>
    <row r="53" spans="1:40" ht="15.75" hidden="1" customHeight="1">
      <c r="A53" s="494" t="s">
        <v>234</v>
      </c>
      <c r="B53" s="509" t="s">
        <v>0</v>
      </c>
      <c r="C53" s="529" t="s">
        <v>20</v>
      </c>
      <c r="D53" s="583" t="e">
        <v>#N/A</v>
      </c>
      <c r="E53" s="603"/>
      <c r="F53" s="530">
        <v>0</v>
      </c>
      <c r="G53" s="584"/>
      <c r="H53" s="603"/>
      <c r="I53" s="530"/>
      <c r="J53" s="522"/>
      <c r="K53" s="603"/>
      <c r="L53" s="532">
        <v>0</v>
      </c>
      <c r="M53" s="522"/>
      <c r="N53" s="579">
        <v>0</v>
      </c>
      <c r="O53" s="522"/>
      <c r="P53" s="603"/>
      <c r="Q53" s="532">
        <v>0</v>
      </c>
      <c r="R53" s="522"/>
      <c r="S53" s="579">
        <v>0</v>
      </c>
      <c r="T53" s="509"/>
      <c r="U53" s="509"/>
      <c r="V53" s="509"/>
      <c r="W53" s="509"/>
      <c r="X53" s="506"/>
      <c r="Y53" s="509"/>
      <c r="Z53" s="509"/>
      <c r="AA53" s="509"/>
      <c r="AB53" s="509"/>
      <c r="AC53" s="509"/>
      <c r="AD53" s="509"/>
      <c r="AE53" s="509"/>
      <c r="AF53" s="509"/>
      <c r="AG53" s="509"/>
      <c r="AH53" s="509"/>
      <c r="AI53" s="509"/>
      <c r="AJ53" s="509"/>
      <c r="AK53" s="509"/>
      <c r="AL53" s="509"/>
      <c r="AM53" s="509"/>
      <c r="AN53" s="509"/>
    </row>
    <row r="54" spans="1:40" ht="15.75" customHeight="1">
      <c r="A54" s="494" t="s">
        <v>261</v>
      </c>
      <c r="B54" s="509" t="s">
        <v>0</v>
      </c>
      <c r="C54" s="588" t="s">
        <v>49</v>
      </c>
      <c r="D54" s="589" t="s">
        <v>39</v>
      </c>
      <c r="E54" s="590">
        <v>0.25363569569076994</v>
      </c>
      <c r="F54" s="591">
        <v>65865.975044149061</v>
      </c>
      <c r="G54" s="592"/>
      <c r="H54" s="590"/>
      <c r="I54" s="591"/>
      <c r="J54" s="592" t="s">
        <v>39</v>
      </c>
      <c r="K54" s="590">
        <v>0.44332131188703738</v>
      </c>
      <c r="L54" s="591">
        <v>55403.58</v>
      </c>
      <c r="M54" s="595"/>
      <c r="N54" s="591">
        <v>-10462.395044149067</v>
      </c>
      <c r="O54" s="592" t="s">
        <v>39</v>
      </c>
      <c r="P54" s="590">
        <v>0.3693617293894933</v>
      </c>
      <c r="Q54" s="591">
        <v>75872.58</v>
      </c>
      <c r="R54" s="595"/>
      <c r="S54" s="591">
        <v>-20469</v>
      </c>
      <c r="T54" s="570"/>
      <c r="U54" s="509"/>
      <c r="V54" s="509"/>
      <c r="W54" s="509"/>
      <c r="X54" s="506"/>
      <c r="Y54" s="509"/>
      <c r="Z54" s="509"/>
      <c r="AA54" s="509"/>
      <c r="AB54" s="509"/>
      <c r="AC54" s="509"/>
      <c r="AD54" s="509"/>
      <c r="AE54" s="509"/>
      <c r="AF54" s="509"/>
      <c r="AG54" s="509"/>
      <c r="AH54" s="509"/>
      <c r="AI54" s="509"/>
      <c r="AJ54" s="509"/>
      <c r="AK54" s="509"/>
      <c r="AL54" s="509"/>
      <c r="AM54" s="509"/>
      <c r="AN54" s="509"/>
    </row>
    <row r="55" spans="1:40" ht="15.75" hidden="1" customHeight="1">
      <c r="A55" s="494" t="s">
        <v>262</v>
      </c>
      <c r="B55" s="509" t="s">
        <v>0</v>
      </c>
      <c r="C55" s="529" t="s">
        <v>50</v>
      </c>
      <c r="D55" s="581"/>
      <c r="E55" s="509"/>
      <c r="F55" s="530">
        <v>0</v>
      </c>
      <c r="G55" s="582"/>
      <c r="H55" s="509"/>
      <c r="I55" s="530"/>
      <c r="J55" s="529"/>
      <c r="K55" s="509"/>
      <c r="L55" s="532">
        <v>0</v>
      </c>
      <c r="M55" s="529"/>
      <c r="N55" s="555">
        <v>0</v>
      </c>
      <c r="O55" s="529"/>
      <c r="P55" s="509"/>
      <c r="Q55" s="532">
        <v>0</v>
      </c>
      <c r="R55" s="529"/>
      <c r="S55" s="555">
        <v>0</v>
      </c>
      <c r="T55" s="570"/>
      <c r="U55" s="509"/>
      <c r="V55" s="509"/>
      <c r="W55" s="509"/>
      <c r="X55" s="506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</row>
    <row r="56" spans="1:40" ht="15.75" hidden="1" customHeight="1">
      <c r="A56" s="494" t="s">
        <v>263</v>
      </c>
      <c r="B56" s="509" t="s">
        <v>0</v>
      </c>
      <c r="C56" s="529" t="s">
        <v>51</v>
      </c>
      <c r="D56" s="581"/>
      <c r="E56" s="509"/>
      <c r="F56" s="530">
        <v>0</v>
      </c>
      <c r="G56" s="582"/>
      <c r="H56" s="509"/>
      <c r="I56" s="530"/>
      <c r="J56" s="529"/>
      <c r="K56" s="509"/>
      <c r="L56" s="532">
        <v>0</v>
      </c>
      <c r="M56" s="529"/>
      <c r="N56" s="555">
        <v>0</v>
      </c>
      <c r="O56" s="529"/>
      <c r="P56" s="509"/>
      <c r="Q56" s="532">
        <v>0</v>
      </c>
      <c r="R56" s="529"/>
      <c r="S56" s="555">
        <v>0</v>
      </c>
      <c r="T56" s="570"/>
      <c r="U56" s="509"/>
      <c r="V56" s="509"/>
      <c r="W56" s="509"/>
      <c r="X56" s="506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</row>
    <row r="57" spans="1:40" ht="15.75" customHeight="1">
      <c r="A57" s="494" t="s">
        <v>264</v>
      </c>
      <c r="B57" s="509" t="s">
        <v>0</v>
      </c>
      <c r="C57" s="522" t="s">
        <v>52</v>
      </c>
      <c r="D57" s="583"/>
      <c r="E57" s="603"/>
      <c r="F57" s="524">
        <v>9200</v>
      </c>
      <c r="G57" s="584"/>
      <c r="H57" s="603"/>
      <c r="I57" s="524"/>
      <c r="J57" s="522"/>
      <c r="K57" s="603"/>
      <c r="L57" s="524">
        <v>7254.82</v>
      </c>
      <c r="M57" s="522"/>
      <c r="N57" s="579">
        <v>-1945.1800000000003</v>
      </c>
      <c r="O57" s="522"/>
      <c r="P57" s="603"/>
      <c r="Q57" s="524">
        <v>5916.23</v>
      </c>
      <c r="R57" s="522"/>
      <c r="S57" s="579">
        <v>1338.5900000000001</v>
      </c>
      <c r="T57" s="604"/>
      <c r="U57" s="509"/>
      <c r="V57" s="509"/>
      <c r="W57" s="509"/>
      <c r="X57" s="506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09"/>
      <c r="AK57" s="509"/>
      <c r="AL57" s="509"/>
      <c r="AM57" s="509"/>
      <c r="AN57" s="509"/>
    </row>
    <row r="58" spans="1:40" ht="15.75" customHeight="1">
      <c r="A58" s="494" t="s">
        <v>265</v>
      </c>
      <c r="B58" s="509" t="s">
        <v>0</v>
      </c>
      <c r="C58" s="529" t="s">
        <v>53</v>
      </c>
      <c r="D58" s="581"/>
      <c r="E58" s="509"/>
      <c r="F58" s="530">
        <v>9039.6954662222215</v>
      </c>
      <c r="G58" s="582"/>
      <c r="H58" s="509"/>
      <c r="I58" s="530"/>
      <c r="J58" s="529"/>
      <c r="K58" s="509"/>
      <c r="L58" s="532">
        <v>7043.39</v>
      </c>
      <c r="M58" s="529"/>
      <c r="N58" s="555">
        <v>-1996.3054662222212</v>
      </c>
      <c r="O58" s="529"/>
      <c r="P58" s="509"/>
      <c r="Q58" s="532">
        <v>7019.75</v>
      </c>
      <c r="R58" s="529"/>
      <c r="S58" s="555">
        <v>23.640000000000327</v>
      </c>
      <c r="T58" s="570"/>
      <c r="U58" s="509"/>
      <c r="V58" s="509"/>
      <c r="W58" s="509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09"/>
      <c r="AK58" s="509"/>
      <c r="AL58" s="509"/>
      <c r="AM58" s="509"/>
      <c r="AN58" s="509"/>
    </row>
    <row r="59" spans="1:40" ht="15.75" customHeight="1">
      <c r="A59" s="494" t="s">
        <v>266</v>
      </c>
      <c r="B59" s="509" t="s">
        <v>0</v>
      </c>
      <c r="C59" s="529" t="s">
        <v>54</v>
      </c>
      <c r="D59" s="581"/>
      <c r="E59" s="509"/>
      <c r="F59" s="530">
        <v>1105.2258848911197</v>
      </c>
      <c r="G59" s="582"/>
      <c r="H59" s="509"/>
      <c r="I59" s="530"/>
      <c r="J59" s="529"/>
      <c r="K59" s="509"/>
      <c r="L59" s="532">
        <v>1316.83</v>
      </c>
      <c r="M59" s="529"/>
      <c r="N59" s="555">
        <v>211.60411510888025</v>
      </c>
      <c r="O59" s="529"/>
      <c r="P59" s="509"/>
      <c r="Q59" s="532">
        <v>504.08</v>
      </c>
      <c r="R59" s="529"/>
      <c r="S59" s="555">
        <v>812.75</v>
      </c>
      <c r="T59" s="509"/>
      <c r="U59" s="509"/>
      <c r="V59" s="509"/>
      <c r="W59" s="509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09"/>
      <c r="AK59" s="509"/>
      <c r="AL59" s="509"/>
      <c r="AM59" s="509"/>
      <c r="AN59" s="509"/>
    </row>
    <row r="60" spans="1:40" ht="15.75" customHeight="1">
      <c r="A60" s="494" t="s">
        <v>267</v>
      </c>
      <c r="B60" s="509" t="s">
        <v>0</v>
      </c>
      <c r="C60" s="522" t="s">
        <v>55</v>
      </c>
      <c r="D60" s="583"/>
      <c r="E60" s="603"/>
      <c r="F60" s="524">
        <v>6711.4186422074081</v>
      </c>
      <c r="G60" s="584"/>
      <c r="H60" s="603"/>
      <c r="I60" s="524"/>
      <c r="J60" s="522"/>
      <c r="K60" s="603"/>
      <c r="L60" s="524">
        <v>7463.74</v>
      </c>
      <c r="M60" s="522"/>
      <c r="N60" s="579">
        <v>752.3213577925917</v>
      </c>
      <c r="O60" s="522"/>
      <c r="P60" s="603"/>
      <c r="Q60" s="524">
        <v>6175.67</v>
      </c>
      <c r="R60" s="522"/>
      <c r="S60" s="579">
        <v>1288.0699999999997</v>
      </c>
      <c r="T60" s="509"/>
      <c r="U60" s="509"/>
      <c r="V60" s="509"/>
      <c r="W60" s="509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09"/>
      <c r="AK60" s="509"/>
      <c r="AL60" s="509"/>
      <c r="AM60" s="509"/>
      <c r="AN60" s="509"/>
    </row>
    <row r="61" spans="1:40" ht="15.75" customHeight="1">
      <c r="A61" s="494" t="s">
        <v>268</v>
      </c>
      <c r="B61" s="509" t="s">
        <v>0</v>
      </c>
      <c r="C61" s="529" t="s">
        <v>56</v>
      </c>
      <c r="D61" s="581"/>
      <c r="E61" s="509"/>
      <c r="F61" s="530">
        <v>125</v>
      </c>
      <c r="G61" s="582"/>
      <c r="H61" s="509"/>
      <c r="I61" s="530"/>
      <c r="J61" s="529"/>
      <c r="K61" s="509"/>
      <c r="L61" s="532">
        <v>4.5599999999999996</v>
      </c>
      <c r="M61" s="529"/>
      <c r="N61" s="555">
        <v>-120.44</v>
      </c>
      <c r="O61" s="529"/>
      <c r="P61" s="509"/>
      <c r="Q61" s="532">
        <v>0</v>
      </c>
      <c r="R61" s="529"/>
      <c r="S61" s="555">
        <v>4.5599999999999996</v>
      </c>
      <c r="T61" s="509"/>
      <c r="U61" s="509"/>
      <c r="V61" s="509"/>
      <c r="W61" s="509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09"/>
      <c r="AK61" s="509"/>
      <c r="AL61" s="509"/>
      <c r="AM61" s="509"/>
      <c r="AN61" s="509"/>
    </row>
    <row r="62" spans="1:40" ht="15.75" customHeight="1">
      <c r="A62" s="494" t="s">
        <v>269</v>
      </c>
      <c r="B62" s="509" t="s">
        <v>0</v>
      </c>
      <c r="C62" s="529" t="s">
        <v>57</v>
      </c>
      <c r="D62" s="581"/>
      <c r="E62" s="509"/>
      <c r="F62" s="530">
        <v>83.333333333333329</v>
      </c>
      <c r="G62" s="582"/>
      <c r="H62" s="509"/>
      <c r="I62" s="530"/>
      <c r="J62" s="529"/>
      <c r="K62" s="509"/>
      <c r="L62" s="532">
        <v>0</v>
      </c>
      <c r="M62" s="529"/>
      <c r="N62" s="555">
        <v>-83.333333333333329</v>
      </c>
      <c r="O62" s="529"/>
      <c r="P62" s="509"/>
      <c r="Q62" s="532">
        <v>0</v>
      </c>
      <c r="R62" s="529"/>
      <c r="S62" s="555">
        <v>0</v>
      </c>
      <c r="T62" s="509"/>
      <c r="U62" s="509"/>
      <c r="V62" s="509"/>
      <c r="W62" s="509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09"/>
      <c r="AK62" s="509"/>
      <c r="AL62" s="509"/>
      <c r="AM62" s="509"/>
      <c r="AN62" s="509"/>
    </row>
    <row r="63" spans="1:40" ht="15.75" customHeight="1">
      <c r="A63" s="494" t="s">
        <v>270</v>
      </c>
      <c r="B63" s="509" t="s">
        <v>0</v>
      </c>
      <c r="C63" s="529" t="s">
        <v>58</v>
      </c>
      <c r="D63" s="581"/>
      <c r="E63" s="509"/>
      <c r="F63" s="530">
        <v>756.94660196799998</v>
      </c>
      <c r="G63" s="582"/>
      <c r="H63" s="509"/>
      <c r="I63" s="530"/>
      <c r="J63" s="529"/>
      <c r="K63" s="509"/>
      <c r="L63" s="532">
        <v>387.99</v>
      </c>
      <c r="M63" s="529"/>
      <c r="N63" s="555">
        <v>-368.95660196799997</v>
      </c>
      <c r="O63" s="529"/>
      <c r="P63" s="509"/>
      <c r="Q63" s="532">
        <v>605.80999999999995</v>
      </c>
      <c r="R63" s="529"/>
      <c r="S63" s="555">
        <v>-217.81999999999994</v>
      </c>
      <c r="T63" s="509"/>
      <c r="U63" s="509"/>
      <c r="V63" s="509"/>
      <c r="W63" s="509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09"/>
      <c r="AK63" s="509"/>
      <c r="AL63" s="509"/>
      <c r="AM63" s="509"/>
      <c r="AN63" s="509"/>
    </row>
    <row r="64" spans="1:40" ht="15.75" customHeight="1">
      <c r="A64" s="494" t="s">
        <v>271</v>
      </c>
      <c r="B64" s="509" t="s">
        <v>0</v>
      </c>
      <c r="C64" s="529" t="s">
        <v>59</v>
      </c>
      <c r="D64" s="581"/>
      <c r="E64" s="509"/>
      <c r="F64" s="530">
        <v>309.40348505288893</v>
      </c>
      <c r="G64" s="582"/>
      <c r="H64" s="509"/>
      <c r="I64" s="530"/>
      <c r="J64" s="529"/>
      <c r="K64" s="509"/>
      <c r="L64" s="532">
        <v>326.92</v>
      </c>
      <c r="M64" s="529"/>
      <c r="N64" s="555">
        <v>17.516514947111091</v>
      </c>
      <c r="O64" s="529"/>
      <c r="P64" s="509"/>
      <c r="Q64" s="532">
        <v>232.9</v>
      </c>
      <c r="R64" s="529"/>
      <c r="S64" s="555">
        <v>94.02000000000001</v>
      </c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09"/>
      <c r="AK64" s="509"/>
      <c r="AL64" s="509"/>
      <c r="AM64" s="509"/>
      <c r="AN64" s="509"/>
    </row>
    <row r="65" spans="1:40" ht="15.75" customHeight="1">
      <c r="A65" s="494" t="s">
        <v>272</v>
      </c>
      <c r="B65" s="509" t="s">
        <v>0</v>
      </c>
      <c r="C65" s="529" t="s">
        <v>60</v>
      </c>
      <c r="D65" s="581"/>
      <c r="E65" s="509"/>
      <c r="F65" s="530">
        <v>113.12880990711112</v>
      </c>
      <c r="G65" s="582"/>
      <c r="H65" s="509"/>
      <c r="I65" s="530"/>
      <c r="J65" s="529"/>
      <c r="K65" s="509"/>
      <c r="L65" s="532">
        <v>32.96</v>
      </c>
      <c r="M65" s="529"/>
      <c r="N65" s="555">
        <v>-80.168809907111125</v>
      </c>
      <c r="O65" s="529"/>
      <c r="P65" s="509"/>
      <c r="Q65" s="532">
        <v>81.84</v>
      </c>
      <c r="R65" s="529"/>
      <c r="S65" s="555">
        <v>-48.88</v>
      </c>
      <c r="T65" s="509"/>
      <c r="U65" s="509"/>
      <c r="V65" s="509"/>
      <c r="W65" s="509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09"/>
      <c r="AK65" s="509"/>
      <c r="AL65" s="509"/>
      <c r="AM65" s="509"/>
      <c r="AN65" s="509"/>
    </row>
    <row r="66" spans="1:40" ht="15.75" customHeight="1">
      <c r="A66" s="494" t="s">
        <v>273</v>
      </c>
      <c r="B66" s="509" t="s">
        <v>0</v>
      </c>
      <c r="C66" s="529" t="s">
        <v>61</v>
      </c>
      <c r="D66" s="581"/>
      <c r="E66" s="509"/>
      <c r="F66" s="530">
        <v>282.46260343511113</v>
      </c>
      <c r="G66" s="582"/>
      <c r="H66" s="509"/>
      <c r="I66" s="530"/>
      <c r="J66" s="529"/>
      <c r="K66" s="509"/>
      <c r="L66" s="532">
        <v>123.77</v>
      </c>
      <c r="M66" s="529"/>
      <c r="N66" s="555">
        <v>-158.69260343511115</v>
      </c>
      <c r="O66" s="529"/>
      <c r="P66" s="509"/>
      <c r="Q66" s="532">
        <v>111.34</v>
      </c>
      <c r="R66" s="529"/>
      <c r="S66" s="555">
        <v>12.429999999999993</v>
      </c>
      <c r="T66" s="509"/>
      <c r="U66" s="509"/>
      <c r="V66" s="509"/>
      <c r="W66" s="509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09"/>
      <c r="AK66" s="509"/>
      <c r="AL66" s="509"/>
      <c r="AM66" s="509"/>
      <c r="AN66" s="509"/>
    </row>
    <row r="67" spans="1:40" ht="15.75" customHeight="1">
      <c r="A67" s="494" t="s">
        <v>274</v>
      </c>
      <c r="B67" s="509" t="s">
        <v>0</v>
      </c>
      <c r="C67" s="529" t="s">
        <v>62</v>
      </c>
      <c r="D67" s="581"/>
      <c r="E67" s="509"/>
      <c r="F67" s="530">
        <v>1899.1075000000001</v>
      </c>
      <c r="G67" s="582"/>
      <c r="H67" s="509"/>
      <c r="I67" s="530"/>
      <c r="J67" s="529"/>
      <c r="K67" s="509"/>
      <c r="L67" s="532">
        <v>1391.4</v>
      </c>
      <c r="M67" s="529"/>
      <c r="N67" s="555">
        <v>-507.70749999999998</v>
      </c>
      <c r="O67" s="529"/>
      <c r="P67" s="509"/>
      <c r="Q67" s="532">
        <v>487.93</v>
      </c>
      <c r="R67" s="529"/>
      <c r="S67" s="555">
        <v>903.47</v>
      </c>
      <c r="T67" s="509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09"/>
      <c r="AK67" s="509"/>
      <c r="AL67" s="509"/>
      <c r="AM67" s="509"/>
      <c r="AN67" s="509"/>
    </row>
    <row r="68" spans="1:40" ht="15.75" customHeight="1">
      <c r="A68" s="494" t="s">
        <v>275</v>
      </c>
      <c r="B68" s="509" t="s">
        <v>0</v>
      </c>
      <c r="C68" s="529" t="s">
        <v>63</v>
      </c>
      <c r="D68" s="581"/>
      <c r="E68" s="509"/>
      <c r="F68" s="530">
        <v>3363.2959290092826</v>
      </c>
      <c r="G68" s="582"/>
      <c r="H68" s="509"/>
      <c r="I68" s="530"/>
      <c r="J68" s="529"/>
      <c r="K68" s="509"/>
      <c r="L68" s="532">
        <v>3357.81</v>
      </c>
      <c r="M68" s="529"/>
      <c r="N68" s="555">
        <v>-5.4859290092826996</v>
      </c>
      <c r="O68" s="529"/>
      <c r="P68" s="509"/>
      <c r="Q68" s="532">
        <v>3537.15</v>
      </c>
      <c r="R68" s="529"/>
      <c r="S68" s="555">
        <v>-179.34000000000015</v>
      </c>
      <c r="T68" s="509"/>
      <c r="X68" s="509"/>
      <c r="Y68" s="509"/>
      <c r="Z68" s="509"/>
      <c r="AA68" s="509"/>
      <c r="AB68" s="509"/>
      <c r="AC68" s="509"/>
      <c r="AD68" s="509"/>
      <c r="AE68" s="509"/>
      <c r="AF68" s="509"/>
      <c r="AG68" s="509"/>
      <c r="AH68" s="509"/>
      <c r="AI68" s="509"/>
      <c r="AJ68" s="509"/>
      <c r="AK68" s="509"/>
      <c r="AL68" s="509"/>
      <c r="AM68" s="509"/>
      <c r="AN68" s="509"/>
    </row>
    <row r="69" spans="1:40" ht="15.75" hidden="1" customHeight="1">
      <c r="A69" s="494" t="s">
        <v>234</v>
      </c>
      <c r="B69" s="509" t="s">
        <v>0</v>
      </c>
      <c r="C69" s="529" t="s">
        <v>20</v>
      </c>
      <c r="D69" s="581"/>
      <c r="E69" s="509"/>
      <c r="F69" s="530">
        <v>0</v>
      </c>
      <c r="G69" s="582"/>
      <c r="H69" s="509"/>
      <c r="I69" s="530"/>
      <c r="J69" s="529"/>
      <c r="K69" s="509"/>
      <c r="L69" s="532"/>
      <c r="M69" s="529"/>
      <c r="N69" s="555">
        <v>0</v>
      </c>
      <c r="O69" s="529"/>
      <c r="P69" s="509"/>
      <c r="Q69" s="532">
        <v>0</v>
      </c>
      <c r="R69" s="529"/>
      <c r="S69" s="555">
        <v>0</v>
      </c>
      <c r="T69" s="509"/>
      <c r="X69" s="509"/>
      <c r="Y69" s="509"/>
      <c r="Z69" s="509"/>
      <c r="AA69" s="509"/>
      <c r="AB69" s="509"/>
      <c r="AC69" s="509"/>
      <c r="AD69" s="509"/>
      <c r="AE69" s="509"/>
      <c r="AF69" s="509"/>
      <c r="AG69" s="509"/>
      <c r="AH69" s="509"/>
      <c r="AI69" s="509"/>
      <c r="AJ69" s="509"/>
      <c r="AK69" s="509"/>
      <c r="AL69" s="509"/>
      <c r="AM69" s="509"/>
      <c r="AN69" s="509"/>
    </row>
    <row r="70" spans="1:40" ht="15.75" hidden="1" customHeight="1">
      <c r="A70" s="494" t="s">
        <v>234</v>
      </c>
      <c r="B70" s="509" t="s">
        <v>0</v>
      </c>
      <c r="C70" s="529" t="s">
        <v>20</v>
      </c>
      <c r="D70" s="581"/>
      <c r="E70" s="509"/>
      <c r="F70" s="530">
        <v>0</v>
      </c>
      <c r="G70" s="582"/>
      <c r="H70" s="509"/>
      <c r="I70" s="530"/>
      <c r="J70" s="529"/>
      <c r="K70" s="509"/>
      <c r="L70" s="532">
        <v>0</v>
      </c>
      <c r="M70" s="529"/>
      <c r="N70" s="555">
        <v>0</v>
      </c>
      <c r="O70" s="529"/>
      <c r="P70" s="509"/>
      <c r="Q70" s="532">
        <v>0</v>
      </c>
      <c r="R70" s="529"/>
      <c r="S70" s="555">
        <v>0</v>
      </c>
      <c r="T70" s="509"/>
      <c r="X70" s="509"/>
      <c r="Y70" s="509"/>
      <c r="Z70" s="509"/>
      <c r="AA70" s="509"/>
      <c r="AB70" s="509"/>
      <c r="AC70" s="509"/>
      <c r="AD70" s="509"/>
      <c r="AE70" s="509"/>
      <c r="AF70" s="509"/>
      <c r="AG70" s="509"/>
      <c r="AH70" s="509"/>
      <c r="AI70" s="509"/>
      <c r="AJ70" s="509"/>
      <c r="AK70" s="509"/>
      <c r="AL70" s="509"/>
      <c r="AM70" s="509"/>
      <c r="AN70" s="509"/>
    </row>
    <row r="71" spans="1:40" ht="15.75" hidden="1" customHeight="1">
      <c r="A71" s="494" t="s">
        <v>234</v>
      </c>
      <c r="B71" s="509" t="s">
        <v>0</v>
      </c>
      <c r="C71" s="529" t="s">
        <v>20</v>
      </c>
      <c r="D71" s="581"/>
      <c r="E71" s="509"/>
      <c r="F71" s="530">
        <v>0</v>
      </c>
      <c r="G71" s="582"/>
      <c r="H71" s="509"/>
      <c r="I71" s="530"/>
      <c r="J71" s="529"/>
      <c r="K71" s="509"/>
      <c r="L71" s="532">
        <v>0</v>
      </c>
      <c r="M71" s="529"/>
      <c r="N71" s="555">
        <v>0</v>
      </c>
      <c r="O71" s="529"/>
      <c r="P71" s="509"/>
      <c r="Q71" s="532">
        <v>0</v>
      </c>
      <c r="R71" s="529"/>
      <c r="S71" s="555">
        <v>0</v>
      </c>
      <c r="T71" s="509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09"/>
      <c r="AK71" s="509"/>
      <c r="AL71" s="509"/>
      <c r="AM71" s="509"/>
      <c r="AN71" s="509"/>
    </row>
    <row r="72" spans="1:40" ht="15.75" customHeight="1">
      <c r="A72" s="494" t="s">
        <v>276</v>
      </c>
      <c r="B72" s="509" t="s">
        <v>0</v>
      </c>
      <c r="C72" s="588" t="s">
        <v>64</v>
      </c>
      <c r="D72" s="589" t="s">
        <v>39</v>
      </c>
      <c r="E72" s="590">
        <v>0.1270336101441506</v>
      </c>
      <c r="F72" s="591">
        <v>32989.018256026473</v>
      </c>
      <c r="G72" s="592"/>
      <c r="H72" s="590"/>
      <c r="I72" s="591"/>
      <c r="J72" s="592" t="s">
        <v>39</v>
      </c>
      <c r="K72" s="590">
        <v>0.22968153262758073</v>
      </c>
      <c r="L72" s="591">
        <v>28704.190000000002</v>
      </c>
      <c r="M72" s="595"/>
      <c r="N72" s="591">
        <v>-4284.8282560264779</v>
      </c>
      <c r="O72" s="592" t="s">
        <v>39</v>
      </c>
      <c r="P72" s="590">
        <v>0.12011125943928826</v>
      </c>
      <c r="Q72" s="591">
        <v>24672.700000000004</v>
      </c>
      <c r="R72" s="595"/>
      <c r="S72" s="591">
        <v>4031.49</v>
      </c>
      <c r="T72" s="509"/>
      <c r="X72" s="509"/>
      <c r="Y72" s="509"/>
      <c r="Z72" s="509"/>
      <c r="AA72" s="509"/>
      <c r="AB72" s="509"/>
      <c r="AC72" s="509"/>
      <c r="AD72" s="509"/>
      <c r="AE72" s="509"/>
      <c r="AF72" s="509"/>
      <c r="AG72" s="509"/>
      <c r="AH72" s="509"/>
      <c r="AI72" s="509"/>
      <c r="AJ72" s="509"/>
      <c r="AK72" s="509"/>
      <c r="AL72" s="509"/>
      <c r="AM72" s="509"/>
      <c r="AN72" s="509"/>
    </row>
    <row r="73" spans="1:40" ht="15.75" customHeight="1">
      <c r="A73" s="494" t="s">
        <v>0</v>
      </c>
      <c r="B73" s="509" t="s">
        <v>0</v>
      </c>
      <c r="C73" s="522"/>
      <c r="D73" s="583"/>
      <c r="E73" s="603"/>
      <c r="F73" s="555"/>
      <c r="G73" s="584"/>
      <c r="H73" s="603"/>
      <c r="I73" s="555"/>
      <c r="J73" s="522"/>
      <c r="K73" s="603"/>
      <c r="L73" s="579"/>
      <c r="M73" s="522"/>
      <c r="N73" s="579"/>
      <c r="O73" s="522"/>
      <c r="P73" s="603"/>
      <c r="Q73" s="579"/>
      <c r="R73" s="522"/>
      <c r="S73" s="579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</row>
    <row r="74" spans="1:40" ht="15.75" customHeight="1">
      <c r="A74" s="494" t="s">
        <v>277</v>
      </c>
      <c r="B74" s="509" t="s">
        <v>0</v>
      </c>
      <c r="C74" s="588" t="s">
        <v>65</v>
      </c>
      <c r="D74" s="589" t="s">
        <v>39</v>
      </c>
      <c r="E74" s="590">
        <v>0.82727115713793364</v>
      </c>
      <c r="F74" s="591">
        <v>214831.83288689741</v>
      </c>
      <c r="G74" s="592"/>
      <c r="H74" s="590"/>
      <c r="I74" s="591"/>
      <c r="J74" s="592" t="s">
        <v>39</v>
      </c>
      <c r="K74" s="590">
        <v>1.3871485295286141</v>
      </c>
      <c r="L74" s="591">
        <v>173357.32</v>
      </c>
      <c r="M74" s="595"/>
      <c r="N74" s="605">
        <v>-41474.512886897399</v>
      </c>
      <c r="O74" s="592" t="s">
        <v>39</v>
      </c>
      <c r="P74" s="590">
        <v>0.88706741432895553</v>
      </c>
      <c r="Q74" s="591">
        <v>182217.29</v>
      </c>
      <c r="R74" s="595"/>
      <c r="S74" s="605">
        <v>-8859.9700000000012</v>
      </c>
      <c r="T74" s="509"/>
      <c r="U74" s="509"/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</row>
    <row r="75" spans="1:40" ht="15.75" customHeight="1">
      <c r="A75" s="494" t="s">
        <v>278</v>
      </c>
      <c r="B75" s="509" t="s">
        <v>0</v>
      </c>
      <c r="C75" s="529" t="s">
        <v>197</v>
      </c>
      <c r="D75" s="581"/>
      <c r="E75" s="509"/>
      <c r="F75" s="530">
        <v>20000</v>
      </c>
      <c r="G75" s="582"/>
      <c r="H75" s="509"/>
      <c r="I75" s="530"/>
      <c r="J75" s="529"/>
      <c r="K75" s="509"/>
      <c r="L75" s="532">
        <v>20000</v>
      </c>
      <c r="M75" s="529"/>
      <c r="N75" s="555">
        <v>0</v>
      </c>
      <c r="O75" s="529"/>
      <c r="P75" s="509"/>
      <c r="Q75" s="532">
        <v>0</v>
      </c>
      <c r="R75" s="529"/>
      <c r="S75" s="555"/>
      <c r="T75" s="509"/>
      <c r="U75" s="509"/>
      <c r="V75" s="509"/>
      <c r="W75" s="509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09"/>
      <c r="AK75" s="509"/>
      <c r="AL75" s="509"/>
      <c r="AM75" s="509"/>
      <c r="AN75" s="509"/>
    </row>
    <row r="76" spans="1:40" ht="15.75" customHeight="1">
      <c r="A76" s="494" t="s">
        <v>279</v>
      </c>
      <c r="B76" s="509" t="s">
        <v>0</v>
      </c>
      <c r="C76" s="529" t="s">
        <v>194</v>
      </c>
      <c r="D76" s="581"/>
      <c r="E76" s="509"/>
      <c r="F76" s="530">
        <v>0</v>
      </c>
      <c r="G76" s="582"/>
      <c r="H76" s="509"/>
      <c r="I76" s="530"/>
      <c r="J76" s="529"/>
      <c r="K76" s="509"/>
      <c r="L76" s="532">
        <v>0</v>
      </c>
      <c r="M76" s="529"/>
      <c r="N76" s="555">
        <v>0</v>
      </c>
      <c r="O76" s="529"/>
      <c r="P76" s="509"/>
      <c r="Q76" s="532">
        <v>0</v>
      </c>
      <c r="R76" s="529"/>
      <c r="S76" s="555">
        <v>0</v>
      </c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09"/>
      <c r="AK76" s="509"/>
      <c r="AL76" s="509"/>
      <c r="AM76" s="509"/>
      <c r="AN76" s="509"/>
    </row>
    <row r="77" spans="1:40" ht="15.75" customHeight="1">
      <c r="A77" s="494" t="s">
        <v>280</v>
      </c>
      <c r="B77" s="509" t="s">
        <v>0</v>
      </c>
      <c r="C77" s="529" t="s">
        <v>68</v>
      </c>
      <c r="D77" s="581"/>
      <c r="E77" s="509"/>
      <c r="F77" s="530">
        <v>0</v>
      </c>
      <c r="G77" s="582"/>
      <c r="H77" s="509"/>
      <c r="I77" s="530"/>
      <c r="J77" s="529"/>
      <c r="K77" s="509"/>
      <c r="L77" s="532">
        <v>0</v>
      </c>
      <c r="M77" s="529"/>
      <c r="N77" s="555">
        <v>0</v>
      </c>
      <c r="O77" s="529"/>
      <c r="P77" s="509"/>
      <c r="Q77" s="532">
        <v>0</v>
      </c>
      <c r="R77" s="529"/>
      <c r="S77" s="555">
        <v>0</v>
      </c>
      <c r="T77" s="509"/>
      <c r="U77" s="509"/>
      <c r="V77" s="509"/>
      <c r="W77" s="509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09"/>
      <c r="AK77" s="509"/>
      <c r="AL77" s="509"/>
      <c r="AM77" s="509"/>
      <c r="AN77" s="509"/>
    </row>
    <row r="78" spans="1:40" ht="15.75" customHeight="1">
      <c r="A78" s="494" t="s">
        <v>281</v>
      </c>
      <c r="B78" s="509" t="s">
        <v>0</v>
      </c>
      <c r="C78" s="529" t="s">
        <v>69</v>
      </c>
      <c r="D78" s="581"/>
      <c r="E78" s="606">
        <v>1293.3870951348035</v>
      </c>
      <c r="F78" s="530">
        <v>82906.112798140894</v>
      </c>
      <c r="G78" s="582"/>
      <c r="H78" s="509"/>
      <c r="I78" s="530"/>
      <c r="J78" s="607"/>
      <c r="K78" s="606">
        <v>1388.05</v>
      </c>
      <c r="L78" s="532">
        <v>55522</v>
      </c>
      <c r="M78" s="529"/>
      <c r="N78" s="555">
        <v>-27384.112798140894</v>
      </c>
      <c r="O78" s="529"/>
      <c r="P78" s="509"/>
      <c r="Q78" s="532">
        <v>63469.55</v>
      </c>
      <c r="R78" s="529"/>
      <c r="S78" s="555">
        <v>-7947.5500000000029</v>
      </c>
      <c r="T78" s="509"/>
      <c r="U78" s="509"/>
      <c r="V78" s="509"/>
      <c r="W78" s="509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09"/>
      <c r="AK78" s="509"/>
      <c r="AL78" s="509"/>
      <c r="AM78" s="509"/>
      <c r="AN78" s="509"/>
    </row>
    <row r="79" spans="1:40" ht="15.75" hidden="1" customHeight="1">
      <c r="A79" s="494" t="s">
        <v>234</v>
      </c>
      <c r="B79" s="509" t="s">
        <v>0</v>
      </c>
      <c r="C79" s="529" t="s">
        <v>20</v>
      </c>
      <c r="D79" s="581"/>
      <c r="E79" s="509"/>
      <c r="F79" s="530">
        <v>0</v>
      </c>
      <c r="G79" s="582"/>
      <c r="H79" s="509"/>
      <c r="I79" s="530"/>
      <c r="J79" s="529"/>
      <c r="K79" s="509"/>
      <c r="L79" s="532">
        <v>0</v>
      </c>
      <c r="M79" s="529"/>
      <c r="N79" s="555">
        <v>0</v>
      </c>
      <c r="O79" s="529"/>
      <c r="P79" s="509"/>
      <c r="Q79" s="532">
        <v>0</v>
      </c>
      <c r="R79" s="529"/>
      <c r="S79" s="555">
        <v>0</v>
      </c>
      <c r="T79" s="509"/>
      <c r="U79" s="509"/>
      <c r="V79" s="509"/>
      <c r="W79" s="509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09"/>
      <c r="AK79" s="509"/>
      <c r="AL79" s="509"/>
      <c r="AM79" s="509"/>
      <c r="AN79" s="509"/>
    </row>
    <row r="80" spans="1:40" ht="15.75" hidden="1" customHeight="1">
      <c r="A80" s="494" t="s">
        <v>234</v>
      </c>
      <c r="B80" s="509" t="s">
        <v>0</v>
      </c>
      <c r="C80" s="529" t="s">
        <v>20</v>
      </c>
      <c r="D80" s="581"/>
      <c r="E80" s="509"/>
      <c r="F80" s="530">
        <v>0</v>
      </c>
      <c r="G80" s="582"/>
      <c r="H80" s="509"/>
      <c r="I80" s="530"/>
      <c r="J80" s="529"/>
      <c r="K80" s="509"/>
      <c r="L80" s="532">
        <v>0</v>
      </c>
      <c r="M80" s="529"/>
      <c r="N80" s="555">
        <v>0</v>
      </c>
      <c r="O80" s="529"/>
      <c r="P80" s="509"/>
      <c r="Q80" s="532">
        <v>0</v>
      </c>
      <c r="R80" s="529"/>
      <c r="S80" s="555">
        <v>0</v>
      </c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09"/>
      <c r="AK80" s="509"/>
      <c r="AL80" s="509"/>
      <c r="AM80" s="509"/>
      <c r="AN80" s="509"/>
    </row>
    <row r="81" spans="1:40" ht="15.75" hidden="1" customHeight="1">
      <c r="A81" s="494" t="s">
        <v>234</v>
      </c>
      <c r="B81" s="509" t="s">
        <v>0</v>
      </c>
      <c r="C81" s="529" t="s">
        <v>20</v>
      </c>
      <c r="D81" s="581"/>
      <c r="E81" s="509"/>
      <c r="F81" s="530">
        <v>0</v>
      </c>
      <c r="G81" s="582"/>
      <c r="H81" s="509"/>
      <c r="I81" s="530"/>
      <c r="J81" s="529"/>
      <c r="K81" s="509"/>
      <c r="L81" s="532">
        <v>0</v>
      </c>
      <c r="M81" s="529"/>
      <c r="N81" s="555">
        <v>0</v>
      </c>
      <c r="O81" s="529"/>
      <c r="P81" s="509"/>
      <c r="Q81" s="532">
        <v>0</v>
      </c>
      <c r="R81" s="529"/>
      <c r="S81" s="555">
        <v>0</v>
      </c>
      <c r="T81" s="509"/>
      <c r="U81" s="509"/>
      <c r="V81" s="509"/>
      <c r="W81" s="509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09"/>
      <c r="AK81" s="509"/>
      <c r="AL81" s="509"/>
      <c r="AM81" s="509"/>
      <c r="AN81" s="509"/>
    </row>
    <row r="82" spans="1:40" ht="15.75" customHeight="1">
      <c r="A82" s="608" t="s">
        <v>282</v>
      </c>
      <c r="B82" s="609" t="s">
        <v>0</v>
      </c>
      <c r="C82" s="529" t="s">
        <v>70</v>
      </c>
      <c r="D82" s="610">
        <v>0.95</v>
      </c>
      <c r="E82" s="611">
        <v>474.04999999999995</v>
      </c>
      <c r="F82" s="530">
        <v>28466.702499999996</v>
      </c>
      <c r="G82" s="582"/>
      <c r="H82" s="509"/>
      <c r="I82" s="530"/>
      <c r="J82" s="612">
        <v>0.9785821643286573</v>
      </c>
      <c r="K82" s="611">
        <v>488.3125</v>
      </c>
      <c r="L82" s="532">
        <v>19532.5</v>
      </c>
      <c r="M82" s="529"/>
      <c r="N82" s="555">
        <v>-8934.2024999999958</v>
      </c>
      <c r="O82" s="529"/>
      <c r="P82" s="509"/>
      <c r="Q82" s="532">
        <v>26386</v>
      </c>
      <c r="R82" s="529"/>
      <c r="S82" s="555">
        <v>-6853.5</v>
      </c>
      <c r="T82" s="509"/>
      <c r="U82" s="509"/>
      <c r="V82" s="509"/>
      <c r="W82" s="509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09"/>
      <c r="AK82" s="509"/>
      <c r="AL82" s="509"/>
      <c r="AM82" s="509"/>
      <c r="AN82" s="509"/>
    </row>
    <row r="83" spans="1:40" ht="15.75" customHeight="1">
      <c r="A83" s="494" t="s">
        <v>283</v>
      </c>
      <c r="B83" s="509" t="s">
        <v>0</v>
      </c>
      <c r="C83" s="588" t="s">
        <v>71</v>
      </c>
      <c r="D83" s="589"/>
      <c r="E83" s="590"/>
      <c r="F83" s="591">
        <v>131372.81529814089</v>
      </c>
      <c r="G83" s="592"/>
      <c r="H83" s="590"/>
      <c r="I83" s="591"/>
      <c r="J83" s="592"/>
      <c r="K83" s="590"/>
      <c r="L83" s="591">
        <v>95054.5</v>
      </c>
      <c r="M83" s="595"/>
      <c r="N83" s="591">
        <v>-36318.315298140893</v>
      </c>
      <c r="O83" s="592"/>
      <c r="P83" s="590"/>
      <c r="Q83" s="591">
        <v>89855.55</v>
      </c>
      <c r="R83" s="595"/>
      <c r="S83" s="591">
        <v>-14801.050000000003</v>
      </c>
      <c r="T83" s="509"/>
      <c r="U83" s="509"/>
      <c r="V83" s="509"/>
      <c r="W83" s="509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09"/>
      <c r="AK83" s="509"/>
      <c r="AL83" s="509"/>
      <c r="AM83" s="509"/>
      <c r="AN83" s="509"/>
    </row>
    <row r="84" spans="1:40" ht="15.75" customHeight="1">
      <c r="A84" s="494" t="s">
        <v>0</v>
      </c>
      <c r="B84" s="509" t="s">
        <v>0</v>
      </c>
      <c r="C84" s="613"/>
      <c r="D84" s="614"/>
      <c r="E84" s="615"/>
      <c r="F84" s="616"/>
      <c r="G84" s="617"/>
      <c r="H84" s="615"/>
      <c r="I84" s="616"/>
      <c r="J84" s="618"/>
      <c r="K84" s="619"/>
      <c r="L84" s="616"/>
      <c r="M84" s="618"/>
      <c r="N84" s="620"/>
      <c r="O84" s="618"/>
      <c r="P84" s="619"/>
      <c r="Q84" s="616"/>
      <c r="R84" s="618"/>
      <c r="S84" s="620"/>
      <c r="T84" s="509"/>
      <c r="U84" s="509"/>
      <c r="V84" s="509"/>
      <c r="W84" s="509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09"/>
      <c r="AK84" s="509"/>
      <c r="AL84" s="509"/>
      <c r="AM84" s="509"/>
      <c r="AN84" s="509"/>
    </row>
    <row r="85" spans="1:40" ht="22.5" customHeight="1" thickBot="1">
      <c r="A85" s="494" t="s">
        <v>284</v>
      </c>
      <c r="B85" s="509" t="s">
        <v>0</v>
      </c>
      <c r="C85" s="621" t="s">
        <v>72</v>
      </c>
      <c r="D85" s="622"/>
      <c r="E85" s="623"/>
      <c r="F85" s="624">
        <v>176228.30625091385</v>
      </c>
      <c r="G85" s="625"/>
      <c r="H85" s="623"/>
      <c r="I85" s="624"/>
      <c r="J85" s="625"/>
      <c r="K85" s="622"/>
      <c r="L85" s="624">
        <v>46671.049999999857</v>
      </c>
      <c r="M85" s="625"/>
      <c r="N85" s="624">
        <v>-129557.256250914</v>
      </c>
      <c r="O85" s="625"/>
      <c r="P85" s="626">
        <v>3.9649450382144798E-2</v>
      </c>
      <c r="Q85" s="624">
        <v>113053.64000000017</v>
      </c>
      <c r="R85" s="625"/>
      <c r="S85" s="624">
        <v>-86382.590000000331</v>
      </c>
      <c r="T85" s="509"/>
      <c r="U85" s="509"/>
      <c r="V85" s="509"/>
      <c r="W85" s="509"/>
      <c r="X85" s="509"/>
      <c r="Y85" s="509"/>
      <c r="Z85" s="509"/>
      <c r="AA85" s="509"/>
      <c r="AB85" s="509"/>
      <c r="AC85" s="509"/>
      <c r="AD85" s="509"/>
      <c r="AE85" s="509"/>
      <c r="AF85" s="509"/>
      <c r="AG85" s="509"/>
      <c r="AH85" s="509"/>
      <c r="AI85" s="509"/>
      <c r="AJ85" s="509"/>
      <c r="AK85" s="509"/>
      <c r="AL85" s="509"/>
      <c r="AM85" s="509"/>
      <c r="AN85" s="509"/>
    </row>
    <row r="86" spans="1:40" ht="15.75" customHeight="1" thickTop="1">
      <c r="B86" s="627"/>
      <c r="C86" s="627"/>
      <c r="D86" s="627"/>
      <c r="E86" s="627"/>
      <c r="F86" s="627"/>
      <c r="G86" s="627"/>
      <c r="H86" s="627"/>
      <c r="I86" s="627"/>
      <c r="J86" s="628"/>
      <c r="K86" s="627"/>
      <c r="L86" s="629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27"/>
      <c r="AB86" s="627"/>
      <c r="AC86" s="627"/>
      <c r="AD86" s="627"/>
      <c r="AE86" s="627"/>
      <c r="AF86" s="627"/>
      <c r="AG86" s="627"/>
      <c r="AH86" s="627"/>
      <c r="AI86" s="627"/>
      <c r="AJ86" s="627"/>
      <c r="AK86" s="627"/>
      <c r="AL86" s="627"/>
      <c r="AM86" s="627"/>
      <c r="AN86" s="627"/>
    </row>
    <row r="87" spans="1:40" ht="12.75" customHeight="1">
      <c r="B87" s="627"/>
      <c r="C87" s="627"/>
      <c r="D87" s="627"/>
      <c r="E87" s="627"/>
      <c r="F87" s="627"/>
      <c r="G87" s="627"/>
      <c r="H87" s="627"/>
      <c r="I87" s="630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27"/>
      <c r="AB87" s="627"/>
      <c r="AC87" s="627"/>
      <c r="AD87" s="627"/>
      <c r="AE87" s="627"/>
      <c r="AF87" s="627"/>
      <c r="AG87" s="627"/>
      <c r="AH87" s="627"/>
      <c r="AI87" s="627"/>
      <c r="AJ87" s="627"/>
      <c r="AK87" s="627"/>
      <c r="AL87" s="627"/>
      <c r="AM87" s="627"/>
      <c r="AN87" s="627"/>
    </row>
    <row r="88" spans="1:40" ht="15.75" hidden="1" customHeight="1">
      <c r="B88" s="503"/>
      <c r="C88" s="506"/>
      <c r="D88" s="506"/>
      <c r="E88" s="506"/>
      <c r="F88" s="506"/>
      <c r="G88" s="506"/>
      <c r="H88" s="506"/>
      <c r="I88" s="506"/>
      <c r="J88" s="506"/>
      <c r="K88" s="506"/>
      <c r="L88" s="506"/>
      <c r="M88" s="506"/>
      <c r="N88" s="506"/>
      <c r="O88" s="506"/>
      <c r="P88" s="506"/>
      <c r="Q88" s="506"/>
      <c r="R88" s="506"/>
      <c r="S88" s="506"/>
      <c r="T88" s="506"/>
      <c r="U88" s="506"/>
    </row>
    <row r="89" spans="1:40" ht="33" customHeight="1">
      <c r="B89" s="495"/>
      <c r="C89" s="631" t="s">
        <v>477</v>
      </c>
      <c r="D89" s="497"/>
      <c r="E89" s="497"/>
      <c r="F89" s="497"/>
      <c r="G89" s="497"/>
      <c r="H89" s="495"/>
      <c r="I89" s="495"/>
      <c r="J89" s="495"/>
      <c r="K89" s="499" t="s">
        <v>73</v>
      </c>
      <c r="L89" s="497"/>
      <c r="M89" s="497"/>
      <c r="N89" s="495"/>
      <c r="O89" s="495"/>
      <c r="P89" s="497"/>
      <c r="Q89" s="495"/>
      <c r="R89" s="497"/>
      <c r="S89" s="632" t="s">
        <v>485</v>
      </c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</row>
    <row r="90" spans="1:40" ht="15.75" customHeight="1" thickBot="1">
      <c r="B90" s="503"/>
      <c r="C90" s="504"/>
      <c r="D90" s="506"/>
      <c r="E90" s="506"/>
      <c r="F90" s="506"/>
      <c r="G90" s="506"/>
      <c r="H90" s="506"/>
      <c r="I90" s="506"/>
      <c r="J90" s="506"/>
      <c r="K90" s="506"/>
      <c r="L90" s="506"/>
      <c r="M90" s="506"/>
      <c r="N90" s="506"/>
      <c r="O90" s="506"/>
      <c r="P90" s="506"/>
      <c r="Q90" s="506"/>
      <c r="R90" s="506"/>
      <c r="S90" s="506"/>
      <c r="T90" s="506"/>
      <c r="U90" s="506"/>
    </row>
    <row r="91" spans="1:40" ht="15.75" customHeight="1" thickTop="1">
      <c r="B91" s="509"/>
      <c r="C91" s="510"/>
      <c r="D91" s="511" t="s">
        <v>5</v>
      </c>
      <c r="E91" s="512"/>
      <c r="F91" s="513"/>
      <c r="G91" s="514"/>
      <c r="H91" s="512"/>
      <c r="I91" s="513"/>
      <c r="J91" s="514" t="s">
        <v>7</v>
      </c>
      <c r="K91" s="512"/>
      <c r="L91" s="513"/>
      <c r="M91" s="514" t="s">
        <v>221</v>
      </c>
      <c r="N91" s="513"/>
      <c r="O91" s="511" t="s">
        <v>8</v>
      </c>
      <c r="P91" s="512"/>
      <c r="Q91" s="513"/>
      <c r="R91" s="514" t="s">
        <v>222</v>
      </c>
      <c r="S91" s="513"/>
      <c r="T91" s="509"/>
      <c r="U91" s="509"/>
      <c r="V91" s="509"/>
      <c r="W91" s="509"/>
      <c r="X91" s="509"/>
      <c r="Y91" s="509"/>
      <c r="Z91" s="509"/>
      <c r="AA91" s="509"/>
      <c r="AB91" s="509"/>
      <c r="AC91" s="509"/>
      <c r="AD91" s="509"/>
      <c r="AE91" s="509"/>
      <c r="AF91" s="509"/>
      <c r="AG91" s="509"/>
      <c r="AH91" s="509"/>
      <c r="AI91" s="509"/>
      <c r="AJ91" s="509"/>
      <c r="AK91" s="509"/>
      <c r="AL91" s="509"/>
      <c r="AM91" s="509"/>
      <c r="AN91" s="509"/>
    </row>
    <row r="92" spans="1:40" ht="15.75" customHeight="1">
      <c r="B92" s="509"/>
      <c r="C92" s="529"/>
      <c r="D92" s="518" t="s">
        <v>10</v>
      </c>
      <c r="E92" s="519" t="s">
        <v>11</v>
      </c>
      <c r="F92" s="520" t="s">
        <v>12</v>
      </c>
      <c r="G92" s="521"/>
      <c r="H92" s="519"/>
      <c r="I92" s="520"/>
      <c r="J92" s="521" t="s">
        <v>224</v>
      </c>
      <c r="K92" s="519" t="s">
        <v>13</v>
      </c>
      <c r="L92" s="520" t="s">
        <v>12</v>
      </c>
      <c r="M92" s="521" t="s">
        <v>224</v>
      </c>
      <c r="N92" s="520" t="s">
        <v>12</v>
      </c>
      <c r="O92" s="519" t="s">
        <v>10</v>
      </c>
      <c r="P92" s="519" t="s">
        <v>11</v>
      </c>
      <c r="Q92" s="520" t="s">
        <v>12</v>
      </c>
      <c r="R92" s="521" t="s">
        <v>224</v>
      </c>
      <c r="S92" s="520" t="s">
        <v>12</v>
      </c>
      <c r="T92" s="509"/>
      <c r="U92" s="509"/>
      <c r="V92" s="509"/>
      <c r="W92" s="509"/>
      <c r="X92" s="509"/>
      <c r="Y92" s="509"/>
      <c r="Z92" s="509"/>
      <c r="AA92" s="509"/>
      <c r="AB92" s="509"/>
      <c r="AC92" s="509"/>
      <c r="AD92" s="509"/>
      <c r="AE92" s="509"/>
      <c r="AF92" s="509"/>
      <c r="AG92" s="509"/>
      <c r="AH92" s="509"/>
      <c r="AI92" s="509"/>
      <c r="AJ92" s="509"/>
      <c r="AK92" s="509"/>
      <c r="AL92" s="509"/>
      <c r="AM92" s="509"/>
      <c r="AN92" s="509"/>
    </row>
    <row r="93" spans="1:40" ht="24" customHeight="1">
      <c r="A93" s="494" t="s">
        <v>285</v>
      </c>
      <c r="B93" s="509" t="s">
        <v>73</v>
      </c>
      <c r="C93" s="522" t="s">
        <v>15</v>
      </c>
      <c r="D93" s="526"/>
      <c r="E93" s="526"/>
      <c r="F93" s="524">
        <v>1934191.3693624581</v>
      </c>
      <c r="G93" s="543"/>
      <c r="H93" s="526"/>
      <c r="I93" s="524"/>
      <c r="J93" s="522"/>
      <c r="K93" s="526"/>
      <c r="L93" s="524">
        <v>1325634.6399999999</v>
      </c>
      <c r="M93" s="633"/>
      <c r="N93" s="634"/>
      <c r="O93" s="522"/>
      <c r="P93" s="526"/>
      <c r="Q93" s="524">
        <v>1977586.1099999901</v>
      </c>
      <c r="R93" s="633"/>
      <c r="S93" s="634"/>
      <c r="T93" s="509"/>
      <c r="U93" s="509"/>
      <c r="V93" s="509"/>
      <c r="W93" s="509"/>
      <c r="X93" s="509"/>
      <c r="Y93" s="509"/>
      <c r="Z93" s="509"/>
      <c r="AA93" s="509"/>
      <c r="AB93" s="509"/>
      <c r="AC93" s="509"/>
      <c r="AD93" s="509"/>
      <c r="AE93" s="509"/>
      <c r="AF93" s="509"/>
      <c r="AG93" s="509"/>
      <c r="AH93" s="509"/>
      <c r="AI93" s="509"/>
      <c r="AJ93" s="509"/>
      <c r="AK93" s="509"/>
      <c r="AL93" s="509"/>
      <c r="AM93" s="509"/>
      <c r="AN93" s="509"/>
    </row>
    <row r="94" spans="1:40" ht="21.75" customHeight="1">
      <c r="A94" s="494" t="s">
        <v>286</v>
      </c>
      <c r="B94" s="509" t="s">
        <v>73</v>
      </c>
      <c r="C94" s="529" t="s">
        <v>75</v>
      </c>
      <c r="D94" s="530">
        <v>35.685000000000002</v>
      </c>
      <c r="E94" s="530">
        <v>1799.9999999999998</v>
      </c>
      <c r="F94" s="530">
        <v>64233</v>
      </c>
      <c r="G94" s="531"/>
      <c r="H94" s="530"/>
      <c r="I94" s="530"/>
      <c r="J94" s="531">
        <v>31</v>
      </c>
      <c r="K94" s="530">
        <v>599.35870967741869</v>
      </c>
      <c r="L94" s="532">
        <v>18580.119999999981</v>
      </c>
      <c r="M94" s="531">
        <v>-4.6850000000000023</v>
      </c>
      <c r="N94" s="532">
        <v>-45652.880000000019</v>
      </c>
      <c r="O94" s="531">
        <v>18</v>
      </c>
      <c r="P94" s="530">
        <v>2437.2944444444447</v>
      </c>
      <c r="Q94" s="532">
        <v>43871.3</v>
      </c>
      <c r="R94" s="531">
        <v>13</v>
      </c>
      <c r="S94" s="532">
        <v>-25291.180000000022</v>
      </c>
      <c r="T94" s="509"/>
      <c r="U94" s="509"/>
      <c r="V94" s="509"/>
      <c r="W94" s="509"/>
      <c r="X94" s="509"/>
      <c r="Y94" s="509"/>
      <c r="Z94" s="509"/>
      <c r="AA94" s="509"/>
      <c r="AB94" s="509"/>
      <c r="AC94" s="509"/>
      <c r="AD94" s="509"/>
      <c r="AE94" s="509"/>
      <c r="AF94" s="509"/>
      <c r="AG94" s="509"/>
      <c r="AH94" s="509"/>
      <c r="AI94" s="509"/>
      <c r="AJ94" s="509"/>
      <c r="AK94" s="509"/>
      <c r="AL94" s="509"/>
      <c r="AM94" s="509"/>
      <c r="AN94" s="509"/>
    </row>
    <row r="95" spans="1:40" ht="18.75" customHeight="1">
      <c r="A95" s="494" t="s">
        <v>287</v>
      </c>
      <c r="B95" s="509" t="s">
        <v>73</v>
      </c>
      <c r="C95" s="529" t="s">
        <v>76</v>
      </c>
      <c r="D95" s="530">
        <v>2.0129999999999999</v>
      </c>
      <c r="E95" s="530">
        <v>1800.0000000000002</v>
      </c>
      <c r="F95" s="530">
        <v>3623.4</v>
      </c>
      <c r="G95" s="531"/>
      <c r="H95" s="530"/>
      <c r="I95" s="530"/>
      <c r="J95" s="531">
        <v>2</v>
      </c>
      <c r="K95" s="530">
        <v>1491.0899999999992</v>
      </c>
      <c r="L95" s="532">
        <v>2982.1799999999985</v>
      </c>
      <c r="M95" s="531">
        <v>-1.2999999999999901E-2</v>
      </c>
      <c r="N95" s="532">
        <v>-641.22000000000162</v>
      </c>
      <c r="O95" s="531">
        <v>7</v>
      </c>
      <c r="P95" s="530">
        <v>1925.8071428571286</v>
      </c>
      <c r="Q95" s="532">
        <v>13480.6499999999</v>
      </c>
      <c r="R95" s="531">
        <v>-5</v>
      </c>
      <c r="S95" s="532">
        <v>-10498.469999999901</v>
      </c>
      <c r="T95" s="509"/>
      <c r="U95" s="509"/>
      <c r="V95" s="635"/>
      <c r="W95" s="509"/>
      <c r="X95" s="509"/>
      <c r="Y95" s="509"/>
      <c r="Z95" s="509"/>
      <c r="AA95" s="509"/>
      <c r="AB95" s="509"/>
      <c r="AC95" s="509"/>
      <c r="AD95" s="509"/>
      <c r="AE95" s="509"/>
      <c r="AF95" s="509"/>
      <c r="AG95" s="509"/>
      <c r="AH95" s="509"/>
      <c r="AI95" s="509"/>
      <c r="AJ95" s="509"/>
      <c r="AK95" s="509"/>
      <c r="AL95" s="509"/>
      <c r="AM95" s="509"/>
      <c r="AN95" s="509"/>
    </row>
    <row r="96" spans="1:40" ht="18.75" customHeight="1">
      <c r="A96" s="494" t="s">
        <v>482</v>
      </c>
      <c r="B96" s="509" t="s">
        <v>73</v>
      </c>
      <c r="C96" s="529" t="s">
        <v>288</v>
      </c>
      <c r="D96" s="530">
        <v>1.1895</v>
      </c>
      <c r="E96" s="526">
        <v>1800</v>
      </c>
      <c r="F96" s="530">
        <v>2141.1</v>
      </c>
      <c r="G96" s="531"/>
      <c r="H96" s="530"/>
      <c r="I96" s="530"/>
      <c r="J96" s="531">
        <v>0</v>
      </c>
      <c r="K96" s="530">
        <v>0</v>
      </c>
      <c r="L96" s="532">
        <v>0</v>
      </c>
      <c r="M96" s="531">
        <v>-1.1895</v>
      </c>
      <c r="N96" s="532">
        <v>-2141.1</v>
      </c>
      <c r="O96" s="531">
        <v>0</v>
      </c>
      <c r="P96" s="530">
        <v>0</v>
      </c>
      <c r="Q96" s="532">
        <v>0</v>
      </c>
      <c r="R96" s="531">
        <v>0</v>
      </c>
      <c r="S96" s="532">
        <v>0</v>
      </c>
      <c r="T96" s="509"/>
      <c r="U96" s="509"/>
      <c r="V96" s="635"/>
      <c r="W96" s="509"/>
      <c r="X96" s="509"/>
      <c r="Y96" s="509"/>
      <c r="Z96" s="509"/>
      <c r="AA96" s="509"/>
      <c r="AB96" s="509"/>
      <c r="AC96" s="509"/>
      <c r="AD96" s="509"/>
      <c r="AE96" s="509"/>
      <c r="AF96" s="509"/>
      <c r="AG96" s="509"/>
      <c r="AH96" s="509"/>
      <c r="AI96" s="509"/>
      <c r="AJ96" s="509"/>
      <c r="AK96" s="509"/>
      <c r="AL96" s="509"/>
      <c r="AM96" s="509"/>
      <c r="AN96" s="509"/>
    </row>
    <row r="97" spans="1:40" ht="15.75" customHeight="1">
      <c r="A97" s="494" t="s">
        <v>483</v>
      </c>
      <c r="B97" s="509" t="s">
        <v>73</v>
      </c>
      <c r="C97" s="535" t="s">
        <v>77</v>
      </c>
      <c r="D97" s="536">
        <v>38.887500000000003</v>
      </c>
      <c r="E97" s="530">
        <v>1799.9999999999998</v>
      </c>
      <c r="F97" s="537">
        <v>69997.5</v>
      </c>
      <c r="G97" s="538"/>
      <c r="H97" s="536"/>
      <c r="I97" s="537"/>
      <c r="J97" s="538">
        <v>33</v>
      </c>
      <c r="K97" s="536">
        <v>653.40303030302971</v>
      </c>
      <c r="L97" s="537">
        <v>21562.299999999981</v>
      </c>
      <c r="M97" s="538">
        <v>-5.8875000000000028</v>
      </c>
      <c r="N97" s="537">
        <v>-48435.200000000019</v>
      </c>
      <c r="O97" s="538">
        <v>25</v>
      </c>
      <c r="P97" s="536">
        <v>2294.0779999999959</v>
      </c>
      <c r="Q97" s="537">
        <v>57351.949999999903</v>
      </c>
      <c r="R97" s="538">
        <v>8</v>
      </c>
      <c r="S97" s="537">
        <v>-35789.649999999921</v>
      </c>
      <c r="T97" s="509"/>
      <c r="U97" s="509"/>
      <c r="V97" s="509"/>
      <c r="W97" s="509"/>
      <c r="X97" s="509"/>
      <c r="Y97" s="509"/>
      <c r="Z97" s="509"/>
      <c r="AA97" s="509"/>
      <c r="AB97" s="509"/>
      <c r="AC97" s="570"/>
      <c r="AD97" s="509"/>
      <c r="AE97" s="509"/>
      <c r="AF97" s="570"/>
      <c r="AG97" s="509"/>
      <c r="AH97" s="509"/>
      <c r="AI97" s="509"/>
      <c r="AJ97" s="509"/>
      <c r="AK97" s="509"/>
      <c r="AL97" s="509"/>
      <c r="AM97" s="509"/>
      <c r="AN97" s="509"/>
    </row>
    <row r="98" spans="1:40" ht="15.75" customHeight="1">
      <c r="A98" s="494" t="s">
        <v>73</v>
      </c>
      <c r="B98" s="509" t="s">
        <v>73</v>
      </c>
      <c r="C98" s="529"/>
      <c r="D98" s="509"/>
      <c r="E98" s="530">
        <v>0</v>
      </c>
      <c r="F98" s="539"/>
      <c r="G98" s="529"/>
      <c r="H98" s="509"/>
      <c r="I98" s="539"/>
      <c r="J98" s="529"/>
      <c r="K98" s="509"/>
      <c r="L98" s="539"/>
      <c r="M98" s="636">
        <v>-0.15139826422372235</v>
      </c>
      <c r="N98" s="637">
        <v>-0.69195614129076066</v>
      </c>
      <c r="O98" s="529"/>
      <c r="P98" s="509">
        <v>0</v>
      </c>
      <c r="Q98" s="539"/>
      <c r="R98" s="636">
        <v>0.32</v>
      </c>
      <c r="S98" s="637">
        <v>-0.62403545127933724</v>
      </c>
      <c r="T98" s="509"/>
      <c r="U98" s="509"/>
      <c r="V98" s="509"/>
      <c r="W98" s="509"/>
      <c r="X98" s="509"/>
      <c r="Y98" s="509"/>
      <c r="Z98" s="509"/>
      <c r="AA98" s="509"/>
      <c r="AB98" s="509"/>
      <c r="AC98" s="509"/>
      <c r="AD98" s="509"/>
      <c r="AE98" s="509"/>
      <c r="AF98" s="509"/>
      <c r="AG98" s="509"/>
      <c r="AH98" s="509"/>
      <c r="AI98" s="509"/>
      <c r="AJ98" s="509"/>
      <c r="AK98" s="509"/>
      <c r="AL98" s="509"/>
      <c r="AM98" s="509"/>
      <c r="AN98" s="509"/>
    </row>
    <row r="99" spans="1:40" ht="15.75" customHeight="1">
      <c r="A99" s="494" t="s">
        <v>73</v>
      </c>
      <c r="B99" s="509" t="s">
        <v>73</v>
      </c>
      <c r="C99" s="529"/>
      <c r="D99" s="530">
        <v>0</v>
      </c>
      <c r="E99" s="530">
        <v>0</v>
      </c>
      <c r="F99" s="530">
        <v>0</v>
      </c>
      <c r="G99" s="531"/>
      <c r="H99" s="530"/>
      <c r="I99" s="530"/>
      <c r="J99" s="531"/>
      <c r="K99" s="530"/>
      <c r="L99" s="532"/>
      <c r="M99" s="531"/>
      <c r="N99" s="532"/>
      <c r="O99" s="531"/>
      <c r="P99" s="530"/>
      <c r="Q99" s="532"/>
      <c r="R99" s="531"/>
      <c r="S99" s="532"/>
      <c r="T99" s="509"/>
      <c r="U99" s="509"/>
      <c r="V99" s="509"/>
      <c r="W99" s="530"/>
      <c r="X99" s="530"/>
      <c r="Y99" s="509"/>
      <c r="Z99" s="509"/>
      <c r="AA99" s="509"/>
      <c r="AB99" s="509"/>
      <c r="AC99" s="509"/>
      <c r="AD99" s="509"/>
      <c r="AE99" s="509"/>
      <c r="AF99" s="509"/>
      <c r="AG99" s="509"/>
      <c r="AH99" s="509"/>
      <c r="AI99" s="509"/>
      <c r="AJ99" s="509"/>
      <c r="AK99" s="509"/>
      <c r="AL99" s="509"/>
      <c r="AM99" s="509"/>
      <c r="AN99" s="509"/>
    </row>
    <row r="100" spans="1:40" ht="15.75" customHeight="1">
      <c r="A100" s="494" t="s">
        <v>289</v>
      </c>
      <c r="B100" s="509" t="s">
        <v>73</v>
      </c>
      <c r="C100" s="529" t="s">
        <v>78</v>
      </c>
      <c r="D100" s="530">
        <v>39.802500000000002</v>
      </c>
      <c r="E100" s="530">
        <v>400</v>
      </c>
      <c r="F100" s="530">
        <v>15921</v>
      </c>
      <c r="G100" s="531"/>
      <c r="H100" s="530"/>
      <c r="I100" s="530"/>
      <c r="J100" s="531">
        <v>29</v>
      </c>
      <c r="K100" s="530">
        <v>144.99517241379263</v>
      </c>
      <c r="L100" s="532">
        <v>4204.859999999986</v>
      </c>
      <c r="M100" s="531">
        <v>-10.802500000000002</v>
      </c>
      <c r="N100" s="532">
        <v>-11716.140000000014</v>
      </c>
      <c r="O100" s="531">
        <v>57</v>
      </c>
      <c r="P100" s="530">
        <v>568.81631578947372</v>
      </c>
      <c r="Q100" s="532">
        <v>32422.53</v>
      </c>
      <c r="R100" s="531">
        <v>-28</v>
      </c>
      <c r="S100" s="532">
        <v>-28217.670000000013</v>
      </c>
      <c r="T100" s="509"/>
      <c r="U100" s="509"/>
      <c r="V100" s="509"/>
      <c r="W100" s="509"/>
      <c r="X100" s="509"/>
      <c r="Y100" s="509"/>
      <c r="Z100" s="509"/>
      <c r="AA100" s="509"/>
      <c r="AB100" s="509"/>
      <c r="AC100" s="570"/>
      <c r="AD100" s="509"/>
      <c r="AE100" s="509"/>
      <c r="AF100" s="638"/>
      <c r="AG100" s="509"/>
      <c r="AH100" s="509"/>
      <c r="AI100" s="509"/>
      <c r="AJ100" s="509"/>
      <c r="AK100" s="509"/>
      <c r="AL100" s="509"/>
      <c r="AM100" s="509"/>
      <c r="AN100" s="509"/>
    </row>
    <row r="101" spans="1:40" ht="15.75" customHeight="1">
      <c r="A101" s="494" t="s">
        <v>73</v>
      </c>
      <c r="B101" s="509" t="s">
        <v>73</v>
      </c>
      <c r="C101" s="522"/>
      <c r="D101" s="526"/>
      <c r="E101" s="526"/>
      <c r="F101" s="524"/>
      <c r="G101" s="543"/>
      <c r="H101" s="526"/>
      <c r="I101" s="524"/>
      <c r="J101" s="543"/>
      <c r="K101" s="526"/>
      <c r="L101" s="524"/>
      <c r="M101" s="544"/>
      <c r="N101" s="639"/>
      <c r="O101" s="543"/>
      <c r="P101" s="526"/>
      <c r="Q101" s="524"/>
      <c r="R101" s="544"/>
      <c r="S101" s="639"/>
      <c r="T101" s="509"/>
      <c r="U101" s="509"/>
      <c r="V101" s="509"/>
      <c r="W101" s="509"/>
      <c r="X101" s="509"/>
      <c r="Y101" s="509"/>
      <c r="Z101" s="509"/>
      <c r="AA101" s="509"/>
      <c r="AB101" s="509"/>
      <c r="AC101" s="509"/>
      <c r="AD101" s="509"/>
      <c r="AE101" s="509"/>
      <c r="AF101" s="638"/>
      <c r="AG101" s="509"/>
      <c r="AH101" s="509"/>
      <c r="AI101" s="509"/>
      <c r="AJ101" s="509"/>
      <c r="AK101" s="509"/>
      <c r="AL101" s="509"/>
      <c r="AM101" s="509"/>
      <c r="AN101" s="509"/>
    </row>
    <row r="102" spans="1:40" ht="15.75" customHeight="1">
      <c r="A102" s="494" t="s">
        <v>290</v>
      </c>
      <c r="B102" s="509" t="s">
        <v>73</v>
      </c>
      <c r="C102" s="529" t="s">
        <v>25</v>
      </c>
      <c r="D102" s="530">
        <v>0</v>
      </c>
      <c r="E102" s="530">
        <v>0</v>
      </c>
      <c r="F102" s="532">
        <v>27221.250000000004</v>
      </c>
      <c r="G102" s="531"/>
      <c r="H102" s="530"/>
      <c r="I102" s="530"/>
      <c r="J102" s="531"/>
      <c r="K102" s="530">
        <v>273.09787878787876</v>
      </c>
      <c r="L102" s="532">
        <v>9012.23</v>
      </c>
      <c r="M102" s="531"/>
      <c r="N102" s="532">
        <v>-18209.020000000004</v>
      </c>
      <c r="O102" s="531"/>
      <c r="P102" s="530"/>
      <c r="Q102" s="532">
        <v>18374.169999999998</v>
      </c>
      <c r="R102" s="531">
        <v>-273.09787878787876</v>
      </c>
      <c r="S102" s="532">
        <v>-9361.9399999999987</v>
      </c>
      <c r="T102" s="509"/>
      <c r="U102" s="509"/>
      <c r="V102" s="509"/>
      <c r="W102" s="509"/>
      <c r="X102" s="509"/>
      <c r="Y102" s="509"/>
      <c r="Z102" s="509"/>
      <c r="AA102" s="509"/>
      <c r="AB102" s="509"/>
      <c r="AC102" s="509"/>
      <c r="AD102" s="509"/>
      <c r="AE102" s="509"/>
      <c r="AF102" s="509"/>
      <c r="AG102" s="509"/>
      <c r="AH102" s="509"/>
      <c r="AI102" s="509"/>
      <c r="AJ102" s="509"/>
      <c r="AK102" s="509"/>
      <c r="AL102" s="509"/>
      <c r="AM102" s="509"/>
      <c r="AN102" s="509"/>
    </row>
    <row r="103" spans="1:40" ht="15.75" customHeight="1">
      <c r="A103" s="494" t="s">
        <v>291</v>
      </c>
      <c r="B103" s="509" t="s">
        <v>73</v>
      </c>
      <c r="C103" s="529" t="s">
        <v>26</v>
      </c>
      <c r="D103" s="530">
        <v>0</v>
      </c>
      <c r="E103" s="530">
        <v>0</v>
      </c>
      <c r="F103" s="532">
        <v>56386.875000000007</v>
      </c>
      <c r="G103" s="531"/>
      <c r="H103" s="530"/>
      <c r="I103" s="530"/>
      <c r="J103" s="531"/>
      <c r="K103" s="530">
        <v>1518.8015151515151</v>
      </c>
      <c r="L103" s="532">
        <v>50120.45</v>
      </c>
      <c r="M103" s="531"/>
      <c r="N103" s="532">
        <v>-6266.4250000000102</v>
      </c>
      <c r="O103" s="531"/>
      <c r="P103" s="530"/>
      <c r="Q103" s="532">
        <v>43866.15</v>
      </c>
      <c r="R103" s="531">
        <v>-1518.8015151515151</v>
      </c>
      <c r="S103" s="532">
        <v>6254.2999999999956</v>
      </c>
      <c r="T103" s="509"/>
      <c r="U103" s="509"/>
      <c r="V103" s="509"/>
      <c r="W103" s="509"/>
      <c r="X103" s="509"/>
      <c r="Y103" s="509"/>
      <c r="Z103" s="509"/>
      <c r="AA103" s="509"/>
      <c r="AB103" s="509"/>
      <c r="AC103" s="509"/>
      <c r="AD103" s="509"/>
      <c r="AE103" s="509"/>
      <c r="AF103" s="509"/>
      <c r="AG103" s="509"/>
      <c r="AH103" s="509"/>
      <c r="AI103" s="509"/>
      <c r="AJ103" s="509"/>
      <c r="AK103" s="509"/>
      <c r="AL103" s="509"/>
      <c r="AM103" s="509"/>
      <c r="AN103" s="509"/>
    </row>
    <row r="104" spans="1:40" ht="15.75" customHeight="1">
      <c r="A104" s="494" t="s">
        <v>292</v>
      </c>
      <c r="B104" s="509" t="s">
        <v>73</v>
      </c>
      <c r="C104" s="529" t="s">
        <v>27</v>
      </c>
      <c r="D104" s="530">
        <v>0</v>
      </c>
      <c r="E104" s="526">
        <v>0</v>
      </c>
      <c r="F104" s="532">
        <v>1944.3750000000002</v>
      </c>
      <c r="G104" s="531"/>
      <c r="H104" s="526"/>
      <c r="I104" s="530"/>
      <c r="J104" s="531"/>
      <c r="K104" s="526">
        <v>0</v>
      </c>
      <c r="L104" s="532">
        <v>0</v>
      </c>
      <c r="M104" s="543"/>
      <c r="N104" s="532">
        <v>-1944.3750000000002</v>
      </c>
      <c r="O104" s="531"/>
      <c r="P104" s="526"/>
      <c r="Q104" s="532">
        <v>1498.31</v>
      </c>
      <c r="R104" s="531">
        <v>0</v>
      </c>
      <c r="S104" s="532">
        <v>-1498.31</v>
      </c>
      <c r="T104" s="509"/>
      <c r="U104" s="509"/>
      <c r="V104" s="509"/>
      <c r="W104" s="509"/>
      <c r="X104" s="509"/>
      <c r="Y104" s="509"/>
      <c r="Z104" s="509"/>
      <c r="AA104" s="509"/>
      <c r="AB104" s="509"/>
      <c r="AC104" s="509"/>
      <c r="AD104" s="509"/>
      <c r="AE104" s="509"/>
      <c r="AF104" s="509"/>
      <c r="AG104" s="509"/>
      <c r="AH104" s="509"/>
      <c r="AI104" s="509"/>
      <c r="AJ104" s="509"/>
      <c r="AK104" s="509"/>
      <c r="AL104" s="509"/>
      <c r="AM104" s="509"/>
      <c r="AN104" s="509"/>
    </row>
    <row r="105" spans="1:40" ht="15.75" customHeight="1">
      <c r="A105" s="494" t="s">
        <v>293</v>
      </c>
      <c r="B105" s="509" t="s">
        <v>73</v>
      </c>
      <c r="C105" s="535" t="s">
        <v>28</v>
      </c>
      <c r="D105" s="536">
        <v>38.887500000000003</v>
      </c>
      <c r="E105" s="530">
        <v>2200</v>
      </c>
      <c r="F105" s="537">
        <v>85552.500000000015</v>
      </c>
      <c r="G105" s="538"/>
      <c r="H105" s="536"/>
      <c r="I105" s="537"/>
      <c r="J105" s="538">
        <v>33</v>
      </c>
      <c r="K105" s="536">
        <v>1791.8993939393938</v>
      </c>
      <c r="L105" s="537">
        <v>59132.679999999993</v>
      </c>
      <c r="M105" s="531">
        <v>-5.8875000000000028</v>
      </c>
      <c r="N105" s="537">
        <v>-26419.820000000022</v>
      </c>
      <c r="O105" s="538">
        <v>25</v>
      </c>
      <c r="P105" s="536">
        <v>2549.5452</v>
      </c>
      <c r="Q105" s="537">
        <v>63738.63</v>
      </c>
      <c r="R105" s="552"/>
      <c r="S105" s="537">
        <v>-4605.9500000000044</v>
      </c>
      <c r="T105" s="509"/>
      <c r="U105" s="509"/>
      <c r="V105" s="509"/>
      <c r="W105" s="509"/>
      <c r="X105" s="509"/>
      <c r="Y105" s="509"/>
      <c r="Z105" s="509"/>
      <c r="AA105" s="509"/>
      <c r="AB105" s="509"/>
      <c r="AC105" s="509"/>
      <c r="AD105" s="509"/>
      <c r="AE105" s="509"/>
      <c r="AF105" s="509"/>
      <c r="AG105" s="509"/>
      <c r="AH105" s="509"/>
      <c r="AI105" s="509"/>
      <c r="AJ105" s="509"/>
      <c r="AK105" s="509"/>
      <c r="AL105" s="509"/>
      <c r="AM105" s="509"/>
      <c r="AN105" s="509"/>
    </row>
    <row r="106" spans="1:40" ht="15.75" customHeight="1">
      <c r="A106" s="494" t="s">
        <v>73</v>
      </c>
      <c r="B106" s="509" t="s">
        <v>73</v>
      </c>
      <c r="C106" s="529"/>
      <c r="D106" s="509"/>
      <c r="E106" s="509"/>
      <c r="F106" s="555"/>
      <c r="G106" s="529"/>
      <c r="H106" s="640"/>
      <c r="I106" s="555"/>
      <c r="J106" s="529"/>
      <c r="K106" s="509"/>
      <c r="L106" s="555"/>
      <c r="M106" s="546"/>
      <c r="N106" s="547">
        <v>-0.30881411998480485</v>
      </c>
      <c r="O106" s="529"/>
      <c r="P106" s="509"/>
      <c r="Q106" s="555"/>
      <c r="R106" s="556"/>
      <c r="S106" s="547">
        <v>-7.2263084412074824E-2</v>
      </c>
      <c r="T106" s="509"/>
      <c r="U106" s="509"/>
      <c r="V106" s="509"/>
      <c r="W106" s="509"/>
      <c r="X106" s="509"/>
      <c r="Y106" s="509"/>
      <c r="Z106" s="509"/>
      <c r="AA106" s="509"/>
      <c r="AB106" s="509"/>
      <c r="AC106" s="509"/>
      <c r="AD106" s="509"/>
      <c r="AE106" s="509"/>
      <c r="AF106" s="509"/>
      <c r="AG106" s="509"/>
      <c r="AH106" s="509"/>
      <c r="AI106" s="509"/>
      <c r="AJ106" s="509"/>
      <c r="AK106" s="509"/>
      <c r="AL106" s="509"/>
      <c r="AM106" s="509"/>
      <c r="AN106" s="509"/>
    </row>
    <row r="107" spans="1:40" ht="15.75" customHeight="1" thickBot="1">
      <c r="A107" s="494" t="s">
        <v>73</v>
      </c>
      <c r="B107" s="509" t="s">
        <v>73</v>
      </c>
      <c r="C107" s="529"/>
      <c r="D107" s="509"/>
      <c r="E107" s="509"/>
      <c r="F107" s="555"/>
      <c r="G107" s="529"/>
      <c r="H107" s="640"/>
      <c r="I107" s="555"/>
      <c r="J107" s="529"/>
      <c r="K107" s="509"/>
      <c r="L107" s="555"/>
      <c r="M107" s="546"/>
      <c r="N107" s="547"/>
      <c r="O107" s="529"/>
      <c r="P107" s="509"/>
      <c r="Q107" s="555"/>
      <c r="R107" s="556"/>
      <c r="S107" s="547"/>
      <c r="T107" s="509"/>
      <c r="U107" s="509"/>
      <c r="V107" s="509"/>
      <c r="W107" s="509"/>
      <c r="X107" s="509"/>
      <c r="Y107" s="509"/>
      <c r="Z107" s="509"/>
      <c r="AA107" s="509"/>
      <c r="AB107" s="509"/>
      <c r="AC107" s="509"/>
      <c r="AD107" s="509"/>
      <c r="AE107" s="509"/>
      <c r="AF107" s="509"/>
      <c r="AG107" s="509"/>
      <c r="AH107" s="509"/>
      <c r="AI107" s="509"/>
      <c r="AJ107" s="509"/>
      <c r="AK107" s="509"/>
      <c r="AL107" s="509"/>
      <c r="AM107" s="509"/>
      <c r="AN107" s="509"/>
    </row>
    <row r="108" spans="1:40" ht="23.25" customHeight="1" thickTop="1">
      <c r="A108" s="494" t="s">
        <v>294</v>
      </c>
      <c r="B108" s="509" t="s">
        <v>73</v>
      </c>
      <c r="C108" s="557" t="s">
        <v>79</v>
      </c>
      <c r="D108" s="558">
        <v>78.69</v>
      </c>
      <c r="E108" s="559">
        <v>2179.0697674418607</v>
      </c>
      <c r="F108" s="560">
        <v>171471</v>
      </c>
      <c r="G108" s="561"/>
      <c r="H108" s="641"/>
      <c r="I108" s="560"/>
      <c r="J108" s="561">
        <v>62</v>
      </c>
      <c r="K108" s="559">
        <v>1369.3522580645156</v>
      </c>
      <c r="L108" s="560">
        <v>84899.839999999967</v>
      </c>
      <c r="M108" s="561">
        <v>-16.689999999999998</v>
      </c>
      <c r="N108" s="560">
        <v>-86571.160000000033</v>
      </c>
      <c r="O108" s="561">
        <v>82</v>
      </c>
      <c r="P108" s="559">
        <v>1872.1110975609745</v>
      </c>
      <c r="Q108" s="560">
        <v>153513.1099999999</v>
      </c>
      <c r="R108" s="561">
        <v>-20</v>
      </c>
      <c r="S108" s="560">
        <v>-68613.269999999931</v>
      </c>
      <c r="T108" s="509"/>
      <c r="U108" s="509"/>
      <c r="V108" s="509"/>
      <c r="W108" s="509"/>
      <c r="X108" s="509"/>
      <c r="Y108" s="509"/>
      <c r="Z108" s="509"/>
      <c r="AA108" s="509"/>
      <c r="AB108" s="509"/>
      <c r="AC108" s="509"/>
      <c r="AD108" s="509"/>
      <c r="AE108" s="509"/>
      <c r="AF108" s="509"/>
      <c r="AG108" s="509"/>
      <c r="AH108" s="509"/>
      <c r="AI108" s="509"/>
      <c r="AJ108" s="509"/>
      <c r="AK108" s="509"/>
      <c r="AL108" s="509"/>
      <c r="AM108" s="509"/>
      <c r="AN108" s="509"/>
    </row>
    <row r="109" spans="1:40" ht="19.5" customHeight="1" thickBot="1">
      <c r="A109" s="494" t="s">
        <v>73</v>
      </c>
      <c r="B109" s="509" t="s">
        <v>73</v>
      </c>
      <c r="C109" s="562"/>
      <c r="D109" s="563"/>
      <c r="E109" s="563"/>
      <c r="F109" s="564"/>
      <c r="G109" s="562"/>
      <c r="H109" s="563"/>
      <c r="I109" s="564"/>
      <c r="J109" s="562"/>
      <c r="K109" s="563"/>
      <c r="L109" s="565">
        <v>0.49512652285226055</v>
      </c>
      <c r="M109" s="566">
        <v>-0.21209810649383656</v>
      </c>
      <c r="N109" s="567">
        <v>-0.50487347714773945</v>
      </c>
      <c r="O109" s="562"/>
      <c r="P109" s="563"/>
      <c r="Q109" s="564"/>
      <c r="R109" s="642">
        <v>-4.0999999999999996</v>
      </c>
      <c r="S109" s="643">
        <v>-0.44695381391204947</v>
      </c>
      <c r="T109" s="509"/>
      <c r="U109" s="509"/>
      <c r="V109" s="509"/>
      <c r="W109" s="509"/>
      <c r="X109" s="509"/>
      <c r="Y109" s="509"/>
      <c r="Z109" s="509"/>
      <c r="AA109" s="509"/>
      <c r="AB109" s="509"/>
      <c r="AC109" s="509"/>
      <c r="AD109" s="509"/>
      <c r="AE109" s="509"/>
      <c r="AF109" s="509"/>
      <c r="AG109" s="509"/>
      <c r="AH109" s="509"/>
      <c r="AI109" s="509"/>
      <c r="AJ109" s="509"/>
      <c r="AK109" s="509"/>
      <c r="AL109" s="509"/>
      <c r="AM109" s="509"/>
      <c r="AN109" s="509"/>
    </row>
    <row r="110" spans="1:40" ht="15.75" customHeight="1" thickTop="1">
      <c r="A110" s="494" t="s">
        <v>73</v>
      </c>
      <c r="B110" s="509" t="s">
        <v>73</v>
      </c>
      <c r="C110" s="548"/>
      <c r="D110" s="568"/>
      <c r="E110" s="568"/>
      <c r="F110" s="569"/>
      <c r="G110" s="548"/>
      <c r="H110" s="568"/>
      <c r="I110" s="569"/>
      <c r="J110" s="548"/>
      <c r="K110" s="568"/>
      <c r="L110" s="569"/>
      <c r="M110" s="546"/>
      <c r="N110" s="547"/>
      <c r="O110" s="548"/>
      <c r="P110" s="568"/>
      <c r="Q110" s="569"/>
      <c r="R110" s="546"/>
      <c r="S110" s="547"/>
      <c r="T110" s="509"/>
      <c r="U110" s="509"/>
      <c r="V110" s="509"/>
      <c r="W110" s="509"/>
      <c r="X110" s="509"/>
      <c r="Y110" s="509"/>
      <c r="Z110" s="509"/>
      <c r="AA110" s="509"/>
      <c r="AB110" s="509"/>
      <c r="AC110" s="509"/>
      <c r="AD110" s="509"/>
      <c r="AE110" s="509"/>
      <c r="AF110" s="509"/>
      <c r="AG110" s="509"/>
      <c r="AH110" s="509"/>
      <c r="AI110" s="509"/>
      <c r="AJ110" s="509"/>
      <c r="AK110" s="509"/>
      <c r="AL110" s="509"/>
      <c r="AM110" s="509"/>
      <c r="AN110" s="509"/>
    </row>
    <row r="111" spans="1:40" ht="15.75" customHeight="1">
      <c r="A111" s="494" t="s">
        <v>295</v>
      </c>
      <c r="B111" s="509" t="s">
        <v>73</v>
      </c>
      <c r="C111" s="571" t="s">
        <v>30</v>
      </c>
      <c r="D111" s="509"/>
      <c r="E111" s="572"/>
      <c r="F111" s="555"/>
      <c r="G111" s="529"/>
      <c r="H111" s="572"/>
      <c r="I111" s="555"/>
      <c r="J111" s="529"/>
      <c r="K111" s="572"/>
      <c r="L111" s="539"/>
      <c r="M111" s="529"/>
      <c r="N111" s="539"/>
      <c r="O111" s="529"/>
      <c r="P111" s="572"/>
      <c r="Q111" s="539"/>
      <c r="R111" s="529"/>
      <c r="S111" s="539"/>
      <c r="T111" s="509"/>
      <c r="U111" s="509"/>
      <c r="V111" s="509"/>
      <c r="W111" s="509"/>
      <c r="X111" s="509"/>
      <c r="Y111" s="509"/>
      <c r="Z111" s="509"/>
      <c r="AA111" s="509"/>
      <c r="AB111" s="509"/>
      <c r="AC111" s="509"/>
      <c r="AD111" s="509"/>
      <c r="AE111" s="509"/>
      <c r="AF111" s="509"/>
      <c r="AG111" s="509"/>
      <c r="AH111" s="509"/>
      <c r="AI111" s="509"/>
      <c r="AJ111" s="509"/>
      <c r="AK111" s="509"/>
      <c r="AL111" s="509"/>
      <c r="AM111" s="509"/>
      <c r="AN111" s="509"/>
    </row>
    <row r="112" spans="1:40" ht="15.75" customHeight="1">
      <c r="A112" s="494" t="s">
        <v>296</v>
      </c>
      <c r="B112" s="509" t="s">
        <v>73</v>
      </c>
      <c r="C112" s="529" t="s">
        <v>31</v>
      </c>
      <c r="D112" s="644">
        <v>0.14849999999999999</v>
      </c>
      <c r="E112" s="570">
        <v>593.99999999999989</v>
      </c>
      <c r="F112" s="530">
        <v>23099.174999999999</v>
      </c>
      <c r="G112" s="574"/>
      <c r="H112" s="570"/>
      <c r="I112" s="530"/>
      <c r="J112" s="574">
        <v>0.79860497256786211</v>
      </c>
      <c r="K112" s="570">
        <v>521.81090909090904</v>
      </c>
      <c r="L112" s="532">
        <v>17219.759999999998</v>
      </c>
      <c r="M112" s="529"/>
      <c r="N112" s="555">
        <v>-5879.4150000000009</v>
      </c>
      <c r="O112" s="575">
        <v>0.42385620715599104</v>
      </c>
      <c r="P112" s="570">
        <v>972.35919999999999</v>
      </c>
      <c r="Q112" s="532">
        <v>24308.98</v>
      </c>
      <c r="R112" s="529"/>
      <c r="S112" s="555">
        <v>-7089.2200000000012</v>
      </c>
      <c r="T112" s="509"/>
      <c r="U112" s="509"/>
      <c r="V112" s="509"/>
      <c r="W112" s="509"/>
      <c r="X112" s="509"/>
      <c r="Y112" s="509"/>
      <c r="Z112" s="509"/>
      <c r="AA112" s="509"/>
      <c r="AB112" s="509"/>
      <c r="AC112" s="509"/>
      <c r="AD112" s="509"/>
      <c r="AE112" s="509"/>
      <c r="AF112" s="509"/>
      <c r="AG112" s="509"/>
      <c r="AH112" s="509"/>
      <c r="AI112" s="509"/>
      <c r="AJ112" s="509"/>
      <c r="AK112" s="509"/>
      <c r="AL112" s="509"/>
      <c r="AM112" s="509"/>
      <c r="AN112" s="509"/>
    </row>
    <row r="113" spans="1:40" ht="15.75" customHeight="1">
      <c r="A113" s="494" t="s">
        <v>297</v>
      </c>
      <c r="B113" s="509" t="s">
        <v>73</v>
      </c>
      <c r="C113" s="522" t="s">
        <v>32</v>
      </c>
      <c r="D113" s="645">
        <v>0.27537619699042409</v>
      </c>
      <c r="E113" s="577">
        <v>660</v>
      </c>
      <c r="F113" s="524">
        <v>25665.750000000004</v>
      </c>
      <c r="G113" s="578"/>
      <c r="H113" s="577"/>
      <c r="I113" s="524"/>
      <c r="J113" s="578">
        <v>0.27194559536723012</v>
      </c>
      <c r="K113" s="577">
        <v>537.56787878787884</v>
      </c>
      <c r="L113" s="532">
        <v>17739.740000000002</v>
      </c>
      <c r="M113" s="522"/>
      <c r="N113" s="579">
        <v>-7926.010000000002</v>
      </c>
      <c r="O113" s="580">
        <v>0.24962884616237763</v>
      </c>
      <c r="P113" s="577">
        <v>765.25600000000009</v>
      </c>
      <c r="Q113" s="532">
        <v>19131.400000000001</v>
      </c>
      <c r="R113" s="522"/>
      <c r="S113" s="579">
        <v>-1391.6599999999999</v>
      </c>
      <c r="T113" s="509"/>
      <c r="U113" s="509"/>
      <c r="V113" s="509"/>
      <c r="W113" s="509"/>
      <c r="X113" s="509"/>
      <c r="Y113" s="509"/>
      <c r="Z113" s="509"/>
      <c r="AA113" s="509"/>
      <c r="AB113" s="509"/>
      <c r="AC113" s="509"/>
      <c r="AD113" s="509"/>
      <c r="AE113" s="509"/>
      <c r="AF113" s="509"/>
      <c r="AG113" s="509"/>
      <c r="AH113" s="509"/>
      <c r="AI113" s="509"/>
      <c r="AJ113" s="509"/>
      <c r="AK113" s="509"/>
      <c r="AL113" s="509"/>
      <c r="AM113" s="509"/>
      <c r="AN113" s="509"/>
    </row>
    <row r="114" spans="1:40" ht="15.75" customHeight="1">
      <c r="A114" s="494" t="s">
        <v>298</v>
      </c>
      <c r="B114" s="509" t="s">
        <v>73</v>
      </c>
      <c r="C114" s="529" t="s">
        <v>33</v>
      </c>
      <c r="D114" s="581"/>
      <c r="E114" s="570">
        <v>10</v>
      </c>
      <c r="F114" s="530">
        <v>388.875</v>
      </c>
      <c r="G114" s="582"/>
      <c r="H114" s="570"/>
      <c r="I114" s="530"/>
      <c r="J114" s="529"/>
      <c r="K114" s="570">
        <v>-18.886969696969697</v>
      </c>
      <c r="L114" s="551">
        <v>-623.27</v>
      </c>
      <c r="M114" s="529"/>
      <c r="N114" s="555">
        <v>-1012.145</v>
      </c>
      <c r="O114" s="529"/>
      <c r="P114" s="570">
        <v>-2.5384000000000002</v>
      </c>
      <c r="Q114" s="551">
        <v>-63.46</v>
      </c>
      <c r="R114" s="529"/>
      <c r="S114" s="555">
        <v>-559.80999999999995</v>
      </c>
      <c r="T114" s="509"/>
      <c r="U114" s="509"/>
      <c r="V114" s="509"/>
      <c r="W114" s="530"/>
      <c r="X114" s="509"/>
      <c r="Y114" s="509"/>
      <c r="Z114" s="509"/>
      <c r="AA114" s="509"/>
      <c r="AB114" s="509"/>
      <c r="AC114" s="509"/>
      <c r="AD114" s="509"/>
      <c r="AE114" s="509"/>
      <c r="AF114" s="509"/>
      <c r="AG114" s="509"/>
      <c r="AH114" s="509"/>
      <c r="AI114" s="509"/>
      <c r="AJ114" s="509"/>
      <c r="AK114" s="509"/>
      <c r="AL114" s="509"/>
      <c r="AM114" s="509"/>
      <c r="AN114" s="509"/>
    </row>
    <row r="115" spans="1:40" ht="15.75" customHeight="1">
      <c r="A115" s="494" t="s">
        <v>299</v>
      </c>
      <c r="B115" s="509" t="s">
        <v>73</v>
      </c>
      <c r="C115" s="529" t="s">
        <v>34</v>
      </c>
      <c r="D115" s="581"/>
      <c r="E115" s="570">
        <v>7</v>
      </c>
      <c r="F115" s="530">
        <v>272.21250000000003</v>
      </c>
      <c r="G115" s="582"/>
      <c r="H115" s="570"/>
      <c r="I115" s="530"/>
      <c r="J115" s="529"/>
      <c r="K115" s="570">
        <v>68.74454545454546</v>
      </c>
      <c r="L115" s="532">
        <v>2268.5700000000002</v>
      </c>
      <c r="M115" s="529"/>
      <c r="N115" s="555">
        <v>1996.3575000000001</v>
      </c>
      <c r="O115" s="529"/>
      <c r="P115" s="570">
        <v>0</v>
      </c>
      <c r="Q115" s="532">
        <v>0</v>
      </c>
      <c r="R115" s="529"/>
      <c r="S115" s="555">
        <v>2268.5700000000002</v>
      </c>
      <c r="T115" s="509"/>
      <c r="U115" s="509"/>
      <c r="V115" s="509"/>
      <c r="W115" s="530"/>
      <c r="X115" s="509"/>
      <c r="Y115" s="509"/>
      <c r="Z115" s="509"/>
      <c r="AA115" s="509"/>
      <c r="AB115" s="509"/>
      <c r="AC115" s="509"/>
      <c r="AD115" s="509"/>
      <c r="AE115" s="509"/>
      <c r="AF115" s="509"/>
      <c r="AG115" s="509"/>
      <c r="AH115" s="509"/>
      <c r="AI115" s="509"/>
      <c r="AJ115" s="509"/>
      <c r="AK115" s="509"/>
      <c r="AL115" s="509"/>
      <c r="AM115" s="509"/>
      <c r="AN115" s="509"/>
    </row>
    <row r="116" spans="1:40" ht="15.75" customHeight="1">
      <c r="A116" s="494" t="s">
        <v>300</v>
      </c>
      <c r="B116" s="509" t="s">
        <v>73</v>
      </c>
      <c r="C116" s="522" t="s">
        <v>35</v>
      </c>
      <c r="D116" s="583"/>
      <c r="E116" s="577">
        <v>162</v>
      </c>
      <c r="F116" s="524">
        <v>6299.7750000000005</v>
      </c>
      <c r="G116" s="584"/>
      <c r="H116" s="577"/>
      <c r="I116" s="524"/>
      <c r="J116" s="522"/>
      <c r="K116" s="577">
        <v>147.01424242424244</v>
      </c>
      <c r="L116" s="524">
        <v>4851.47</v>
      </c>
      <c r="M116" s="522"/>
      <c r="N116" s="579">
        <v>-1448.3050000000003</v>
      </c>
      <c r="O116" s="522"/>
      <c r="P116" s="577">
        <v>166.30360000000002</v>
      </c>
      <c r="Q116" s="524">
        <v>4157.59</v>
      </c>
      <c r="R116" s="522"/>
      <c r="S116" s="579">
        <v>693.88000000000011</v>
      </c>
      <c r="T116" s="509"/>
      <c r="U116" s="570"/>
      <c r="V116" s="509"/>
      <c r="W116" s="530"/>
      <c r="X116" s="509"/>
      <c r="Y116" s="509"/>
      <c r="Z116" s="509"/>
      <c r="AA116" s="509"/>
      <c r="AB116" s="509"/>
      <c r="AC116" s="509"/>
      <c r="AD116" s="509"/>
      <c r="AE116" s="509"/>
      <c r="AF116" s="509"/>
      <c r="AG116" s="509"/>
      <c r="AH116" s="509"/>
      <c r="AI116" s="509"/>
      <c r="AJ116" s="509"/>
      <c r="AK116" s="509"/>
      <c r="AL116" s="509"/>
      <c r="AM116" s="509"/>
      <c r="AN116" s="509"/>
    </row>
    <row r="117" spans="1:40" ht="19.5" customHeight="1">
      <c r="A117" s="494" t="s">
        <v>301</v>
      </c>
      <c r="B117" s="509" t="s">
        <v>73</v>
      </c>
      <c r="C117" s="529" t="s">
        <v>36</v>
      </c>
      <c r="D117" s="581"/>
      <c r="E117" s="570">
        <v>289.63677274188359</v>
      </c>
      <c r="F117" s="530">
        <v>11263.25</v>
      </c>
      <c r="G117" s="582"/>
      <c r="H117" s="570"/>
      <c r="I117" s="530"/>
      <c r="J117" s="529"/>
      <c r="K117" s="570">
        <v>328.47787878787881</v>
      </c>
      <c r="L117" s="532">
        <v>10839.77</v>
      </c>
      <c r="M117" s="529"/>
      <c r="N117" s="555">
        <v>-423.47999999999956</v>
      </c>
      <c r="O117" s="529"/>
      <c r="P117" s="570">
        <v>557.51400000000001</v>
      </c>
      <c r="Q117" s="532">
        <v>13937.85</v>
      </c>
      <c r="R117" s="529"/>
      <c r="S117" s="555">
        <v>-3098.08</v>
      </c>
      <c r="T117" s="509"/>
      <c r="U117" s="509"/>
      <c r="V117" s="509"/>
      <c r="W117" s="530"/>
      <c r="Z117" s="509"/>
      <c r="AA117" s="509"/>
      <c r="AB117" s="509"/>
      <c r="AC117" s="509"/>
      <c r="AD117" s="509"/>
      <c r="AE117" s="509"/>
      <c r="AF117" s="509"/>
      <c r="AG117" s="509"/>
      <c r="AH117" s="509"/>
      <c r="AI117" s="509"/>
      <c r="AJ117" s="509"/>
      <c r="AK117" s="509"/>
      <c r="AL117" s="509"/>
      <c r="AM117" s="509"/>
      <c r="AN117" s="509"/>
    </row>
    <row r="118" spans="1:40" ht="15.75" customHeight="1">
      <c r="A118" s="494" t="s">
        <v>302</v>
      </c>
      <c r="B118" s="509" t="s">
        <v>73</v>
      </c>
      <c r="C118" s="529" t="s">
        <v>37</v>
      </c>
      <c r="D118" s="581"/>
      <c r="E118" s="570">
        <v>199.47674712937152</v>
      </c>
      <c r="F118" s="530">
        <v>7757.1520039934358</v>
      </c>
      <c r="G118" s="582"/>
      <c r="H118" s="570"/>
      <c r="I118" s="530"/>
      <c r="J118" s="529"/>
      <c r="K118" s="570">
        <v>216.83060606060604</v>
      </c>
      <c r="L118" s="532">
        <v>7155.41</v>
      </c>
      <c r="M118" s="529"/>
      <c r="N118" s="555">
        <v>-601.7420039934359</v>
      </c>
      <c r="O118" s="529"/>
      <c r="P118" s="570">
        <v>62.494</v>
      </c>
      <c r="Q118" s="532">
        <v>1562.35</v>
      </c>
      <c r="R118" s="529"/>
      <c r="S118" s="555">
        <v>5593.0599999999995</v>
      </c>
      <c r="T118" s="509"/>
      <c r="U118" s="509"/>
      <c r="V118" s="509"/>
      <c r="W118" s="530"/>
      <c r="X118" s="509"/>
      <c r="Y118" s="509"/>
      <c r="Z118" s="509"/>
      <c r="AA118" s="509"/>
      <c r="AB118" s="509"/>
      <c r="AC118" s="509"/>
      <c r="AD118" s="509"/>
      <c r="AE118" s="509"/>
      <c r="AF118" s="509"/>
      <c r="AG118" s="509"/>
      <c r="AH118" s="509"/>
      <c r="AI118" s="509"/>
      <c r="AJ118" s="509"/>
      <c r="AK118" s="509"/>
      <c r="AL118" s="509"/>
      <c r="AM118" s="509"/>
      <c r="AN118" s="509"/>
    </row>
    <row r="119" spans="1:40" ht="15.75" hidden="1" customHeight="1">
      <c r="A119" s="494" t="s">
        <v>303</v>
      </c>
      <c r="B119" s="509" t="s">
        <v>73</v>
      </c>
      <c r="C119" s="529" t="s">
        <v>20</v>
      </c>
      <c r="D119" s="581"/>
      <c r="E119" s="570">
        <v>0</v>
      </c>
      <c r="F119" s="530">
        <v>0</v>
      </c>
      <c r="G119" s="582"/>
      <c r="H119" s="570"/>
      <c r="I119" s="530"/>
      <c r="J119" s="529"/>
      <c r="K119" s="570">
        <v>0</v>
      </c>
      <c r="L119" s="532">
        <v>0</v>
      </c>
      <c r="M119" s="529"/>
      <c r="N119" s="555">
        <v>0</v>
      </c>
      <c r="O119" s="529"/>
      <c r="P119" s="570">
        <v>0</v>
      </c>
      <c r="Q119" s="532">
        <v>0</v>
      </c>
      <c r="R119" s="529"/>
      <c r="S119" s="555">
        <v>0</v>
      </c>
      <c r="T119" s="509"/>
      <c r="U119" s="509"/>
      <c r="V119" s="509"/>
      <c r="W119" s="509"/>
      <c r="X119" s="509"/>
      <c r="Y119" s="509"/>
      <c r="Z119" s="509"/>
      <c r="AA119" s="509"/>
      <c r="AB119" s="509"/>
      <c r="AC119" s="509"/>
      <c r="AD119" s="509"/>
      <c r="AE119" s="509"/>
      <c r="AF119" s="509"/>
      <c r="AG119" s="509"/>
      <c r="AH119" s="509"/>
      <c r="AI119" s="509"/>
      <c r="AJ119" s="509"/>
      <c r="AK119" s="509"/>
      <c r="AL119" s="509"/>
      <c r="AM119" s="509"/>
      <c r="AN119" s="509"/>
    </row>
    <row r="120" spans="1:40" ht="15.75" hidden="1" customHeight="1">
      <c r="A120" s="494" t="s">
        <v>303</v>
      </c>
      <c r="B120" s="509" t="s">
        <v>73</v>
      </c>
      <c r="C120" s="529" t="s">
        <v>20</v>
      </c>
      <c r="D120" s="581"/>
      <c r="E120" s="570">
        <v>0</v>
      </c>
      <c r="F120" s="530">
        <v>0</v>
      </c>
      <c r="G120" s="582"/>
      <c r="H120" s="570"/>
      <c r="I120" s="530"/>
      <c r="J120" s="529"/>
      <c r="K120" s="570">
        <v>0</v>
      </c>
      <c r="L120" s="532">
        <v>0</v>
      </c>
      <c r="M120" s="529"/>
      <c r="N120" s="555">
        <v>0</v>
      </c>
      <c r="O120" s="529"/>
      <c r="P120" s="570">
        <v>0</v>
      </c>
      <c r="Q120" s="532">
        <v>0</v>
      </c>
      <c r="R120" s="529"/>
      <c r="S120" s="555">
        <v>0</v>
      </c>
      <c r="T120" s="509"/>
      <c r="U120" s="509"/>
      <c r="V120" s="509"/>
      <c r="W120" s="509"/>
      <c r="X120" s="509"/>
      <c r="Y120" s="509"/>
      <c r="Z120" s="509"/>
      <c r="AA120" s="509"/>
      <c r="AB120" s="509"/>
      <c r="AC120" s="509"/>
      <c r="AD120" s="509"/>
      <c r="AE120" s="509"/>
      <c r="AF120" s="509"/>
      <c r="AG120" s="509"/>
      <c r="AH120" s="509"/>
      <c r="AI120" s="509"/>
      <c r="AJ120" s="509"/>
      <c r="AK120" s="509"/>
      <c r="AL120" s="509"/>
      <c r="AM120" s="509"/>
      <c r="AN120" s="509"/>
    </row>
    <row r="121" spans="1:40" ht="15.75" hidden="1" customHeight="1">
      <c r="A121" s="494" t="s">
        <v>303</v>
      </c>
      <c r="B121" s="509" t="s">
        <v>73</v>
      </c>
      <c r="C121" s="529" t="s">
        <v>20</v>
      </c>
      <c r="D121" s="581"/>
      <c r="E121" s="570">
        <v>0</v>
      </c>
      <c r="F121" s="530">
        <v>0</v>
      </c>
      <c r="G121" s="582"/>
      <c r="H121" s="570"/>
      <c r="I121" s="530"/>
      <c r="J121" s="529"/>
      <c r="K121" s="570">
        <v>0</v>
      </c>
      <c r="L121" s="532">
        <v>0</v>
      </c>
      <c r="M121" s="529"/>
      <c r="N121" s="555">
        <v>0</v>
      </c>
      <c r="O121" s="529"/>
      <c r="P121" s="570">
        <v>0</v>
      </c>
      <c r="Q121" s="532">
        <v>0</v>
      </c>
      <c r="R121" s="529"/>
      <c r="S121" s="555">
        <v>0</v>
      </c>
      <c r="T121" s="509"/>
      <c r="U121" s="509"/>
      <c r="V121" s="509"/>
      <c r="W121" s="509"/>
      <c r="X121" s="509"/>
      <c r="Y121" s="509"/>
      <c r="Z121" s="509"/>
      <c r="AA121" s="509"/>
      <c r="AB121" s="509"/>
      <c r="AC121" s="509"/>
      <c r="AD121" s="509"/>
      <c r="AE121" s="509"/>
      <c r="AF121" s="509"/>
      <c r="AG121" s="509"/>
      <c r="AH121" s="509"/>
      <c r="AI121" s="509"/>
      <c r="AJ121" s="509"/>
      <c r="AK121" s="509"/>
      <c r="AL121" s="509"/>
      <c r="AM121" s="509"/>
      <c r="AN121" s="509"/>
    </row>
    <row r="122" spans="1:40" ht="15.75" customHeight="1">
      <c r="A122" s="494" t="s">
        <v>304</v>
      </c>
      <c r="B122" s="509" t="s">
        <v>73</v>
      </c>
      <c r="C122" s="588" t="s">
        <v>38</v>
      </c>
      <c r="D122" s="589" t="s">
        <v>39</v>
      </c>
      <c r="E122" s="590">
        <v>0.43591155066450565</v>
      </c>
      <c r="F122" s="591">
        <v>74746.189503993446</v>
      </c>
      <c r="G122" s="592"/>
      <c r="H122" s="590"/>
      <c r="I122" s="591"/>
      <c r="J122" s="592" t="s">
        <v>39</v>
      </c>
      <c r="K122" s="590">
        <v>0.7002539698543605</v>
      </c>
      <c r="L122" s="591">
        <v>59451.450000000012</v>
      </c>
      <c r="M122" s="595"/>
      <c r="N122" s="591">
        <v>-15294.739503993434</v>
      </c>
      <c r="O122" s="592" t="s">
        <v>39</v>
      </c>
      <c r="P122" s="590">
        <v>0.41061450712580866</v>
      </c>
      <c r="Q122" s="591">
        <v>63034.710000000006</v>
      </c>
      <c r="R122" s="595"/>
      <c r="S122" s="591">
        <v>-3583.2599999999948</v>
      </c>
      <c r="T122" s="509"/>
      <c r="U122" s="509"/>
      <c r="X122" s="509"/>
      <c r="Y122" s="509"/>
      <c r="Z122" s="509"/>
      <c r="AA122" s="509"/>
      <c r="AB122" s="509"/>
      <c r="AC122" s="509"/>
      <c r="AD122" s="509"/>
      <c r="AE122" s="509"/>
      <c r="AF122" s="509"/>
      <c r="AG122" s="509"/>
      <c r="AH122" s="509"/>
      <c r="AI122" s="509"/>
      <c r="AJ122" s="509"/>
      <c r="AK122" s="509"/>
      <c r="AL122" s="509"/>
      <c r="AM122" s="509"/>
      <c r="AN122" s="509"/>
    </row>
    <row r="123" spans="1:40" ht="15.75" customHeight="1">
      <c r="A123" s="494" t="s">
        <v>305</v>
      </c>
      <c r="B123" s="509" t="s">
        <v>73</v>
      </c>
      <c r="C123" s="596" t="s">
        <v>41</v>
      </c>
      <c r="D123" s="509"/>
      <c r="E123" s="509"/>
      <c r="F123" s="530">
        <v>12590.7</v>
      </c>
      <c r="G123" s="529"/>
      <c r="H123" s="509"/>
      <c r="I123" s="530"/>
      <c r="J123" s="529"/>
      <c r="K123" s="509"/>
      <c r="L123" s="532">
        <v>12701.48</v>
      </c>
      <c r="M123" s="529"/>
      <c r="N123" s="555">
        <v>110.77999999999884</v>
      </c>
      <c r="O123" s="529"/>
      <c r="P123" s="509"/>
      <c r="Q123" s="532">
        <v>5868.57</v>
      </c>
      <c r="R123" s="529"/>
      <c r="S123" s="555">
        <v>6832.91</v>
      </c>
      <c r="T123" s="509"/>
      <c r="U123" s="509"/>
      <c r="V123" s="509"/>
      <c r="W123" s="509"/>
      <c r="X123" s="509"/>
      <c r="Y123" s="509"/>
      <c r="Z123" s="509"/>
      <c r="AA123" s="509"/>
      <c r="AB123" s="509"/>
      <c r="AC123" s="509"/>
      <c r="AD123" s="509"/>
      <c r="AE123" s="509"/>
      <c r="AF123" s="509"/>
      <c r="AG123" s="509"/>
      <c r="AH123" s="509"/>
      <c r="AI123" s="509"/>
      <c r="AJ123" s="509"/>
      <c r="AK123" s="509"/>
      <c r="AL123" s="509"/>
      <c r="AM123" s="509"/>
      <c r="AN123" s="509"/>
    </row>
    <row r="124" spans="1:40" ht="15.75" customHeight="1">
      <c r="A124" s="494" t="s">
        <v>306</v>
      </c>
      <c r="B124" s="509" t="s">
        <v>73</v>
      </c>
      <c r="C124" s="598" t="s">
        <v>42</v>
      </c>
      <c r="D124" s="581"/>
      <c r="E124" s="509"/>
      <c r="F124" s="524">
        <v>4255.0024615384618</v>
      </c>
      <c r="G124" s="582"/>
      <c r="H124" s="509"/>
      <c r="I124" s="524"/>
      <c r="J124" s="529"/>
      <c r="K124" s="509"/>
      <c r="L124" s="524">
        <v>1795.65</v>
      </c>
      <c r="M124" s="529"/>
      <c r="N124" s="555">
        <v>-2459.3524615384617</v>
      </c>
      <c r="O124" s="529"/>
      <c r="P124" s="509"/>
      <c r="Q124" s="524">
        <v>7695.5</v>
      </c>
      <c r="R124" s="529"/>
      <c r="S124" s="555">
        <v>-5899.85</v>
      </c>
      <c r="T124" s="509"/>
      <c r="U124" s="509"/>
      <c r="V124" s="509"/>
      <c r="W124" s="509"/>
      <c r="X124" s="509"/>
      <c r="Y124" s="509"/>
      <c r="Z124" s="509"/>
      <c r="AA124" s="509"/>
      <c r="AB124" s="509"/>
      <c r="AC124" s="509"/>
      <c r="AD124" s="509"/>
      <c r="AE124" s="509"/>
      <c r="AF124" s="509"/>
      <c r="AG124" s="509"/>
      <c r="AH124" s="509"/>
      <c r="AI124" s="509"/>
      <c r="AJ124" s="509"/>
      <c r="AK124" s="509"/>
      <c r="AL124" s="509"/>
      <c r="AM124" s="509"/>
      <c r="AN124" s="509"/>
    </row>
    <row r="125" spans="1:40" ht="15.75" customHeight="1">
      <c r="A125" s="494" t="s">
        <v>307</v>
      </c>
      <c r="B125" s="509" t="s">
        <v>73</v>
      </c>
      <c r="C125" s="596" t="s">
        <v>43</v>
      </c>
      <c r="D125" s="599"/>
      <c r="E125" s="600"/>
      <c r="F125" s="530">
        <v>5693.6923076923076</v>
      </c>
      <c r="G125" s="601"/>
      <c r="H125" s="600"/>
      <c r="I125" s="530"/>
      <c r="J125" s="517"/>
      <c r="K125" s="600"/>
      <c r="L125" s="532">
        <v>5382.63</v>
      </c>
      <c r="M125" s="517"/>
      <c r="N125" s="602">
        <v>-311.06230769230751</v>
      </c>
      <c r="O125" s="517"/>
      <c r="P125" s="600"/>
      <c r="Q125" s="532">
        <v>10820.29</v>
      </c>
      <c r="R125" s="517"/>
      <c r="S125" s="602">
        <v>-5437.6600000000008</v>
      </c>
      <c r="T125" s="509"/>
      <c r="U125" s="509"/>
      <c r="V125" s="509"/>
      <c r="W125" s="509"/>
      <c r="X125" s="509"/>
      <c r="Y125" s="509"/>
      <c r="Z125" s="509"/>
      <c r="AA125" s="509"/>
      <c r="AB125" s="509"/>
      <c r="AC125" s="509"/>
      <c r="AD125" s="509"/>
      <c r="AE125" s="509"/>
      <c r="AF125" s="509"/>
      <c r="AG125" s="509"/>
      <c r="AH125" s="509"/>
      <c r="AI125" s="509"/>
      <c r="AJ125" s="509"/>
      <c r="AK125" s="509"/>
      <c r="AL125" s="509"/>
      <c r="AM125" s="509"/>
      <c r="AN125" s="509"/>
    </row>
    <row r="126" spans="1:40" ht="15.75" customHeight="1">
      <c r="A126" s="494" t="s">
        <v>308</v>
      </c>
      <c r="B126" s="509" t="s">
        <v>73</v>
      </c>
      <c r="C126" s="596" t="s">
        <v>44</v>
      </c>
      <c r="D126" s="581"/>
      <c r="E126" s="509"/>
      <c r="F126" s="530">
        <v>0</v>
      </c>
      <c r="G126" s="582"/>
      <c r="H126" s="509"/>
      <c r="I126" s="530"/>
      <c r="J126" s="529"/>
      <c r="K126" s="509"/>
      <c r="L126" s="532">
        <v>0</v>
      </c>
      <c r="M126" s="529"/>
      <c r="N126" s="555">
        <v>0</v>
      </c>
      <c r="O126" s="529"/>
      <c r="P126" s="509"/>
      <c r="Q126" s="532">
        <v>0</v>
      </c>
      <c r="R126" s="529"/>
      <c r="S126" s="555">
        <v>0</v>
      </c>
      <c r="T126" s="509"/>
      <c r="U126" s="509"/>
      <c r="V126" s="509"/>
      <c r="W126" s="509"/>
      <c r="X126" s="509"/>
      <c r="Y126" s="509"/>
      <c r="Z126" s="509"/>
      <c r="AA126" s="509"/>
      <c r="AB126" s="509"/>
      <c r="AC126" s="509"/>
      <c r="AD126" s="509"/>
      <c r="AE126" s="509"/>
      <c r="AF126" s="509"/>
      <c r="AG126" s="509"/>
      <c r="AH126" s="509"/>
      <c r="AI126" s="509"/>
      <c r="AJ126" s="509"/>
      <c r="AK126" s="509"/>
      <c r="AL126" s="509"/>
      <c r="AM126" s="509"/>
      <c r="AN126" s="509"/>
    </row>
    <row r="127" spans="1:40" ht="15.75" hidden="1" customHeight="1">
      <c r="A127" s="494" t="s">
        <v>303</v>
      </c>
      <c r="B127" s="509" t="s">
        <v>73</v>
      </c>
      <c r="C127" s="596" t="s">
        <v>20</v>
      </c>
      <c r="D127" s="581"/>
      <c r="E127" s="509"/>
      <c r="F127" s="530">
        <v>0</v>
      </c>
      <c r="G127" s="582"/>
      <c r="H127" s="509"/>
      <c r="I127" s="530"/>
      <c r="J127" s="529"/>
      <c r="K127" s="509"/>
      <c r="L127" s="532">
        <v>0</v>
      </c>
      <c r="M127" s="529"/>
      <c r="N127" s="555">
        <v>0</v>
      </c>
      <c r="O127" s="529"/>
      <c r="P127" s="509"/>
      <c r="Q127" s="532">
        <v>0</v>
      </c>
      <c r="R127" s="529"/>
      <c r="S127" s="555">
        <v>0</v>
      </c>
      <c r="T127" s="509"/>
      <c r="U127" s="509"/>
      <c r="V127" s="509"/>
      <c r="W127" s="509"/>
      <c r="X127" s="509"/>
      <c r="Y127" s="509"/>
      <c r="Z127" s="509"/>
      <c r="AA127" s="509"/>
      <c r="AB127" s="509"/>
      <c r="AC127" s="509"/>
      <c r="AD127" s="509"/>
      <c r="AE127" s="509"/>
      <c r="AF127" s="509"/>
      <c r="AG127" s="509"/>
      <c r="AH127" s="509"/>
      <c r="AI127" s="509"/>
      <c r="AJ127" s="509"/>
      <c r="AK127" s="509"/>
      <c r="AL127" s="509"/>
      <c r="AM127" s="509"/>
      <c r="AN127" s="509"/>
    </row>
    <row r="128" spans="1:40" ht="15.75" hidden="1" customHeight="1">
      <c r="A128" s="494" t="s">
        <v>303</v>
      </c>
      <c r="B128" s="509" t="s">
        <v>73</v>
      </c>
      <c r="C128" s="596" t="s">
        <v>20</v>
      </c>
      <c r="D128" s="581"/>
      <c r="E128" s="509"/>
      <c r="F128" s="530">
        <v>0</v>
      </c>
      <c r="G128" s="582"/>
      <c r="H128" s="509"/>
      <c r="I128" s="530"/>
      <c r="J128" s="529"/>
      <c r="K128" s="509"/>
      <c r="L128" s="532">
        <v>0</v>
      </c>
      <c r="M128" s="529"/>
      <c r="N128" s="555">
        <v>0</v>
      </c>
      <c r="O128" s="529"/>
      <c r="P128" s="509"/>
      <c r="Q128" s="532">
        <v>0</v>
      </c>
      <c r="R128" s="529"/>
      <c r="S128" s="555">
        <v>0</v>
      </c>
      <c r="T128" s="509"/>
      <c r="U128" s="509"/>
      <c r="V128" s="509"/>
      <c r="W128" s="509"/>
      <c r="X128" s="509"/>
      <c r="Y128" s="509"/>
      <c r="Z128" s="509"/>
      <c r="AA128" s="509"/>
      <c r="AB128" s="509"/>
      <c r="AC128" s="509"/>
      <c r="AD128" s="509"/>
      <c r="AE128" s="509"/>
      <c r="AF128" s="509"/>
      <c r="AG128" s="509"/>
      <c r="AH128" s="509"/>
      <c r="AI128" s="509"/>
      <c r="AJ128" s="509"/>
      <c r="AK128" s="509"/>
      <c r="AL128" s="509"/>
      <c r="AM128" s="509"/>
      <c r="AN128" s="509"/>
    </row>
    <row r="129" spans="1:40" ht="15.75" hidden="1" customHeight="1">
      <c r="A129" s="494" t="s">
        <v>303</v>
      </c>
      <c r="B129" s="509" t="s">
        <v>73</v>
      </c>
      <c r="C129" s="596" t="s">
        <v>20</v>
      </c>
      <c r="D129" s="581"/>
      <c r="E129" s="509"/>
      <c r="F129" s="530">
        <v>0</v>
      </c>
      <c r="G129" s="582"/>
      <c r="H129" s="509"/>
      <c r="I129" s="530"/>
      <c r="J129" s="529"/>
      <c r="K129" s="509"/>
      <c r="L129" s="532">
        <v>0</v>
      </c>
      <c r="M129" s="529"/>
      <c r="N129" s="555">
        <v>0</v>
      </c>
      <c r="O129" s="529"/>
      <c r="P129" s="509"/>
      <c r="Q129" s="532">
        <v>0</v>
      </c>
      <c r="R129" s="529"/>
      <c r="S129" s="555">
        <v>0</v>
      </c>
      <c r="T129" s="509"/>
      <c r="U129" s="509"/>
      <c r="V129" s="509"/>
      <c r="W129" s="509"/>
      <c r="X129" s="509"/>
      <c r="Y129" s="509"/>
      <c r="Z129" s="509"/>
      <c r="AA129" s="509"/>
      <c r="AB129" s="509"/>
      <c r="AC129" s="509"/>
      <c r="AD129" s="509"/>
      <c r="AE129" s="509"/>
      <c r="AF129" s="509"/>
      <c r="AG129" s="509"/>
      <c r="AH129" s="509"/>
      <c r="AI129" s="509"/>
      <c r="AJ129" s="509"/>
      <c r="AK129" s="509"/>
      <c r="AL129" s="509"/>
      <c r="AM129" s="509"/>
      <c r="AN129" s="509"/>
    </row>
    <row r="130" spans="1:40" ht="15.75" customHeight="1">
      <c r="A130" s="494" t="s">
        <v>309</v>
      </c>
      <c r="B130" s="509" t="s">
        <v>73</v>
      </c>
      <c r="C130" s="598" t="s">
        <v>45</v>
      </c>
      <c r="D130" s="581"/>
      <c r="E130" s="509"/>
      <c r="F130" s="530">
        <v>8203.0908396410268</v>
      </c>
      <c r="G130" s="582"/>
      <c r="H130" s="509"/>
      <c r="I130" s="530"/>
      <c r="J130" s="529"/>
      <c r="K130" s="509"/>
      <c r="L130" s="532">
        <v>7290.8</v>
      </c>
      <c r="M130" s="529"/>
      <c r="N130" s="555">
        <v>-912.29083964102665</v>
      </c>
      <c r="O130" s="529"/>
      <c r="P130" s="509"/>
      <c r="Q130" s="532">
        <v>9064.58</v>
      </c>
      <c r="R130" s="529"/>
      <c r="S130" s="555">
        <v>-1773.7799999999997</v>
      </c>
      <c r="T130" s="509"/>
      <c r="U130" s="509"/>
      <c r="V130" s="509"/>
      <c r="W130" s="509"/>
      <c r="X130" s="509"/>
      <c r="Y130" s="509"/>
      <c r="Z130" s="509"/>
      <c r="AA130" s="509"/>
      <c r="AB130" s="509"/>
      <c r="AC130" s="509"/>
      <c r="AD130" s="509"/>
      <c r="AE130" s="509"/>
      <c r="AF130" s="509"/>
      <c r="AG130" s="509"/>
      <c r="AH130" s="509"/>
      <c r="AI130" s="509"/>
      <c r="AJ130" s="509"/>
      <c r="AK130" s="509"/>
      <c r="AL130" s="509"/>
      <c r="AM130" s="509"/>
      <c r="AN130" s="509"/>
    </row>
    <row r="131" spans="1:40" ht="15.75" customHeight="1">
      <c r="A131" s="494" t="s">
        <v>310</v>
      </c>
      <c r="B131" s="509" t="s">
        <v>73</v>
      </c>
      <c r="C131" s="596" t="s">
        <v>46</v>
      </c>
      <c r="D131" s="599"/>
      <c r="E131" s="600"/>
      <c r="F131" s="550">
        <v>9973.8020781538489</v>
      </c>
      <c r="G131" s="601"/>
      <c r="H131" s="600"/>
      <c r="I131" s="550"/>
      <c r="J131" s="517"/>
      <c r="K131" s="600"/>
      <c r="L131" s="551">
        <v>7365.92</v>
      </c>
      <c r="M131" s="517"/>
      <c r="N131" s="602">
        <v>-2607.8820781538489</v>
      </c>
      <c r="O131" s="517"/>
      <c r="P131" s="600"/>
      <c r="Q131" s="551">
        <v>8664.81</v>
      </c>
      <c r="R131" s="517"/>
      <c r="S131" s="602">
        <v>-1298.8899999999994</v>
      </c>
      <c r="T131" s="509"/>
      <c r="U131" s="509"/>
      <c r="V131" s="509"/>
      <c r="W131" s="509"/>
      <c r="X131" s="509"/>
      <c r="Y131" s="509"/>
      <c r="Z131" s="509"/>
      <c r="AA131" s="509"/>
      <c r="AB131" s="509"/>
      <c r="AC131" s="509"/>
      <c r="AD131" s="509"/>
      <c r="AE131" s="509"/>
      <c r="AF131" s="509"/>
      <c r="AG131" s="509"/>
      <c r="AH131" s="509"/>
      <c r="AI131" s="509"/>
      <c r="AJ131" s="509"/>
      <c r="AK131" s="509"/>
      <c r="AL131" s="509"/>
      <c r="AM131" s="509"/>
      <c r="AN131" s="509"/>
    </row>
    <row r="132" spans="1:40" ht="15.75" customHeight="1">
      <c r="A132" s="494" t="s">
        <v>311</v>
      </c>
      <c r="B132" s="509" t="s">
        <v>73</v>
      </c>
      <c r="C132" s="596" t="s">
        <v>47</v>
      </c>
      <c r="D132" s="581"/>
      <c r="E132" s="509"/>
      <c r="F132" s="530">
        <v>5138.6762880923079</v>
      </c>
      <c r="G132" s="582"/>
      <c r="H132" s="509"/>
      <c r="I132" s="530"/>
      <c r="J132" s="529"/>
      <c r="K132" s="509"/>
      <c r="L132" s="532">
        <v>1319.4</v>
      </c>
      <c r="M132" s="529"/>
      <c r="N132" s="555">
        <v>-3819.2762880923078</v>
      </c>
      <c r="O132" s="529"/>
      <c r="P132" s="509"/>
      <c r="Q132" s="532">
        <v>3509.34</v>
      </c>
      <c r="R132" s="529"/>
      <c r="S132" s="555">
        <v>-2189.94</v>
      </c>
      <c r="T132" s="509"/>
      <c r="U132" s="509"/>
      <c r="V132" s="509"/>
      <c r="W132" s="509"/>
      <c r="X132" s="509"/>
      <c r="Y132" s="509"/>
      <c r="Z132" s="509"/>
      <c r="AA132" s="509"/>
      <c r="AB132" s="509"/>
      <c r="AC132" s="509"/>
      <c r="AD132" s="509"/>
      <c r="AE132" s="509"/>
      <c r="AF132" s="509"/>
      <c r="AG132" s="509"/>
      <c r="AH132" s="509"/>
      <c r="AI132" s="509"/>
      <c r="AJ132" s="509"/>
      <c r="AK132" s="509"/>
      <c r="AL132" s="509"/>
      <c r="AM132" s="509"/>
      <c r="AN132" s="509"/>
    </row>
    <row r="133" spans="1:40" ht="15.75" customHeight="1">
      <c r="A133" s="494" t="s">
        <v>312</v>
      </c>
      <c r="B133" s="509" t="s">
        <v>73</v>
      </c>
      <c r="C133" s="596" t="s">
        <v>48</v>
      </c>
      <c r="D133" s="581"/>
      <c r="E133" s="509"/>
      <c r="F133" s="530">
        <v>2240.4917711794874</v>
      </c>
      <c r="G133" s="582"/>
      <c r="H133" s="509"/>
      <c r="I133" s="530"/>
      <c r="J133" s="529"/>
      <c r="K133" s="509"/>
      <c r="L133" s="532">
        <v>1262.81</v>
      </c>
      <c r="M133" s="529"/>
      <c r="N133" s="555">
        <v>-977.68177117948744</v>
      </c>
      <c r="O133" s="529"/>
      <c r="P133" s="509"/>
      <c r="Q133" s="532">
        <v>1964.95</v>
      </c>
      <c r="R133" s="529"/>
      <c r="S133" s="555">
        <v>-702.1400000000001</v>
      </c>
      <c r="T133" s="509"/>
      <c r="U133" s="509"/>
      <c r="V133" s="509"/>
      <c r="W133" s="509"/>
      <c r="X133" s="509"/>
      <c r="Y133" s="509"/>
      <c r="Z133" s="509"/>
      <c r="AA133" s="509"/>
      <c r="AB133" s="509"/>
      <c r="AC133" s="509"/>
      <c r="AD133" s="509"/>
      <c r="AE133" s="509"/>
      <c r="AF133" s="509"/>
      <c r="AG133" s="509"/>
      <c r="AH133" s="509"/>
      <c r="AI133" s="509"/>
      <c r="AJ133" s="509"/>
      <c r="AK133" s="509"/>
      <c r="AL133" s="509"/>
      <c r="AM133" s="509"/>
      <c r="AN133" s="509"/>
    </row>
    <row r="134" spans="1:40" ht="15.75" hidden="1" customHeight="1">
      <c r="A134" s="494" t="s">
        <v>303</v>
      </c>
      <c r="B134" s="509" t="s">
        <v>73</v>
      </c>
      <c r="C134" s="529" t="s">
        <v>20</v>
      </c>
      <c r="D134" s="583"/>
      <c r="E134" s="603"/>
      <c r="F134" s="530">
        <v>0</v>
      </c>
      <c r="G134" s="584"/>
      <c r="H134" s="603"/>
      <c r="I134" s="530"/>
      <c r="J134" s="522"/>
      <c r="K134" s="603"/>
      <c r="L134" s="532">
        <v>0</v>
      </c>
      <c r="M134" s="522"/>
      <c r="N134" s="579">
        <v>0</v>
      </c>
      <c r="O134" s="522"/>
      <c r="P134" s="603"/>
      <c r="Q134" s="532">
        <v>0</v>
      </c>
      <c r="R134" s="522"/>
      <c r="S134" s="579">
        <v>0</v>
      </c>
      <c r="T134" s="509"/>
      <c r="U134" s="509"/>
      <c r="V134" s="509"/>
      <c r="W134" s="509"/>
      <c r="X134" s="509"/>
      <c r="Y134" s="509"/>
      <c r="Z134" s="509"/>
      <c r="AA134" s="509"/>
      <c r="AB134" s="509"/>
      <c r="AC134" s="509"/>
      <c r="AD134" s="509"/>
      <c r="AE134" s="509"/>
      <c r="AF134" s="509"/>
      <c r="AG134" s="509"/>
      <c r="AH134" s="509"/>
      <c r="AI134" s="509"/>
      <c r="AJ134" s="509"/>
      <c r="AK134" s="509"/>
      <c r="AL134" s="509"/>
      <c r="AM134" s="509"/>
      <c r="AN134" s="509"/>
    </row>
    <row r="135" spans="1:40" ht="15.75" customHeight="1">
      <c r="A135" s="494" t="s">
        <v>313</v>
      </c>
      <c r="B135" s="509" t="s">
        <v>73</v>
      </c>
      <c r="C135" s="588" t="s">
        <v>49</v>
      </c>
      <c r="D135" s="589" t="s">
        <v>39</v>
      </c>
      <c r="E135" s="590">
        <v>0.28048740455410787</v>
      </c>
      <c r="F135" s="591">
        <v>48095.455746297434</v>
      </c>
      <c r="G135" s="592"/>
      <c r="H135" s="590"/>
      <c r="I135" s="591"/>
      <c r="J135" s="592" t="s">
        <v>39</v>
      </c>
      <c r="K135" s="590">
        <v>0.43720565315553023</v>
      </c>
      <c r="L135" s="591">
        <v>37118.689999999995</v>
      </c>
      <c r="M135" s="646"/>
      <c r="N135" s="605">
        <v>-10976.765746297438</v>
      </c>
      <c r="O135" s="592" t="s">
        <v>39</v>
      </c>
      <c r="P135" s="590">
        <v>0.30999332890852138</v>
      </c>
      <c r="Q135" s="591">
        <v>47588.039999999994</v>
      </c>
      <c r="R135" s="646"/>
      <c r="S135" s="605">
        <v>-10469.349999999999</v>
      </c>
      <c r="T135" s="509"/>
      <c r="U135" s="509"/>
      <c r="V135" s="509"/>
      <c r="W135" s="509"/>
      <c r="X135" s="509"/>
      <c r="Y135" s="509"/>
      <c r="Z135" s="509"/>
      <c r="AA135" s="509"/>
      <c r="AB135" s="509"/>
      <c r="AC135" s="509"/>
      <c r="AD135" s="509"/>
      <c r="AE135" s="509"/>
      <c r="AF135" s="509"/>
      <c r="AG135" s="509"/>
      <c r="AH135" s="509"/>
      <c r="AI135" s="509"/>
      <c r="AJ135" s="509"/>
      <c r="AK135" s="509"/>
      <c r="AL135" s="509"/>
      <c r="AM135" s="509"/>
      <c r="AN135" s="509"/>
    </row>
    <row r="136" spans="1:40" ht="15.75" hidden="1" customHeight="1">
      <c r="A136" s="494" t="s">
        <v>314</v>
      </c>
      <c r="B136" s="509" t="s">
        <v>73</v>
      </c>
      <c r="C136" s="529" t="s">
        <v>50</v>
      </c>
      <c r="D136" s="581"/>
      <c r="E136" s="509"/>
      <c r="F136" s="530">
        <v>0</v>
      </c>
      <c r="G136" s="582"/>
      <c r="H136" s="509"/>
      <c r="I136" s="530"/>
      <c r="J136" s="529"/>
      <c r="K136" s="509"/>
      <c r="L136" s="532">
        <v>0</v>
      </c>
      <c r="M136" s="529"/>
      <c r="N136" s="555">
        <v>0</v>
      </c>
      <c r="O136" s="529"/>
      <c r="P136" s="509"/>
      <c r="Q136" s="532">
        <v>0</v>
      </c>
      <c r="R136" s="529"/>
      <c r="S136" s="555">
        <v>0</v>
      </c>
      <c r="T136" s="509"/>
      <c r="U136" s="509"/>
      <c r="V136" s="509"/>
      <c r="W136" s="509"/>
      <c r="X136" s="509"/>
      <c r="Y136" s="509"/>
      <c r="Z136" s="509"/>
      <c r="AA136" s="509"/>
      <c r="AB136" s="509"/>
      <c r="AC136" s="509"/>
      <c r="AD136" s="509"/>
      <c r="AE136" s="509"/>
      <c r="AF136" s="509"/>
      <c r="AG136" s="509"/>
      <c r="AH136" s="509"/>
      <c r="AI136" s="509"/>
      <c r="AJ136" s="509"/>
      <c r="AK136" s="509"/>
      <c r="AL136" s="509"/>
      <c r="AM136" s="509"/>
      <c r="AN136" s="509"/>
    </row>
    <row r="137" spans="1:40" ht="15.75" hidden="1" customHeight="1">
      <c r="A137" s="494" t="s">
        <v>315</v>
      </c>
      <c r="B137" s="509" t="s">
        <v>73</v>
      </c>
      <c r="C137" s="529" t="s">
        <v>51</v>
      </c>
      <c r="D137" s="581"/>
      <c r="E137" s="509"/>
      <c r="F137" s="530">
        <v>0</v>
      </c>
      <c r="G137" s="582"/>
      <c r="H137" s="509"/>
      <c r="I137" s="530"/>
      <c r="J137" s="529"/>
      <c r="K137" s="509"/>
      <c r="L137" s="532">
        <v>0</v>
      </c>
      <c r="M137" s="529"/>
      <c r="N137" s="555">
        <v>0</v>
      </c>
      <c r="O137" s="529"/>
      <c r="P137" s="509"/>
      <c r="Q137" s="532">
        <v>0</v>
      </c>
      <c r="R137" s="529"/>
      <c r="S137" s="555">
        <v>0</v>
      </c>
      <c r="T137" s="509"/>
      <c r="U137" s="509"/>
      <c r="V137" s="509"/>
      <c r="W137" s="509"/>
      <c r="X137" s="509"/>
      <c r="Y137" s="509"/>
      <c r="Z137" s="509"/>
      <c r="AA137" s="509"/>
      <c r="AB137" s="509"/>
      <c r="AC137" s="509"/>
      <c r="AD137" s="509"/>
      <c r="AE137" s="509"/>
      <c r="AF137" s="509"/>
      <c r="AG137" s="509"/>
      <c r="AH137" s="509"/>
      <c r="AI137" s="509"/>
      <c r="AJ137" s="509"/>
      <c r="AK137" s="509"/>
      <c r="AL137" s="509"/>
      <c r="AM137" s="509"/>
      <c r="AN137" s="509"/>
    </row>
    <row r="138" spans="1:40" ht="15.75" customHeight="1">
      <c r="A138" s="494" t="s">
        <v>316</v>
      </c>
      <c r="B138" s="509" t="s">
        <v>73</v>
      </c>
      <c r="C138" s="522" t="s">
        <v>52</v>
      </c>
      <c r="D138" s="583"/>
      <c r="E138" s="603"/>
      <c r="F138" s="524">
        <v>2458.3333333333335</v>
      </c>
      <c r="G138" s="584"/>
      <c r="H138" s="603"/>
      <c r="I138" s="524"/>
      <c r="J138" s="522"/>
      <c r="K138" s="603"/>
      <c r="L138" s="524">
        <v>734.6</v>
      </c>
      <c r="M138" s="522"/>
      <c r="N138" s="579">
        <v>-1723.7333333333336</v>
      </c>
      <c r="O138" s="522"/>
      <c r="P138" s="603"/>
      <c r="Q138" s="524">
        <v>1622</v>
      </c>
      <c r="R138" s="522"/>
      <c r="S138" s="579">
        <v>-887.4</v>
      </c>
      <c r="T138" s="509"/>
      <c r="U138" s="509"/>
      <c r="V138" s="509"/>
      <c r="W138" s="509"/>
      <c r="X138" s="509"/>
      <c r="Y138" s="509"/>
      <c r="Z138" s="509"/>
      <c r="AA138" s="509"/>
      <c r="AB138" s="509"/>
      <c r="AC138" s="509"/>
      <c r="AD138" s="509"/>
      <c r="AE138" s="509"/>
      <c r="AF138" s="509"/>
      <c r="AG138" s="509"/>
      <c r="AH138" s="509"/>
      <c r="AI138" s="509"/>
      <c r="AJ138" s="509"/>
      <c r="AK138" s="509"/>
      <c r="AL138" s="509"/>
      <c r="AM138" s="509"/>
      <c r="AN138" s="509"/>
    </row>
    <row r="139" spans="1:40" ht="15.75" customHeight="1">
      <c r="A139" s="494" t="s">
        <v>317</v>
      </c>
      <c r="B139" s="509" t="s">
        <v>73</v>
      </c>
      <c r="C139" s="529" t="s">
        <v>53</v>
      </c>
      <c r="D139" s="581"/>
      <c r="E139" s="509"/>
      <c r="F139" s="530">
        <v>3627.0415373333331</v>
      </c>
      <c r="G139" s="582"/>
      <c r="H139" s="509"/>
      <c r="I139" s="530"/>
      <c r="J139" s="529"/>
      <c r="K139" s="509"/>
      <c r="L139" s="532">
        <v>3748.21</v>
      </c>
      <c r="M139" s="529"/>
      <c r="N139" s="555">
        <v>121.16846266666698</v>
      </c>
      <c r="O139" s="529"/>
      <c r="P139" s="509"/>
      <c r="Q139" s="532">
        <v>3390.32</v>
      </c>
      <c r="R139" s="529"/>
      <c r="S139" s="555">
        <v>357.88999999999987</v>
      </c>
      <c r="T139" s="509"/>
      <c r="U139" s="509"/>
      <c r="V139" s="509"/>
      <c r="W139" s="509"/>
      <c r="X139" s="509"/>
      <c r="Y139" s="509"/>
      <c r="Z139" s="509"/>
      <c r="AA139" s="509"/>
      <c r="AB139" s="509"/>
      <c r="AC139" s="509"/>
      <c r="AD139" s="509"/>
      <c r="AE139" s="509"/>
      <c r="AF139" s="509"/>
      <c r="AG139" s="509"/>
      <c r="AH139" s="509"/>
      <c r="AI139" s="509"/>
      <c r="AJ139" s="509"/>
      <c r="AK139" s="509"/>
      <c r="AL139" s="509"/>
      <c r="AM139" s="509"/>
      <c r="AN139" s="509"/>
    </row>
    <row r="140" spans="1:40" ht="15.75" customHeight="1">
      <c r="A140" s="494" t="s">
        <v>318</v>
      </c>
      <c r="B140" s="509" t="s">
        <v>73</v>
      </c>
      <c r="C140" s="529" t="s">
        <v>54</v>
      </c>
      <c r="D140" s="581"/>
      <c r="E140" s="509"/>
      <c r="F140" s="530">
        <v>521.10924639426287</v>
      </c>
      <c r="G140" s="582"/>
      <c r="H140" s="509"/>
      <c r="I140" s="530"/>
      <c r="J140" s="529"/>
      <c r="K140" s="509"/>
      <c r="L140" s="532">
        <v>686.51</v>
      </c>
      <c r="M140" s="529"/>
      <c r="N140" s="555">
        <v>165.40075360573712</v>
      </c>
      <c r="O140" s="529"/>
      <c r="P140" s="509"/>
      <c r="Q140" s="532">
        <v>-6.81</v>
      </c>
      <c r="R140" s="529"/>
      <c r="S140" s="555">
        <v>693.31999999999994</v>
      </c>
      <c r="T140" s="644"/>
      <c r="U140" s="509"/>
      <c r="V140" s="509"/>
      <c r="W140" s="509"/>
      <c r="X140" s="509"/>
      <c r="Y140" s="509"/>
      <c r="Z140" s="509"/>
      <c r="AA140" s="509"/>
      <c r="AB140" s="509"/>
      <c r="AC140" s="509"/>
      <c r="AD140" s="509"/>
      <c r="AE140" s="509"/>
      <c r="AF140" s="509"/>
      <c r="AG140" s="509"/>
      <c r="AH140" s="509"/>
      <c r="AI140" s="509"/>
      <c r="AJ140" s="509"/>
      <c r="AK140" s="509"/>
      <c r="AL140" s="509"/>
      <c r="AM140" s="509"/>
      <c r="AN140" s="509"/>
    </row>
    <row r="141" spans="1:40" ht="15.75" customHeight="1">
      <c r="A141" s="494" t="s">
        <v>319</v>
      </c>
      <c r="B141" s="509" t="s">
        <v>73</v>
      </c>
      <c r="C141" s="522" t="s">
        <v>55</v>
      </c>
      <c r="D141" s="583"/>
      <c r="E141" s="603"/>
      <c r="F141" s="524">
        <v>1489.5910533277777</v>
      </c>
      <c r="G141" s="584"/>
      <c r="H141" s="603"/>
      <c r="I141" s="524"/>
      <c r="J141" s="522"/>
      <c r="K141" s="603"/>
      <c r="L141" s="524">
        <v>1327.35</v>
      </c>
      <c r="M141" s="522"/>
      <c r="N141" s="579">
        <v>-162.24105332777776</v>
      </c>
      <c r="O141" s="522"/>
      <c r="P141" s="603"/>
      <c r="Q141" s="524">
        <v>1114.8</v>
      </c>
      <c r="R141" s="522"/>
      <c r="S141" s="579">
        <v>212.54999999999995</v>
      </c>
      <c r="T141" s="509"/>
      <c r="U141" s="509"/>
      <c r="V141" s="509"/>
      <c r="W141" s="509"/>
      <c r="X141" s="509"/>
      <c r="Y141" s="509"/>
      <c r="Z141" s="509"/>
      <c r="AA141" s="509"/>
      <c r="AB141" s="509"/>
      <c r="AC141" s="509"/>
      <c r="AD141" s="509"/>
      <c r="AE141" s="509"/>
      <c r="AF141" s="509"/>
      <c r="AG141" s="509"/>
      <c r="AH141" s="509"/>
      <c r="AI141" s="509"/>
      <c r="AJ141" s="509"/>
      <c r="AK141" s="509"/>
      <c r="AL141" s="509"/>
      <c r="AM141" s="509"/>
      <c r="AN141" s="509"/>
    </row>
    <row r="142" spans="1:40" ht="15.75" customHeight="1">
      <c r="A142" s="494" t="s">
        <v>320</v>
      </c>
      <c r="B142" s="509" t="s">
        <v>73</v>
      </c>
      <c r="C142" s="529" t="s">
        <v>56</v>
      </c>
      <c r="D142" s="581"/>
      <c r="E142" s="509"/>
      <c r="F142" s="530">
        <v>125</v>
      </c>
      <c r="G142" s="582"/>
      <c r="H142" s="509"/>
      <c r="I142" s="530"/>
      <c r="J142" s="529"/>
      <c r="K142" s="509"/>
      <c r="L142" s="532">
        <v>1.71</v>
      </c>
      <c r="M142" s="529"/>
      <c r="N142" s="555">
        <v>-123.29</v>
      </c>
      <c r="O142" s="529"/>
      <c r="P142" s="509"/>
      <c r="Q142" s="532">
        <v>0</v>
      </c>
      <c r="R142" s="529"/>
      <c r="S142" s="555">
        <v>1.71</v>
      </c>
      <c r="T142" s="509"/>
      <c r="U142" s="509"/>
      <c r="V142" s="509"/>
      <c r="W142" s="509"/>
      <c r="X142" s="509"/>
      <c r="Y142" s="509"/>
      <c r="Z142" s="509"/>
      <c r="AA142" s="509"/>
      <c r="AB142" s="509"/>
      <c r="AC142" s="509"/>
      <c r="AD142" s="509"/>
      <c r="AE142" s="509"/>
      <c r="AF142" s="509"/>
      <c r="AG142" s="509"/>
      <c r="AH142" s="509"/>
      <c r="AI142" s="509"/>
      <c r="AJ142" s="509"/>
      <c r="AK142" s="509"/>
      <c r="AL142" s="509"/>
      <c r="AM142" s="509"/>
      <c r="AN142" s="509"/>
    </row>
    <row r="143" spans="1:40" ht="15.75" customHeight="1">
      <c r="A143" s="494" t="s">
        <v>321</v>
      </c>
      <c r="B143" s="509" t="s">
        <v>73</v>
      </c>
      <c r="C143" s="529" t="s">
        <v>57</v>
      </c>
      <c r="D143" s="581"/>
      <c r="E143" s="509"/>
      <c r="F143" s="530">
        <v>83.333333333333329</v>
      </c>
      <c r="G143" s="582"/>
      <c r="H143" s="509"/>
      <c r="I143" s="530"/>
      <c r="J143" s="529"/>
      <c r="K143" s="509"/>
      <c r="L143" s="532">
        <v>0</v>
      </c>
      <c r="M143" s="529"/>
      <c r="N143" s="555">
        <v>-83.333333333333329</v>
      </c>
      <c r="O143" s="529"/>
      <c r="P143" s="509"/>
      <c r="Q143" s="532">
        <v>0</v>
      </c>
      <c r="R143" s="529"/>
      <c r="S143" s="555">
        <v>0</v>
      </c>
      <c r="T143" s="509"/>
      <c r="U143" s="509"/>
      <c r="V143" s="509"/>
      <c r="W143" s="509"/>
      <c r="X143" s="509"/>
      <c r="Y143" s="509"/>
      <c r="Z143" s="509"/>
      <c r="AA143" s="509"/>
      <c r="AB143" s="509"/>
      <c r="AC143" s="509"/>
      <c r="AD143" s="509"/>
      <c r="AE143" s="509"/>
      <c r="AF143" s="509"/>
      <c r="AG143" s="509"/>
      <c r="AH143" s="509"/>
      <c r="AI143" s="509"/>
      <c r="AJ143" s="509"/>
      <c r="AK143" s="509"/>
      <c r="AL143" s="509"/>
      <c r="AM143" s="509"/>
      <c r="AN143" s="509"/>
    </row>
    <row r="144" spans="1:40" ht="15.75" customHeight="1">
      <c r="A144" s="494" t="s">
        <v>322</v>
      </c>
      <c r="B144" s="509" t="s">
        <v>73</v>
      </c>
      <c r="C144" s="529" t="s">
        <v>58</v>
      </c>
      <c r="D144" s="581"/>
      <c r="E144" s="509"/>
      <c r="F144" s="530">
        <v>306.78425698799998</v>
      </c>
      <c r="G144" s="582"/>
      <c r="H144" s="509"/>
      <c r="I144" s="530"/>
      <c r="J144" s="529"/>
      <c r="K144" s="509"/>
      <c r="L144" s="532">
        <v>145.5</v>
      </c>
      <c r="M144" s="529"/>
      <c r="N144" s="555">
        <v>-161.28425698799998</v>
      </c>
      <c r="O144" s="529"/>
      <c r="P144" s="509"/>
      <c r="Q144" s="532">
        <v>227.16</v>
      </c>
      <c r="R144" s="529"/>
      <c r="S144" s="555">
        <v>-81.66</v>
      </c>
      <c r="T144" s="509"/>
      <c r="U144" s="509"/>
      <c r="V144" s="509"/>
      <c r="W144" s="509"/>
      <c r="X144" s="509"/>
      <c r="Y144" s="509"/>
      <c r="Z144" s="509"/>
      <c r="AA144" s="509"/>
      <c r="AB144" s="509"/>
      <c r="AC144" s="509"/>
      <c r="AD144" s="509"/>
      <c r="AE144" s="509"/>
      <c r="AF144" s="509"/>
      <c r="AG144" s="509"/>
      <c r="AH144" s="509"/>
      <c r="AI144" s="509"/>
      <c r="AJ144" s="509"/>
      <c r="AK144" s="509"/>
      <c r="AL144" s="509"/>
      <c r="AM144" s="509"/>
      <c r="AN144" s="509"/>
    </row>
    <row r="145" spans="1:40" ht="15.75" customHeight="1">
      <c r="A145" s="494" t="s">
        <v>323</v>
      </c>
      <c r="B145" s="509" t="s">
        <v>73</v>
      </c>
      <c r="C145" s="529" t="s">
        <v>59</v>
      </c>
      <c r="D145" s="581"/>
      <c r="E145" s="509"/>
      <c r="F145" s="530">
        <v>84.486631894833309</v>
      </c>
      <c r="G145" s="582"/>
      <c r="H145" s="509"/>
      <c r="I145" s="530"/>
      <c r="J145" s="529"/>
      <c r="K145" s="509"/>
      <c r="L145" s="532">
        <v>43.55</v>
      </c>
      <c r="M145" s="529"/>
      <c r="N145" s="555">
        <v>-40.936631894833312</v>
      </c>
      <c r="O145" s="529"/>
      <c r="P145" s="509"/>
      <c r="Q145" s="532">
        <v>35.96</v>
      </c>
      <c r="R145" s="529"/>
      <c r="S145" s="555">
        <v>7.5899999999999963</v>
      </c>
      <c r="T145" s="509"/>
      <c r="U145" s="509"/>
      <c r="V145" s="509"/>
      <c r="W145" s="509"/>
      <c r="X145" s="509"/>
      <c r="Y145" s="509"/>
      <c r="Z145" s="509"/>
      <c r="AA145" s="509"/>
      <c r="AB145" s="509"/>
      <c r="AC145" s="509"/>
      <c r="AD145" s="509"/>
      <c r="AE145" s="509"/>
      <c r="AF145" s="509"/>
      <c r="AG145" s="509"/>
      <c r="AH145" s="509"/>
      <c r="AI145" s="509"/>
      <c r="AJ145" s="509"/>
      <c r="AK145" s="509"/>
      <c r="AL145" s="509"/>
      <c r="AM145" s="509"/>
      <c r="AN145" s="509"/>
    </row>
    <row r="146" spans="1:40" ht="15.75" customHeight="1">
      <c r="A146" s="494" t="s">
        <v>324</v>
      </c>
      <c r="B146" s="509" t="s">
        <v>73</v>
      </c>
      <c r="C146" s="529" t="s">
        <v>60</v>
      </c>
      <c r="D146" s="581"/>
      <c r="E146" s="509"/>
      <c r="F146" s="530">
        <v>60.326747465166655</v>
      </c>
      <c r="G146" s="582"/>
      <c r="H146" s="509"/>
      <c r="I146" s="530"/>
      <c r="J146" s="529"/>
      <c r="K146" s="509"/>
      <c r="L146" s="532">
        <v>12.36</v>
      </c>
      <c r="M146" s="529"/>
      <c r="N146" s="555">
        <v>-47.966747465166655</v>
      </c>
      <c r="O146" s="529"/>
      <c r="P146" s="509"/>
      <c r="Q146" s="532">
        <v>30.69</v>
      </c>
      <c r="R146" s="529"/>
      <c r="S146" s="555">
        <v>-18.330000000000002</v>
      </c>
      <c r="T146" s="509"/>
      <c r="U146" s="509"/>
      <c r="V146" s="509"/>
      <c r="W146" s="509"/>
      <c r="X146" s="509"/>
      <c r="Y146" s="509"/>
      <c r="Z146" s="509"/>
      <c r="AA146" s="509"/>
      <c r="AB146" s="509"/>
      <c r="AC146" s="509"/>
      <c r="AD146" s="509"/>
      <c r="AE146" s="509"/>
      <c r="AF146" s="509"/>
      <c r="AG146" s="509"/>
      <c r="AH146" s="509"/>
      <c r="AI146" s="509"/>
      <c r="AJ146" s="509"/>
      <c r="AK146" s="509"/>
      <c r="AL146" s="509"/>
      <c r="AM146" s="509"/>
      <c r="AN146" s="509"/>
    </row>
    <row r="147" spans="1:40" ht="15.75" customHeight="1">
      <c r="A147" s="494" t="s">
        <v>325</v>
      </c>
      <c r="B147" s="509" t="s">
        <v>73</v>
      </c>
      <c r="C147" s="529" t="s">
        <v>61</v>
      </c>
      <c r="D147" s="581"/>
      <c r="E147" s="509"/>
      <c r="F147" s="530">
        <v>199.78005128816665</v>
      </c>
      <c r="G147" s="582"/>
      <c r="H147" s="509"/>
      <c r="I147" s="530"/>
      <c r="J147" s="529"/>
      <c r="K147" s="509"/>
      <c r="L147" s="532">
        <v>46.42</v>
      </c>
      <c r="M147" s="529"/>
      <c r="N147" s="555">
        <v>-153.36005128816663</v>
      </c>
      <c r="O147" s="529"/>
      <c r="P147" s="509"/>
      <c r="Q147" s="532">
        <v>41.75</v>
      </c>
      <c r="R147" s="529"/>
      <c r="S147" s="555">
        <v>4.6700000000000017</v>
      </c>
      <c r="T147" s="509"/>
      <c r="U147" s="509"/>
      <c r="V147" s="509"/>
      <c r="W147" s="509"/>
      <c r="X147" s="509"/>
      <c r="Y147" s="509"/>
      <c r="Z147" s="509"/>
      <c r="AA147" s="509"/>
      <c r="AB147" s="509"/>
      <c r="AC147" s="509"/>
      <c r="AD147" s="509"/>
      <c r="AE147" s="509"/>
      <c r="AF147" s="509"/>
      <c r="AG147" s="509"/>
      <c r="AH147" s="509"/>
      <c r="AI147" s="509"/>
      <c r="AJ147" s="509"/>
      <c r="AK147" s="509"/>
      <c r="AL147" s="509"/>
      <c r="AM147" s="509"/>
      <c r="AN147" s="509"/>
    </row>
    <row r="148" spans="1:40" ht="15.75" customHeight="1">
      <c r="A148" s="494" t="s">
        <v>326</v>
      </c>
      <c r="B148" s="509" t="s">
        <v>73</v>
      </c>
      <c r="C148" s="529" t="s">
        <v>62</v>
      </c>
      <c r="D148" s="581"/>
      <c r="E148" s="509"/>
      <c r="F148" s="530">
        <v>502.23226969701432</v>
      </c>
      <c r="G148" s="582"/>
      <c r="H148" s="509"/>
      <c r="I148" s="530"/>
      <c r="J148" s="529"/>
      <c r="K148" s="509"/>
      <c r="L148" s="532">
        <v>38.28</v>
      </c>
      <c r="M148" s="529"/>
      <c r="N148" s="555">
        <v>-463.95226969701434</v>
      </c>
      <c r="O148" s="529"/>
      <c r="P148" s="509"/>
      <c r="Q148" s="532">
        <v>182.97</v>
      </c>
      <c r="R148" s="529"/>
      <c r="S148" s="555">
        <v>-144.69</v>
      </c>
      <c r="T148" s="509"/>
      <c r="X148" s="509"/>
      <c r="Y148" s="509"/>
      <c r="Z148" s="509"/>
      <c r="AA148" s="509"/>
      <c r="AB148" s="509"/>
      <c r="AC148" s="509"/>
      <c r="AD148" s="509"/>
      <c r="AE148" s="509"/>
      <c r="AF148" s="509"/>
      <c r="AG148" s="509"/>
      <c r="AH148" s="509"/>
      <c r="AI148" s="509"/>
      <c r="AJ148" s="509"/>
      <c r="AK148" s="509"/>
      <c r="AL148" s="509"/>
      <c r="AM148" s="509"/>
      <c r="AN148" s="509"/>
    </row>
    <row r="149" spans="1:40" ht="15.75" customHeight="1">
      <c r="A149" s="494" t="s">
        <v>327</v>
      </c>
      <c r="B149" s="509" t="s">
        <v>73</v>
      </c>
      <c r="C149" s="529" t="s">
        <v>63</v>
      </c>
      <c r="D149" s="581"/>
      <c r="E149" s="509"/>
      <c r="F149" s="530">
        <v>782.17457105829214</v>
      </c>
      <c r="G149" s="582"/>
      <c r="H149" s="509"/>
      <c r="I149" s="530"/>
      <c r="J149" s="529"/>
      <c r="K149" s="509"/>
      <c r="L149" s="532">
        <v>746.19</v>
      </c>
      <c r="M149" s="529"/>
      <c r="N149" s="555">
        <v>-35.98457105829209</v>
      </c>
      <c r="O149" s="529"/>
      <c r="P149" s="509"/>
      <c r="Q149" s="532">
        <v>786.04</v>
      </c>
      <c r="R149" s="529"/>
      <c r="S149" s="555">
        <v>-39.849999999999909</v>
      </c>
      <c r="T149" s="570"/>
      <c r="X149" s="509"/>
      <c r="Y149" s="509"/>
      <c r="Z149" s="509"/>
      <c r="AA149" s="509"/>
      <c r="AB149" s="509"/>
      <c r="AC149" s="509"/>
      <c r="AD149" s="509"/>
      <c r="AE149" s="509"/>
      <c r="AF149" s="509"/>
      <c r="AG149" s="509"/>
      <c r="AH149" s="509"/>
      <c r="AI149" s="509"/>
      <c r="AJ149" s="509"/>
      <c r="AK149" s="509"/>
      <c r="AL149" s="509"/>
      <c r="AM149" s="509"/>
      <c r="AN149" s="509"/>
    </row>
    <row r="150" spans="1:40" ht="15.75" hidden="1" customHeight="1">
      <c r="A150" s="494" t="s">
        <v>303</v>
      </c>
      <c r="B150" s="509" t="s">
        <v>73</v>
      </c>
      <c r="C150" s="529" t="s">
        <v>20</v>
      </c>
      <c r="D150" s="581"/>
      <c r="E150" s="509"/>
      <c r="F150" s="530">
        <v>0</v>
      </c>
      <c r="G150" s="582"/>
      <c r="H150" s="509"/>
      <c r="I150" s="530"/>
      <c r="J150" s="529"/>
      <c r="K150" s="509"/>
      <c r="L150" s="532">
        <v>0</v>
      </c>
      <c r="M150" s="529"/>
      <c r="N150" s="555">
        <v>0</v>
      </c>
      <c r="O150" s="529"/>
      <c r="P150" s="509"/>
      <c r="Q150" s="532">
        <v>0</v>
      </c>
      <c r="R150" s="529"/>
      <c r="S150" s="555">
        <v>0</v>
      </c>
      <c r="T150" s="509"/>
      <c r="X150" s="509"/>
      <c r="Y150" s="509"/>
      <c r="Z150" s="509"/>
      <c r="AA150" s="509"/>
      <c r="AB150" s="509"/>
      <c r="AC150" s="509"/>
      <c r="AD150" s="509"/>
      <c r="AE150" s="509"/>
      <c r="AF150" s="509"/>
      <c r="AG150" s="509"/>
      <c r="AH150" s="509"/>
      <c r="AI150" s="509"/>
      <c r="AJ150" s="509"/>
      <c r="AK150" s="509"/>
      <c r="AL150" s="509"/>
      <c r="AM150" s="509"/>
      <c r="AN150" s="509"/>
    </row>
    <row r="151" spans="1:40" ht="15.75" hidden="1" customHeight="1">
      <c r="A151" s="494" t="s">
        <v>303</v>
      </c>
      <c r="B151" s="509" t="s">
        <v>73</v>
      </c>
      <c r="C151" s="529" t="s">
        <v>20</v>
      </c>
      <c r="D151" s="581"/>
      <c r="E151" s="509"/>
      <c r="F151" s="530">
        <v>0</v>
      </c>
      <c r="G151" s="582"/>
      <c r="H151" s="509"/>
      <c r="I151" s="530"/>
      <c r="J151" s="529"/>
      <c r="K151" s="509"/>
      <c r="L151" s="532">
        <v>0</v>
      </c>
      <c r="M151" s="529"/>
      <c r="N151" s="555">
        <v>0</v>
      </c>
      <c r="O151" s="529"/>
      <c r="P151" s="509"/>
      <c r="Q151" s="532">
        <v>0</v>
      </c>
      <c r="R151" s="529"/>
      <c r="S151" s="555">
        <v>0</v>
      </c>
      <c r="T151" s="509"/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509"/>
      <c r="AK151" s="509"/>
      <c r="AL151" s="509"/>
      <c r="AM151" s="509"/>
      <c r="AN151" s="509"/>
    </row>
    <row r="152" spans="1:40" ht="15.75" hidden="1" customHeight="1">
      <c r="A152" s="494" t="s">
        <v>303</v>
      </c>
      <c r="B152" s="509" t="s">
        <v>73</v>
      </c>
      <c r="C152" s="529" t="s">
        <v>20</v>
      </c>
      <c r="D152" s="581"/>
      <c r="E152" s="509"/>
      <c r="F152" s="530">
        <v>0</v>
      </c>
      <c r="G152" s="582"/>
      <c r="H152" s="509"/>
      <c r="I152" s="530"/>
      <c r="J152" s="529"/>
      <c r="K152" s="509"/>
      <c r="L152" s="532">
        <v>0</v>
      </c>
      <c r="M152" s="529"/>
      <c r="N152" s="555">
        <v>0</v>
      </c>
      <c r="O152" s="529"/>
      <c r="P152" s="509"/>
      <c r="Q152" s="532">
        <v>0</v>
      </c>
      <c r="R152" s="529"/>
      <c r="S152" s="555">
        <v>0</v>
      </c>
      <c r="T152" s="570"/>
      <c r="X152" s="509"/>
      <c r="Y152" s="509"/>
      <c r="Z152" s="509"/>
      <c r="AA152" s="509"/>
      <c r="AB152" s="509"/>
      <c r="AC152" s="509"/>
      <c r="AD152" s="509"/>
      <c r="AE152" s="509"/>
      <c r="AF152" s="509"/>
      <c r="AG152" s="509"/>
      <c r="AH152" s="509"/>
      <c r="AI152" s="509"/>
      <c r="AJ152" s="509"/>
      <c r="AK152" s="509"/>
      <c r="AL152" s="509"/>
      <c r="AM152" s="509"/>
      <c r="AN152" s="509"/>
    </row>
    <row r="153" spans="1:40" ht="15.75" customHeight="1">
      <c r="A153" s="494" t="s">
        <v>328</v>
      </c>
      <c r="B153" s="509" t="s">
        <v>73</v>
      </c>
      <c r="C153" s="588" t="s">
        <v>64</v>
      </c>
      <c r="D153" s="589" t="s">
        <v>39</v>
      </c>
      <c r="E153" s="590">
        <v>5.971967873350896E-2</v>
      </c>
      <c r="F153" s="591">
        <v>10240.193032113515</v>
      </c>
      <c r="G153" s="592"/>
      <c r="H153" s="590"/>
      <c r="I153" s="591"/>
      <c r="J153" s="592" t="s">
        <v>39</v>
      </c>
      <c r="K153" s="590">
        <v>8.8700756090942023E-2</v>
      </c>
      <c r="L153" s="591">
        <v>7530.68</v>
      </c>
      <c r="M153" s="595"/>
      <c r="N153" s="591">
        <v>-2709.5130321135148</v>
      </c>
      <c r="O153" s="592" t="s">
        <v>39</v>
      </c>
      <c r="P153" s="590">
        <v>4.8366422906812354E-2</v>
      </c>
      <c r="Q153" s="591">
        <v>7424.8799999999992</v>
      </c>
      <c r="R153" s="595"/>
      <c r="S153" s="591">
        <v>105.80000000000109</v>
      </c>
      <c r="T153" s="604"/>
      <c r="X153" s="509"/>
      <c r="Y153" s="509"/>
      <c r="Z153" s="509"/>
      <c r="AA153" s="509"/>
      <c r="AB153" s="509"/>
      <c r="AC153" s="509"/>
      <c r="AD153" s="509"/>
      <c r="AE153" s="509"/>
      <c r="AF153" s="509"/>
      <c r="AG153" s="509"/>
      <c r="AH153" s="509"/>
      <c r="AI153" s="509"/>
      <c r="AJ153" s="509"/>
      <c r="AK153" s="509"/>
      <c r="AL153" s="509"/>
      <c r="AM153" s="509"/>
      <c r="AN153" s="509"/>
    </row>
    <row r="154" spans="1:40" ht="15.75" customHeight="1">
      <c r="A154" s="494" t="s">
        <v>73</v>
      </c>
      <c r="B154" s="509" t="s">
        <v>73</v>
      </c>
      <c r="C154" s="522"/>
      <c r="D154" s="583"/>
      <c r="E154" s="603"/>
      <c r="F154" s="555"/>
      <c r="G154" s="584"/>
      <c r="H154" s="603"/>
      <c r="I154" s="555"/>
      <c r="J154" s="522"/>
      <c r="K154" s="603"/>
      <c r="L154" s="579"/>
      <c r="M154" s="522"/>
      <c r="N154" s="579"/>
      <c r="O154" s="522"/>
      <c r="P154" s="603"/>
      <c r="Q154" s="579"/>
      <c r="R154" s="522"/>
      <c r="S154" s="579"/>
      <c r="T154" s="604"/>
      <c r="U154" s="509"/>
      <c r="V154" s="509"/>
      <c r="W154" s="509"/>
      <c r="X154" s="509"/>
      <c r="Y154" s="509"/>
      <c r="Z154" s="509"/>
      <c r="AA154" s="509"/>
      <c r="AB154" s="509"/>
      <c r="AC154" s="509"/>
      <c r="AD154" s="509"/>
      <c r="AE154" s="509"/>
      <c r="AF154" s="509"/>
      <c r="AG154" s="509"/>
      <c r="AH154" s="509"/>
      <c r="AI154" s="509"/>
      <c r="AJ154" s="509"/>
      <c r="AK154" s="509"/>
      <c r="AL154" s="509"/>
      <c r="AM154" s="509"/>
      <c r="AN154" s="509"/>
    </row>
    <row r="155" spans="1:40" ht="15.75" customHeight="1">
      <c r="A155" s="494" t="s">
        <v>329</v>
      </c>
      <c r="B155" s="509" t="s">
        <v>73</v>
      </c>
      <c r="C155" s="588" t="s">
        <v>65</v>
      </c>
      <c r="D155" s="589" t="s">
        <v>39</v>
      </c>
      <c r="E155" s="590">
        <v>0.77611863395212255</v>
      </c>
      <c r="F155" s="591">
        <v>133081.83828240441</v>
      </c>
      <c r="G155" s="592"/>
      <c r="H155" s="590"/>
      <c r="I155" s="591"/>
      <c r="J155" s="592" t="s">
        <v>39</v>
      </c>
      <c r="K155" s="590">
        <v>1.2261603791008329</v>
      </c>
      <c r="L155" s="591">
        <v>104100.82</v>
      </c>
      <c r="M155" s="595"/>
      <c r="N155" s="605">
        <v>-28981.018282404402</v>
      </c>
      <c r="O155" s="592" t="s">
        <v>39</v>
      </c>
      <c r="P155" s="590">
        <v>0.76897425894114246</v>
      </c>
      <c r="Q155" s="591">
        <v>118047.63</v>
      </c>
      <c r="R155" s="595"/>
      <c r="S155" s="605">
        <v>-13946.809999999998</v>
      </c>
      <c r="T155" s="604"/>
      <c r="U155" s="509"/>
      <c r="V155" s="509"/>
      <c r="W155" s="509"/>
      <c r="X155" s="509"/>
      <c r="Y155" s="509"/>
      <c r="Z155" s="509"/>
      <c r="AA155" s="509"/>
      <c r="AB155" s="509"/>
      <c r="AC155" s="509"/>
      <c r="AD155" s="509"/>
      <c r="AE155" s="509"/>
      <c r="AF155" s="509"/>
      <c r="AG155" s="509"/>
      <c r="AH155" s="509"/>
      <c r="AI155" s="509"/>
      <c r="AJ155" s="509"/>
      <c r="AK155" s="509"/>
      <c r="AL155" s="509"/>
      <c r="AM155" s="509"/>
      <c r="AN155" s="509"/>
    </row>
    <row r="156" spans="1:40" ht="15.75" customHeight="1">
      <c r="A156" s="494" t="s">
        <v>330</v>
      </c>
      <c r="B156" s="509" t="s">
        <v>73</v>
      </c>
      <c r="C156" s="529" t="s">
        <v>331</v>
      </c>
      <c r="D156" s="647"/>
      <c r="E156" s="648"/>
      <c r="F156" s="530">
        <v>0</v>
      </c>
      <c r="G156" s="649"/>
      <c r="H156" s="648"/>
      <c r="I156" s="530"/>
      <c r="J156" s="649"/>
      <c r="K156" s="648"/>
      <c r="L156" s="532">
        <v>0</v>
      </c>
      <c r="M156" s="529"/>
      <c r="N156" s="555">
        <v>0</v>
      </c>
      <c r="O156" s="649"/>
      <c r="P156" s="648"/>
      <c r="Q156" s="532">
        <v>0</v>
      </c>
      <c r="R156" s="529"/>
      <c r="S156" s="555">
        <v>0</v>
      </c>
      <c r="T156" s="604"/>
      <c r="U156" s="509"/>
      <c r="V156" s="509"/>
      <c r="W156" s="509"/>
      <c r="X156" s="509"/>
      <c r="Y156" s="509"/>
      <c r="Z156" s="509"/>
      <c r="AA156" s="509"/>
      <c r="AB156" s="509"/>
      <c r="AC156" s="509"/>
      <c r="AD156" s="509"/>
      <c r="AE156" s="509"/>
      <c r="AF156" s="509"/>
      <c r="AG156" s="509"/>
      <c r="AH156" s="509"/>
      <c r="AI156" s="509"/>
      <c r="AJ156" s="509"/>
      <c r="AK156" s="509"/>
      <c r="AL156" s="509"/>
      <c r="AM156" s="509"/>
      <c r="AN156" s="509"/>
    </row>
    <row r="157" spans="1:40" ht="15.75" customHeight="1">
      <c r="A157" s="494" t="s">
        <v>332</v>
      </c>
      <c r="B157" s="509" t="s">
        <v>73</v>
      </c>
      <c r="C157" s="529" t="s">
        <v>81</v>
      </c>
      <c r="D157" s="647"/>
      <c r="E157" s="648"/>
      <c r="F157" s="530">
        <v>0</v>
      </c>
      <c r="G157" s="649"/>
      <c r="H157" s="648"/>
      <c r="I157" s="530"/>
      <c r="J157" s="649"/>
      <c r="K157" s="648"/>
      <c r="L157" s="532">
        <v>0</v>
      </c>
      <c r="M157" s="529"/>
      <c r="N157" s="555">
        <v>0</v>
      </c>
      <c r="O157" s="649"/>
      <c r="P157" s="648"/>
      <c r="Q157" s="532">
        <v>0</v>
      </c>
      <c r="R157" s="529"/>
      <c r="S157" s="555">
        <v>0</v>
      </c>
      <c r="T157" s="604"/>
      <c r="U157" s="509"/>
      <c r="V157" s="509"/>
      <c r="W157" s="509"/>
      <c r="X157" s="509"/>
      <c r="Y157" s="509"/>
      <c r="Z157" s="509"/>
      <c r="AA157" s="509"/>
      <c r="AB157" s="509"/>
      <c r="AC157" s="509"/>
      <c r="AD157" s="509"/>
      <c r="AE157" s="509"/>
      <c r="AF157" s="509"/>
      <c r="AG157" s="509"/>
      <c r="AH157" s="509"/>
      <c r="AI157" s="509"/>
      <c r="AJ157" s="509"/>
      <c r="AK157" s="509"/>
      <c r="AL157" s="509"/>
      <c r="AM157" s="509"/>
      <c r="AN157" s="509"/>
    </row>
    <row r="158" spans="1:40" ht="15.75" customHeight="1">
      <c r="A158" s="494" t="s">
        <v>333</v>
      </c>
      <c r="B158" s="509" t="s">
        <v>73</v>
      </c>
      <c r="C158" s="529" t="s">
        <v>82</v>
      </c>
      <c r="D158" s="581"/>
      <c r="E158" s="509"/>
      <c r="F158" s="530">
        <v>0</v>
      </c>
      <c r="G158" s="582"/>
      <c r="H158" s="509"/>
      <c r="I158" s="530"/>
      <c r="J158" s="529"/>
      <c r="K158" s="509"/>
      <c r="L158" s="532">
        <v>0</v>
      </c>
      <c r="M158" s="529"/>
      <c r="N158" s="555">
        <v>0</v>
      </c>
      <c r="O158" s="529"/>
      <c r="P158" s="509"/>
      <c r="Q158" s="532">
        <v>0</v>
      </c>
      <c r="R158" s="529"/>
      <c r="S158" s="555">
        <v>0</v>
      </c>
      <c r="T158" s="604"/>
      <c r="U158" s="509"/>
      <c r="V158" s="509"/>
      <c r="W158" s="509"/>
      <c r="X158" s="509"/>
      <c r="Y158" s="509"/>
      <c r="Z158" s="509"/>
      <c r="AA158" s="509"/>
      <c r="AB158" s="509"/>
      <c r="AC158" s="509"/>
      <c r="AD158" s="509"/>
      <c r="AE158" s="509"/>
      <c r="AF158" s="509"/>
      <c r="AG158" s="509"/>
      <c r="AH158" s="509"/>
      <c r="AI158" s="509"/>
      <c r="AJ158" s="509"/>
      <c r="AK158" s="509"/>
      <c r="AL158" s="509"/>
      <c r="AM158" s="509"/>
      <c r="AN158" s="509"/>
    </row>
    <row r="159" spans="1:40" ht="15.75" customHeight="1">
      <c r="A159" s="494" t="s">
        <v>334</v>
      </c>
      <c r="B159" s="509" t="s">
        <v>73</v>
      </c>
      <c r="C159" s="529" t="s">
        <v>70</v>
      </c>
      <c r="D159" s="650">
        <v>0.95000000000000007</v>
      </c>
      <c r="E159" s="611">
        <v>474.05</v>
      </c>
      <c r="F159" s="530">
        <v>18434.619375000002</v>
      </c>
      <c r="G159" s="582"/>
      <c r="H159" s="509"/>
      <c r="I159" s="530"/>
      <c r="J159" s="612">
        <v>0.86095128500191787</v>
      </c>
      <c r="K159" s="611">
        <v>408.09090909090907</v>
      </c>
      <c r="L159" s="532">
        <v>13467</v>
      </c>
      <c r="M159" s="529"/>
      <c r="N159" s="555">
        <v>-4967.619375000002</v>
      </c>
      <c r="O159" s="529"/>
      <c r="P159" s="509"/>
      <c r="Q159" s="532">
        <v>8552</v>
      </c>
      <c r="R159" s="529"/>
      <c r="S159" s="555">
        <v>4915</v>
      </c>
      <c r="T159" s="604"/>
      <c r="U159" s="509"/>
      <c r="V159" s="509"/>
      <c r="W159" s="509"/>
      <c r="X159" s="509"/>
      <c r="Y159" s="509"/>
      <c r="Z159" s="509"/>
      <c r="AA159" s="509"/>
      <c r="AB159" s="509"/>
      <c r="AC159" s="509"/>
      <c r="AD159" s="509"/>
      <c r="AE159" s="509"/>
      <c r="AF159" s="509"/>
      <c r="AG159" s="509"/>
      <c r="AH159" s="509"/>
      <c r="AI159" s="509"/>
      <c r="AJ159" s="509"/>
      <c r="AK159" s="509"/>
      <c r="AL159" s="509"/>
      <c r="AM159" s="509"/>
      <c r="AN159" s="509"/>
    </row>
    <row r="160" spans="1:40" ht="15.75" hidden="1" customHeight="1">
      <c r="A160" s="494" t="s">
        <v>303</v>
      </c>
      <c r="B160" s="509" t="s">
        <v>73</v>
      </c>
      <c r="C160" s="529" t="s">
        <v>20</v>
      </c>
      <c r="D160" s="581"/>
      <c r="E160" s="509"/>
      <c r="F160" s="530">
        <v>0</v>
      </c>
      <c r="G160" s="582"/>
      <c r="H160" s="509"/>
      <c r="I160" s="530"/>
      <c r="J160" s="529"/>
      <c r="K160" s="509"/>
      <c r="L160" s="532">
        <v>0</v>
      </c>
      <c r="M160" s="529"/>
      <c r="N160" s="555">
        <v>0</v>
      </c>
      <c r="O160" s="529"/>
      <c r="P160" s="509"/>
      <c r="Q160" s="532">
        <v>0</v>
      </c>
      <c r="R160" s="529"/>
      <c r="S160" s="555">
        <v>0</v>
      </c>
      <c r="T160" s="604"/>
      <c r="U160" s="509"/>
      <c r="V160" s="509"/>
      <c r="W160" s="509"/>
      <c r="X160" s="509"/>
      <c r="Y160" s="509"/>
      <c r="Z160" s="509"/>
      <c r="AA160" s="509"/>
      <c r="AB160" s="509"/>
      <c r="AC160" s="509"/>
      <c r="AD160" s="509"/>
      <c r="AE160" s="509"/>
      <c r="AF160" s="509"/>
      <c r="AG160" s="509"/>
      <c r="AH160" s="509"/>
      <c r="AI160" s="509"/>
      <c r="AJ160" s="509"/>
      <c r="AK160" s="509"/>
      <c r="AL160" s="509"/>
      <c r="AM160" s="509"/>
      <c r="AN160" s="509"/>
    </row>
    <row r="161" spans="1:40" ht="15.75" hidden="1" customHeight="1">
      <c r="A161" s="494" t="s">
        <v>303</v>
      </c>
      <c r="B161" s="509" t="s">
        <v>73</v>
      </c>
      <c r="C161" s="529" t="s">
        <v>20</v>
      </c>
      <c r="D161" s="581"/>
      <c r="E161" s="509"/>
      <c r="F161" s="530">
        <v>0</v>
      </c>
      <c r="G161" s="582"/>
      <c r="H161" s="509"/>
      <c r="I161" s="530"/>
      <c r="J161" s="529"/>
      <c r="K161" s="509"/>
      <c r="L161" s="532">
        <v>0</v>
      </c>
      <c r="M161" s="529"/>
      <c r="N161" s="555">
        <v>0</v>
      </c>
      <c r="O161" s="529"/>
      <c r="P161" s="509"/>
      <c r="Q161" s="532">
        <v>0</v>
      </c>
      <c r="R161" s="529"/>
      <c r="S161" s="555">
        <v>0</v>
      </c>
      <c r="T161" s="604"/>
      <c r="U161" s="509"/>
      <c r="V161" s="509"/>
      <c r="W161" s="509"/>
      <c r="X161" s="509"/>
      <c r="Y161" s="509"/>
      <c r="Z161" s="509"/>
      <c r="AA161" s="509"/>
      <c r="AB161" s="509"/>
      <c r="AC161" s="509"/>
      <c r="AD161" s="509"/>
      <c r="AE161" s="509"/>
      <c r="AF161" s="509"/>
      <c r="AG161" s="509"/>
      <c r="AH161" s="509"/>
      <c r="AI161" s="509"/>
      <c r="AJ161" s="509"/>
      <c r="AK161" s="509"/>
      <c r="AL161" s="509"/>
      <c r="AM161" s="509"/>
      <c r="AN161" s="509"/>
    </row>
    <row r="162" spans="1:40" ht="15.75" hidden="1" customHeight="1">
      <c r="A162" s="494" t="s">
        <v>303</v>
      </c>
      <c r="B162" s="509" t="s">
        <v>73</v>
      </c>
      <c r="C162" s="522" t="s">
        <v>20</v>
      </c>
      <c r="D162" s="583"/>
      <c r="E162" s="603"/>
      <c r="F162" s="530">
        <v>0</v>
      </c>
      <c r="G162" s="582"/>
      <c r="H162" s="509"/>
      <c r="I162" s="530"/>
      <c r="J162" s="529"/>
      <c r="K162" s="509"/>
      <c r="L162" s="532">
        <v>0</v>
      </c>
      <c r="M162" s="529"/>
      <c r="N162" s="555">
        <v>0</v>
      </c>
      <c r="O162" s="529"/>
      <c r="P162" s="509"/>
      <c r="Q162" s="532">
        <v>0</v>
      </c>
      <c r="R162" s="529"/>
      <c r="S162" s="555">
        <v>0</v>
      </c>
      <c r="T162" s="604"/>
      <c r="U162" s="509"/>
      <c r="V162" s="509"/>
      <c r="W162" s="509"/>
      <c r="X162" s="509"/>
      <c r="Y162" s="509"/>
      <c r="Z162" s="509"/>
      <c r="AA162" s="509"/>
      <c r="AB162" s="509"/>
      <c r="AC162" s="509"/>
      <c r="AD162" s="509"/>
      <c r="AE162" s="509"/>
      <c r="AF162" s="509"/>
      <c r="AG162" s="509"/>
      <c r="AH162" s="509"/>
      <c r="AI162" s="509"/>
      <c r="AJ162" s="509"/>
      <c r="AK162" s="509"/>
      <c r="AL162" s="509"/>
      <c r="AM162" s="509"/>
      <c r="AN162" s="509"/>
    </row>
    <row r="163" spans="1:40" ht="15.75" customHeight="1">
      <c r="B163" s="509"/>
      <c r="C163" s="588" t="s">
        <v>71</v>
      </c>
      <c r="D163" s="589"/>
      <c r="E163" s="590"/>
      <c r="F163" s="591">
        <v>18434.619375000002</v>
      </c>
      <c r="G163" s="592"/>
      <c r="H163" s="590"/>
      <c r="I163" s="591"/>
      <c r="J163" s="592"/>
      <c r="K163" s="590"/>
      <c r="L163" s="591">
        <v>13467</v>
      </c>
      <c r="M163" s="595"/>
      <c r="N163" s="591">
        <v>-4967.619375000002</v>
      </c>
      <c r="O163" s="592"/>
      <c r="P163" s="590"/>
      <c r="Q163" s="591">
        <v>8552</v>
      </c>
      <c r="R163" s="595"/>
      <c r="S163" s="591">
        <v>4915</v>
      </c>
      <c r="T163" s="604"/>
      <c r="U163" s="509"/>
      <c r="V163" s="509"/>
      <c r="W163" s="509"/>
      <c r="X163" s="509"/>
      <c r="Y163" s="509"/>
      <c r="Z163" s="509"/>
      <c r="AA163" s="509"/>
      <c r="AB163" s="509"/>
      <c r="AC163" s="509"/>
      <c r="AD163" s="509"/>
      <c r="AE163" s="509"/>
      <c r="AF163" s="509"/>
      <c r="AG163" s="509"/>
      <c r="AH163" s="509"/>
      <c r="AI163" s="509"/>
      <c r="AJ163" s="509"/>
      <c r="AK163" s="509"/>
      <c r="AL163" s="509"/>
      <c r="AM163" s="509"/>
      <c r="AN163" s="509"/>
    </row>
    <row r="164" spans="1:40" ht="15.75" customHeight="1">
      <c r="B164" s="509"/>
      <c r="C164" s="529"/>
      <c r="D164" s="581"/>
      <c r="E164" s="509"/>
      <c r="F164" s="555"/>
      <c r="G164" s="582"/>
      <c r="H164" s="509"/>
      <c r="I164" s="555"/>
      <c r="J164" s="529"/>
      <c r="K164" s="509"/>
      <c r="L164" s="555"/>
      <c r="M164" s="529"/>
      <c r="N164" s="555"/>
      <c r="O164" s="529"/>
      <c r="P164" s="509"/>
      <c r="Q164" s="555"/>
      <c r="R164" s="529"/>
      <c r="S164" s="555"/>
      <c r="T164" s="648"/>
      <c r="U164" s="509"/>
      <c r="V164" s="509"/>
      <c r="W164" s="509"/>
      <c r="X164" s="509"/>
      <c r="Y164" s="509"/>
      <c r="Z164" s="509"/>
      <c r="AA164" s="509"/>
      <c r="AB164" s="509"/>
      <c r="AC164" s="509"/>
      <c r="AD164" s="509"/>
      <c r="AE164" s="509"/>
      <c r="AF164" s="509"/>
      <c r="AG164" s="509"/>
      <c r="AH164" s="509"/>
      <c r="AI164" s="509"/>
      <c r="AJ164" s="509"/>
      <c r="AK164" s="509"/>
      <c r="AL164" s="509"/>
      <c r="AM164" s="509"/>
      <c r="AN164" s="509"/>
    </row>
    <row r="165" spans="1:40" ht="15.75" customHeight="1" thickBot="1">
      <c r="B165" s="509"/>
      <c r="C165" s="621" t="s">
        <v>72</v>
      </c>
      <c r="D165" s="651"/>
      <c r="E165" s="622"/>
      <c r="F165" s="624">
        <v>56823.781092595593</v>
      </c>
      <c r="G165" s="652"/>
      <c r="H165" s="622"/>
      <c r="I165" s="624"/>
      <c r="J165" s="621"/>
      <c r="K165" s="623"/>
      <c r="L165" s="624">
        <v>-5733.9800000000396</v>
      </c>
      <c r="M165" s="621"/>
      <c r="N165" s="624">
        <v>-62557.761092595632</v>
      </c>
      <c r="O165" s="621"/>
      <c r="P165" s="626">
        <v>2.2258186269320083E-2</v>
      </c>
      <c r="Q165" s="624">
        <v>44017.479999999894</v>
      </c>
      <c r="R165" s="621"/>
      <c r="S165" s="624">
        <v>-49751.459999999934</v>
      </c>
      <c r="T165" s="570"/>
      <c r="U165" s="509"/>
      <c r="V165" s="509"/>
      <c r="W165" s="509"/>
      <c r="X165" s="509"/>
      <c r="Y165" s="509"/>
      <c r="Z165" s="509"/>
      <c r="AA165" s="509"/>
      <c r="AB165" s="509"/>
      <c r="AC165" s="509"/>
      <c r="AD165" s="509"/>
      <c r="AE165" s="509"/>
      <c r="AF165" s="509"/>
      <c r="AG165" s="509"/>
      <c r="AH165" s="509"/>
      <c r="AI165" s="509"/>
      <c r="AJ165" s="509"/>
      <c r="AK165" s="509"/>
      <c r="AL165" s="509"/>
      <c r="AM165" s="509"/>
      <c r="AN165" s="509"/>
    </row>
    <row r="166" spans="1:40" ht="15.75" customHeight="1" thickTop="1">
      <c r="B166" s="509"/>
      <c r="C166" s="506"/>
      <c r="D166" s="506"/>
      <c r="E166" s="506"/>
      <c r="F166" s="653"/>
      <c r="G166" s="506"/>
      <c r="H166" s="506"/>
      <c r="I166" s="506"/>
      <c r="J166" s="506"/>
      <c r="K166" s="506"/>
      <c r="L166" s="653"/>
      <c r="M166" s="506"/>
      <c r="N166" s="506"/>
      <c r="O166" s="506"/>
      <c r="P166" s="506"/>
      <c r="Q166" s="506"/>
      <c r="R166" s="506"/>
      <c r="S166" s="506"/>
      <c r="T166" s="653"/>
      <c r="U166" s="506"/>
      <c r="V166" s="509"/>
      <c r="W166" s="509"/>
      <c r="X166" s="509"/>
      <c r="Y166" s="509"/>
      <c r="Z166" s="509"/>
      <c r="AA166" s="509"/>
      <c r="AB166" s="509"/>
      <c r="AC166" s="509"/>
      <c r="AD166" s="509"/>
      <c r="AE166" s="509"/>
      <c r="AF166" s="509"/>
      <c r="AG166" s="509"/>
      <c r="AH166" s="509"/>
      <c r="AI166" s="509"/>
      <c r="AJ166" s="509"/>
      <c r="AK166" s="509"/>
      <c r="AL166" s="509"/>
      <c r="AM166" s="509"/>
      <c r="AN166" s="509"/>
    </row>
    <row r="167" spans="1:40" ht="8.25" customHeight="1">
      <c r="B167" s="509"/>
      <c r="C167" s="506"/>
      <c r="D167" s="506"/>
      <c r="E167" s="506"/>
      <c r="F167" s="506"/>
      <c r="G167" s="506"/>
      <c r="H167" s="506"/>
      <c r="I167" s="506"/>
      <c r="J167" s="506"/>
      <c r="K167" s="506"/>
      <c r="L167" s="506"/>
      <c r="M167" s="506"/>
      <c r="N167" s="506"/>
      <c r="O167" s="506"/>
      <c r="P167" s="506"/>
      <c r="Q167" s="506"/>
      <c r="R167" s="506"/>
      <c r="S167" s="506"/>
      <c r="T167" s="653"/>
      <c r="U167" s="506"/>
      <c r="V167" s="506"/>
      <c r="W167" s="506"/>
      <c r="X167" s="506"/>
      <c r="Y167" s="506"/>
      <c r="Z167" s="506"/>
      <c r="AA167" s="506"/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6"/>
      <c r="AL167" s="506"/>
      <c r="AM167" s="506"/>
      <c r="AN167" s="506"/>
    </row>
    <row r="168" spans="1:40" ht="33.75" customHeight="1">
      <c r="B168" s="509"/>
      <c r="C168" s="631" t="s">
        <v>477</v>
      </c>
      <c r="D168" s="497"/>
      <c r="E168" s="497"/>
      <c r="F168" s="497"/>
      <c r="G168" s="497"/>
      <c r="H168" s="495"/>
      <c r="I168" s="495"/>
      <c r="J168" s="495"/>
      <c r="K168" s="499" t="s">
        <v>83</v>
      </c>
      <c r="L168" s="497"/>
      <c r="M168" s="497"/>
      <c r="N168" s="495"/>
      <c r="O168" s="495"/>
      <c r="P168" s="497"/>
      <c r="Q168" s="495"/>
      <c r="R168" s="497"/>
      <c r="S168" s="632" t="s">
        <v>485</v>
      </c>
      <c r="T168" s="497"/>
      <c r="U168" s="495"/>
      <c r="V168" s="506"/>
      <c r="W168" s="506"/>
      <c r="X168" s="506"/>
      <c r="Y168" s="506"/>
      <c r="Z168" s="506"/>
      <c r="AA168" s="506"/>
      <c r="AB168" s="506"/>
      <c r="AC168" s="506"/>
      <c r="AD168" s="506"/>
      <c r="AE168" s="506"/>
      <c r="AF168" s="506"/>
      <c r="AG168" s="506"/>
      <c r="AH168" s="506"/>
      <c r="AI168" s="506"/>
      <c r="AJ168" s="506"/>
      <c r="AK168" s="506"/>
      <c r="AL168" s="506"/>
      <c r="AM168" s="506"/>
      <c r="AN168" s="506"/>
    </row>
    <row r="169" spans="1:40" ht="15.75" customHeight="1" thickBot="1">
      <c r="B169" s="509"/>
      <c r="C169" s="504"/>
      <c r="D169" s="506"/>
      <c r="E169" s="506"/>
      <c r="F169" s="506"/>
      <c r="G169" s="506"/>
      <c r="H169" s="506"/>
      <c r="I169" s="506"/>
      <c r="J169" s="506"/>
      <c r="K169" s="506"/>
      <c r="L169" s="506"/>
      <c r="M169" s="506"/>
      <c r="N169" s="506"/>
      <c r="O169" s="506"/>
      <c r="P169" s="506"/>
      <c r="Q169" s="506"/>
      <c r="R169" s="506"/>
      <c r="S169" s="506"/>
      <c r="T169" s="506"/>
      <c r="U169" s="506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</row>
    <row r="170" spans="1:40" ht="15.75" customHeight="1" thickTop="1">
      <c r="B170" s="509"/>
      <c r="C170" s="510"/>
      <c r="D170" s="511" t="s">
        <v>5</v>
      </c>
      <c r="E170" s="512"/>
      <c r="F170" s="513"/>
      <c r="G170" s="514"/>
      <c r="H170" s="512"/>
      <c r="I170" s="513"/>
      <c r="J170" s="514" t="s">
        <v>7</v>
      </c>
      <c r="K170" s="512"/>
      <c r="L170" s="513"/>
      <c r="M170" s="514" t="s">
        <v>221</v>
      </c>
      <c r="N170" s="513"/>
      <c r="O170" s="511" t="s">
        <v>8</v>
      </c>
      <c r="P170" s="512"/>
      <c r="Q170" s="513"/>
      <c r="R170" s="514" t="s">
        <v>222</v>
      </c>
      <c r="S170" s="513"/>
      <c r="T170" s="647"/>
      <c r="AA170" s="506"/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</row>
    <row r="171" spans="1:40" ht="15.75" customHeight="1">
      <c r="A171" s="494" t="s">
        <v>83</v>
      </c>
      <c r="B171" s="509" t="s">
        <v>83</v>
      </c>
      <c r="C171" s="529"/>
      <c r="D171" s="572" t="s">
        <v>40</v>
      </c>
      <c r="E171" s="572" t="s">
        <v>84</v>
      </c>
      <c r="F171" s="654" t="s">
        <v>12</v>
      </c>
      <c r="G171" s="655"/>
      <c r="H171" s="572"/>
      <c r="I171" s="654"/>
      <c r="J171" s="655" t="s">
        <v>40</v>
      </c>
      <c r="K171" s="572" t="s">
        <v>84</v>
      </c>
      <c r="L171" s="654" t="s">
        <v>12</v>
      </c>
      <c r="M171" s="655" t="s">
        <v>335</v>
      </c>
      <c r="N171" s="654" t="s">
        <v>336</v>
      </c>
      <c r="O171" s="572" t="s">
        <v>40</v>
      </c>
      <c r="P171" s="572" t="s">
        <v>84</v>
      </c>
      <c r="Q171" s="654" t="s">
        <v>12</v>
      </c>
      <c r="R171" s="655" t="s">
        <v>85</v>
      </c>
      <c r="S171" s="654" t="s">
        <v>12</v>
      </c>
      <c r="T171" s="572"/>
      <c r="AA171" s="509"/>
      <c r="AB171" s="509"/>
      <c r="AC171" s="509"/>
      <c r="AD171" s="509"/>
      <c r="AE171" s="509"/>
      <c r="AF171" s="509"/>
      <c r="AG171" s="509"/>
      <c r="AH171" s="509"/>
      <c r="AI171" s="509"/>
      <c r="AJ171" s="509"/>
      <c r="AK171" s="509"/>
      <c r="AL171" s="509"/>
      <c r="AM171" s="509"/>
      <c r="AN171" s="509"/>
    </row>
    <row r="172" spans="1:40" ht="15.75" customHeight="1">
      <c r="A172" s="494" t="s">
        <v>337</v>
      </c>
      <c r="B172" s="509" t="s">
        <v>83</v>
      </c>
      <c r="C172" s="529" t="s">
        <v>86</v>
      </c>
      <c r="D172" s="570">
        <v>437.98206262740655</v>
      </c>
      <c r="E172" s="570">
        <v>144534.08066704418</v>
      </c>
      <c r="F172" s="570">
        <v>109845.90130695357</v>
      </c>
      <c r="G172" s="556"/>
      <c r="H172" s="570"/>
      <c r="I172" s="570"/>
      <c r="J172" s="556">
        <v>358</v>
      </c>
      <c r="K172" s="530">
        <v>123531.16</v>
      </c>
      <c r="L172" s="532">
        <v>99674.89</v>
      </c>
      <c r="M172" s="574">
        <v>-0.14531465914553079</v>
      </c>
      <c r="N172" s="555">
        <v>-10171.011306953573</v>
      </c>
      <c r="O172" s="556">
        <v>424</v>
      </c>
      <c r="P172" s="530">
        <v>163560.49</v>
      </c>
      <c r="Q172" s="532">
        <v>130305.849999999</v>
      </c>
      <c r="R172" s="574">
        <v>0.84433962264150941</v>
      </c>
      <c r="S172" s="555">
        <v>-30630.959999999002</v>
      </c>
      <c r="T172" s="570"/>
      <c r="AA172" s="509"/>
      <c r="AB172" s="509"/>
      <c r="AC172" s="509"/>
      <c r="AD172" s="509"/>
      <c r="AE172" s="509"/>
      <c r="AF172" s="509"/>
      <c r="AG172" s="509"/>
      <c r="AH172" s="509"/>
      <c r="AI172" s="509"/>
      <c r="AJ172" s="509"/>
      <c r="AK172" s="509"/>
      <c r="AL172" s="509"/>
      <c r="AM172" s="509"/>
      <c r="AN172" s="509"/>
    </row>
    <row r="173" spans="1:40" ht="15.75" customHeight="1">
      <c r="A173" s="494" t="s">
        <v>338</v>
      </c>
      <c r="B173" s="509" t="s">
        <v>83</v>
      </c>
      <c r="C173" s="529" t="s">
        <v>87</v>
      </c>
      <c r="D173" s="570"/>
      <c r="E173" s="640"/>
      <c r="F173" s="656">
        <v>0.76</v>
      </c>
      <c r="G173" s="556"/>
      <c r="H173" s="640"/>
      <c r="I173" s="656"/>
      <c r="J173" s="556"/>
      <c r="K173" s="509"/>
      <c r="L173" s="656">
        <v>0.80688054738577697</v>
      </c>
      <c r="M173" s="574"/>
      <c r="N173" s="555"/>
      <c r="O173" s="556"/>
      <c r="P173" s="509"/>
      <c r="Q173" s="656">
        <v>0.79668292752118197</v>
      </c>
      <c r="R173" s="556"/>
      <c r="S173" s="555"/>
      <c r="T173" s="570"/>
      <c r="AA173" s="509"/>
      <c r="AB173" s="509"/>
      <c r="AC173" s="509"/>
      <c r="AD173" s="509"/>
      <c r="AE173" s="509"/>
      <c r="AF173" s="509"/>
      <c r="AG173" s="509"/>
      <c r="AH173" s="509"/>
      <c r="AI173" s="509"/>
      <c r="AJ173" s="509"/>
      <c r="AK173" s="509"/>
      <c r="AL173" s="509"/>
      <c r="AM173" s="509"/>
      <c r="AN173" s="509"/>
    </row>
    <row r="174" spans="1:40" ht="15.75" customHeight="1">
      <c r="A174" s="494" t="s">
        <v>83</v>
      </c>
      <c r="B174" s="509" t="s">
        <v>83</v>
      </c>
      <c r="C174" s="522"/>
      <c r="D174" s="577"/>
      <c r="E174" s="657">
        <v>330.00000000000006</v>
      </c>
      <c r="F174" s="658"/>
      <c r="G174" s="659"/>
      <c r="H174" s="657"/>
      <c r="I174" s="658"/>
      <c r="J174" s="659"/>
      <c r="K174" s="657">
        <v>345.05910614525141</v>
      </c>
      <c r="L174" s="658"/>
      <c r="M174" s="578"/>
      <c r="N174" s="579"/>
      <c r="O174" s="659"/>
      <c r="P174" s="657">
        <v>385.75587264150943</v>
      </c>
      <c r="Q174" s="658"/>
      <c r="R174" s="659"/>
      <c r="S174" s="579"/>
      <c r="T174" s="570"/>
      <c r="AA174" s="509"/>
      <c r="AB174" s="509"/>
      <c r="AC174" s="509"/>
      <c r="AD174" s="509"/>
      <c r="AE174" s="509"/>
      <c r="AF174" s="509"/>
      <c r="AG174" s="509"/>
      <c r="AH174" s="509"/>
      <c r="AI174" s="509"/>
      <c r="AJ174" s="509"/>
      <c r="AK174" s="509"/>
      <c r="AL174" s="509"/>
      <c r="AM174" s="509"/>
      <c r="AN174" s="509"/>
    </row>
    <row r="175" spans="1:40" ht="18" customHeight="1">
      <c r="A175" s="494" t="s">
        <v>339</v>
      </c>
      <c r="B175" s="509" t="s">
        <v>83</v>
      </c>
      <c r="C175" s="517" t="s">
        <v>88</v>
      </c>
      <c r="D175" s="660">
        <v>92.759785427761827</v>
      </c>
      <c r="E175" s="570">
        <v>25045.142065495693</v>
      </c>
      <c r="F175" s="570">
        <v>16028.890921917244</v>
      </c>
      <c r="G175" s="661"/>
      <c r="H175" s="570"/>
      <c r="I175" s="570"/>
      <c r="J175" s="661">
        <v>97</v>
      </c>
      <c r="K175" s="550">
        <v>37099.949999999997</v>
      </c>
      <c r="L175" s="532">
        <v>25433.399999999998</v>
      </c>
      <c r="M175" s="574">
        <v>0.48132320044261312</v>
      </c>
      <c r="N175" s="602">
        <v>9404.5090780827541</v>
      </c>
      <c r="O175" s="661">
        <v>93</v>
      </c>
      <c r="P175" s="550">
        <v>23312.13</v>
      </c>
      <c r="Q175" s="532">
        <v>14886.99</v>
      </c>
      <c r="R175" s="574">
        <v>1.043010752688172</v>
      </c>
      <c r="S175" s="555">
        <v>10546.409999999998</v>
      </c>
      <c r="T175" s="570"/>
      <c r="U175" s="509"/>
      <c r="V175" s="530"/>
      <c r="W175" s="509"/>
      <c r="AA175" s="509"/>
      <c r="AB175" s="509"/>
      <c r="AC175" s="509"/>
      <c r="AD175" s="509"/>
      <c r="AE175" s="509"/>
      <c r="AF175" s="509"/>
      <c r="AG175" s="509"/>
      <c r="AH175" s="509"/>
      <c r="AI175" s="509"/>
      <c r="AJ175" s="509"/>
      <c r="AK175" s="509"/>
      <c r="AL175" s="509"/>
      <c r="AM175" s="509"/>
      <c r="AN175" s="509"/>
    </row>
    <row r="176" spans="1:40" ht="15.75" customHeight="1">
      <c r="A176" s="494" t="s">
        <v>338</v>
      </c>
      <c r="B176" s="509" t="s">
        <v>83</v>
      </c>
      <c r="C176" s="529" t="s">
        <v>87</v>
      </c>
      <c r="D176" s="509"/>
      <c r="E176" s="509"/>
      <c r="F176" s="656">
        <v>0.64</v>
      </c>
      <c r="G176" s="529"/>
      <c r="H176" s="509"/>
      <c r="I176" s="656"/>
      <c r="J176" s="529"/>
      <c r="K176" s="509"/>
      <c r="L176" s="656">
        <v>0.68553731204489499</v>
      </c>
      <c r="M176" s="546"/>
      <c r="N176" s="547"/>
      <c r="O176" s="529"/>
      <c r="P176" s="509"/>
      <c r="Q176" s="656">
        <v>0.63859415677589304</v>
      </c>
      <c r="R176" s="546"/>
      <c r="S176" s="547"/>
      <c r="T176" s="509"/>
      <c r="U176" s="509"/>
      <c r="V176" s="530"/>
      <c r="W176" s="662"/>
      <c r="AA176" s="509"/>
      <c r="AB176" s="509"/>
      <c r="AC176" s="509"/>
      <c r="AD176" s="509"/>
      <c r="AE176" s="509"/>
      <c r="AF176" s="509"/>
      <c r="AG176" s="509"/>
      <c r="AH176" s="509"/>
      <c r="AI176" s="509"/>
      <c r="AJ176" s="509"/>
      <c r="AK176" s="509"/>
      <c r="AL176" s="509"/>
      <c r="AM176" s="509"/>
      <c r="AN176" s="509"/>
    </row>
    <row r="177" spans="1:40" ht="15.75" customHeight="1">
      <c r="A177" s="494" t="s">
        <v>83</v>
      </c>
      <c r="B177" s="509" t="s">
        <v>83</v>
      </c>
      <c r="C177" s="522"/>
      <c r="D177" s="603"/>
      <c r="E177" s="657">
        <v>270</v>
      </c>
      <c r="F177" s="658"/>
      <c r="G177" s="659"/>
      <c r="H177" s="657"/>
      <c r="I177" s="658"/>
      <c r="J177" s="659"/>
      <c r="K177" s="657">
        <v>382.47371134020614</v>
      </c>
      <c r="L177" s="658"/>
      <c r="M177" s="578"/>
      <c r="N177" s="579"/>
      <c r="O177" s="659"/>
      <c r="P177" s="657">
        <v>250.66806451612905</v>
      </c>
      <c r="Q177" s="658"/>
      <c r="R177" s="663"/>
      <c r="S177" s="664"/>
      <c r="T177" s="509"/>
      <c r="AA177" s="509"/>
      <c r="AB177" s="509"/>
      <c r="AC177" s="509"/>
      <c r="AD177" s="509"/>
      <c r="AE177" s="509"/>
      <c r="AF177" s="509"/>
      <c r="AG177" s="509"/>
      <c r="AH177" s="509"/>
      <c r="AI177" s="509"/>
      <c r="AJ177" s="509"/>
      <c r="AK177" s="509"/>
      <c r="AL177" s="509"/>
      <c r="AM177" s="509"/>
      <c r="AN177" s="509"/>
    </row>
    <row r="178" spans="1:40" ht="15.75" customHeight="1">
      <c r="A178" s="494" t="s">
        <v>340</v>
      </c>
      <c r="B178" s="509" t="s">
        <v>83</v>
      </c>
      <c r="C178" s="529" t="s">
        <v>89</v>
      </c>
      <c r="D178" s="570">
        <v>236.25</v>
      </c>
      <c r="E178" s="570">
        <v>69457.5</v>
      </c>
      <c r="F178" s="570">
        <v>51398.55</v>
      </c>
      <c r="G178" s="556"/>
      <c r="H178" s="570"/>
      <c r="I178" s="570"/>
      <c r="J178" s="556">
        <v>209</v>
      </c>
      <c r="K178" s="550">
        <v>53994.7</v>
      </c>
      <c r="L178" s="532">
        <v>41482.18</v>
      </c>
      <c r="M178" s="574">
        <v>-0.22262246697620852</v>
      </c>
      <c r="N178" s="555">
        <v>-9916.3700000000026</v>
      </c>
      <c r="O178" s="556">
        <v>207</v>
      </c>
      <c r="P178" s="550">
        <v>61936.79</v>
      </c>
      <c r="Q178" s="532">
        <v>45575.42</v>
      </c>
      <c r="R178" s="574">
        <v>1.0096618357487923</v>
      </c>
      <c r="S178" s="555">
        <v>-4093.239999999998</v>
      </c>
      <c r="T178" s="570"/>
      <c r="AA178" s="509"/>
      <c r="AB178" s="509"/>
      <c r="AC178" s="509"/>
      <c r="AD178" s="509"/>
      <c r="AE178" s="509"/>
      <c r="AF178" s="509"/>
      <c r="AG178" s="509"/>
      <c r="AH178" s="509"/>
      <c r="AI178" s="509"/>
      <c r="AJ178" s="509"/>
      <c r="AK178" s="509"/>
      <c r="AL178" s="509"/>
      <c r="AM178" s="509"/>
      <c r="AN178" s="509"/>
    </row>
    <row r="179" spans="1:40" ht="15.75" customHeight="1">
      <c r="A179" s="494" t="s">
        <v>338</v>
      </c>
      <c r="B179" s="509" t="s">
        <v>83</v>
      </c>
      <c r="C179" s="529" t="s">
        <v>87</v>
      </c>
      <c r="D179" s="570"/>
      <c r="E179" s="640"/>
      <c r="F179" s="656">
        <v>0.74</v>
      </c>
      <c r="G179" s="556"/>
      <c r="H179" s="640"/>
      <c r="I179" s="656"/>
      <c r="J179" s="556"/>
      <c r="K179" s="640"/>
      <c r="L179" s="656">
        <v>0.76826392219977147</v>
      </c>
      <c r="M179" s="574"/>
      <c r="N179" s="555">
        <v>2.8263922199771474E-2</v>
      </c>
      <c r="O179" s="556"/>
      <c r="P179" s="640"/>
      <c r="Q179" s="656">
        <v>0.73583761767440636</v>
      </c>
      <c r="R179" s="556">
        <v>0</v>
      </c>
      <c r="S179" s="555"/>
      <c r="T179" s="570"/>
      <c r="AA179" s="509"/>
      <c r="AB179" s="509"/>
      <c r="AC179" s="509"/>
      <c r="AD179" s="509"/>
      <c r="AE179" s="509"/>
      <c r="AF179" s="509"/>
      <c r="AG179" s="509"/>
      <c r="AH179" s="509"/>
      <c r="AI179" s="509"/>
      <c r="AJ179" s="509"/>
      <c r="AK179" s="509"/>
      <c r="AL179" s="509"/>
      <c r="AM179" s="509"/>
      <c r="AN179" s="509"/>
    </row>
    <row r="180" spans="1:40" ht="15.75" customHeight="1">
      <c r="A180" s="494" t="s">
        <v>83</v>
      </c>
      <c r="B180" s="509" t="s">
        <v>83</v>
      </c>
      <c r="C180" s="529"/>
      <c r="D180" s="570"/>
      <c r="E180" s="657">
        <v>294</v>
      </c>
      <c r="F180" s="658"/>
      <c r="G180" s="659"/>
      <c r="H180" s="657"/>
      <c r="I180" s="658"/>
      <c r="J180" s="659"/>
      <c r="K180" s="657">
        <v>258.34784688995217</v>
      </c>
      <c r="L180" s="658"/>
      <c r="M180" s="578"/>
      <c r="N180" s="579"/>
      <c r="O180" s="659"/>
      <c r="P180" s="657">
        <v>299.2115458937198</v>
      </c>
      <c r="Q180" s="656"/>
      <c r="R180" s="659"/>
      <c r="S180" s="555"/>
      <c r="T180" s="570"/>
      <c r="U180" s="549"/>
      <c r="AA180" s="509"/>
      <c r="AB180" s="509"/>
      <c r="AC180" s="509"/>
      <c r="AD180" s="509"/>
      <c r="AE180" s="509"/>
      <c r="AF180" s="509"/>
      <c r="AG180" s="509"/>
      <c r="AH180" s="509"/>
      <c r="AI180" s="509"/>
      <c r="AJ180" s="509"/>
      <c r="AK180" s="509"/>
      <c r="AL180" s="509"/>
      <c r="AM180" s="509"/>
      <c r="AN180" s="509"/>
    </row>
    <row r="181" spans="1:40" ht="15.75" customHeight="1">
      <c r="A181" s="494" t="s">
        <v>341</v>
      </c>
      <c r="B181" s="509" t="s">
        <v>83</v>
      </c>
      <c r="C181" s="517" t="s">
        <v>90</v>
      </c>
      <c r="D181" s="660">
        <v>139.69255948917578</v>
      </c>
      <c r="E181" s="570">
        <v>13969.255948917578</v>
      </c>
      <c r="F181" s="570">
        <v>10616.634521177361</v>
      </c>
      <c r="G181" s="661"/>
      <c r="H181" s="570"/>
      <c r="I181" s="570"/>
      <c r="J181" s="661">
        <v>0</v>
      </c>
      <c r="K181" s="550">
        <v>9321.7000000000007</v>
      </c>
      <c r="L181" s="551">
        <v>6357.6100000000006</v>
      </c>
      <c r="M181" s="665">
        <v>-0.3326988900420067</v>
      </c>
      <c r="N181" s="602">
        <v>-4259.0245211773599</v>
      </c>
      <c r="O181" s="661">
        <v>0</v>
      </c>
      <c r="P181" s="550">
        <v>12535.35</v>
      </c>
      <c r="Q181" s="551">
        <v>9643.2099999999991</v>
      </c>
      <c r="R181" s="574">
        <v>0</v>
      </c>
      <c r="S181" s="602">
        <v>-3285.5999999999985</v>
      </c>
      <c r="T181" s="570"/>
      <c r="U181" s="549"/>
      <c r="AA181" s="509"/>
      <c r="AB181" s="509"/>
      <c r="AC181" s="509"/>
      <c r="AD181" s="509"/>
      <c r="AE181" s="509"/>
      <c r="AF181" s="509"/>
      <c r="AG181" s="509"/>
      <c r="AH181" s="509"/>
      <c r="AI181" s="509"/>
      <c r="AJ181" s="509"/>
      <c r="AK181" s="509"/>
      <c r="AL181" s="509"/>
      <c r="AM181" s="509"/>
      <c r="AN181" s="509"/>
    </row>
    <row r="182" spans="1:40" ht="15.75" customHeight="1">
      <c r="A182" s="494" t="s">
        <v>338</v>
      </c>
      <c r="B182" s="509" t="s">
        <v>83</v>
      </c>
      <c r="C182" s="529" t="s">
        <v>87</v>
      </c>
      <c r="D182" s="568"/>
      <c r="E182" s="666"/>
      <c r="F182" s="656">
        <v>0.76000000000000012</v>
      </c>
      <c r="G182" s="548"/>
      <c r="H182" s="666"/>
      <c r="I182" s="656"/>
      <c r="J182" s="667"/>
      <c r="K182" s="666">
        <v>0</v>
      </c>
      <c r="L182" s="656">
        <v>0.68202259244558394</v>
      </c>
      <c r="M182" s="556">
        <v>0</v>
      </c>
      <c r="N182" s="668"/>
      <c r="O182" s="667"/>
      <c r="P182" s="666"/>
      <c r="Q182" s="656">
        <v>0.76928127256119683</v>
      </c>
      <c r="R182" s="529"/>
      <c r="S182" s="668"/>
      <c r="T182" s="604"/>
      <c r="U182" s="549"/>
      <c r="AA182" s="509"/>
      <c r="AB182" s="509"/>
      <c r="AC182" s="509"/>
      <c r="AD182" s="509"/>
      <c r="AE182" s="509"/>
      <c r="AF182" s="509"/>
      <c r="AG182" s="509"/>
      <c r="AH182" s="509"/>
      <c r="AI182" s="509"/>
      <c r="AJ182" s="509"/>
      <c r="AK182" s="509"/>
      <c r="AL182" s="509"/>
      <c r="AM182" s="509"/>
      <c r="AN182" s="509"/>
    </row>
    <row r="183" spans="1:40" ht="15.75" customHeight="1">
      <c r="A183" s="494" t="s">
        <v>83</v>
      </c>
      <c r="B183" s="509" t="s">
        <v>83</v>
      </c>
      <c r="C183" s="522"/>
      <c r="D183" s="669"/>
      <c r="E183" s="670"/>
      <c r="F183" s="658"/>
      <c r="G183" s="542"/>
      <c r="H183" s="670"/>
      <c r="I183" s="658"/>
      <c r="J183" s="671"/>
      <c r="K183" s="526"/>
      <c r="L183" s="658"/>
      <c r="M183" s="659"/>
      <c r="N183" s="672"/>
      <c r="O183" s="671"/>
      <c r="P183" s="526">
        <v>0</v>
      </c>
      <c r="Q183" s="658"/>
      <c r="R183" s="522"/>
      <c r="S183" s="672"/>
      <c r="T183" s="604"/>
      <c r="AA183" s="509"/>
      <c r="AB183" s="509"/>
      <c r="AC183" s="509"/>
      <c r="AD183" s="509"/>
      <c r="AE183" s="509"/>
      <c r="AF183" s="509"/>
      <c r="AG183" s="509"/>
      <c r="AH183" s="509"/>
      <c r="AI183" s="509"/>
      <c r="AJ183" s="509"/>
      <c r="AK183" s="509"/>
      <c r="AL183" s="509"/>
      <c r="AM183" s="509"/>
      <c r="AN183" s="509"/>
    </row>
    <row r="184" spans="1:40" ht="26.25" customHeight="1" thickBot="1">
      <c r="A184" s="494" t="s">
        <v>342</v>
      </c>
      <c r="B184" s="509" t="s">
        <v>83</v>
      </c>
      <c r="C184" s="529" t="s">
        <v>91</v>
      </c>
      <c r="D184" s="509"/>
      <c r="E184" s="509"/>
      <c r="F184" s="555">
        <v>-2925.6573101237609</v>
      </c>
      <c r="G184" s="529"/>
      <c r="H184" s="570"/>
      <c r="I184" s="570"/>
      <c r="J184" s="556"/>
      <c r="K184" s="570"/>
      <c r="L184" s="570">
        <v>-2037.51</v>
      </c>
      <c r="M184" s="667"/>
      <c r="N184" s="555">
        <v>888.14731012376092</v>
      </c>
      <c r="O184" s="556"/>
      <c r="P184" s="570"/>
      <c r="Q184" s="532">
        <v>-2801.5</v>
      </c>
      <c r="R184" s="673"/>
      <c r="S184" s="555">
        <v>763.99</v>
      </c>
      <c r="T184" s="509"/>
      <c r="U184" s="509"/>
      <c r="V184" s="509"/>
      <c r="W184" s="509"/>
      <c r="X184" s="509"/>
      <c r="Y184" s="509"/>
      <c r="Z184" s="509"/>
      <c r="AA184" s="509"/>
      <c r="AB184" s="509"/>
      <c r="AC184" s="509"/>
      <c r="AD184" s="509"/>
      <c r="AE184" s="509"/>
      <c r="AF184" s="509"/>
      <c r="AG184" s="509"/>
      <c r="AH184" s="509"/>
      <c r="AI184" s="509"/>
      <c r="AJ184" s="509"/>
      <c r="AK184" s="509"/>
      <c r="AL184" s="509"/>
      <c r="AM184" s="509"/>
      <c r="AN184" s="509"/>
    </row>
    <row r="185" spans="1:40" ht="15.75" customHeight="1" thickTop="1">
      <c r="A185" s="494" t="s">
        <v>343</v>
      </c>
      <c r="B185" s="509" t="s">
        <v>83</v>
      </c>
      <c r="C185" s="674" t="s">
        <v>92</v>
      </c>
      <c r="D185" s="675">
        <v>906.68440754434414</v>
      </c>
      <c r="E185" s="675">
        <v>253005.97868145746</v>
      </c>
      <c r="F185" s="676">
        <v>184964.31943992444</v>
      </c>
      <c r="G185" s="677"/>
      <c r="H185" s="675"/>
      <c r="I185" s="676"/>
      <c r="J185" s="677">
        <v>664</v>
      </c>
      <c r="K185" s="675">
        <v>223947.51</v>
      </c>
      <c r="L185" s="676">
        <v>170910.57</v>
      </c>
      <c r="M185" s="678">
        <v>-0.11485289333041013</v>
      </c>
      <c r="N185" s="676">
        <v>-14053.749439924431</v>
      </c>
      <c r="O185" s="677">
        <v>724</v>
      </c>
      <c r="P185" s="675">
        <v>261344.76</v>
      </c>
      <c r="Q185" s="676">
        <v>197609.96999999901</v>
      </c>
      <c r="R185" s="546">
        <v>0.91712707182320441</v>
      </c>
      <c r="S185" s="676">
        <v>-26699.399999999005</v>
      </c>
      <c r="T185" s="604"/>
      <c r="U185" s="509"/>
      <c r="V185" s="509"/>
      <c r="W185" s="509"/>
      <c r="X185" s="509"/>
      <c r="Y185" s="509"/>
      <c r="Z185" s="509"/>
      <c r="AA185" s="509"/>
      <c r="AB185" s="509"/>
      <c r="AC185" s="509"/>
      <c r="AD185" s="509"/>
      <c r="AE185" s="509"/>
      <c r="AF185" s="509"/>
      <c r="AG185" s="509"/>
      <c r="AH185" s="509"/>
      <c r="AI185" s="509"/>
      <c r="AJ185" s="509"/>
      <c r="AK185" s="509"/>
      <c r="AL185" s="509"/>
      <c r="AM185" s="509"/>
      <c r="AN185" s="509"/>
    </row>
    <row r="186" spans="1:40" ht="15.75" customHeight="1">
      <c r="A186" s="494" t="s">
        <v>344</v>
      </c>
      <c r="B186" s="509" t="s">
        <v>83</v>
      </c>
      <c r="C186" s="679" t="s">
        <v>93</v>
      </c>
      <c r="D186" s="680"/>
      <c r="E186" s="681"/>
      <c r="F186" s="682">
        <v>0.73106699060578473</v>
      </c>
      <c r="G186" s="683"/>
      <c r="H186" s="681"/>
      <c r="I186" s="547"/>
      <c r="J186" s="683"/>
      <c r="K186" s="681">
        <v>337.27034638554215</v>
      </c>
      <c r="L186" s="547">
        <v>0.76317245054432625</v>
      </c>
      <c r="M186" s="683"/>
      <c r="N186" s="682">
        <v>-7.5980867458542586E-2</v>
      </c>
      <c r="O186" s="683"/>
      <c r="P186" s="681">
        <v>360.97342541436467</v>
      </c>
      <c r="Q186" s="547">
        <v>0.75612753819896372</v>
      </c>
      <c r="R186" s="683"/>
      <c r="S186" s="547">
        <v>-0.13511160393374452</v>
      </c>
      <c r="T186" s="604"/>
      <c r="U186" s="509"/>
      <c r="V186" s="509"/>
      <c r="W186" s="509"/>
      <c r="X186" s="509"/>
      <c r="Y186" s="509"/>
      <c r="Z186" s="509"/>
      <c r="AA186" s="509"/>
      <c r="AB186" s="509"/>
      <c r="AC186" s="509"/>
      <c r="AD186" s="509"/>
      <c r="AE186" s="509"/>
      <c r="AF186" s="509"/>
      <c r="AG186" s="509"/>
      <c r="AH186" s="509"/>
      <c r="AI186" s="509"/>
      <c r="AJ186" s="509"/>
      <c r="AK186" s="509"/>
      <c r="AL186" s="509"/>
      <c r="AM186" s="509"/>
      <c r="AN186" s="509"/>
    </row>
    <row r="187" spans="1:40" ht="15.75" customHeight="1">
      <c r="A187" s="494" t="s">
        <v>83</v>
      </c>
      <c r="B187" s="509" t="s">
        <v>83</v>
      </c>
      <c r="C187" s="535"/>
      <c r="D187" s="684"/>
      <c r="E187" s="685"/>
      <c r="F187" s="686"/>
      <c r="G187" s="687"/>
      <c r="H187" s="685"/>
      <c r="I187" s="686"/>
      <c r="J187" s="687"/>
      <c r="K187" s="685"/>
      <c r="L187" s="686"/>
      <c r="M187" s="687"/>
      <c r="N187" s="686"/>
      <c r="O187" s="687"/>
      <c r="P187" s="685"/>
      <c r="Q187" s="686"/>
      <c r="R187" s="687"/>
      <c r="S187" s="686"/>
      <c r="T187" s="604"/>
      <c r="U187" s="509"/>
      <c r="V187" s="509"/>
      <c r="W187" s="509"/>
      <c r="X187" s="509"/>
      <c r="Y187" s="509"/>
      <c r="Z187" s="509"/>
      <c r="AA187" s="509"/>
      <c r="AB187" s="509"/>
      <c r="AC187" s="509"/>
      <c r="AD187" s="509"/>
      <c r="AE187" s="509"/>
      <c r="AF187" s="509"/>
      <c r="AG187" s="509"/>
      <c r="AH187" s="509"/>
      <c r="AI187" s="509"/>
      <c r="AJ187" s="509"/>
      <c r="AK187" s="509"/>
      <c r="AL187" s="509"/>
      <c r="AM187" s="509"/>
      <c r="AN187" s="509"/>
    </row>
    <row r="188" spans="1:40" ht="19.5" customHeight="1">
      <c r="A188" s="494" t="s">
        <v>345</v>
      </c>
      <c r="B188" s="509" t="s">
        <v>83</v>
      </c>
      <c r="C188" s="529" t="s">
        <v>94</v>
      </c>
      <c r="D188" s="570"/>
      <c r="E188" s="570">
        <v>10438.085381968698</v>
      </c>
      <c r="F188" s="570">
        <v>2296.3787840331138</v>
      </c>
      <c r="G188" s="556"/>
      <c r="H188" s="570"/>
      <c r="I188" s="570"/>
      <c r="J188" s="556"/>
      <c r="K188" s="530">
        <v>13598.58</v>
      </c>
      <c r="L188" s="532">
        <v>2943</v>
      </c>
      <c r="M188" s="574">
        <v>0.30278489803224906</v>
      </c>
      <c r="N188" s="555">
        <v>646.62121596688621</v>
      </c>
      <c r="O188" s="556"/>
      <c r="P188" s="530">
        <v>11169.3</v>
      </c>
      <c r="Q188" s="532">
        <v>2446.3999999999901</v>
      </c>
      <c r="R188" s="574">
        <v>0</v>
      </c>
      <c r="S188" s="555">
        <v>496.60000000000991</v>
      </c>
      <c r="T188" s="604"/>
      <c r="U188" s="509"/>
      <c r="V188" s="509"/>
      <c r="W188" s="509"/>
      <c r="X188" s="509"/>
      <c r="Y188" s="509"/>
      <c r="Z188" s="509"/>
      <c r="AA188" s="509"/>
      <c r="AB188" s="509"/>
      <c r="AC188" s="509"/>
      <c r="AD188" s="509"/>
      <c r="AE188" s="509"/>
      <c r="AF188" s="509"/>
      <c r="AG188" s="509"/>
      <c r="AH188" s="509"/>
      <c r="AI188" s="509"/>
      <c r="AJ188" s="509"/>
      <c r="AK188" s="509"/>
      <c r="AL188" s="509"/>
      <c r="AM188" s="509"/>
      <c r="AN188" s="509"/>
    </row>
    <row r="189" spans="1:40" ht="21" customHeight="1">
      <c r="A189" s="494" t="s">
        <v>338</v>
      </c>
      <c r="B189" s="509" t="s">
        <v>83</v>
      </c>
      <c r="C189" s="529" t="s">
        <v>87</v>
      </c>
      <c r="D189" s="509"/>
      <c r="E189" s="640"/>
      <c r="F189" s="656">
        <v>0.22000000000000003</v>
      </c>
      <c r="G189" s="529"/>
      <c r="H189" s="640"/>
      <c r="I189" s="656"/>
      <c r="J189" s="667"/>
      <c r="K189" s="666"/>
      <c r="L189" s="656">
        <v>0.21641965558168574</v>
      </c>
      <c r="M189" s="667"/>
      <c r="N189" s="668"/>
      <c r="O189" s="667"/>
      <c r="P189" s="666"/>
      <c r="Q189" s="656">
        <v>0.21902894541287191</v>
      </c>
      <c r="R189" s="667"/>
      <c r="S189" s="668"/>
      <c r="T189" s="604"/>
      <c r="U189" s="509"/>
      <c r="V189" s="509"/>
      <c r="W189" s="509"/>
      <c r="X189" s="509"/>
      <c r="Y189" s="509"/>
      <c r="Z189" s="509"/>
      <c r="AA189" s="509"/>
      <c r="AB189" s="509"/>
      <c r="AC189" s="509"/>
      <c r="AD189" s="509"/>
      <c r="AE189" s="509"/>
      <c r="AF189" s="509"/>
      <c r="AG189" s="509"/>
      <c r="AH189" s="509"/>
      <c r="AI189" s="509"/>
      <c r="AJ189" s="509"/>
      <c r="AK189" s="509"/>
      <c r="AL189" s="509"/>
      <c r="AM189" s="509"/>
      <c r="AN189" s="509"/>
    </row>
    <row r="190" spans="1:40" ht="15.75" customHeight="1">
      <c r="A190" s="494" t="s">
        <v>83</v>
      </c>
      <c r="B190" s="509" t="s">
        <v>83</v>
      </c>
      <c r="C190" s="529"/>
      <c r="D190" s="509"/>
      <c r="E190" s="640"/>
      <c r="F190" s="656"/>
      <c r="G190" s="529"/>
      <c r="H190" s="640"/>
      <c r="I190" s="656"/>
      <c r="J190" s="667"/>
      <c r="K190" s="666"/>
      <c r="L190" s="656"/>
      <c r="M190" s="667"/>
      <c r="N190" s="668"/>
      <c r="O190" s="667"/>
      <c r="P190" s="666"/>
      <c r="Q190" s="656"/>
      <c r="R190" s="667"/>
      <c r="S190" s="668"/>
      <c r="T190" s="604"/>
      <c r="U190" s="509"/>
      <c r="V190" s="509"/>
      <c r="W190" s="509"/>
      <c r="X190" s="509"/>
      <c r="Y190" s="509"/>
      <c r="Z190" s="509"/>
      <c r="AA190" s="509"/>
      <c r="AB190" s="509"/>
      <c r="AC190" s="509"/>
      <c r="AD190" s="509"/>
      <c r="AE190" s="509"/>
      <c r="AF190" s="509"/>
      <c r="AG190" s="509"/>
      <c r="AH190" s="509"/>
      <c r="AI190" s="509"/>
      <c r="AJ190" s="509"/>
      <c r="AK190" s="509"/>
      <c r="AL190" s="509"/>
      <c r="AM190" s="509"/>
      <c r="AN190" s="509"/>
    </row>
    <row r="191" spans="1:40" ht="15.75" customHeight="1">
      <c r="A191" s="494" t="s">
        <v>346</v>
      </c>
      <c r="B191" s="509" t="s">
        <v>83</v>
      </c>
      <c r="C191" s="529" t="s">
        <v>95</v>
      </c>
      <c r="D191" s="509"/>
      <c r="E191" s="570">
        <v>13969.255948917578</v>
      </c>
      <c r="F191" s="570">
        <v>9778.4791642423043</v>
      </c>
      <c r="G191" s="529"/>
      <c r="H191" s="570"/>
      <c r="I191" s="570"/>
      <c r="J191" s="556">
        <v>71</v>
      </c>
      <c r="K191" s="530">
        <v>13554.44</v>
      </c>
      <c r="L191" s="532">
        <v>10654.58</v>
      </c>
      <c r="M191" s="667"/>
      <c r="N191" s="668"/>
      <c r="O191" s="667"/>
      <c r="P191" s="530">
        <v>0</v>
      </c>
      <c r="Q191" s="656">
        <v>0</v>
      </c>
      <c r="R191" s="667"/>
      <c r="S191" s="668"/>
      <c r="T191" s="604"/>
      <c r="U191" s="509"/>
      <c r="V191" s="509"/>
      <c r="W191" s="509"/>
      <c r="X191" s="509"/>
      <c r="Y191" s="509"/>
      <c r="Z191" s="509"/>
      <c r="AA191" s="509"/>
      <c r="AB191" s="509"/>
      <c r="AC191" s="509"/>
      <c r="AD191" s="509"/>
      <c r="AE191" s="509"/>
      <c r="AF191" s="509"/>
      <c r="AG191" s="509"/>
      <c r="AH191" s="509"/>
      <c r="AI191" s="509"/>
      <c r="AJ191" s="509"/>
      <c r="AK191" s="509"/>
      <c r="AL191" s="509"/>
      <c r="AM191" s="509"/>
      <c r="AN191" s="509"/>
    </row>
    <row r="192" spans="1:40" ht="15.75" customHeight="1">
      <c r="A192" s="494" t="s">
        <v>338</v>
      </c>
      <c r="B192" s="509" t="s">
        <v>83</v>
      </c>
      <c r="C192" s="529" t="s">
        <v>87</v>
      </c>
      <c r="D192" s="509"/>
      <c r="E192" s="640"/>
      <c r="F192" s="656">
        <v>0.7</v>
      </c>
      <c r="G192" s="529"/>
      <c r="H192" s="640"/>
      <c r="I192" s="656"/>
      <c r="J192" s="667"/>
      <c r="K192" s="666"/>
      <c r="L192" s="656">
        <v>0.78605829528921889</v>
      </c>
      <c r="M192" s="667"/>
      <c r="N192" s="668"/>
      <c r="O192" s="667"/>
      <c r="P192" s="666"/>
      <c r="Q192" s="656">
        <v>0</v>
      </c>
      <c r="R192" s="667"/>
      <c r="S192" s="668"/>
      <c r="T192" s="604"/>
      <c r="U192" s="530"/>
      <c r="V192" s="509"/>
      <c r="W192" s="509"/>
      <c r="X192" s="509"/>
      <c r="Y192" s="509"/>
      <c r="Z192" s="509"/>
      <c r="AA192" s="509"/>
      <c r="AB192" s="509"/>
      <c r="AC192" s="509"/>
      <c r="AD192" s="509"/>
      <c r="AE192" s="509"/>
      <c r="AF192" s="509"/>
      <c r="AG192" s="509"/>
      <c r="AH192" s="509"/>
      <c r="AI192" s="509"/>
      <c r="AJ192" s="509"/>
      <c r="AK192" s="509"/>
      <c r="AL192" s="509"/>
      <c r="AM192" s="509"/>
      <c r="AN192" s="509"/>
    </row>
    <row r="193" spans="1:40" ht="15.75" customHeight="1" thickBot="1">
      <c r="A193" s="494" t="s">
        <v>83</v>
      </c>
      <c r="B193" s="509" t="s">
        <v>83</v>
      </c>
      <c r="C193" s="688"/>
      <c r="D193" s="689"/>
      <c r="E193" s="690"/>
      <c r="F193" s="691"/>
      <c r="G193" s="692"/>
      <c r="H193" s="690"/>
      <c r="I193" s="691"/>
      <c r="J193" s="692"/>
      <c r="K193" s="690"/>
      <c r="L193" s="691"/>
      <c r="M193" s="692"/>
      <c r="N193" s="691"/>
      <c r="O193" s="692"/>
      <c r="P193" s="690"/>
      <c r="Q193" s="691"/>
      <c r="R193" s="692"/>
      <c r="S193" s="691"/>
      <c r="T193" s="604"/>
      <c r="U193" s="509"/>
      <c r="V193" s="509"/>
      <c r="W193" s="509"/>
      <c r="X193" s="509"/>
      <c r="Y193" s="509"/>
      <c r="Z193" s="509"/>
      <c r="AA193" s="509"/>
      <c r="AB193" s="509"/>
      <c r="AC193" s="509"/>
      <c r="AD193" s="509"/>
      <c r="AE193" s="509"/>
      <c r="AF193" s="509"/>
      <c r="AG193" s="509"/>
      <c r="AH193" s="509"/>
      <c r="AI193" s="509"/>
      <c r="AJ193" s="509"/>
      <c r="AK193" s="509"/>
      <c r="AL193" s="509"/>
      <c r="AM193" s="509"/>
      <c r="AN193" s="509"/>
    </row>
    <row r="194" spans="1:40" ht="24.75" customHeight="1" thickTop="1">
      <c r="A194" s="494" t="s">
        <v>347</v>
      </c>
      <c r="B194" s="509" t="s">
        <v>83</v>
      </c>
      <c r="C194" s="557" t="s">
        <v>96</v>
      </c>
      <c r="D194" s="558"/>
      <c r="E194" s="558">
        <v>277413.32001234376</v>
      </c>
      <c r="F194" s="560">
        <v>197039.17738819987</v>
      </c>
      <c r="G194" s="561"/>
      <c r="H194" s="558"/>
      <c r="I194" s="560"/>
      <c r="J194" s="561"/>
      <c r="K194" s="558">
        <v>251100.53</v>
      </c>
      <c r="L194" s="560">
        <v>184508.15</v>
      </c>
      <c r="M194" s="693">
        <v>2.4524980560061915E-2</v>
      </c>
      <c r="N194" s="560">
        <v>-12531.027388199873</v>
      </c>
      <c r="O194" s="561"/>
      <c r="P194" s="558">
        <v>272514.06</v>
      </c>
      <c r="Q194" s="560">
        <v>200056.36999999901</v>
      </c>
      <c r="R194" s="693"/>
      <c r="S194" s="560">
        <v>-15548.219999999012</v>
      </c>
      <c r="T194" s="604"/>
      <c r="U194" s="570"/>
      <c r="V194" s="509"/>
      <c r="W194" s="509"/>
      <c r="X194" s="509"/>
      <c r="Y194" s="509"/>
      <c r="Z194" s="509"/>
      <c r="AA194" s="509"/>
      <c r="AB194" s="509"/>
      <c r="AC194" s="509"/>
      <c r="AD194" s="509"/>
      <c r="AE194" s="509"/>
      <c r="AF194" s="509"/>
      <c r="AG194" s="509"/>
      <c r="AH194" s="509"/>
      <c r="AI194" s="509"/>
      <c r="AJ194" s="509"/>
      <c r="AK194" s="509"/>
      <c r="AL194" s="509"/>
      <c r="AM194" s="509"/>
      <c r="AN194" s="509"/>
    </row>
    <row r="195" spans="1:40" ht="24" customHeight="1" thickBot="1">
      <c r="A195" s="494" t="s">
        <v>83</v>
      </c>
      <c r="B195" s="509" t="s">
        <v>83</v>
      </c>
      <c r="C195" s="562"/>
      <c r="D195" s="563"/>
      <c r="E195" s="563"/>
      <c r="F195" s="567">
        <v>0.71027295077046926</v>
      </c>
      <c r="G195" s="562"/>
      <c r="H195" s="563"/>
      <c r="I195" s="567"/>
      <c r="J195" s="562"/>
      <c r="K195" s="563"/>
      <c r="L195" s="567">
        <v>0.73479793133053117</v>
      </c>
      <c r="M195" s="566"/>
      <c r="N195" s="567">
        <v>-6.3596628621280071E-2</v>
      </c>
      <c r="O195" s="562"/>
      <c r="P195" s="563"/>
      <c r="Q195" s="567">
        <v>0.73411393892850518</v>
      </c>
      <c r="R195" s="566"/>
      <c r="S195" s="567">
        <v>-11.86683427427781</v>
      </c>
      <c r="T195" s="568"/>
      <c r="U195" s="509"/>
      <c r="V195" s="509"/>
      <c r="W195" s="509"/>
      <c r="X195" s="509"/>
      <c r="Y195" s="509"/>
      <c r="Z195" s="509"/>
      <c r="AA195" s="509"/>
      <c r="AB195" s="509"/>
      <c r="AC195" s="509"/>
      <c r="AD195" s="509"/>
      <c r="AE195" s="509"/>
      <c r="AF195" s="509"/>
      <c r="AG195" s="509"/>
      <c r="AH195" s="509"/>
      <c r="AI195" s="509"/>
      <c r="AJ195" s="509"/>
      <c r="AK195" s="509"/>
      <c r="AL195" s="509"/>
      <c r="AM195" s="509"/>
      <c r="AN195" s="509"/>
    </row>
    <row r="196" spans="1:40" ht="15.75" customHeight="1" thickTop="1">
      <c r="A196" s="494" t="s">
        <v>83</v>
      </c>
      <c r="B196" s="509" t="s">
        <v>83</v>
      </c>
      <c r="C196" s="548"/>
      <c r="D196" s="568"/>
      <c r="E196" s="568"/>
      <c r="F196" s="547"/>
      <c r="G196" s="548"/>
      <c r="H196" s="568"/>
      <c r="I196" s="547"/>
      <c r="J196" s="548"/>
      <c r="K196" s="604"/>
      <c r="L196" s="547"/>
      <c r="M196" s="546"/>
      <c r="N196" s="547"/>
      <c r="O196" s="548"/>
      <c r="P196" s="568"/>
      <c r="Q196" s="547"/>
      <c r="R196" s="546"/>
      <c r="S196" s="547"/>
      <c r="T196" s="568"/>
      <c r="U196" s="509"/>
      <c r="V196" s="509"/>
      <c r="W196" s="509"/>
      <c r="X196" s="509"/>
      <c r="Y196" s="509"/>
      <c r="Z196" s="509"/>
      <c r="AA196" s="509"/>
      <c r="AB196" s="509"/>
      <c r="AC196" s="509"/>
      <c r="AD196" s="509"/>
      <c r="AE196" s="509"/>
      <c r="AF196" s="509"/>
      <c r="AG196" s="509"/>
      <c r="AH196" s="509"/>
      <c r="AI196" s="509"/>
      <c r="AJ196" s="509"/>
      <c r="AK196" s="509"/>
      <c r="AL196" s="509"/>
      <c r="AM196" s="509"/>
      <c r="AN196" s="509"/>
    </row>
    <row r="197" spans="1:40" ht="15.75" customHeight="1">
      <c r="A197" s="494" t="s">
        <v>348</v>
      </c>
      <c r="B197" s="509" t="s">
        <v>83</v>
      </c>
      <c r="C197" s="571" t="s">
        <v>30</v>
      </c>
      <c r="D197" s="509"/>
      <c r="E197" s="509"/>
      <c r="F197" s="555"/>
      <c r="G197" s="529"/>
      <c r="H197" s="509"/>
      <c r="I197" s="555"/>
      <c r="J197" s="529"/>
      <c r="K197" s="509"/>
      <c r="L197" s="539"/>
      <c r="M197" s="529"/>
      <c r="N197" s="539"/>
      <c r="O197" s="529"/>
      <c r="P197" s="509"/>
      <c r="Q197" s="539"/>
      <c r="R197" s="529"/>
      <c r="S197" s="539"/>
      <c r="T197" s="509"/>
      <c r="U197" s="509"/>
      <c r="V197" s="509"/>
      <c r="W197" s="509"/>
      <c r="X197" s="509"/>
      <c r="Y197" s="509"/>
      <c r="Z197" s="509"/>
      <c r="AA197" s="509"/>
      <c r="AB197" s="509"/>
      <c r="AC197" s="509"/>
      <c r="AD197" s="509"/>
      <c r="AE197" s="509"/>
      <c r="AF197" s="509"/>
      <c r="AG197" s="509"/>
      <c r="AH197" s="509"/>
      <c r="AI197" s="509"/>
      <c r="AJ197" s="509"/>
      <c r="AK197" s="509"/>
      <c r="AL197" s="509"/>
      <c r="AM197" s="509"/>
      <c r="AN197" s="509"/>
    </row>
    <row r="198" spans="1:40" ht="15.75" customHeight="1">
      <c r="A198" s="494" t="s">
        <v>349</v>
      </c>
      <c r="B198" s="509" t="s">
        <v>83</v>
      </c>
      <c r="C198" s="596" t="s">
        <v>41</v>
      </c>
      <c r="D198" s="509"/>
      <c r="E198" s="509"/>
      <c r="F198" s="530">
        <v>15728.762179487177</v>
      </c>
      <c r="G198" s="529"/>
      <c r="H198" s="509"/>
      <c r="I198" s="530"/>
      <c r="J198" s="529"/>
      <c r="K198" s="509"/>
      <c r="L198" s="532">
        <v>20405.86</v>
      </c>
      <c r="M198" s="529"/>
      <c r="N198" s="532">
        <v>4677.0978205128231</v>
      </c>
      <c r="O198" s="529"/>
      <c r="P198" s="509"/>
      <c r="Q198" s="532">
        <v>10048.370000000001</v>
      </c>
      <c r="R198" s="529"/>
      <c r="S198" s="532">
        <v>10357.49</v>
      </c>
      <c r="T198" s="509"/>
      <c r="U198" s="509"/>
      <c r="V198" s="509"/>
      <c r="W198" s="509"/>
      <c r="X198" s="509"/>
      <c r="Y198" s="509"/>
      <c r="Z198" s="509"/>
      <c r="AA198" s="509"/>
      <c r="AB198" s="509"/>
      <c r="AC198" s="509"/>
      <c r="AD198" s="509"/>
      <c r="AE198" s="509"/>
      <c r="AF198" s="509"/>
      <c r="AG198" s="509"/>
      <c r="AH198" s="509"/>
      <c r="AI198" s="509"/>
      <c r="AJ198" s="509"/>
      <c r="AK198" s="509"/>
      <c r="AL198" s="509"/>
      <c r="AM198" s="509"/>
      <c r="AN198" s="509"/>
    </row>
    <row r="199" spans="1:40" ht="15.75" customHeight="1">
      <c r="A199" s="494" t="s">
        <v>350</v>
      </c>
      <c r="B199" s="509" t="s">
        <v>83</v>
      </c>
      <c r="C199" s="598" t="s">
        <v>42</v>
      </c>
      <c r="D199" s="581"/>
      <c r="E199" s="509"/>
      <c r="F199" s="524">
        <v>8540.9555384615378</v>
      </c>
      <c r="G199" s="582"/>
      <c r="H199" s="509"/>
      <c r="I199" s="524"/>
      <c r="J199" s="529"/>
      <c r="K199" s="509"/>
      <c r="L199" s="532">
        <v>4908.57</v>
      </c>
      <c r="M199" s="529"/>
      <c r="N199" s="532">
        <v>-3632.3855384615381</v>
      </c>
      <c r="O199" s="529"/>
      <c r="P199" s="509"/>
      <c r="Q199" s="532">
        <v>4392.7299999999996</v>
      </c>
      <c r="R199" s="529"/>
      <c r="S199" s="555">
        <v>515.84000000000015</v>
      </c>
      <c r="T199" s="509"/>
      <c r="U199" s="509"/>
      <c r="V199" s="509"/>
      <c r="W199" s="509"/>
      <c r="X199" s="509"/>
      <c r="Y199" s="509"/>
      <c r="Z199" s="509"/>
      <c r="AA199" s="509"/>
      <c r="AB199" s="509"/>
      <c r="AC199" s="509"/>
      <c r="AD199" s="509"/>
      <c r="AE199" s="509"/>
      <c r="AF199" s="509"/>
      <c r="AG199" s="509"/>
      <c r="AH199" s="509"/>
      <c r="AI199" s="509"/>
      <c r="AJ199" s="509"/>
      <c r="AK199" s="509"/>
      <c r="AL199" s="509"/>
      <c r="AM199" s="509"/>
      <c r="AN199" s="509"/>
    </row>
    <row r="200" spans="1:40" ht="20.399999999999999">
      <c r="A200" s="494" t="s">
        <v>351</v>
      </c>
      <c r="B200" s="509" t="s">
        <v>83</v>
      </c>
      <c r="C200" s="596" t="s">
        <v>43</v>
      </c>
      <c r="D200" s="599"/>
      <c r="E200" s="600"/>
      <c r="F200" s="530">
        <v>17386.576923076926</v>
      </c>
      <c r="G200" s="601"/>
      <c r="H200" s="600"/>
      <c r="I200" s="530"/>
      <c r="J200" s="517"/>
      <c r="K200" s="600"/>
      <c r="L200" s="551">
        <v>17670.88</v>
      </c>
      <c r="M200" s="517"/>
      <c r="N200" s="551">
        <v>284.30307692307542</v>
      </c>
      <c r="O200" s="517"/>
      <c r="P200" s="600"/>
      <c r="Q200" s="551">
        <v>4935.46</v>
      </c>
      <c r="R200" s="517"/>
      <c r="S200" s="602">
        <v>12735.420000000002</v>
      </c>
      <c r="T200" s="509"/>
      <c r="U200" s="509"/>
      <c r="V200" s="509"/>
      <c r="W200" s="509"/>
      <c r="X200" s="509"/>
      <c r="Y200" s="509"/>
      <c r="Z200" s="509"/>
      <c r="AA200" s="509"/>
      <c r="AB200" s="509"/>
      <c r="AC200" s="509"/>
      <c r="AD200" s="509"/>
      <c r="AE200" s="509"/>
      <c r="AF200" s="509"/>
      <c r="AG200" s="509"/>
      <c r="AH200" s="509"/>
      <c r="AI200" s="509"/>
      <c r="AJ200" s="509"/>
      <c r="AK200" s="509"/>
      <c r="AL200" s="509"/>
      <c r="AM200" s="509"/>
      <c r="AN200" s="509"/>
    </row>
    <row r="201" spans="1:40" ht="21.75" customHeight="1">
      <c r="A201" s="494" t="s">
        <v>352</v>
      </c>
      <c r="B201" s="509" t="s">
        <v>83</v>
      </c>
      <c r="C201" s="596" t="s">
        <v>44</v>
      </c>
      <c r="D201" s="581"/>
      <c r="E201" s="597">
        <v>0.1848172405231629</v>
      </c>
      <c r="F201" s="530">
        <v>26712.389950435332</v>
      </c>
      <c r="G201" s="582"/>
      <c r="H201" s="509"/>
      <c r="I201" s="530"/>
      <c r="J201" s="529"/>
      <c r="K201" s="694">
        <v>0.21160280531648856</v>
      </c>
      <c r="L201" s="532">
        <v>26139.54</v>
      </c>
      <c r="M201" s="529"/>
      <c r="N201" s="532">
        <v>-572.84995043533127</v>
      </c>
      <c r="O201" s="529"/>
      <c r="P201" s="509"/>
      <c r="Q201" s="532">
        <v>33595.35</v>
      </c>
      <c r="R201" s="529"/>
      <c r="S201" s="555">
        <v>-7455.8099999999977</v>
      </c>
      <c r="T201" s="509"/>
      <c r="U201" s="509"/>
      <c r="V201" s="509"/>
      <c r="W201" s="509"/>
      <c r="X201" s="509"/>
      <c r="Y201" s="509"/>
      <c r="Z201" s="509"/>
      <c r="AA201" s="509"/>
      <c r="AB201" s="509"/>
      <c r="AC201" s="509"/>
      <c r="AD201" s="509"/>
      <c r="AE201" s="509"/>
      <c r="AF201" s="509"/>
      <c r="AG201" s="509"/>
      <c r="AH201" s="509"/>
      <c r="AI201" s="509"/>
      <c r="AJ201" s="509"/>
      <c r="AK201" s="509"/>
      <c r="AL201" s="509"/>
      <c r="AM201" s="509"/>
      <c r="AN201" s="509"/>
    </row>
    <row r="202" spans="1:40" ht="15.75" hidden="1" customHeight="1">
      <c r="A202" s="494" t="s">
        <v>353</v>
      </c>
      <c r="B202" s="509" t="s">
        <v>83</v>
      </c>
      <c r="C202" s="529" t="s">
        <v>20</v>
      </c>
      <c r="D202" s="581"/>
      <c r="E202" s="509"/>
      <c r="F202" s="530">
        <v>0</v>
      </c>
      <c r="G202" s="582"/>
      <c r="H202" s="509"/>
      <c r="I202" s="530"/>
      <c r="J202" s="529"/>
      <c r="K202" s="509"/>
      <c r="L202" s="532">
        <v>0</v>
      </c>
      <c r="M202" s="529"/>
      <c r="N202" s="532">
        <v>0</v>
      </c>
      <c r="O202" s="529"/>
      <c r="P202" s="509"/>
      <c r="Q202" s="532">
        <v>0</v>
      </c>
      <c r="R202" s="529"/>
      <c r="S202" s="555">
        <v>0</v>
      </c>
      <c r="T202" s="509"/>
      <c r="U202" s="509"/>
      <c r="V202" s="509"/>
      <c r="W202" s="509"/>
      <c r="X202" s="509"/>
      <c r="Y202" s="509"/>
      <c r="Z202" s="509"/>
      <c r="AA202" s="509"/>
      <c r="AB202" s="509"/>
      <c r="AC202" s="509"/>
      <c r="AD202" s="509"/>
      <c r="AE202" s="509"/>
      <c r="AF202" s="509"/>
      <c r="AG202" s="509"/>
      <c r="AH202" s="509"/>
      <c r="AI202" s="509"/>
      <c r="AJ202" s="509"/>
      <c r="AK202" s="509"/>
      <c r="AL202" s="509"/>
      <c r="AM202" s="509"/>
      <c r="AN202" s="509"/>
    </row>
    <row r="203" spans="1:40" ht="15.75" hidden="1" customHeight="1">
      <c r="A203" s="494" t="s">
        <v>353</v>
      </c>
      <c r="B203" s="509" t="s">
        <v>83</v>
      </c>
      <c r="C203" s="529" t="s">
        <v>20</v>
      </c>
      <c r="D203" s="581"/>
      <c r="E203" s="509"/>
      <c r="F203" s="530">
        <v>0</v>
      </c>
      <c r="G203" s="582"/>
      <c r="H203" s="509"/>
      <c r="I203" s="530"/>
      <c r="J203" s="529"/>
      <c r="K203" s="509"/>
      <c r="L203" s="532">
        <v>0</v>
      </c>
      <c r="M203" s="529"/>
      <c r="N203" s="532">
        <v>0</v>
      </c>
      <c r="O203" s="529"/>
      <c r="P203" s="509"/>
      <c r="Q203" s="532">
        <v>0</v>
      </c>
      <c r="R203" s="529"/>
      <c r="S203" s="555">
        <v>0</v>
      </c>
      <c r="T203" s="509"/>
      <c r="U203" s="509"/>
      <c r="V203" s="509"/>
      <c r="W203" s="509"/>
      <c r="X203" s="509"/>
      <c r="Y203" s="509"/>
      <c r="Z203" s="509"/>
      <c r="AA203" s="509"/>
      <c r="AB203" s="509"/>
      <c r="AC203" s="509"/>
      <c r="AD203" s="509"/>
      <c r="AE203" s="509"/>
      <c r="AF203" s="509"/>
      <c r="AG203" s="509"/>
      <c r="AH203" s="509"/>
      <c r="AI203" s="509"/>
      <c r="AJ203" s="509"/>
      <c r="AK203" s="509"/>
      <c r="AL203" s="509"/>
      <c r="AM203" s="509"/>
      <c r="AN203" s="509"/>
    </row>
    <row r="204" spans="1:40" ht="15.75" hidden="1" customHeight="1">
      <c r="A204" s="494" t="s">
        <v>353</v>
      </c>
      <c r="B204" s="509" t="s">
        <v>83</v>
      </c>
      <c r="C204" s="529" t="s">
        <v>20</v>
      </c>
      <c r="D204" s="581"/>
      <c r="E204" s="509"/>
      <c r="F204" s="530">
        <v>0</v>
      </c>
      <c r="G204" s="582"/>
      <c r="H204" s="509"/>
      <c r="I204" s="530"/>
      <c r="J204" s="529"/>
      <c r="K204" s="509"/>
      <c r="L204" s="532">
        <v>0</v>
      </c>
      <c r="M204" s="529"/>
      <c r="N204" s="532">
        <v>0</v>
      </c>
      <c r="O204" s="529"/>
      <c r="P204" s="509"/>
      <c r="Q204" s="532">
        <v>0</v>
      </c>
      <c r="R204" s="529"/>
      <c r="S204" s="555">
        <v>0</v>
      </c>
      <c r="T204" s="509"/>
      <c r="U204" s="509"/>
      <c r="V204" s="509"/>
      <c r="W204" s="509"/>
      <c r="X204" s="509"/>
      <c r="Y204" s="509"/>
      <c r="Z204" s="509"/>
      <c r="AA204" s="509"/>
      <c r="AB204" s="509"/>
      <c r="AC204" s="509"/>
      <c r="AD204" s="509"/>
      <c r="AE204" s="509"/>
      <c r="AF204" s="509"/>
      <c r="AG204" s="509"/>
      <c r="AH204" s="509"/>
      <c r="AI204" s="509"/>
      <c r="AJ204" s="509"/>
      <c r="AK204" s="509"/>
      <c r="AL204" s="509"/>
      <c r="AM204" s="509"/>
      <c r="AN204" s="509"/>
    </row>
    <row r="205" spans="1:40" ht="20.399999999999999">
      <c r="A205" s="494" t="s">
        <v>354</v>
      </c>
      <c r="B205" s="509" t="s">
        <v>83</v>
      </c>
      <c r="C205" s="598" t="s">
        <v>45</v>
      </c>
      <c r="D205" s="581"/>
      <c r="E205" s="509"/>
      <c r="F205" s="530">
        <v>15831.041725044821</v>
      </c>
      <c r="G205" s="582"/>
      <c r="H205" s="509"/>
      <c r="I205" s="530"/>
      <c r="J205" s="529"/>
      <c r="K205" s="509"/>
      <c r="L205" s="532">
        <v>13952.53</v>
      </c>
      <c r="M205" s="529"/>
      <c r="N205" s="532">
        <v>-1878.5117250448202</v>
      </c>
      <c r="O205" s="529"/>
      <c r="P205" s="509"/>
      <c r="Q205" s="532">
        <v>17366.91</v>
      </c>
      <c r="R205" s="529"/>
      <c r="S205" s="555">
        <v>-3414.3799999999992</v>
      </c>
      <c r="T205" s="509"/>
      <c r="U205" s="509"/>
      <c r="V205" s="509"/>
      <c r="W205" s="509"/>
      <c r="X205" s="509"/>
      <c r="Y205" s="509"/>
      <c r="Z205" s="509"/>
      <c r="AA205" s="509"/>
      <c r="AB205" s="509"/>
      <c r="AC205" s="509"/>
      <c r="AD205" s="509"/>
      <c r="AE205" s="509"/>
      <c r="AF205" s="509"/>
      <c r="AG205" s="509"/>
      <c r="AH205" s="509"/>
      <c r="AI205" s="509"/>
      <c r="AJ205" s="509"/>
      <c r="AK205" s="509"/>
      <c r="AL205" s="509"/>
      <c r="AM205" s="509"/>
      <c r="AN205" s="509"/>
    </row>
    <row r="206" spans="1:40" ht="15.75" customHeight="1">
      <c r="A206" s="494" t="s">
        <v>355</v>
      </c>
      <c r="B206" s="509" t="s">
        <v>83</v>
      </c>
      <c r="C206" s="596" t="s">
        <v>46</v>
      </c>
      <c r="D206" s="599"/>
      <c r="E206" s="600"/>
      <c r="F206" s="551">
        <v>19248.315048953176</v>
      </c>
      <c r="G206" s="601"/>
      <c r="H206" s="600"/>
      <c r="I206" s="551"/>
      <c r="J206" s="517"/>
      <c r="K206" s="600"/>
      <c r="L206" s="551">
        <v>20166.349999999999</v>
      </c>
      <c r="M206" s="517"/>
      <c r="N206" s="551">
        <v>918.03495104682224</v>
      </c>
      <c r="O206" s="517"/>
      <c r="P206" s="600"/>
      <c r="Q206" s="551">
        <v>16373.82</v>
      </c>
      <c r="R206" s="517"/>
      <c r="S206" s="602">
        <v>3792.5299999999988</v>
      </c>
      <c r="T206" s="509"/>
      <c r="U206" s="509"/>
      <c r="V206" s="509"/>
      <c r="W206" s="509"/>
      <c r="X206" s="509"/>
      <c r="Y206" s="509"/>
      <c r="Z206" s="509"/>
      <c r="AA206" s="509"/>
      <c r="AB206" s="509"/>
      <c r="AC206" s="509"/>
      <c r="AD206" s="509"/>
      <c r="AE206" s="509"/>
      <c r="AF206" s="509"/>
      <c r="AG206" s="509"/>
      <c r="AH206" s="509"/>
      <c r="AI206" s="509"/>
      <c r="AJ206" s="509"/>
      <c r="AK206" s="509"/>
      <c r="AL206" s="509"/>
      <c r="AM206" s="509"/>
      <c r="AN206" s="509"/>
    </row>
    <row r="207" spans="1:40" ht="15.75" customHeight="1">
      <c r="A207" s="494" t="s">
        <v>356</v>
      </c>
      <c r="B207" s="509" t="s">
        <v>83</v>
      </c>
      <c r="C207" s="596" t="s">
        <v>47</v>
      </c>
      <c r="D207" s="581"/>
      <c r="E207" s="509"/>
      <c r="F207" s="530">
        <v>9917.0666665258741</v>
      </c>
      <c r="G207" s="582"/>
      <c r="H207" s="509"/>
      <c r="I207" s="530"/>
      <c r="J207" s="529"/>
      <c r="K207" s="509"/>
      <c r="L207" s="532">
        <v>10992.65</v>
      </c>
      <c r="M207" s="529"/>
      <c r="N207" s="532">
        <v>1075.5833334741255</v>
      </c>
      <c r="O207" s="529"/>
      <c r="P207" s="509"/>
      <c r="Q207" s="532">
        <v>11498.83</v>
      </c>
      <c r="R207" s="529"/>
      <c r="S207" s="555">
        <v>-506.18000000000029</v>
      </c>
      <c r="T207" s="509"/>
      <c r="U207" s="509"/>
      <c r="V207" s="509"/>
      <c r="W207" s="509"/>
      <c r="X207" s="509"/>
      <c r="Y207" s="509"/>
      <c r="Z207" s="509"/>
      <c r="AA207" s="509"/>
      <c r="AB207" s="509"/>
      <c r="AC207" s="509"/>
      <c r="AD207" s="509"/>
      <c r="AE207" s="509"/>
      <c r="AF207" s="509"/>
      <c r="AG207" s="509"/>
      <c r="AH207" s="509"/>
      <c r="AI207" s="509"/>
      <c r="AJ207" s="509"/>
      <c r="AK207" s="509"/>
      <c r="AL207" s="509"/>
      <c r="AM207" s="509"/>
      <c r="AN207" s="509"/>
    </row>
    <row r="208" spans="1:40" ht="15.75" customHeight="1">
      <c r="A208" s="494" t="s">
        <v>357</v>
      </c>
      <c r="B208" s="509" t="s">
        <v>83</v>
      </c>
      <c r="C208" s="596" t="s">
        <v>48</v>
      </c>
      <c r="D208" s="581"/>
      <c r="E208" s="509"/>
      <c r="F208" s="530">
        <v>4323.8968588228145</v>
      </c>
      <c r="G208" s="582"/>
      <c r="H208" s="509"/>
      <c r="I208" s="530"/>
      <c r="J208" s="529"/>
      <c r="K208" s="509"/>
      <c r="L208" s="532">
        <v>3657.36</v>
      </c>
      <c r="M208" s="529"/>
      <c r="N208" s="532">
        <v>-666.53685882281434</v>
      </c>
      <c r="O208" s="529"/>
      <c r="P208" s="509"/>
      <c r="Q208" s="532">
        <v>5572.29</v>
      </c>
      <c r="R208" s="529"/>
      <c r="S208" s="555">
        <v>-1914.9299999999998</v>
      </c>
      <c r="T208" s="509"/>
      <c r="U208" s="509"/>
      <c r="V208" s="509"/>
      <c r="W208" s="509"/>
      <c r="X208" s="509"/>
      <c r="Y208" s="509"/>
      <c r="Z208" s="509"/>
      <c r="AA208" s="509"/>
      <c r="AB208" s="509"/>
      <c r="AC208" s="509"/>
      <c r="AD208" s="509"/>
      <c r="AE208" s="509"/>
      <c r="AF208" s="509"/>
      <c r="AG208" s="509"/>
      <c r="AH208" s="509"/>
      <c r="AI208" s="509"/>
      <c r="AJ208" s="509"/>
      <c r="AK208" s="509"/>
      <c r="AL208" s="509"/>
      <c r="AM208" s="509"/>
      <c r="AN208" s="509"/>
    </row>
    <row r="209" spans="1:40" ht="15.75" hidden="1" customHeight="1">
      <c r="A209" s="494" t="s">
        <v>353</v>
      </c>
      <c r="B209" s="509" t="s">
        <v>83</v>
      </c>
      <c r="C209" s="529" t="s">
        <v>20</v>
      </c>
      <c r="D209" s="583"/>
      <c r="E209" s="603"/>
      <c r="F209" s="530">
        <v>0</v>
      </c>
      <c r="G209" s="584"/>
      <c r="H209" s="603"/>
      <c r="I209" s="530"/>
      <c r="J209" s="522"/>
      <c r="K209" s="603"/>
      <c r="L209" s="532">
        <v>0</v>
      </c>
      <c r="M209" s="522"/>
      <c r="N209" s="532">
        <v>0</v>
      </c>
      <c r="O209" s="522"/>
      <c r="P209" s="603"/>
      <c r="Q209" s="532">
        <v>0</v>
      </c>
      <c r="R209" s="522"/>
      <c r="S209" s="579">
        <v>0</v>
      </c>
      <c r="T209" s="509"/>
      <c r="U209" s="509"/>
      <c r="V209" s="509"/>
      <c r="W209" s="509"/>
      <c r="X209" s="509"/>
      <c r="Y209" s="509"/>
      <c r="Z209" s="509"/>
      <c r="AA209" s="509"/>
      <c r="AB209" s="509"/>
      <c r="AC209" s="509"/>
      <c r="AD209" s="509"/>
      <c r="AE209" s="509"/>
      <c r="AF209" s="509"/>
      <c r="AG209" s="509"/>
      <c r="AH209" s="509"/>
      <c r="AI209" s="509"/>
      <c r="AJ209" s="509"/>
      <c r="AK209" s="509"/>
      <c r="AL209" s="509"/>
      <c r="AM209" s="509"/>
      <c r="AN209" s="509"/>
    </row>
    <row r="210" spans="1:40" ht="15.75" customHeight="1">
      <c r="A210" s="494" t="s">
        <v>358</v>
      </c>
      <c r="B210" s="509" t="s">
        <v>83</v>
      </c>
      <c r="C210" s="588" t="s">
        <v>49</v>
      </c>
      <c r="D210" s="589" t="s">
        <v>97</v>
      </c>
      <c r="E210" s="590">
        <v>0.5972873336704041</v>
      </c>
      <c r="F210" s="591">
        <v>117689.00489080767</v>
      </c>
      <c r="G210" s="592"/>
      <c r="H210" s="590"/>
      <c r="I210" s="591"/>
      <c r="J210" s="592" t="s">
        <v>97</v>
      </c>
      <c r="K210" s="590">
        <v>0.63896223554352483</v>
      </c>
      <c r="L210" s="591">
        <v>117893.74</v>
      </c>
      <c r="M210" s="646"/>
      <c r="N210" s="591">
        <v>204.73510919233377</v>
      </c>
      <c r="O210" s="592" t="s">
        <v>97</v>
      </c>
      <c r="P210" s="590">
        <v>0.51877258394721715</v>
      </c>
      <c r="Q210" s="591">
        <v>103783.76000000001</v>
      </c>
      <c r="R210" s="646"/>
      <c r="S210" s="605">
        <v>14109.979999999996</v>
      </c>
      <c r="T210" s="509"/>
      <c r="U210" s="509"/>
      <c r="V210" s="509"/>
      <c r="W210" s="509"/>
      <c r="X210" s="509"/>
      <c r="Y210" s="509"/>
      <c r="Z210" s="509"/>
      <c r="AA210" s="509"/>
      <c r="AB210" s="509"/>
      <c r="AC210" s="509"/>
      <c r="AD210" s="509"/>
      <c r="AE210" s="509"/>
      <c r="AF210" s="509"/>
      <c r="AG210" s="509"/>
      <c r="AH210" s="509"/>
      <c r="AI210" s="509"/>
      <c r="AJ210" s="509"/>
      <c r="AK210" s="509"/>
      <c r="AL210" s="509"/>
      <c r="AM210" s="509"/>
      <c r="AN210" s="509"/>
    </row>
    <row r="211" spans="1:40" ht="15.75" customHeight="1">
      <c r="A211" s="494" t="s">
        <v>359</v>
      </c>
      <c r="B211" s="509" t="s">
        <v>83</v>
      </c>
      <c r="C211" s="529" t="s">
        <v>50</v>
      </c>
      <c r="D211" s="581"/>
      <c r="E211" s="509"/>
      <c r="F211" s="530">
        <v>10386.992319131941</v>
      </c>
      <c r="G211" s="582"/>
      <c r="H211" s="509"/>
      <c r="I211" s="530"/>
      <c r="J211" s="529"/>
      <c r="K211" s="509"/>
      <c r="L211" s="532">
        <v>10541.92</v>
      </c>
      <c r="M211" s="529"/>
      <c r="N211" s="555">
        <v>154.92768086805881</v>
      </c>
      <c r="O211" s="529"/>
      <c r="P211" s="509"/>
      <c r="Q211" s="532">
        <v>11043.03</v>
      </c>
      <c r="R211" s="529"/>
      <c r="S211" s="555">
        <v>-501.11000000000058</v>
      </c>
      <c r="T211" s="509"/>
      <c r="U211" s="509"/>
      <c r="V211" s="509"/>
      <c r="W211" s="509"/>
      <c r="X211" s="509"/>
      <c r="Y211" s="509"/>
      <c r="Z211" s="509"/>
      <c r="AA211" s="509"/>
      <c r="AB211" s="509"/>
      <c r="AC211" s="509"/>
      <c r="AD211" s="509"/>
      <c r="AE211" s="509"/>
      <c r="AF211" s="509"/>
      <c r="AG211" s="509"/>
      <c r="AH211" s="509"/>
      <c r="AI211" s="509"/>
      <c r="AJ211" s="509"/>
      <c r="AK211" s="509"/>
      <c r="AL211" s="509"/>
      <c r="AM211" s="509"/>
      <c r="AN211" s="509"/>
    </row>
    <row r="212" spans="1:40" ht="15.75" customHeight="1">
      <c r="A212" s="494" t="s">
        <v>360</v>
      </c>
      <c r="B212" s="509" t="s">
        <v>83</v>
      </c>
      <c r="C212" s="529" t="s">
        <v>51</v>
      </c>
      <c r="D212" s="581"/>
      <c r="E212" s="509"/>
      <c r="F212" s="530">
        <v>3860.3926568344446</v>
      </c>
      <c r="G212" s="582"/>
      <c r="H212" s="509"/>
      <c r="I212" s="530"/>
      <c r="J212" s="529"/>
      <c r="K212" s="509"/>
      <c r="L212" s="532">
        <v>4649.09</v>
      </c>
      <c r="M212" s="529"/>
      <c r="N212" s="555">
        <v>788.69734316555559</v>
      </c>
      <c r="O212" s="529"/>
      <c r="P212" s="509"/>
      <c r="Q212" s="532">
        <v>4858.63</v>
      </c>
      <c r="R212" s="529"/>
      <c r="S212" s="555">
        <v>-209.53999999999996</v>
      </c>
      <c r="T212" s="509"/>
      <c r="V212" s="509"/>
      <c r="W212" s="509"/>
      <c r="X212" s="509"/>
      <c r="Y212" s="509"/>
      <c r="Z212" s="509"/>
      <c r="AA212" s="509"/>
      <c r="AB212" s="509"/>
      <c r="AC212" s="509"/>
      <c r="AD212" s="509"/>
      <c r="AE212" s="509"/>
      <c r="AF212" s="509"/>
      <c r="AG212" s="509"/>
      <c r="AH212" s="509"/>
      <c r="AI212" s="509"/>
      <c r="AJ212" s="509"/>
      <c r="AK212" s="509"/>
      <c r="AL212" s="509"/>
      <c r="AM212" s="509"/>
      <c r="AN212" s="509"/>
    </row>
    <row r="213" spans="1:40" ht="15.75" customHeight="1">
      <c r="A213" s="494" t="s">
        <v>361</v>
      </c>
      <c r="B213" s="509" t="s">
        <v>83</v>
      </c>
      <c r="C213" s="522" t="s">
        <v>52</v>
      </c>
      <c r="D213" s="583"/>
      <c r="E213" s="603"/>
      <c r="F213" s="524">
        <v>13333.333333333334</v>
      </c>
      <c r="G213" s="584"/>
      <c r="H213" s="603"/>
      <c r="I213" s="524"/>
      <c r="J213" s="522"/>
      <c r="K213" s="603"/>
      <c r="L213" s="532">
        <v>13065.45</v>
      </c>
      <c r="M213" s="522"/>
      <c r="N213" s="579">
        <v>-267.88333333333321</v>
      </c>
      <c r="O213" s="522"/>
      <c r="P213" s="603"/>
      <c r="Q213" s="532">
        <v>14198.73</v>
      </c>
      <c r="R213" s="522"/>
      <c r="S213" s="579">
        <v>-1133.2799999999988</v>
      </c>
      <c r="T213" s="509"/>
      <c r="U213" s="509"/>
      <c r="V213" s="509"/>
      <c r="W213" s="509"/>
      <c r="X213" s="509"/>
      <c r="Y213" s="509"/>
      <c r="Z213" s="509"/>
      <c r="AA213" s="509"/>
      <c r="AB213" s="509"/>
      <c r="AC213" s="509"/>
      <c r="AD213" s="509"/>
      <c r="AE213" s="509"/>
      <c r="AF213" s="509"/>
      <c r="AG213" s="509"/>
      <c r="AH213" s="509"/>
      <c r="AI213" s="509"/>
      <c r="AJ213" s="509"/>
      <c r="AK213" s="509"/>
      <c r="AL213" s="509"/>
      <c r="AM213" s="509"/>
      <c r="AN213" s="509"/>
    </row>
    <row r="214" spans="1:40" ht="15.75" customHeight="1">
      <c r="A214" s="494" t="s">
        <v>362</v>
      </c>
      <c r="B214" s="509" t="s">
        <v>83</v>
      </c>
      <c r="C214" s="529" t="s">
        <v>53</v>
      </c>
      <c r="D214" s="581"/>
      <c r="E214" s="509"/>
      <c r="F214" s="530">
        <v>4360.8818746666657</v>
      </c>
      <c r="G214" s="582"/>
      <c r="H214" s="509"/>
      <c r="I214" s="530"/>
      <c r="J214" s="529"/>
      <c r="K214" s="509"/>
      <c r="L214" s="551">
        <v>4395.78</v>
      </c>
      <c r="M214" s="529"/>
      <c r="N214" s="555">
        <v>34.898125333334065</v>
      </c>
      <c r="O214" s="529"/>
      <c r="P214" s="509"/>
      <c r="Q214" s="551">
        <v>3979.91</v>
      </c>
      <c r="R214" s="529"/>
      <c r="S214" s="555">
        <v>415.86999999999989</v>
      </c>
      <c r="T214" s="509"/>
      <c r="U214" s="509"/>
      <c r="V214" s="509"/>
      <c r="W214" s="509"/>
      <c r="X214" s="509"/>
      <c r="Y214" s="509"/>
      <c r="Z214" s="509"/>
      <c r="AA214" s="509"/>
      <c r="AB214" s="509"/>
      <c r="AC214" s="509"/>
      <c r="AD214" s="509"/>
      <c r="AE214" s="509"/>
      <c r="AF214" s="509"/>
      <c r="AG214" s="509"/>
      <c r="AH214" s="509"/>
      <c r="AI214" s="509"/>
      <c r="AJ214" s="509"/>
      <c r="AK214" s="509"/>
      <c r="AL214" s="509"/>
      <c r="AM214" s="509"/>
      <c r="AN214" s="509"/>
    </row>
    <row r="215" spans="1:40" ht="15.75" customHeight="1">
      <c r="A215" s="494" t="s">
        <v>363</v>
      </c>
      <c r="B215" s="509" t="s">
        <v>83</v>
      </c>
      <c r="C215" s="529" t="s">
        <v>54</v>
      </c>
      <c r="D215" s="581"/>
      <c r="E215" s="509"/>
      <c r="F215" s="530">
        <v>1099.3818546873238</v>
      </c>
      <c r="G215" s="582"/>
      <c r="H215" s="509"/>
      <c r="I215" s="530"/>
      <c r="J215" s="529"/>
      <c r="K215" s="509"/>
      <c r="L215" s="532">
        <v>1185.33</v>
      </c>
      <c r="M215" s="529"/>
      <c r="N215" s="555">
        <v>85.948145312676161</v>
      </c>
      <c r="O215" s="529"/>
      <c r="P215" s="509"/>
      <c r="Q215" s="532">
        <v>2116.58</v>
      </c>
      <c r="R215" s="529"/>
      <c r="S215" s="555">
        <v>-931.25</v>
      </c>
      <c r="T215" s="509"/>
      <c r="U215" s="509"/>
      <c r="V215" s="509"/>
      <c r="W215" s="509"/>
      <c r="X215" s="509"/>
      <c r="Y215" s="509"/>
      <c r="Z215" s="509"/>
      <c r="AA215" s="509"/>
      <c r="AB215" s="509"/>
      <c r="AC215" s="509"/>
      <c r="AD215" s="509"/>
      <c r="AE215" s="509"/>
      <c r="AF215" s="509"/>
      <c r="AG215" s="509"/>
      <c r="AH215" s="509"/>
      <c r="AI215" s="509"/>
      <c r="AJ215" s="509"/>
      <c r="AK215" s="509"/>
      <c r="AL215" s="509"/>
      <c r="AM215" s="509"/>
      <c r="AN215" s="509"/>
    </row>
    <row r="216" spans="1:40" ht="15.75" customHeight="1">
      <c r="A216" s="494" t="s">
        <v>364</v>
      </c>
      <c r="B216" s="509" t="s">
        <v>83</v>
      </c>
      <c r="C216" s="522" t="s">
        <v>55</v>
      </c>
      <c r="D216" s="583"/>
      <c r="E216" s="603"/>
      <c r="F216" s="524">
        <v>5641.7720024888895</v>
      </c>
      <c r="G216" s="584"/>
      <c r="H216" s="603"/>
      <c r="I216" s="524"/>
      <c r="J216" s="522"/>
      <c r="K216" s="603"/>
      <c r="L216" s="532">
        <v>9357.9699999999993</v>
      </c>
      <c r="M216" s="522"/>
      <c r="N216" s="579">
        <v>3716.1979975111099</v>
      </c>
      <c r="O216" s="522"/>
      <c r="P216" s="603"/>
      <c r="Q216" s="532">
        <v>4130.46</v>
      </c>
      <c r="R216" s="522"/>
      <c r="S216" s="579">
        <v>5227.5099999999993</v>
      </c>
      <c r="T216" s="509"/>
      <c r="U216" s="509"/>
      <c r="V216" s="509"/>
      <c r="W216" s="509"/>
      <c r="X216" s="509"/>
      <c r="Y216" s="509"/>
      <c r="Z216" s="509"/>
      <c r="AA216" s="509"/>
      <c r="AB216" s="509"/>
      <c r="AC216" s="509"/>
      <c r="AD216" s="509"/>
      <c r="AE216" s="509"/>
      <c r="AF216" s="509"/>
      <c r="AG216" s="509"/>
      <c r="AH216" s="509"/>
      <c r="AI216" s="509"/>
      <c r="AJ216" s="509"/>
      <c r="AK216" s="509"/>
      <c r="AL216" s="509"/>
      <c r="AM216" s="509"/>
      <c r="AN216" s="509"/>
    </row>
    <row r="217" spans="1:40" ht="15.75" customHeight="1">
      <c r="A217" s="494" t="s">
        <v>365</v>
      </c>
      <c r="B217" s="509" t="s">
        <v>83</v>
      </c>
      <c r="C217" s="529" t="s">
        <v>98</v>
      </c>
      <c r="D217" s="581"/>
      <c r="E217" s="509"/>
      <c r="F217" s="530"/>
      <c r="G217" s="582"/>
      <c r="H217" s="509"/>
      <c r="I217" s="530"/>
      <c r="J217" s="529"/>
      <c r="K217" s="509"/>
      <c r="L217" s="551">
        <v>0</v>
      </c>
      <c r="M217" s="529"/>
      <c r="N217" s="555">
        <v>0</v>
      </c>
      <c r="O217" s="529"/>
      <c r="P217" s="509"/>
      <c r="Q217" s="551">
        <v>0</v>
      </c>
      <c r="R217" s="529"/>
      <c r="S217" s="555">
        <v>0</v>
      </c>
      <c r="T217" s="509"/>
      <c r="U217" s="509"/>
      <c r="V217" s="509"/>
      <c r="W217" s="509"/>
      <c r="X217" s="509"/>
      <c r="Y217" s="509"/>
      <c r="Z217" s="509"/>
      <c r="AA217" s="509"/>
      <c r="AB217" s="509"/>
      <c r="AC217" s="509"/>
      <c r="AD217" s="509"/>
      <c r="AE217" s="509"/>
      <c r="AF217" s="509"/>
      <c r="AG217" s="509"/>
      <c r="AH217" s="509"/>
      <c r="AI217" s="509"/>
      <c r="AJ217" s="509"/>
      <c r="AK217" s="509"/>
      <c r="AL217" s="509"/>
      <c r="AM217" s="509"/>
      <c r="AN217" s="509"/>
    </row>
    <row r="218" spans="1:40" ht="15.75" customHeight="1">
      <c r="A218" s="494" t="s">
        <v>366</v>
      </c>
      <c r="B218" s="509" t="s">
        <v>83</v>
      </c>
      <c r="C218" s="529" t="s">
        <v>56</v>
      </c>
      <c r="D218" s="581"/>
      <c r="E218" s="509"/>
      <c r="F218" s="530">
        <v>5583.333333333333</v>
      </c>
      <c r="G218" s="582"/>
      <c r="H218" s="509"/>
      <c r="I218" s="530"/>
      <c r="J218" s="529"/>
      <c r="K218" s="509"/>
      <c r="L218" s="532">
        <v>2780.21</v>
      </c>
      <c r="M218" s="529"/>
      <c r="N218" s="555">
        <v>-2803.123333333333</v>
      </c>
      <c r="O218" s="529"/>
      <c r="P218" s="509"/>
      <c r="Q218" s="532">
        <v>4394.93</v>
      </c>
      <c r="R218" s="529"/>
      <c r="S218" s="555">
        <v>-1614.7200000000003</v>
      </c>
      <c r="T218" s="509"/>
      <c r="U218" s="509"/>
      <c r="V218" s="509"/>
      <c r="W218" s="509"/>
      <c r="X218" s="509"/>
      <c r="Y218" s="509"/>
      <c r="Z218" s="509"/>
      <c r="AA218" s="509"/>
      <c r="AB218" s="509"/>
      <c r="AC218" s="509"/>
      <c r="AD218" s="509"/>
      <c r="AE218" s="509"/>
      <c r="AF218" s="509"/>
      <c r="AG218" s="509"/>
      <c r="AH218" s="509"/>
      <c r="AI218" s="509"/>
      <c r="AJ218" s="509"/>
      <c r="AK218" s="509"/>
      <c r="AL218" s="509"/>
      <c r="AM218" s="509"/>
      <c r="AN218" s="509"/>
    </row>
    <row r="219" spans="1:40" ht="15.75" customHeight="1">
      <c r="A219" s="494" t="s">
        <v>367</v>
      </c>
      <c r="B219" s="509" t="s">
        <v>83</v>
      </c>
      <c r="C219" s="529" t="s">
        <v>57</v>
      </c>
      <c r="D219" s="581"/>
      <c r="E219" s="509"/>
      <c r="F219" s="530">
        <v>1221.9416376071097</v>
      </c>
      <c r="G219" s="582"/>
      <c r="H219" s="509"/>
      <c r="I219" s="530"/>
      <c r="J219" s="529"/>
      <c r="K219" s="509"/>
      <c r="L219" s="532">
        <v>1811.25</v>
      </c>
      <c r="M219" s="529"/>
      <c r="N219" s="555">
        <v>589.30836239289033</v>
      </c>
      <c r="O219" s="529"/>
      <c r="P219" s="509"/>
      <c r="Q219" s="532">
        <v>788.71</v>
      </c>
      <c r="R219" s="529"/>
      <c r="S219" s="555">
        <v>1022.54</v>
      </c>
      <c r="T219" s="509"/>
      <c r="U219" s="509"/>
      <c r="V219" s="509"/>
      <c r="W219" s="509"/>
      <c r="X219" s="509"/>
      <c r="Y219" s="509"/>
      <c r="Z219" s="509"/>
      <c r="AA219" s="509"/>
      <c r="AB219" s="509"/>
      <c r="AC219" s="509"/>
      <c r="AD219" s="509"/>
      <c r="AE219" s="509"/>
      <c r="AF219" s="509"/>
      <c r="AG219" s="509"/>
      <c r="AH219" s="509"/>
      <c r="AI219" s="509"/>
      <c r="AJ219" s="509"/>
      <c r="AK219" s="509"/>
      <c r="AL219" s="509"/>
      <c r="AM219" s="509"/>
      <c r="AN219" s="509"/>
    </row>
    <row r="220" spans="1:40" ht="15.75" customHeight="1">
      <c r="A220" s="494" t="s">
        <v>368</v>
      </c>
      <c r="B220" s="509" t="s">
        <v>83</v>
      </c>
      <c r="C220" s="529" t="s">
        <v>58</v>
      </c>
      <c r="D220" s="581"/>
      <c r="E220" s="509"/>
      <c r="F220" s="530">
        <v>748.20426397599988</v>
      </c>
      <c r="G220" s="582"/>
      <c r="H220" s="509"/>
      <c r="I220" s="530"/>
      <c r="J220" s="529"/>
      <c r="K220" s="509"/>
      <c r="L220" s="532">
        <v>528.83000000000004</v>
      </c>
      <c r="M220" s="529"/>
      <c r="N220" s="555">
        <v>-219.37426397599984</v>
      </c>
      <c r="O220" s="529"/>
      <c r="P220" s="509"/>
      <c r="Q220" s="532">
        <v>1170.8699999999999</v>
      </c>
      <c r="R220" s="529"/>
      <c r="S220" s="555">
        <v>-642.03999999999985</v>
      </c>
      <c r="T220" s="509"/>
      <c r="U220" s="509"/>
      <c r="V220" s="509"/>
      <c r="W220" s="509"/>
      <c r="X220" s="509"/>
      <c r="Y220" s="509"/>
      <c r="Z220" s="509"/>
      <c r="AA220" s="509"/>
      <c r="AB220" s="509"/>
      <c r="AC220" s="509"/>
      <c r="AD220" s="509"/>
      <c r="AE220" s="509"/>
      <c r="AF220" s="509"/>
      <c r="AG220" s="509"/>
      <c r="AH220" s="509"/>
      <c r="AI220" s="509"/>
      <c r="AJ220" s="509"/>
      <c r="AK220" s="509"/>
      <c r="AL220" s="509"/>
      <c r="AM220" s="509"/>
      <c r="AN220" s="509"/>
    </row>
    <row r="221" spans="1:40" ht="15.75" customHeight="1">
      <c r="A221" s="494" t="s">
        <v>369</v>
      </c>
      <c r="B221" s="509" t="s">
        <v>83</v>
      </c>
      <c r="C221" s="529" t="s">
        <v>59</v>
      </c>
      <c r="D221" s="581"/>
      <c r="E221" s="509"/>
      <c r="F221" s="530">
        <v>216.08706378966664</v>
      </c>
      <c r="G221" s="582"/>
      <c r="H221" s="509"/>
      <c r="I221" s="530"/>
      <c r="J221" s="529"/>
      <c r="K221" s="509"/>
      <c r="L221" s="532">
        <v>124.01</v>
      </c>
      <c r="M221" s="529"/>
      <c r="N221" s="555">
        <v>-92.077063789666639</v>
      </c>
      <c r="O221" s="529"/>
      <c r="P221" s="509"/>
      <c r="Q221" s="532">
        <v>177.5</v>
      </c>
      <c r="R221" s="529"/>
      <c r="S221" s="555">
        <v>-53.489999999999995</v>
      </c>
      <c r="T221" s="509"/>
      <c r="U221" s="509"/>
      <c r="V221" s="509"/>
      <c r="W221" s="509"/>
      <c r="X221" s="509"/>
      <c r="Y221" s="509"/>
      <c r="Z221" s="509"/>
      <c r="AA221" s="509"/>
      <c r="AB221" s="509"/>
      <c r="AC221" s="509"/>
      <c r="AD221" s="509"/>
      <c r="AE221" s="509"/>
      <c r="AF221" s="509"/>
      <c r="AG221" s="509"/>
      <c r="AH221" s="509"/>
      <c r="AI221" s="509"/>
      <c r="AJ221" s="509"/>
      <c r="AK221" s="509"/>
      <c r="AL221" s="509"/>
      <c r="AM221" s="509"/>
      <c r="AN221" s="509"/>
    </row>
    <row r="222" spans="1:40" ht="15.75" customHeight="1">
      <c r="A222" s="494" t="s">
        <v>370</v>
      </c>
      <c r="B222" s="509" t="s">
        <v>83</v>
      </c>
      <c r="C222" s="529" t="s">
        <v>60</v>
      </c>
      <c r="D222" s="581"/>
      <c r="E222" s="509"/>
      <c r="F222" s="530">
        <v>103.77844493033332</v>
      </c>
      <c r="G222" s="582"/>
      <c r="H222" s="509"/>
      <c r="I222" s="530"/>
      <c r="J222" s="529"/>
      <c r="K222" s="509"/>
      <c r="L222" s="532">
        <v>24.72</v>
      </c>
      <c r="M222" s="529"/>
      <c r="N222" s="555">
        <v>-79.058444930333323</v>
      </c>
      <c r="O222" s="529"/>
      <c r="P222" s="509"/>
      <c r="Q222" s="532">
        <v>-15.61</v>
      </c>
      <c r="R222" s="529"/>
      <c r="S222" s="555">
        <v>40.33</v>
      </c>
      <c r="T222" s="509"/>
      <c r="U222" s="509"/>
      <c r="V222" s="509"/>
      <c r="W222" s="509"/>
      <c r="X222" s="509"/>
      <c r="Y222" s="509"/>
      <c r="Z222" s="509"/>
      <c r="AA222" s="509"/>
      <c r="AB222" s="509"/>
      <c r="AC222" s="509"/>
      <c r="AD222" s="509"/>
      <c r="AE222" s="509"/>
      <c r="AF222" s="509"/>
      <c r="AG222" s="509"/>
      <c r="AH222" s="509"/>
      <c r="AI222" s="509"/>
      <c r="AJ222" s="509"/>
      <c r="AK222" s="509"/>
      <c r="AL222" s="509"/>
      <c r="AM222" s="509"/>
      <c r="AN222" s="509"/>
    </row>
    <row r="223" spans="1:40" ht="15.75" customHeight="1">
      <c r="A223" s="494" t="s">
        <v>371</v>
      </c>
      <c r="B223" s="509" t="s">
        <v>83</v>
      </c>
      <c r="C223" s="529" t="s">
        <v>61</v>
      </c>
      <c r="D223" s="581"/>
      <c r="E223" s="509"/>
      <c r="F223" s="530">
        <v>216.4726525763333</v>
      </c>
      <c r="G223" s="582"/>
      <c r="H223" s="509"/>
      <c r="I223" s="530"/>
      <c r="J223" s="529"/>
      <c r="K223" s="509"/>
      <c r="L223" s="532">
        <v>92.81</v>
      </c>
      <c r="M223" s="529"/>
      <c r="N223" s="555">
        <v>-123.6626525763333</v>
      </c>
      <c r="O223" s="529"/>
      <c r="P223" s="509"/>
      <c r="Q223" s="532">
        <v>83.51</v>
      </c>
      <c r="R223" s="529"/>
      <c r="S223" s="555">
        <v>9.2999999999999972</v>
      </c>
      <c r="T223" s="509"/>
      <c r="U223" s="509"/>
      <c r="V223" s="509"/>
      <c r="W223" s="509"/>
      <c r="X223" s="509"/>
      <c r="Y223" s="509"/>
      <c r="Z223" s="509"/>
      <c r="AA223" s="509"/>
      <c r="AB223" s="509"/>
      <c r="AC223" s="509"/>
      <c r="AD223" s="509"/>
      <c r="AE223" s="509"/>
      <c r="AF223" s="509"/>
      <c r="AG223" s="509"/>
      <c r="AH223" s="509"/>
      <c r="AI223" s="509"/>
      <c r="AJ223" s="509"/>
      <c r="AK223" s="509"/>
      <c r="AL223" s="509"/>
      <c r="AM223" s="509"/>
      <c r="AN223" s="509"/>
    </row>
    <row r="224" spans="1:40" ht="15.75" customHeight="1">
      <c r="A224" s="494" t="s">
        <v>372</v>
      </c>
      <c r="B224" s="509" t="s">
        <v>83</v>
      </c>
      <c r="C224" s="529" t="s">
        <v>62</v>
      </c>
      <c r="D224" s="581"/>
      <c r="E224" s="509"/>
      <c r="F224" s="530">
        <v>3986.4545554484885</v>
      </c>
      <c r="G224" s="582"/>
      <c r="H224" s="509"/>
      <c r="I224" s="530"/>
      <c r="J224" s="529"/>
      <c r="K224" s="509"/>
      <c r="L224" s="532">
        <v>3086.75</v>
      </c>
      <c r="M224" s="529"/>
      <c r="N224" s="555">
        <v>-899.70455544848846</v>
      </c>
      <c r="O224" s="529"/>
      <c r="P224" s="509"/>
      <c r="Q224" s="532">
        <v>3115.28</v>
      </c>
      <c r="R224" s="529"/>
      <c r="S224" s="555">
        <v>-28.5300000000002</v>
      </c>
      <c r="T224" s="509"/>
      <c r="X224" s="509"/>
      <c r="Y224" s="509"/>
      <c r="Z224" s="509"/>
      <c r="AA224" s="509"/>
      <c r="AB224" s="509"/>
      <c r="AC224" s="509"/>
      <c r="AD224" s="509"/>
      <c r="AE224" s="509"/>
      <c r="AF224" s="509"/>
      <c r="AG224" s="509"/>
      <c r="AH224" s="509"/>
      <c r="AI224" s="509"/>
      <c r="AJ224" s="509"/>
      <c r="AK224" s="509"/>
      <c r="AL224" s="509"/>
      <c r="AM224" s="509"/>
      <c r="AN224" s="509"/>
    </row>
    <row r="225" spans="1:40" ht="15.75" customHeight="1">
      <c r="A225" s="494" t="s">
        <v>373</v>
      </c>
      <c r="B225" s="509" t="s">
        <v>83</v>
      </c>
      <c r="C225" s="529" t="s">
        <v>63</v>
      </c>
      <c r="D225" s="581"/>
      <c r="E225" s="509"/>
      <c r="F225" s="530">
        <v>1949.8633978543896</v>
      </c>
      <c r="G225" s="582"/>
      <c r="H225" s="509"/>
      <c r="I225" s="530"/>
      <c r="J225" s="529"/>
      <c r="K225" s="509"/>
      <c r="L225" s="532">
        <v>1678.9</v>
      </c>
      <c r="M225" s="529"/>
      <c r="N225" s="555">
        <v>-270.96339785438954</v>
      </c>
      <c r="O225" s="529"/>
      <c r="P225" s="509"/>
      <c r="Q225" s="532">
        <v>1768.57</v>
      </c>
      <c r="R225" s="529"/>
      <c r="S225" s="555">
        <v>-89.669999999999845</v>
      </c>
      <c r="T225" s="509"/>
      <c r="X225" s="509"/>
      <c r="Y225" s="509"/>
      <c r="Z225" s="509"/>
      <c r="AA225" s="509"/>
      <c r="AB225" s="509"/>
      <c r="AC225" s="509"/>
      <c r="AD225" s="509"/>
      <c r="AE225" s="509"/>
      <c r="AF225" s="509"/>
      <c r="AG225" s="509"/>
      <c r="AH225" s="509"/>
      <c r="AI225" s="509"/>
      <c r="AJ225" s="509"/>
      <c r="AK225" s="509"/>
      <c r="AL225" s="509"/>
      <c r="AM225" s="509"/>
      <c r="AN225" s="509"/>
    </row>
    <row r="226" spans="1:40" ht="15.75" hidden="1" customHeight="1">
      <c r="A226" s="494" t="s">
        <v>353</v>
      </c>
      <c r="B226" s="509" t="s">
        <v>83</v>
      </c>
      <c r="C226" s="529" t="s">
        <v>20</v>
      </c>
      <c r="D226" s="581"/>
      <c r="E226" s="509"/>
      <c r="F226" s="530">
        <v>0</v>
      </c>
      <c r="G226" s="582"/>
      <c r="H226" s="509"/>
      <c r="I226" s="530"/>
      <c r="J226" s="529"/>
      <c r="K226" s="509"/>
      <c r="L226" s="532">
        <v>0</v>
      </c>
      <c r="M226" s="529"/>
      <c r="N226" s="555">
        <v>0</v>
      </c>
      <c r="O226" s="529"/>
      <c r="P226" s="509"/>
      <c r="Q226" s="532">
        <v>0</v>
      </c>
      <c r="R226" s="529"/>
      <c r="S226" s="555">
        <v>0</v>
      </c>
      <c r="T226" s="509"/>
      <c r="U226" s="509"/>
      <c r="V226" s="509"/>
      <c r="W226" s="509"/>
      <c r="X226" s="509"/>
      <c r="Y226" s="509"/>
      <c r="Z226" s="509"/>
      <c r="AA226" s="509"/>
      <c r="AB226" s="509"/>
      <c r="AC226" s="509"/>
      <c r="AD226" s="509"/>
      <c r="AE226" s="509"/>
      <c r="AF226" s="509"/>
      <c r="AG226" s="509"/>
      <c r="AH226" s="509"/>
      <c r="AI226" s="509"/>
      <c r="AJ226" s="509"/>
      <c r="AK226" s="509"/>
      <c r="AL226" s="509"/>
      <c r="AM226" s="509"/>
      <c r="AN226" s="509"/>
    </row>
    <row r="227" spans="1:40" ht="15.75" hidden="1" customHeight="1">
      <c r="A227" s="494" t="s">
        <v>353</v>
      </c>
      <c r="B227" s="509" t="s">
        <v>83</v>
      </c>
      <c r="C227" s="529" t="s">
        <v>20</v>
      </c>
      <c r="D227" s="581"/>
      <c r="E227" s="509"/>
      <c r="F227" s="530">
        <v>0</v>
      </c>
      <c r="G227" s="582"/>
      <c r="H227" s="509"/>
      <c r="I227" s="530"/>
      <c r="J227" s="529"/>
      <c r="K227" s="509"/>
      <c r="L227" s="532">
        <v>0</v>
      </c>
      <c r="M227" s="529"/>
      <c r="N227" s="555">
        <v>0</v>
      </c>
      <c r="O227" s="529"/>
      <c r="P227" s="509"/>
      <c r="Q227" s="532">
        <v>0</v>
      </c>
      <c r="R227" s="529"/>
      <c r="S227" s="555">
        <v>0</v>
      </c>
      <c r="T227" s="509"/>
      <c r="U227" s="509"/>
      <c r="V227" s="509"/>
      <c r="W227" s="509"/>
      <c r="X227" s="509"/>
      <c r="Y227" s="509"/>
      <c r="Z227" s="509"/>
      <c r="AA227" s="509"/>
      <c r="AB227" s="509"/>
      <c r="AC227" s="509"/>
      <c r="AD227" s="509"/>
      <c r="AE227" s="509"/>
      <c r="AF227" s="509"/>
      <c r="AG227" s="509"/>
      <c r="AH227" s="509"/>
      <c r="AI227" s="509"/>
      <c r="AJ227" s="509"/>
      <c r="AK227" s="509"/>
      <c r="AL227" s="509"/>
      <c r="AM227" s="509"/>
      <c r="AN227" s="509"/>
    </row>
    <row r="228" spans="1:40" ht="15.75" hidden="1" customHeight="1">
      <c r="A228" s="494" t="s">
        <v>353</v>
      </c>
      <c r="B228" s="509" t="s">
        <v>83</v>
      </c>
      <c r="C228" s="529" t="s">
        <v>20</v>
      </c>
      <c r="D228" s="581"/>
      <c r="E228" s="509"/>
      <c r="F228" s="530">
        <v>0</v>
      </c>
      <c r="G228" s="582"/>
      <c r="H228" s="509"/>
      <c r="I228" s="530"/>
      <c r="J228" s="529"/>
      <c r="K228" s="509"/>
      <c r="L228" s="532">
        <v>0</v>
      </c>
      <c r="M228" s="529"/>
      <c r="N228" s="555">
        <v>0</v>
      </c>
      <c r="O228" s="529"/>
      <c r="P228" s="509"/>
      <c r="Q228" s="532">
        <v>0</v>
      </c>
      <c r="R228" s="529"/>
      <c r="S228" s="555">
        <v>0</v>
      </c>
      <c r="T228" s="509"/>
      <c r="U228" s="509"/>
      <c r="V228" s="509"/>
      <c r="W228" s="509"/>
      <c r="X228" s="509"/>
      <c r="Y228" s="509"/>
      <c r="Z228" s="509"/>
      <c r="AA228" s="509"/>
      <c r="AB228" s="509"/>
      <c r="AC228" s="509"/>
      <c r="AD228" s="509"/>
      <c r="AE228" s="509"/>
      <c r="AF228" s="509"/>
      <c r="AG228" s="509"/>
      <c r="AH228" s="509"/>
      <c r="AI228" s="509"/>
      <c r="AJ228" s="509"/>
      <c r="AK228" s="509"/>
      <c r="AL228" s="509"/>
      <c r="AM228" s="509"/>
      <c r="AN228" s="509"/>
    </row>
    <row r="229" spans="1:40" ht="15.75" customHeight="1">
      <c r="B229" s="509"/>
      <c r="C229" s="588" t="s">
        <v>64</v>
      </c>
      <c r="D229" s="589" t="s">
        <v>97</v>
      </c>
      <c r="E229" s="590">
        <v>0.26750461552533278</v>
      </c>
      <c r="F229" s="591">
        <v>52708.889390658253</v>
      </c>
      <c r="G229" s="592"/>
      <c r="H229" s="590"/>
      <c r="I229" s="591"/>
      <c r="J229" s="592" t="s">
        <v>97</v>
      </c>
      <c r="K229" s="590">
        <v>0.28900089237250498</v>
      </c>
      <c r="L229" s="591">
        <v>53323.020000000004</v>
      </c>
      <c r="M229" s="595"/>
      <c r="N229" s="591">
        <v>614.13060934175155</v>
      </c>
      <c r="O229" s="592" t="s">
        <v>97</v>
      </c>
      <c r="P229" s="590">
        <v>0.258982505780747</v>
      </c>
      <c r="Q229" s="591">
        <v>51811.100000000006</v>
      </c>
      <c r="R229" s="595"/>
      <c r="S229" s="591">
        <v>1511.9199999999983</v>
      </c>
      <c r="T229" s="509"/>
      <c r="U229" s="509"/>
      <c r="V229" s="509"/>
      <c r="W229" s="509"/>
      <c r="X229" s="509"/>
      <c r="Y229" s="509"/>
      <c r="Z229" s="509"/>
      <c r="AA229" s="509"/>
      <c r="AB229" s="509"/>
      <c r="AC229" s="509"/>
      <c r="AD229" s="509"/>
      <c r="AE229" s="509"/>
      <c r="AF229" s="509"/>
      <c r="AG229" s="509"/>
      <c r="AH229" s="509"/>
      <c r="AI229" s="509"/>
      <c r="AJ229" s="509"/>
      <c r="AK229" s="509"/>
      <c r="AL229" s="509"/>
      <c r="AM229" s="509"/>
      <c r="AN229" s="509"/>
    </row>
    <row r="230" spans="1:40" ht="15.75" customHeight="1">
      <c r="B230" s="509"/>
      <c r="C230" s="522"/>
      <c r="D230" s="583"/>
      <c r="E230" s="603"/>
      <c r="F230" s="555"/>
      <c r="G230" s="584"/>
      <c r="H230" s="603"/>
      <c r="I230" s="555"/>
      <c r="J230" s="522"/>
      <c r="K230" s="603"/>
      <c r="L230" s="579"/>
      <c r="M230" s="522"/>
      <c r="N230" s="579"/>
      <c r="O230" s="522"/>
      <c r="P230" s="603"/>
      <c r="Q230" s="579"/>
      <c r="R230" s="522"/>
      <c r="S230" s="579"/>
      <c r="T230" s="509"/>
      <c r="U230" s="509"/>
      <c r="V230" s="509"/>
      <c r="W230" s="509"/>
      <c r="X230" s="509"/>
      <c r="Y230" s="509"/>
      <c r="Z230" s="509"/>
      <c r="AA230" s="509"/>
      <c r="AB230" s="509"/>
      <c r="AC230" s="509"/>
      <c r="AD230" s="509"/>
      <c r="AE230" s="509"/>
      <c r="AF230" s="509"/>
      <c r="AG230" s="509"/>
      <c r="AH230" s="509"/>
      <c r="AI230" s="509"/>
      <c r="AJ230" s="509"/>
      <c r="AK230" s="509"/>
      <c r="AL230" s="509"/>
      <c r="AM230" s="509"/>
      <c r="AN230" s="509"/>
    </row>
    <row r="231" spans="1:40" ht="15.75" customHeight="1">
      <c r="B231" s="509"/>
      <c r="C231" s="588" t="s">
        <v>65</v>
      </c>
      <c r="D231" s="589" t="s">
        <v>39</v>
      </c>
      <c r="E231" s="590">
        <v>0.86479194919573676</v>
      </c>
      <c r="F231" s="591">
        <v>170397.89428146591</v>
      </c>
      <c r="G231" s="592"/>
      <c r="H231" s="590"/>
      <c r="I231" s="591"/>
      <c r="J231" s="592" t="s">
        <v>39</v>
      </c>
      <c r="K231" s="590">
        <v>0.92796312791602975</v>
      </c>
      <c r="L231" s="591">
        <v>171216.76</v>
      </c>
      <c r="M231" s="595"/>
      <c r="N231" s="605">
        <v>818.86571853409987</v>
      </c>
      <c r="O231" s="592" t="s">
        <v>39</v>
      </c>
      <c r="P231" s="590">
        <v>0.77775508972796414</v>
      </c>
      <c r="Q231" s="591">
        <v>155594.86000000002</v>
      </c>
      <c r="R231" s="595"/>
      <c r="S231" s="605">
        <v>15621.899999999994</v>
      </c>
      <c r="T231" s="509"/>
      <c r="U231" s="509"/>
      <c r="V231" s="509"/>
      <c r="W231" s="509"/>
      <c r="X231" s="509"/>
      <c r="Y231" s="509"/>
      <c r="Z231" s="509"/>
      <c r="AA231" s="509"/>
      <c r="AB231" s="509"/>
      <c r="AC231" s="509"/>
      <c r="AD231" s="509"/>
      <c r="AE231" s="509"/>
      <c r="AF231" s="509"/>
      <c r="AG231" s="509"/>
      <c r="AH231" s="509"/>
      <c r="AI231" s="509"/>
      <c r="AJ231" s="509"/>
      <c r="AK231" s="509"/>
      <c r="AL231" s="509"/>
      <c r="AM231" s="509"/>
      <c r="AN231" s="509"/>
    </row>
    <row r="232" spans="1:40" ht="15.75" customHeight="1">
      <c r="B232" s="509"/>
      <c r="C232" s="529"/>
      <c r="D232" s="581"/>
      <c r="E232" s="509"/>
      <c r="F232" s="555"/>
      <c r="G232" s="582"/>
      <c r="H232" s="509"/>
      <c r="I232" s="555"/>
      <c r="J232" s="529"/>
      <c r="K232" s="509"/>
      <c r="L232" s="555"/>
      <c r="M232" s="529"/>
      <c r="N232" s="555">
        <v>0</v>
      </c>
      <c r="O232" s="529"/>
      <c r="P232" s="509"/>
      <c r="Q232" s="555"/>
      <c r="R232" s="529"/>
      <c r="S232" s="555"/>
      <c r="T232" s="509"/>
      <c r="U232" s="509"/>
      <c r="V232" s="509"/>
      <c r="W232" s="509"/>
      <c r="X232" s="509"/>
      <c r="Y232" s="509"/>
      <c r="Z232" s="509"/>
      <c r="AA232" s="509"/>
      <c r="AB232" s="509"/>
      <c r="AC232" s="509"/>
      <c r="AD232" s="509"/>
      <c r="AE232" s="509"/>
      <c r="AF232" s="509"/>
      <c r="AG232" s="509"/>
      <c r="AH232" s="509"/>
      <c r="AI232" s="509"/>
      <c r="AJ232" s="509"/>
      <c r="AK232" s="509"/>
      <c r="AL232" s="509"/>
      <c r="AM232" s="509"/>
      <c r="AN232" s="509"/>
    </row>
    <row r="233" spans="1:40" ht="15.75" customHeight="1" thickBot="1">
      <c r="B233" s="509"/>
      <c r="C233" s="621" t="s">
        <v>72</v>
      </c>
      <c r="D233" s="651"/>
      <c r="E233" s="622"/>
      <c r="F233" s="624">
        <v>26641.283106733958</v>
      </c>
      <c r="G233" s="652"/>
      <c r="H233" s="622"/>
      <c r="I233" s="624"/>
      <c r="J233" s="621"/>
      <c r="K233" s="623"/>
      <c r="L233" s="624">
        <v>13291.389999999985</v>
      </c>
      <c r="M233" s="621"/>
      <c r="N233" s="624">
        <v>-13349.893106733973</v>
      </c>
      <c r="O233" s="621"/>
      <c r="P233" s="626">
        <v>0.16315308648661647</v>
      </c>
      <c r="Q233" s="624">
        <v>44461.509999998991</v>
      </c>
      <c r="R233" s="621"/>
      <c r="S233" s="624">
        <v>-31170.119999999006</v>
      </c>
      <c r="T233" s="509"/>
      <c r="U233" s="509"/>
      <c r="V233" s="509"/>
      <c r="W233" s="509"/>
      <c r="X233" s="509"/>
      <c r="Y233" s="509"/>
      <c r="Z233" s="509"/>
      <c r="AA233" s="509"/>
      <c r="AB233" s="509"/>
      <c r="AC233" s="509"/>
      <c r="AD233" s="509"/>
      <c r="AE233" s="509"/>
      <c r="AF233" s="509"/>
      <c r="AG233" s="509"/>
      <c r="AH233" s="509"/>
      <c r="AI233" s="509"/>
      <c r="AJ233" s="509"/>
      <c r="AK233" s="509"/>
      <c r="AL233" s="509"/>
      <c r="AM233" s="509"/>
      <c r="AN233" s="509"/>
    </row>
    <row r="234" spans="1:40" ht="15.75" customHeight="1" thickTop="1"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70"/>
      <c r="M234" s="570"/>
      <c r="N234" s="509"/>
      <c r="O234" s="570"/>
      <c r="P234" s="509"/>
      <c r="Q234" s="570"/>
      <c r="R234" s="509"/>
      <c r="S234" s="509"/>
      <c r="T234" s="509"/>
      <c r="U234" s="509"/>
      <c r="V234" s="509"/>
      <c r="W234" s="509"/>
      <c r="X234" s="509"/>
      <c r="Y234" s="509"/>
      <c r="Z234" s="509"/>
      <c r="AA234" s="509"/>
      <c r="AB234" s="509"/>
      <c r="AC234" s="509"/>
      <c r="AD234" s="509"/>
      <c r="AE234" s="509"/>
      <c r="AF234" s="509"/>
      <c r="AG234" s="509"/>
      <c r="AH234" s="509"/>
      <c r="AI234" s="509"/>
      <c r="AJ234" s="509"/>
      <c r="AK234" s="509"/>
      <c r="AL234" s="509"/>
      <c r="AM234" s="509"/>
      <c r="AN234" s="509"/>
    </row>
    <row r="235" spans="1:40" ht="15.75" customHeight="1">
      <c r="B235" s="509"/>
      <c r="C235" s="506"/>
      <c r="D235" s="506"/>
      <c r="E235" s="506"/>
      <c r="F235" s="506"/>
      <c r="G235" s="506"/>
      <c r="H235" s="506"/>
      <c r="I235" s="506"/>
      <c r="J235" s="506"/>
      <c r="K235" s="506"/>
      <c r="L235" s="653"/>
      <c r="M235" s="653"/>
      <c r="N235" s="506"/>
      <c r="O235" s="653"/>
      <c r="P235" s="506"/>
      <c r="Q235" s="653"/>
      <c r="R235" s="506"/>
      <c r="S235" s="506"/>
      <c r="T235" s="506"/>
      <c r="U235" s="506"/>
      <c r="V235" s="509"/>
      <c r="W235" s="509"/>
      <c r="X235" s="509"/>
      <c r="Y235" s="509"/>
      <c r="Z235" s="509"/>
      <c r="AA235" s="509"/>
      <c r="AB235" s="509"/>
      <c r="AC235" s="509"/>
      <c r="AD235" s="509"/>
      <c r="AE235" s="509"/>
      <c r="AF235" s="509"/>
      <c r="AG235" s="509"/>
      <c r="AH235" s="509"/>
      <c r="AI235" s="509"/>
      <c r="AJ235" s="509"/>
      <c r="AK235" s="509"/>
      <c r="AL235" s="509"/>
      <c r="AM235" s="509"/>
      <c r="AN235" s="509"/>
    </row>
    <row r="236" spans="1:40" ht="33" customHeight="1">
      <c r="B236" s="509"/>
      <c r="C236" s="631" t="s">
        <v>477</v>
      </c>
      <c r="D236" s="497"/>
      <c r="E236" s="497"/>
      <c r="F236" s="497"/>
      <c r="G236" s="497"/>
      <c r="H236" s="495"/>
      <c r="I236" s="495"/>
      <c r="J236" s="495"/>
      <c r="K236" s="499" t="s">
        <v>99</v>
      </c>
      <c r="L236" s="497"/>
      <c r="M236" s="497"/>
      <c r="N236" s="495"/>
      <c r="O236" s="495"/>
      <c r="P236" s="497"/>
      <c r="Q236" s="495"/>
      <c r="R236" s="497"/>
      <c r="S236" s="632" t="s">
        <v>485</v>
      </c>
      <c r="T236" s="497"/>
      <c r="U236" s="495"/>
      <c r="V236" s="506"/>
      <c r="W236" s="506"/>
      <c r="X236" s="506"/>
      <c r="Y236" s="506"/>
      <c r="Z236" s="506"/>
      <c r="AA236" s="506"/>
      <c r="AB236" s="506"/>
      <c r="AC236" s="506"/>
      <c r="AD236" s="506"/>
      <c r="AE236" s="506"/>
      <c r="AF236" s="506"/>
      <c r="AG236" s="506"/>
      <c r="AH236" s="506"/>
      <c r="AI236" s="506"/>
      <c r="AJ236" s="506"/>
      <c r="AK236" s="506"/>
      <c r="AL236" s="506"/>
      <c r="AM236" s="506"/>
      <c r="AN236" s="506"/>
    </row>
    <row r="237" spans="1:40" ht="24" customHeight="1" thickBot="1">
      <c r="B237" s="509"/>
      <c r="C237" s="504"/>
      <c r="D237" s="506"/>
      <c r="E237" s="506"/>
      <c r="F237" s="506"/>
      <c r="G237" s="506"/>
      <c r="H237" s="506"/>
      <c r="I237" s="506"/>
      <c r="J237" s="506"/>
      <c r="K237" s="506"/>
      <c r="L237" s="506"/>
      <c r="M237" s="506"/>
      <c r="N237" s="506"/>
      <c r="O237" s="506"/>
      <c r="P237" s="506"/>
      <c r="Q237" s="506"/>
      <c r="R237" s="506"/>
      <c r="S237" s="506"/>
      <c r="T237" s="506"/>
      <c r="U237" s="506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</row>
    <row r="238" spans="1:40" ht="15.75" customHeight="1" thickTop="1">
      <c r="B238" s="509"/>
      <c r="C238" s="510"/>
      <c r="D238" s="511" t="s">
        <v>5</v>
      </c>
      <c r="E238" s="512"/>
      <c r="F238" s="513"/>
      <c r="G238" s="514"/>
      <c r="H238" s="512"/>
      <c r="I238" s="513"/>
      <c r="J238" s="514" t="s">
        <v>7</v>
      </c>
      <c r="K238" s="512"/>
      <c r="L238" s="513"/>
      <c r="M238" s="514" t="s">
        <v>221</v>
      </c>
      <c r="N238" s="513"/>
      <c r="O238" s="511" t="s">
        <v>8</v>
      </c>
      <c r="P238" s="512"/>
      <c r="Q238" s="513"/>
      <c r="R238" s="514" t="s">
        <v>222</v>
      </c>
      <c r="S238" s="513"/>
      <c r="T238" s="647"/>
      <c r="U238" s="509"/>
      <c r="V238" s="506"/>
      <c r="W238" s="506"/>
      <c r="X238" s="506"/>
      <c r="Y238" s="506"/>
      <c r="Z238" s="506"/>
      <c r="AA238" s="506"/>
      <c r="AB238" s="506"/>
      <c r="AC238" s="506"/>
      <c r="AD238" s="506"/>
      <c r="AE238" s="506"/>
      <c r="AF238" s="506"/>
      <c r="AG238" s="506"/>
      <c r="AH238" s="506"/>
      <c r="AI238" s="506"/>
      <c r="AJ238" s="506"/>
      <c r="AK238" s="506"/>
      <c r="AL238" s="506"/>
      <c r="AM238" s="506"/>
      <c r="AN238" s="506"/>
    </row>
    <row r="239" spans="1:40" ht="15.75" customHeight="1">
      <c r="A239" s="494" t="s">
        <v>99</v>
      </c>
      <c r="B239" s="509" t="s">
        <v>99</v>
      </c>
      <c r="C239" s="529"/>
      <c r="D239" s="572" t="s">
        <v>40</v>
      </c>
      <c r="E239" s="572" t="s">
        <v>84</v>
      </c>
      <c r="F239" s="654" t="s">
        <v>12</v>
      </c>
      <c r="G239" s="655"/>
      <c r="H239" s="572"/>
      <c r="I239" s="654"/>
      <c r="J239" s="655" t="s">
        <v>40</v>
      </c>
      <c r="K239" s="572" t="s">
        <v>84</v>
      </c>
      <c r="L239" s="654" t="s">
        <v>12</v>
      </c>
      <c r="M239" s="655" t="s">
        <v>40</v>
      </c>
      <c r="N239" s="654" t="s">
        <v>336</v>
      </c>
      <c r="O239" s="572" t="s">
        <v>40</v>
      </c>
      <c r="P239" s="572" t="s">
        <v>84</v>
      </c>
      <c r="Q239" s="654" t="s">
        <v>12</v>
      </c>
      <c r="R239" s="655" t="s">
        <v>85</v>
      </c>
      <c r="S239" s="654" t="s">
        <v>12</v>
      </c>
      <c r="T239" s="572"/>
      <c r="U239" s="509"/>
      <c r="V239" s="509"/>
      <c r="W239" s="509"/>
      <c r="X239" s="509"/>
      <c r="Y239" s="509"/>
      <c r="Z239" s="509"/>
      <c r="AA239" s="509"/>
      <c r="AB239" s="509"/>
      <c r="AC239" s="509"/>
      <c r="AD239" s="509"/>
      <c r="AE239" s="509"/>
      <c r="AF239" s="509"/>
      <c r="AG239" s="509"/>
      <c r="AH239" s="509"/>
      <c r="AI239" s="509"/>
      <c r="AJ239" s="509"/>
      <c r="AK239" s="509"/>
      <c r="AL239" s="509"/>
      <c r="AM239" s="509"/>
      <c r="AN239" s="509"/>
    </row>
    <row r="240" spans="1:40" ht="15.75" customHeight="1">
      <c r="A240" s="494" t="s">
        <v>99</v>
      </c>
      <c r="B240" s="509" t="s">
        <v>99</v>
      </c>
      <c r="C240" s="529"/>
      <c r="D240" s="572"/>
      <c r="E240" s="572"/>
      <c r="F240" s="654"/>
      <c r="G240" s="655"/>
      <c r="H240" s="572"/>
      <c r="I240" s="654"/>
      <c r="J240" s="655"/>
      <c r="K240" s="530"/>
      <c r="L240" s="532"/>
      <c r="M240" s="655"/>
      <c r="N240" s="654"/>
      <c r="O240" s="572"/>
      <c r="P240" s="572"/>
      <c r="Q240" s="654"/>
      <c r="R240" s="655"/>
      <c r="S240" s="654"/>
      <c r="T240" s="572"/>
      <c r="U240" s="509"/>
      <c r="V240" s="509"/>
      <c r="W240" s="509"/>
      <c r="X240" s="509"/>
      <c r="Y240" s="509"/>
      <c r="Z240" s="509"/>
      <c r="AA240" s="509"/>
      <c r="AB240" s="509"/>
      <c r="AC240" s="509"/>
      <c r="AD240" s="509"/>
      <c r="AE240" s="509"/>
      <c r="AF240" s="509"/>
      <c r="AG240" s="509"/>
      <c r="AH240" s="509"/>
      <c r="AI240" s="509"/>
      <c r="AJ240" s="509"/>
      <c r="AK240" s="509"/>
      <c r="AL240" s="509"/>
      <c r="AM240" s="509"/>
      <c r="AN240" s="509"/>
    </row>
    <row r="241" spans="1:40" ht="15.75" customHeight="1">
      <c r="A241" s="494" t="s">
        <v>374</v>
      </c>
      <c r="B241" s="509" t="s">
        <v>99</v>
      </c>
      <c r="C241" s="529" t="s">
        <v>100</v>
      </c>
      <c r="D241" s="696">
        <v>0</v>
      </c>
      <c r="E241" s="570">
        <v>109434.21769626775</v>
      </c>
      <c r="F241" s="570">
        <v>16415.13265444016</v>
      </c>
      <c r="G241" s="697"/>
      <c r="H241" s="570"/>
      <c r="I241" s="570"/>
      <c r="J241" s="556">
        <v>0</v>
      </c>
      <c r="K241" s="530">
        <v>502.19</v>
      </c>
      <c r="L241" s="532">
        <v>502.19</v>
      </c>
      <c r="M241" s="574">
        <v>-0.99541103312499735</v>
      </c>
      <c r="N241" s="555">
        <v>-15912.942654440159</v>
      </c>
      <c r="O241" s="556">
        <v>35</v>
      </c>
      <c r="P241" s="530">
        <v>61602.33</v>
      </c>
      <c r="Q241" s="532">
        <v>12667</v>
      </c>
      <c r="R241" s="574">
        <v>0</v>
      </c>
      <c r="S241" s="555">
        <v>-12164.81</v>
      </c>
      <c r="T241" s="572"/>
      <c r="U241" s="509"/>
      <c r="V241" s="509"/>
      <c r="W241" s="509"/>
      <c r="X241" s="509"/>
      <c r="Y241" s="509"/>
      <c r="Z241" s="509"/>
      <c r="AA241" s="509"/>
      <c r="AB241" s="509"/>
      <c r="AC241" s="509"/>
      <c r="AD241" s="509"/>
      <c r="AE241" s="509"/>
      <c r="AF241" s="509"/>
      <c r="AG241" s="509"/>
      <c r="AH241" s="509"/>
      <c r="AI241" s="509"/>
      <c r="AJ241" s="509"/>
      <c r="AK241" s="509"/>
      <c r="AL241" s="509"/>
      <c r="AM241" s="509"/>
      <c r="AN241" s="509"/>
    </row>
    <row r="242" spans="1:40" ht="15.75" customHeight="1">
      <c r="A242" s="494" t="s">
        <v>375</v>
      </c>
      <c r="B242" s="509" t="s">
        <v>99</v>
      </c>
      <c r="C242" s="529" t="s">
        <v>87</v>
      </c>
      <c r="D242" s="572"/>
      <c r="E242" s="640"/>
      <c r="F242" s="656">
        <v>0.14999999999999997</v>
      </c>
      <c r="G242" s="529"/>
      <c r="H242" s="640"/>
      <c r="I242" s="656"/>
      <c r="J242" s="556"/>
      <c r="K242" s="509"/>
      <c r="L242" s="656">
        <v>1</v>
      </c>
      <c r="M242" s="574"/>
      <c r="N242" s="555">
        <v>15986.303270602702</v>
      </c>
      <c r="O242" s="556"/>
      <c r="P242" s="509"/>
      <c r="Q242" s="656">
        <v>0.2056253391714242</v>
      </c>
      <c r="R242" s="556"/>
      <c r="S242" s="555">
        <v>0</v>
      </c>
      <c r="T242" s="572"/>
      <c r="U242" s="509"/>
      <c r="V242" s="509"/>
      <c r="W242" s="509"/>
      <c r="X242" s="509"/>
      <c r="Y242" s="509"/>
      <c r="Z242" s="509"/>
      <c r="AA242" s="509"/>
      <c r="AB242" s="509"/>
      <c r="AC242" s="509"/>
      <c r="AD242" s="509"/>
      <c r="AE242" s="509"/>
      <c r="AF242" s="509"/>
      <c r="AG242" s="509"/>
      <c r="AH242" s="509"/>
      <c r="AI242" s="509"/>
      <c r="AJ242" s="509"/>
      <c r="AK242" s="509"/>
      <c r="AL242" s="509"/>
      <c r="AM242" s="509"/>
      <c r="AN242" s="509"/>
    </row>
    <row r="243" spans="1:40" ht="15.75" customHeight="1">
      <c r="A243" s="494" t="s">
        <v>99</v>
      </c>
      <c r="B243" s="509" t="s">
        <v>99</v>
      </c>
      <c r="C243" s="529"/>
      <c r="D243" s="572"/>
      <c r="E243" s="698"/>
      <c r="F243" s="634"/>
      <c r="G243" s="655"/>
      <c r="H243" s="698"/>
      <c r="I243" s="634"/>
      <c r="J243" s="655"/>
      <c r="K243" s="572"/>
      <c r="L243" s="654"/>
      <c r="M243" s="655"/>
      <c r="N243" s="654"/>
      <c r="O243" s="655"/>
      <c r="P243" s="572"/>
      <c r="Q243" s="654"/>
      <c r="R243" s="633"/>
      <c r="S243" s="654"/>
      <c r="T243" s="572"/>
      <c r="U243" s="509"/>
      <c r="V243" s="509"/>
      <c r="W243" s="509"/>
      <c r="X243" s="509"/>
      <c r="Y243" s="509"/>
      <c r="Z243" s="509"/>
      <c r="AA243" s="509"/>
      <c r="AB243" s="509"/>
      <c r="AC243" s="509"/>
      <c r="AD243" s="509"/>
      <c r="AE243" s="509"/>
      <c r="AF243" s="509"/>
      <c r="AG243" s="509"/>
      <c r="AH243" s="509"/>
      <c r="AI243" s="509"/>
      <c r="AJ243" s="509"/>
      <c r="AK243" s="509"/>
      <c r="AL243" s="509"/>
      <c r="AM243" s="509"/>
      <c r="AN243" s="509"/>
    </row>
    <row r="244" spans="1:40" ht="15.75" customHeight="1">
      <c r="A244" s="494" t="s">
        <v>376</v>
      </c>
      <c r="B244" s="509" t="s">
        <v>99</v>
      </c>
      <c r="C244" s="517" t="s">
        <v>101</v>
      </c>
      <c r="D244" s="660">
        <v>0</v>
      </c>
      <c r="E244" s="570">
        <v>0</v>
      </c>
      <c r="F244" s="570">
        <v>0</v>
      </c>
      <c r="G244" s="699"/>
      <c r="H244" s="570"/>
      <c r="I244" s="570"/>
      <c r="J244" s="661">
        <v>0</v>
      </c>
      <c r="K244" s="550">
        <v>0</v>
      </c>
      <c r="L244" s="551">
        <v>0</v>
      </c>
      <c r="M244" s="665">
        <v>0</v>
      </c>
      <c r="N244" s="602">
        <v>0</v>
      </c>
      <c r="O244" s="661">
        <v>0</v>
      </c>
      <c r="P244" s="550">
        <v>0</v>
      </c>
      <c r="Q244" s="551">
        <v>0</v>
      </c>
      <c r="R244" s="574">
        <v>0</v>
      </c>
      <c r="S244" s="602">
        <v>0</v>
      </c>
      <c r="T244" s="644"/>
      <c r="U244" s="509"/>
      <c r="V244" s="509"/>
      <c r="W244" s="509"/>
      <c r="X244" s="509"/>
      <c r="Y244" s="509"/>
      <c r="Z244" s="509"/>
      <c r="AA244" s="509"/>
      <c r="AB244" s="509"/>
      <c r="AC244" s="509"/>
      <c r="AD244" s="509"/>
      <c r="AE244" s="509"/>
      <c r="AF244" s="509"/>
      <c r="AG244" s="509"/>
      <c r="AH244" s="509"/>
      <c r="AI244" s="509"/>
      <c r="AJ244" s="509"/>
      <c r="AK244" s="509"/>
      <c r="AL244" s="509"/>
      <c r="AM244" s="509"/>
      <c r="AN244" s="509"/>
    </row>
    <row r="245" spans="1:40" ht="15.75" customHeight="1">
      <c r="A245" s="494" t="s">
        <v>375</v>
      </c>
      <c r="B245" s="509" t="s">
        <v>99</v>
      </c>
      <c r="C245" s="529" t="s">
        <v>87</v>
      </c>
      <c r="D245" s="509"/>
      <c r="E245" s="640"/>
      <c r="F245" s="656" t="e">
        <v>#DIV/0!</v>
      </c>
      <c r="G245" s="529"/>
      <c r="H245" s="640"/>
      <c r="I245" s="656"/>
      <c r="J245" s="556"/>
      <c r="K245" s="509"/>
      <c r="L245" s="656">
        <v>0</v>
      </c>
      <c r="M245" s="574"/>
      <c r="N245" s="555">
        <v>0</v>
      </c>
      <c r="O245" s="556"/>
      <c r="P245" s="509"/>
      <c r="Q245" s="656">
        <v>0</v>
      </c>
      <c r="R245" s="556"/>
      <c r="S245" s="555">
        <v>0</v>
      </c>
      <c r="T245" s="644"/>
      <c r="U245" s="509"/>
      <c r="V245" s="509"/>
      <c r="W245" s="509"/>
      <c r="X245" s="509"/>
      <c r="Y245" s="509"/>
      <c r="Z245" s="509"/>
      <c r="AA245" s="509"/>
      <c r="AB245" s="509"/>
      <c r="AC245" s="509"/>
      <c r="AD245" s="509"/>
      <c r="AE245" s="509"/>
      <c r="AF245" s="509"/>
      <c r="AG245" s="509"/>
      <c r="AH245" s="509"/>
      <c r="AI245" s="509"/>
      <c r="AJ245" s="509"/>
      <c r="AK245" s="509"/>
      <c r="AL245" s="509"/>
      <c r="AM245" s="509"/>
      <c r="AN245" s="509"/>
    </row>
    <row r="246" spans="1:40" ht="15.75" customHeight="1">
      <c r="A246" s="494" t="s">
        <v>99</v>
      </c>
      <c r="B246" s="509" t="s">
        <v>99</v>
      </c>
      <c r="C246" s="522"/>
      <c r="D246" s="603"/>
      <c r="E246" s="700"/>
      <c r="F246" s="658"/>
      <c r="G246" s="522"/>
      <c r="H246" s="700"/>
      <c r="I246" s="658"/>
      <c r="J246" s="659"/>
      <c r="K246" s="701"/>
      <c r="L246" s="658"/>
      <c r="M246" s="578"/>
      <c r="N246" s="579"/>
      <c r="O246" s="659"/>
      <c r="P246" s="701"/>
      <c r="Q246" s="658"/>
      <c r="R246" s="659"/>
      <c r="S246" s="579"/>
      <c r="T246" s="644"/>
      <c r="U246" s="509"/>
      <c r="V246" s="509"/>
      <c r="W246" s="509"/>
      <c r="X246" s="509"/>
      <c r="Y246" s="509"/>
      <c r="Z246" s="509"/>
      <c r="AA246" s="509"/>
      <c r="AB246" s="509"/>
      <c r="AC246" s="509"/>
      <c r="AD246" s="509"/>
      <c r="AE246" s="509"/>
      <c r="AF246" s="509"/>
      <c r="AG246" s="509"/>
      <c r="AH246" s="509"/>
      <c r="AI246" s="509"/>
      <c r="AJ246" s="509"/>
      <c r="AK246" s="509"/>
      <c r="AL246" s="509"/>
      <c r="AM246" s="509"/>
      <c r="AN246" s="509"/>
    </row>
    <row r="247" spans="1:40" ht="15.75" customHeight="1">
      <c r="A247" s="494" t="s">
        <v>377</v>
      </c>
      <c r="B247" s="509" t="s">
        <v>99</v>
      </c>
      <c r="C247" s="517" t="s">
        <v>102</v>
      </c>
      <c r="D247" s="660">
        <v>0</v>
      </c>
      <c r="E247" s="570">
        <v>0</v>
      </c>
      <c r="F247" s="570">
        <v>0</v>
      </c>
      <c r="G247" s="661"/>
      <c r="H247" s="570"/>
      <c r="I247" s="570"/>
      <c r="J247" s="661">
        <v>0</v>
      </c>
      <c r="K247" s="530">
        <v>0</v>
      </c>
      <c r="L247" s="532">
        <v>0</v>
      </c>
      <c r="M247" s="574">
        <v>0</v>
      </c>
      <c r="N247" s="602">
        <v>0</v>
      </c>
      <c r="O247" s="661">
        <v>0</v>
      </c>
      <c r="P247" s="530">
        <v>0</v>
      </c>
      <c r="Q247" s="532">
        <v>0</v>
      </c>
      <c r="R247" s="574">
        <v>0</v>
      </c>
      <c r="S247" s="555">
        <v>0</v>
      </c>
      <c r="T247" s="644"/>
      <c r="U247" s="509"/>
      <c r="V247" s="509"/>
      <c r="W247" s="509"/>
      <c r="X247" s="509"/>
      <c r="Y247" s="509"/>
      <c r="Z247" s="509"/>
      <c r="AA247" s="509"/>
      <c r="AB247" s="509"/>
      <c r="AC247" s="509"/>
      <c r="AD247" s="509"/>
      <c r="AE247" s="509"/>
      <c r="AF247" s="509"/>
      <c r="AG247" s="509"/>
      <c r="AH247" s="509"/>
      <c r="AI247" s="509"/>
      <c r="AJ247" s="509"/>
      <c r="AK247" s="509"/>
      <c r="AL247" s="509"/>
      <c r="AM247" s="509"/>
      <c r="AN247" s="509"/>
    </row>
    <row r="248" spans="1:40" ht="15.75" customHeight="1">
      <c r="A248" s="494" t="s">
        <v>375</v>
      </c>
      <c r="B248" s="509" t="s">
        <v>99</v>
      </c>
      <c r="C248" s="529" t="s">
        <v>87</v>
      </c>
      <c r="D248" s="509"/>
      <c r="E248" s="509"/>
      <c r="F248" s="656" t="e">
        <v>#DIV/0!</v>
      </c>
      <c r="G248" s="529"/>
      <c r="H248" s="509"/>
      <c r="I248" s="656"/>
      <c r="J248" s="529"/>
      <c r="K248" s="509"/>
      <c r="L248" s="656">
        <v>0</v>
      </c>
      <c r="M248" s="546"/>
      <c r="N248" s="547">
        <v>0</v>
      </c>
      <c r="O248" s="529"/>
      <c r="P248" s="509"/>
      <c r="Q248" s="656">
        <v>0</v>
      </c>
      <c r="R248" s="546"/>
      <c r="S248" s="547">
        <v>0</v>
      </c>
      <c r="T248" s="644"/>
      <c r="U248" s="509"/>
      <c r="V248" s="509"/>
      <c r="W248" s="509"/>
      <c r="X248" s="509"/>
      <c r="Y248" s="509"/>
      <c r="Z248" s="509"/>
      <c r="AA248" s="509"/>
      <c r="AB248" s="509"/>
      <c r="AC248" s="509"/>
      <c r="AD248" s="509"/>
      <c r="AE248" s="509"/>
      <c r="AF248" s="509"/>
      <c r="AG248" s="509"/>
      <c r="AH248" s="509"/>
      <c r="AI248" s="509"/>
      <c r="AJ248" s="509"/>
      <c r="AK248" s="509"/>
      <c r="AL248" s="509"/>
      <c r="AM248" s="509"/>
      <c r="AN248" s="509"/>
    </row>
    <row r="249" spans="1:40" ht="15.75" customHeight="1" thickBot="1">
      <c r="A249" s="494" t="s">
        <v>99</v>
      </c>
      <c r="B249" s="509" t="s">
        <v>99</v>
      </c>
      <c r="C249" s="529"/>
      <c r="D249" s="509"/>
      <c r="E249" s="509"/>
      <c r="F249" s="656"/>
      <c r="G249" s="529"/>
      <c r="H249" s="509"/>
      <c r="I249" s="656"/>
      <c r="J249" s="529"/>
      <c r="K249" s="509"/>
      <c r="L249" s="656"/>
      <c r="M249" s="546"/>
      <c r="N249" s="547"/>
      <c r="O249" s="529"/>
      <c r="P249" s="509"/>
      <c r="Q249" s="656"/>
      <c r="R249" s="546"/>
      <c r="S249" s="547"/>
      <c r="T249" s="644"/>
      <c r="U249" s="509"/>
      <c r="V249" s="509"/>
      <c r="W249" s="509"/>
      <c r="X249" s="509"/>
      <c r="Y249" s="509"/>
      <c r="Z249" s="509"/>
      <c r="AA249" s="509"/>
      <c r="AB249" s="509"/>
      <c r="AC249" s="509"/>
      <c r="AD249" s="509"/>
      <c r="AE249" s="509"/>
      <c r="AF249" s="509"/>
      <c r="AG249" s="509"/>
      <c r="AH249" s="509"/>
      <c r="AI249" s="509"/>
      <c r="AJ249" s="509"/>
      <c r="AK249" s="509"/>
      <c r="AL249" s="509"/>
      <c r="AM249" s="509"/>
      <c r="AN249" s="509"/>
    </row>
    <row r="250" spans="1:40" ht="15.75" customHeight="1" thickTop="1">
      <c r="A250" s="494" t="s">
        <v>378</v>
      </c>
      <c r="B250" s="509" t="s">
        <v>99</v>
      </c>
      <c r="C250" s="557" t="s">
        <v>96</v>
      </c>
      <c r="D250" s="558"/>
      <c r="E250" s="558">
        <v>109434.21769626775</v>
      </c>
      <c r="F250" s="560">
        <v>16415.13265444016</v>
      </c>
      <c r="G250" s="561"/>
      <c r="H250" s="558"/>
      <c r="I250" s="560"/>
      <c r="J250" s="561"/>
      <c r="K250" s="558">
        <v>502.19</v>
      </c>
      <c r="L250" s="560">
        <v>502.19</v>
      </c>
      <c r="M250" s="693">
        <v>0.85000000000000009</v>
      </c>
      <c r="N250" s="560">
        <v>-15912.942654440159</v>
      </c>
      <c r="O250" s="561"/>
      <c r="P250" s="558">
        <v>61602.33</v>
      </c>
      <c r="Q250" s="560">
        <v>12667</v>
      </c>
      <c r="R250" s="702">
        <v>0.79437466082857577</v>
      </c>
      <c r="S250" s="560">
        <v>-12164.81</v>
      </c>
      <c r="T250" s="644"/>
      <c r="U250" s="509"/>
      <c r="V250" s="509"/>
      <c r="W250" s="509"/>
      <c r="X250" s="509"/>
      <c r="Y250" s="509"/>
      <c r="Z250" s="509"/>
      <c r="AA250" s="509"/>
      <c r="AB250" s="509"/>
      <c r="AC250" s="509"/>
      <c r="AD250" s="509"/>
      <c r="AE250" s="509"/>
      <c r="AF250" s="509"/>
      <c r="AG250" s="509"/>
      <c r="AH250" s="509"/>
      <c r="AI250" s="509"/>
      <c r="AJ250" s="509"/>
      <c r="AK250" s="509"/>
      <c r="AL250" s="509"/>
      <c r="AM250" s="509"/>
      <c r="AN250" s="509"/>
    </row>
    <row r="251" spans="1:40" ht="23.25" customHeight="1" thickBot="1">
      <c r="A251" s="494" t="s">
        <v>99</v>
      </c>
      <c r="B251" s="509" t="s">
        <v>99</v>
      </c>
      <c r="C251" s="562"/>
      <c r="D251" s="563"/>
      <c r="E251" s="563"/>
      <c r="F251" s="567">
        <v>0.14999999999999997</v>
      </c>
      <c r="G251" s="562"/>
      <c r="H251" s="563"/>
      <c r="I251" s="567"/>
      <c r="J251" s="562"/>
      <c r="K251" s="563"/>
      <c r="L251" s="567">
        <v>1</v>
      </c>
      <c r="M251" s="566"/>
      <c r="N251" s="567">
        <v>-0.96940688749998238</v>
      </c>
      <c r="O251" s="562"/>
      <c r="P251" s="563"/>
      <c r="Q251" s="567">
        <v>0.2056253391714242</v>
      </c>
      <c r="R251" s="566"/>
      <c r="S251" s="567">
        <v>-0.96035446435620109</v>
      </c>
      <c r="T251" s="644"/>
      <c r="U251" s="509"/>
      <c r="V251" s="509"/>
      <c r="W251" s="509"/>
      <c r="X251" s="509"/>
      <c r="Y251" s="509"/>
      <c r="Z251" s="509"/>
      <c r="AA251" s="509"/>
      <c r="AB251" s="509"/>
      <c r="AC251" s="509"/>
      <c r="AD251" s="509"/>
      <c r="AE251" s="509"/>
      <c r="AF251" s="509"/>
      <c r="AG251" s="509"/>
      <c r="AH251" s="509"/>
      <c r="AI251" s="509"/>
      <c r="AJ251" s="509"/>
      <c r="AK251" s="509"/>
      <c r="AL251" s="509"/>
      <c r="AM251" s="509"/>
      <c r="AN251" s="509"/>
    </row>
    <row r="252" spans="1:40" ht="15.75" customHeight="1" thickTop="1">
      <c r="A252" s="494" t="s">
        <v>99</v>
      </c>
      <c r="B252" s="509" t="s">
        <v>99</v>
      </c>
      <c r="C252" s="529"/>
      <c r="D252" s="509"/>
      <c r="E252" s="509"/>
      <c r="F252" s="555"/>
      <c r="G252" s="529"/>
      <c r="H252" s="509"/>
      <c r="I252" s="555"/>
      <c r="J252" s="529"/>
      <c r="K252" s="509"/>
      <c r="L252" s="539"/>
      <c r="M252" s="529"/>
      <c r="N252" s="539"/>
      <c r="O252" s="529"/>
      <c r="P252" s="509"/>
      <c r="Q252" s="539"/>
      <c r="R252" s="529"/>
      <c r="S252" s="539"/>
      <c r="T252" s="509"/>
      <c r="U252" s="509"/>
      <c r="V252" s="509"/>
      <c r="W252" s="509"/>
      <c r="X252" s="509"/>
      <c r="Y252" s="509"/>
      <c r="Z252" s="509"/>
      <c r="AA252" s="509"/>
      <c r="AB252" s="509"/>
      <c r="AC252" s="509"/>
      <c r="AD252" s="509"/>
      <c r="AE252" s="509"/>
      <c r="AF252" s="509"/>
      <c r="AG252" s="509"/>
      <c r="AH252" s="509"/>
      <c r="AI252" s="509"/>
      <c r="AJ252" s="509"/>
      <c r="AK252" s="509"/>
      <c r="AL252" s="509"/>
      <c r="AM252" s="509"/>
      <c r="AN252" s="509"/>
    </row>
    <row r="253" spans="1:40" ht="15.75" customHeight="1">
      <c r="A253" s="494" t="s">
        <v>379</v>
      </c>
      <c r="B253" s="509" t="s">
        <v>99</v>
      </c>
      <c r="C253" s="571" t="s">
        <v>30</v>
      </c>
      <c r="D253" s="509"/>
      <c r="E253" s="509"/>
      <c r="F253" s="555"/>
      <c r="G253" s="529"/>
      <c r="H253" s="509"/>
      <c r="I253" s="555"/>
      <c r="J253" s="529"/>
      <c r="K253" s="509"/>
      <c r="L253" s="539"/>
      <c r="M253" s="529"/>
      <c r="N253" s="539"/>
      <c r="O253" s="529"/>
      <c r="P253" s="509"/>
      <c r="Q253" s="539"/>
      <c r="R253" s="529"/>
      <c r="S253" s="539"/>
      <c r="T253" s="509"/>
      <c r="U253" s="509"/>
      <c r="V253" s="509"/>
      <c r="W253" s="509"/>
      <c r="X253" s="509"/>
      <c r="Y253" s="509"/>
      <c r="Z253" s="509"/>
      <c r="AA253" s="509"/>
      <c r="AB253" s="509"/>
      <c r="AC253" s="509"/>
      <c r="AD253" s="509"/>
      <c r="AE253" s="509"/>
      <c r="AF253" s="509"/>
      <c r="AG253" s="509"/>
      <c r="AH253" s="509"/>
      <c r="AI253" s="509"/>
      <c r="AJ253" s="509"/>
      <c r="AK253" s="509"/>
      <c r="AL253" s="509"/>
      <c r="AM253" s="509"/>
      <c r="AN253" s="509"/>
    </row>
    <row r="254" spans="1:40" ht="15.75" customHeight="1">
      <c r="A254" s="494" t="s">
        <v>380</v>
      </c>
      <c r="B254" s="509" t="s">
        <v>99</v>
      </c>
      <c r="C254" s="596" t="s">
        <v>41</v>
      </c>
      <c r="D254" s="509"/>
      <c r="E254" s="509"/>
      <c r="F254" s="530">
        <v>297.32500000000005</v>
      </c>
      <c r="G254" s="529"/>
      <c r="H254" s="509"/>
      <c r="I254" s="530"/>
      <c r="J254" s="529"/>
      <c r="K254" s="509"/>
      <c r="L254" s="532">
        <v>901.88</v>
      </c>
      <c r="M254" s="529"/>
      <c r="N254" s="555">
        <v>604.55499999999995</v>
      </c>
      <c r="O254" s="529"/>
      <c r="P254" s="509"/>
      <c r="Q254" s="532">
        <v>768.04</v>
      </c>
      <c r="R254" s="529"/>
      <c r="S254" s="532">
        <v>133.84000000000003</v>
      </c>
      <c r="T254" s="509"/>
      <c r="U254" s="509"/>
      <c r="V254" s="509"/>
      <c r="W254" s="509"/>
      <c r="X254" s="509"/>
      <c r="Y254" s="509"/>
      <c r="Z254" s="509"/>
      <c r="AA254" s="509"/>
      <c r="AB254" s="509"/>
      <c r="AC254" s="509"/>
      <c r="AD254" s="509"/>
      <c r="AE254" s="509"/>
      <c r="AF254" s="509"/>
      <c r="AG254" s="509"/>
      <c r="AH254" s="509"/>
      <c r="AI254" s="509"/>
      <c r="AJ254" s="509"/>
      <c r="AK254" s="509"/>
      <c r="AL254" s="509"/>
      <c r="AM254" s="509"/>
      <c r="AN254" s="509"/>
    </row>
    <row r="255" spans="1:40" ht="15.75" customHeight="1">
      <c r="A255" s="494" t="s">
        <v>381</v>
      </c>
      <c r="B255" s="509" t="s">
        <v>99</v>
      </c>
      <c r="C255" s="598" t="s">
        <v>42</v>
      </c>
      <c r="D255" s="581"/>
      <c r="E255" s="509"/>
      <c r="F255" s="524">
        <v>4703.7506153846152</v>
      </c>
      <c r="G255" s="582"/>
      <c r="H255" s="509"/>
      <c r="I255" s="524"/>
      <c r="J255" s="529"/>
      <c r="K255" s="509"/>
      <c r="L255" s="532">
        <v>198.91</v>
      </c>
      <c r="M255" s="529"/>
      <c r="N255" s="555">
        <v>-4504.8406153846154</v>
      </c>
      <c r="O255" s="529"/>
      <c r="P255" s="509"/>
      <c r="Q255" s="532">
        <v>0</v>
      </c>
      <c r="R255" s="529"/>
      <c r="S255" s="555">
        <v>198.91</v>
      </c>
      <c r="T255" s="509"/>
      <c r="U255" s="509"/>
      <c r="V255" s="509"/>
      <c r="W255" s="509"/>
      <c r="X255" s="509"/>
      <c r="Y255" s="509"/>
      <c r="Z255" s="509"/>
      <c r="AA255" s="509"/>
      <c r="AB255" s="509"/>
      <c r="AC255" s="509"/>
      <c r="AD255" s="509"/>
      <c r="AE255" s="509"/>
      <c r="AF255" s="509"/>
      <c r="AG255" s="509"/>
      <c r="AH255" s="509"/>
      <c r="AI255" s="509"/>
      <c r="AJ255" s="509"/>
      <c r="AK255" s="509"/>
      <c r="AL255" s="509"/>
      <c r="AM255" s="509"/>
      <c r="AN255" s="509"/>
    </row>
    <row r="256" spans="1:40" ht="15.75" customHeight="1">
      <c r="A256" s="494" t="s">
        <v>382</v>
      </c>
      <c r="B256" s="509" t="s">
        <v>99</v>
      </c>
      <c r="C256" s="596" t="s">
        <v>43</v>
      </c>
      <c r="D256" s="599"/>
      <c r="E256" s="600"/>
      <c r="F256" s="530">
        <v>17.530769230769231</v>
      </c>
      <c r="G256" s="601"/>
      <c r="H256" s="600"/>
      <c r="I256" s="530"/>
      <c r="J256" s="517"/>
      <c r="K256" s="600"/>
      <c r="L256" s="551">
        <v>0.08</v>
      </c>
      <c r="M256" s="517"/>
      <c r="N256" s="602">
        <v>-17.450769230769232</v>
      </c>
      <c r="O256" s="517"/>
      <c r="P256" s="600"/>
      <c r="Q256" s="551">
        <v>0.21</v>
      </c>
      <c r="R256" s="517"/>
      <c r="S256" s="602">
        <v>-0.13</v>
      </c>
      <c r="T256" s="509"/>
      <c r="U256" s="509"/>
      <c r="V256" s="509"/>
      <c r="W256" s="509"/>
      <c r="X256" s="509"/>
      <c r="Y256" s="509"/>
      <c r="Z256" s="509"/>
      <c r="AA256" s="509"/>
      <c r="AB256" s="509"/>
      <c r="AC256" s="509"/>
      <c r="AD256" s="509"/>
      <c r="AE256" s="509"/>
      <c r="AF256" s="509"/>
      <c r="AG256" s="509"/>
      <c r="AH256" s="509"/>
      <c r="AI256" s="509"/>
      <c r="AJ256" s="509"/>
      <c r="AK256" s="509"/>
      <c r="AL256" s="509"/>
      <c r="AM256" s="509"/>
      <c r="AN256" s="509"/>
    </row>
    <row r="257" spans="1:40" ht="15.75" customHeight="1">
      <c r="A257" s="494" t="s">
        <v>383</v>
      </c>
      <c r="B257" s="509" t="s">
        <v>99</v>
      </c>
      <c r="C257" s="596" t="s">
        <v>44</v>
      </c>
      <c r="D257" s="581"/>
      <c r="E257" s="509"/>
      <c r="F257" s="530">
        <v>0</v>
      </c>
      <c r="G257" s="582"/>
      <c r="H257" s="509"/>
      <c r="I257" s="530"/>
      <c r="J257" s="529"/>
      <c r="K257" s="509"/>
      <c r="L257" s="532">
        <v>0</v>
      </c>
      <c r="M257" s="529"/>
      <c r="N257" s="555">
        <v>0</v>
      </c>
      <c r="O257" s="529"/>
      <c r="P257" s="509"/>
      <c r="Q257" s="532">
        <v>5032.4399999999996</v>
      </c>
      <c r="R257" s="529"/>
      <c r="S257" s="555">
        <v>-5032.4399999999996</v>
      </c>
      <c r="T257" s="509"/>
      <c r="U257" s="509"/>
      <c r="V257" s="509"/>
      <c r="W257" s="509"/>
      <c r="X257" s="509"/>
      <c r="Y257" s="509"/>
      <c r="Z257" s="509"/>
      <c r="AA257" s="509"/>
      <c r="AB257" s="509"/>
      <c r="AC257" s="509"/>
      <c r="AD257" s="509"/>
      <c r="AE257" s="509"/>
      <c r="AF257" s="509"/>
      <c r="AG257" s="509"/>
      <c r="AH257" s="509"/>
      <c r="AI257" s="509"/>
      <c r="AJ257" s="509"/>
      <c r="AK257" s="509"/>
      <c r="AL257" s="509"/>
      <c r="AM257" s="509"/>
      <c r="AN257" s="509"/>
    </row>
    <row r="258" spans="1:40" ht="15.75" hidden="1" customHeight="1">
      <c r="A258" s="494" t="s">
        <v>384</v>
      </c>
      <c r="B258" s="509" t="s">
        <v>99</v>
      </c>
      <c r="C258" s="529" t="s">
        <v>20</v>
      </c>
      <c r="D258" s="581"/>
      <c r="E258" s="509"/>
      <c r="F258" s="530">
        <v>0</v>
      </c>
      <c r="G258" s="582"/>
      <c r="H258" s="509"/>
      <c r="I258" s="530"/>
      <c r="J258" s="529"/>
      <c r="K258" s="509"/>
      <c r="L258" s="532">
        <v>0</v>
      </c>
      <c r="M258" s="529"/>
      <c r="N258" s="555">
        <v>0</v>
      </c>
      <c r="O258" s="529"/>
      <c r="P258" s="509"/>
      <c r="Q258" s="532">
        <v>0</v>
      </c>
      <c r="R258" s="529"/>
      <c r="S258" s="555">
        <v>0</v>
      </c>
      <c r="T258" s="509"/>
      <c r="U258" s="509"/>
      <c r="V258" s="509"/>
      <c r="W258" s="509"/>
      <c r="X258" s="509"/>
      <c r="Y258" s="509"/>
      <c r="Z258" s="509"/>
      <c r="AA258" s="509"/>
      <c r="AB258" s="509"/>
      <c r="AC258" s="509"/>
      <c r="AD258" s="509"/>
      <c r="AE258" s="509"/>
      <c r="AF258" s="509"/>
      <c r="AG258" s="509"/>
      <c r="AH258" s="509"/>
      <c r="AI258" s="509"/>
      <c r="AJ258" s="509"/>
      <c r="AK258" s="509"/>
      <c r="AL258" s="509"/>
      <c r="AM258" s="509"/>
      <c r="AN258" s="509"/>
    </row>
    <row r="259" spans="1:40" ht="15.75" hidden="1" customHeight="1">
      <c r="A259" s="494" t="s">
        <v>384</v>
      </c>
      <c r="B259" s="509" t="s">
        <v>99</v>
      </c>
      <c r="C259" s="529" t="s">
        <v>20</v>
      </c>
      <c r="D259" s="581"/>
      <c r="E259" s="509"/>
      <c r="F259" s="530">
        <v>0</v>
      </c>
      <c r="G259" s="582"/>
      <c r="H259" s="509"/>
      <c r="I259" s="530"/>
      <c r="J259" s="529"/>
      <c r="K259" s="509"/>
      <c r="L259" s="532">
        <v>0</v>
      </c>
      <c r="M259" s="529"/>
      <c r="N259" s="555">
        <v>0</v>
      </c>
      <c r="O259" s="529"/>
      <c r="P259" s="509"/>
      <c r="Q259" s="532">
        <v>0</v>
      </c>
      <c r="R259" s="529"/>
      <c r="S259" s="555">
        <v>0</v>
      </c>
      <c r="T259" s="509"/>
      <c r="U259" s="509"/>
      <c r="V259" s="509"/>
      <c r="W259" s="509"/>
      <c r="X259" s="509"/>
      <c r="Y259" s="509"/>
      <c r="Z259" s="509"/>
      <c r="AA259" s="509"/>
      <c r="AB259" s="509"/>
      <c r="AC259" s="509"/>
      <c r="AD259" s="509"/>
      <c r="AE259" s="509"/>
      <c r="AF259" s="509"/>
      <c r="AG259" s="509"/>
      <c r="AH259" s="509"/>
      <c r="AI259" s="509"/>
      <c r="AJ259" s="509"/>
      <c r="AK259" s="509"/>
      <c r="AL259" s="509"/>
      <c r="AM259" s="509"/>
      <c r="AN259" s="509"/>
    </row>
    <row r="260" spans="1:40" ht="15.75" hidden="1" customHeight="1">
      <c r="A260" s="494" t="s">
        <v>384</v>
      </c>
      <c r="B260" s="509" t="s">
        <v>99</v>
      </c>
      <c r="C260" s="529" t="s">
        <v>20</v>
      </c>
      <c r="D260" s="581"/>
      <c r="E260" s="509"/>
      <c r="F260" s="530">
        <v>0</v>
      </c>
      <c r="G260" s="582"/>
      <c r="H260" s="509"/>
      <c r="I260" s="530"/>
      <c r="J260" s="529"/>
      <c r="K260" s="509"/>
      <c r="L260" s="532">
        <v>0</v>
      </c>
      <c r="M260" s="529"/>
      <c r="N260" s="555">
        <v>0</v>
      </c>
      <c r="O260" s="529"/>
      <c r="P260" s="509"/>
      <c r="Q260" s="532">
        <v>0</v>
      </c>
      <c r="R260" s="529"/>
      <c r="S260" s="555">
        <v>0</v>
      </c>
      <c r="T260" s="509"/>
      <c r="U260" s="509"/>
      <c r="V260" s="509"/>
      <c r="W260" s="509"/>
      <c r="X260" s="509"/>
      <c r="Y260" s="509"/>
      <c r="Z260" s="509"/>
      <c r="AA260" s="509"/>
      <c r="AB260" s="509"/>
      <c r="AC260" s="509"/>
      <c r="AD260" s="509"/>
      <c r="AE260" s="509"/>
      <c r="AF260" s="509"/>
      <c r="AG260" s="509"/>
      <c r="AH260" s="509"/>
      <c r="AI260" s="509"/>
      <c r="AJ260" s="509"/>
      <c r="AK260" s="509"/>
      <c r="AL260" s="509"/>
      <c r="AM260" s="509"/>
      <c r="AN260" s="509"/>
    </row>
    <row r="261" spans="1:40" ht="15.75" customHeight="1">
      <c r="A261" s="494" t="s">
        <v>385</v>
      </c>
      <c r="B261" s="509" t="s">
        <v>99</v>
      </c>
      <c r="C261" s="598" t="s">
        <v>45</v>
      </c>
      <c r="D261" s="581"/>
      <c r="E261" s="509"/>
      <c r="F261" s="524">
        <v>596.62482465384608</v>
      </c>
      <c r="G261" s="582"/>
      <c r="H261" s="509"/>
      <c r="I261" s="524"/>
      <c r="J261" s="529"/>
      <c r="K261" s="509"/>
      <c r="L261" s="532">
        <v>1128.79</v>
      </c>
      <c r="M261" s="529"/>
      <c r="N261" s="555">
        <v>532.16517534615389</v>
      </c>
      <c r="O261" s="529"/>
      <c r="P261" s="509"/>
      <c r="Q261" s="532">
        <v>352.77</v>
      </c>
      <c r="R261" s="529"/>
      <c r="S261" s="555">
        <v>776.02</v>
      </c>
      <c r="T261" s="509"/>
      <c r="U261" s="509"/>
      <c r="V261" s="509"/>
      <c r="W261" s="509"/>
      <c r="X261" s="509"/>
      <c r="Y261" s="509"/>
      <c r="Z261" s="509"/>
      <c r="AA261" s="509"/>
      <c r="AB261" s="509"/>
      <c r="AC261" s="509"/>
      <c r="AD261" s="509"/>
      <c r="AE261" s="509"/>
      <c r="AF261" s="509"/>
      <c r="AG261" s="509"/>
      <c r="AH261" s="509"/>
      <c r="AI261" s="509"/>
      <c r="AJ261" s="509"/>
      <c r="AK261" s="509"/>
      <c r="AL261" s="509"/>
      <c r="AM261" s="509"/>
      <c r="AN261" s="509"/>
    </row>
    <row r="262" spans="1:40" ht="15.75" customHeight="1">
      <c r="A262" s="494" t="s">
        <v>386</v>
      </c>
      <c r="B262" s="509" t="s">
        <v>99</v>
      </c>
      <c r="C262" s="596" t="s">
        <v>46</v>
      </c>
      <c r="D262" s="599"/>
      <c r="E262" s="600"/>
      <c r="F262" s="530">
        <v>725.41168107692306</v>
      </c>
      <c r="G262" s="601"/>
      <c r="H262" s="600"/>
      <c r="I262" s="530"/>
      <c r="J262" s="517"/>
      <c r="K262" s="600"/>
      <c r="L262" s="551">
        <v>811.68</v>
      </c>
      <c r="M262" s="517"/>
      <c r="N262" s="602">
        <v>86.26831892307689</v>
      </c>
      <c r="O262" s="517"/>
      <c r="P262" s="600"/>
      <c r="Q262" s="551">
        <v>1340.49</v>
      </c>
      <c r="R262" s="517"/>
      <c r="S262" s="602">
        <v>-528.81000000000006</v>
      </c>
      <c r="T262" s="509"/>
      <c r="U262" s="509"/>
      <c r="V262" s="509"/>
      <c r="W262" s="509"/>
      <c r="X262" s="509"/>
      <c r="Y262" s="509"/>
      <c r="Z262" s="509"/>
      <c r="AA262" s="509"/>
      <c r="AB262" s="509"/>
      <c r="AC262" s="509"/>
      <c r="AD262" s="509"/>
      <c r="AE262" s="509"/>
      <c r="AF262" s="509"/>
      <c r="AG262" s="509"/>
      <c r="AH262" s="509"/>
      <c r="AI262" s="509"/>
      <c r="AJ262" s="509"/>
      <c r="AK262" s="509"/>
      <c r="AL262" s="509"/>
      <c r="AM262" s="509"/>
      <c r="AN262" s="509"/>
    </row>
    <row r="263" spans="1:40" ht="15.75" customHeight="1">
      <c r="A263" s="494" t="s">
        <v>387</v>
      </c>
      <c r="B263" s="509" t="s">
        <v>99</v>
      </c>
      <c r="C263" s="596" t="s">
        <v>47</v>
      </c>
      <c r="D263" s="581"/>
      <c r="E263" s="509"/>
      <c r="F263" s="530">
        <v>373.74471394615375</v>
      </c>
      <c r="G263" s="582"/>
      <c r="H263" s="509"/>
      <c r="I263" s="530"/>
      <c r="J263" s="529"/>
      <c r="K263" s="509"/>
      <c r="L263" s="532">
        <v>-0.25</v>
      </c>
      <c r="M263" s="529"/>
      <c r="N263" s="555">
        <v>-373.99471394615375</v>
      </c>
      <c r="O263" s="529"/>
      <c r="P263" s="509"/>
      <c r="Q263" s="532">
        <v>122.31</v>
      </c>
      <c r="R263" s="529"/>
      <c r="S263" s="555">
        <v>-122.56</v>
      </c>
      <c r="T263" s="509"/>
      <c r="U263" s="509"/>
      <c r="V263" s="509"/>
      <c r="W263" s="509"/>
      <c r="X263" s="509"/>
      <c r="Y263" s="509"/>
      <c r="Z263" s="509"/>
      <c r="AA263" s="509"/>
      <c r="AB263" s="509"/>
      <c r="AC263" s="509"/>
      <c r="AD263" s="509"/>
      <c r="AE263" s="509"/>
      <c r="AF263" s="509"/>
      <c r="AG263" s="509"/>
      <c r="AH263" s="509"/>
      <c r="AI263" s="509"/>
      <c r="AJ263" s="509"/>
      <c r="AK263" s="509"/>
      <c r="AL263" s="509"/>
      <c r="AM263" s="509"/>
      <c r="AN263" s="509"/>
    </row>
    <row r="264" spans="1:40" ht="15.75" customHeight="1">
      <c r="A264" s="494" t="s">
        <v>388</v>
      </c>
      <c r="B264" s="509" t="s">
        <v>99</v>
      </c>
      <c r="C264" s="596" t="s">
        <v>48</v>
      </c>
      <c r="D264" s="581"/>
      <c r="E264" s="509"/>
      <c r="F264" s="530">
        <v>162.95479792307691</v>
      </c>
      <c r="G264" s="582"/>
      <c r="H264" s="509"/>
      <c r="I264" s="530"/>
      <c r="J264" s="529"/>
      <c r="K264" s="509"/>
      <c r="L264" s="532">
        <v>24.4</v>
      </c>
      <c r="M264" s="529"/>
      <c r="N264" s="555">
        <v>-138.5547979230769</v>
      </c>
      <c r="O264" s="529"/>
      <c r="P264" s="509"/>
      <c r="Q264" s="532">
        <v>419.85</v>
      </c>
      <c r="R264" s="529"/>
      <c r="S264" s="555">
        <v>-395.45000000000005</v>
      </c>
      <c r="T264" s="509"/>
      <c r="U264" s="509"/>
      <c r="V264" s="509"/>
      <c r="W264" s="509"/>
      <c r="X264" s="509"/>
      <c r="Y264" s="509"/>
      <c r="Z264" s="509"/>
      <c r="AA264" s="509"/>
      <c r="AB264" s="509"/>
      <c r="AC264" s="509"/>
      <c r="AD264" s="509"/>
      <c r="AE264" s="509"/>
      <c r="AF264" s="509"/>
      <c r="AG264" s="509"/>
      <c r="AH264" s="509"/>
      <c r="AI264" s="509"/>
      <c r="AJ264" s="509"/>
      <c r="AK264" s="509"/>
      <c r="AL264" s="509"/>
      <c r="AM264" s="509"/>
      <c r="AN264" s="509"/>
    </row>
    <row r="265" spans="1:40" ht="15.75" hidden="1" customHeight="1">
      <c r="A265" s="494" t="s">
        <v>384</v>
      </c>
      <c r="B265" s="509" t="s">
        <v>99</v>
      </c>
      <c r="C265" s="529" t="s">
        <v>20</v>
      </c>
      <c r="D265" s="583"/>
      <c r="E265" s="603"/>
      <c r="F265" s="530">
        <v>0</v>
      </c>
      <c r="G265" s="584"/>
      <c r="H265" s="603"/>
      <c r="I265" s="530"/>
      <c r="J265" s="522"/>
      <c r="K265" s="603"/>
      <c r="L265" s="532">
        <v>0</v>
      </c>
      <c r="M265" s="522"/>
      <c r="N265" s="579">
        <v>0</v>
      </c>
      <c r="O265" s="522"/>
      <c r="P265" s="603"/>
      <c r="Q265" s="532">
        <v>0</v>
      </c>
      <c r="R265" s="522"/>
      <c r="S265" s="579">
        <v>0</v>
      </c>
      <c r="T265" s="509"/>
      <c r="U265" s="509"/>
      <c r="V265" s="509"/>
      <c r="W265" s="509"/>
      <c r="X265" s="509"/>
      <c r="Y265" s="509"/>
      <c r="Z265" s="509"/>
      <c r="AA265" s="509"/>
      <c r="AB265" s="509"/>
      <c r="AC265" s="509"/>
      <c r="AD265" s="509"/>
      <c r="AE265" s="509"/>
      <c r="AF265" s="509"/>
      <c r="AG265" s="509"/>
      <c r="AH265" s="509"/>
      <c r="AI265" s="509"/>
      <c r="AJ265" s="509"/>
      <c r="AK265" s="509"/>
      <c r="AL265" s="509"/>
      <c r="AM265" s="509"/>
      <c r="AN265" s="509"/>
    </row>
    <row r="266" spans="1:40" ht="15.75" customHeight="1">
      <c r="A266" s="494" t="s">
        <v>389</v>
      </c>
      <c r="B266" s="509" t="s">
        <v>99</v>
      </c>
      <c r="C266" s="588" t="s">
        <v>49</v>
      </c>
      <c r="D266" s="589" t="s">
        <v>39</v>
      </c>
      <c r="E266" s="590">
        <v>0.41896355923478434</v>
      </c>
      <c r="F266" s="591">
        <v>6877.3424022153831</v>
      </c>
      <c r="G266" s="592"/>
      <c r="H266" s="590"/>
      <c r="I266" s="591"/>
      <c r="J266" s="592" t="s">
        <v>39</v>
      </c>
      <c r="K266" s="590">
        <v>6.1042434138473478</v>
      </c>
      <c r="L266" s="591">
        <v>3065.49</v>
      </c>
      <c r="M266" s="646"/>
      <c r="N266" s="605">
        <v>-3811.8524022153833</v>
      </c>
      <c r="O266" s="592" t="s">
        <v>39</v>
      </c>
      <c r="P266" s="590">
        <v>0</v>
      </c>
      <c r="Q266" s="591">
        <v>8036.11</v>
      </c>
      <c r="R266" s="646"/>
      <c r="S266" s="605">
        <v>-4970.62</v>
      </c>
      <c r="T266" s="509"/>
      <c r="U266" s="509"/>
      <c r="V266" s="509"/>
      <c r="W266" s="509"/>
      <c r="X266" s="509"/>
      <c r="Y266" s="509"/>
      <c r="Z266" s="509"/>
      <c r="AA266" s="509"/>
      <c r="AB266" s="509"/>
      <c r="AC266" s="509"/>
      <c r="AD266" s="509"/>
      <c r="AE266" s="509"/>
      <c r="AF266" s="509"/>
      <c r="AG266" s="509"/>
      <c r="AH266" s="509"/>
      <c r="AI266" s="509"/>
      <c r="AJ266" s="509"/>
      <c r="AK266" s="509"/>
      <c r="AL266" s="509"/>
      <c r="AM266" s="509"/>
      <c r="AN266" s="509"/>
    </row>
    <row r="267" spans="1:40" ht="15.75" customHeight="1">
      <c r="A267" s="494" t="s">
        <v>390</v>
      </c>
      <c r="B267" s="509" t="s">
        <v>99</v>
      </c>
      <c r="C267" s="703" t="s">
        <v>50</v>
      </c>
      <c r="D267" s="581"/>
      <c r="E267" s="509"/>
      <c r="F267" s="530">
        <v>0</v>
      </c>
      <c r="G267" s="582"/>
      <c r="H267" s="509"/>
      <c r="I267" s="530"/>
      <c r="J267" s="529"/>
      <c r="K267" s="509"/>
      <c r="L267" s="532">
        <v>175</v>
      </c>
      <c r="M267" s="529"/>
      <c r="N267" s="555">
        <v>175</v>
      </c>
      <c r="O267" s="529"/>
      <c r="P267" s="509"/>
      <c r="Q267" s="555">
        <v>168.82</v>
      </c>
      <c r="R267" s="529"/>
      <c r="S267" s="555">
        <v>6.1800000000000068</v>
      </c>
      <c r="T267" s="509"/>
      <c r="U267" s="509"/>
      <c r="V267" s="509"/>
      <c r="W267" s="509"/>
      <c r="X267" s="509"/>
      <c r="Y267" s="509"/>
      <c r="Z267" s="509"/>
      <c r="AA267" s="509"/>
      <c r="AB267" s="509"/>
      <c r="AC267" s="509"/>
      <c r="AD267" s="509"/>
      <c r="AE267" s="509"/>
      <c r="AF267" s="509"/>
      <c r="AG267" s="509"/>
      <c r="AH267" s="509"/>
      <c r="AI267" s="509"/>
      <c r="AJ267" s="509"/>
      <c r="AK267" s="509"/>
      <c r="AL267" s="509"/>
      <c r="AM267" s="509"/>
      <c r="AN267" s="509"/>
    </row>
    <row r="268" spans="1:40" ht="15.75" customHeight="1">
      <c r="A268" s="494" t="s">
        <v>391</v>
      </c>
      <c r="B268" s="509" t="s">
        <v>99</v>
      </c>
      <c r="C268" s="596" t="s">
        <v>51</v>
      </c>
      <c r="D268" s="581"/>
      <c r="E268" s="509"/>
      <c r="F268" s="530">
        <v>593.90656258991453</v>
      </c>
      <c r="G268" s="582"/>
      <c r="H268" s="509"/>
      <c r="I268" s="530"/>
      <c r="J268" s="529"/>
      <c r="K268" s="509"/>
      <c r="L268" s="532">
        <v>750</v>
      </c>
      <c r="M268" s="529"/>
      <c r="N268" s="555">
        <v>156.09343741008547</v>
      </c>
      <c r="O268" s="529"/>
      <c r="P268" s="509"/>
      <c r="Q268" s="555">
        <v>3855.54</v>
      </c>
      <c r="R268" s="529"/>
      <c r="S268" s="555">
        <v>-3105.54</v>
      </c>
      <c r="T268" s="509"/>
      <c r="U268" s="494" t="s">
        <v>480</v>
      </c>
      <c r="V268" s="509"/>
      <c r="W268" s="509"/>
      <c r="X268" s="509"/>
      <c r="Y268" s="509"/>
      <c r="Z268" s="509"/>
      <c r="AA268" s="509"/>
      <c r="AB268" s="509"/>
      <c r="AC268" s="509"/>
      <c r="AD268" s="509"/>
      <c r="AE268" s="509"/>
      <c r="AF268" s="509"/>
      <c r="AG268" s="509"/>
      <c r="AH268" s="509"/>
      <c r="AI268" s="509"/>
      <c r="AJ268" s="509"/>
      <c r="AK268" s="509"/>
      <c r="AL268" s="509"/>
      <c r="AM268" s="509"/>
      <c r="AN268" s="509"/>
    </row>
    <row r="269" spans="1:40" ht="15.75" customHeight="1">
      <c r="A269" s="494" t="s">
        <v>392</v>
      </c>
      <c r="B269" s="509" t="s">
        <v>99</v>
      </c>
      <c r="C269" s="598" t="s">
        <v>52</v>
      </c>
      <c r="D269" s="583"/>
      <c r="E269" s="603"/>
      <c r="F269" s="524">
        <v>0</v>
      </c>
      <c r="G269" s="584"/>
      <c r="H269" s="603"/>
      <c r="I269" s="524"/>
      <c r="J269" s="522"/>
      <c r="K269" s="603"/>
      <c r="L269" s="532">
        <v>157.77000000000001</v>
      </c>
      <c r="M269" s="522"/>
      <c r="N269" s="579">
        <v>157.77000000000001</v>
      </c>
      <c r="O269" s="522"/>
      <c r="P269" s="603"/>
      <c r="Q269" s="579">
        <v>165.8</v>
      </c>
      <c r="R269" s="522"/>
      <c r="S269" s="579">
        <v>-8.0300000000000011</v>
      </c>
      <c r="T269" s="509"/>
      <c r="U269" s="509" t="s">
        <v>1</v>
      </c>
      <c r="V269" s="509"/>
      <c r="W269" s="509"/>
      <c r="X269" s="509"/>
      <c r="Y269" s="509"/>
      <c r="Z269" s="509"/>
      <c r="AA269" s="509"/>
      <c r="AB269" s="509"/>
      <c r="AC269" s="509"/>
      <c r="AD269" s="509"/>
      <c r="AE269" s="509"/>
      <c r="AF269" s="509"/>
      <c r="AG269" s="509"/>
      <c r="AH269" s="509"/>
      <c r="AI269" s="509"/>
      <c r="AJ269" s="509"/>
      <c r="AK269" s="509"/>
      <c r="AL269" s="509"/>
      <c r="AM269" s="509"/>
      <c r="AN269" s="509"/>
    </row>
    <row r="270" spans="1:40" ht="15.75" customHeight="1">
      <c r="A270" s="494" t="s">
        <v>393</v>
      </c>
      <c r="B270" s="509" t="s">
        <v>99</v>
      </c>
      <c r="C270" s="596" t="s">
        <v>53</v>
      </c>
      <c r="D270" s="581"/>
      <c r="E270" s="509"/>
      <c r="F270" s="530">
        <v>1434.1339301111113</v>
      </c>
      <c r="G270" s="582"/>
      <c r="H270" s="509"/>
      <c r="I270" s="530"/>
      <c r="J270" s="529"/>
      <c r="K270" s="509"/>
      <c r="L270" s="551">
        <v>1485.99</v>
      </c>
      <c r="M270" s="529"/>
      <c r="N270" s="555">
        <v>51.856069888888669</v>
      </c>
      <c r="O270" s="529"/>
      <c r="P270" s="509"/>
      <c r="Q270" s="555">
        <v>1422.13</v>
      </c>
      <c r="R270" s="529"/>
      <c r="S270" s="555">
        <v>63.8599999999999</v>
      </c>
      <c r="T270" s="509"/>
      <c r="U270" s="509"/>
      <c r="V270" s="509"/>
      <c r="W270" s="509"/>
      <c r="X270" s="509"/>
      <c r="Y270" s="509"/>
      <c r="Z270" s="509"/>
      <c r="AA270" s="509"/>
      <c r="AB270" s="509"/>
      <c r="AC270" s="509"/>
      <c r="AD270" s="509"/>
      <c r="AE270" s="509"/>
      <c r="AF270" s="509"/>
      <c r="AG270" s="509"/>
      <c r="AH270" s="509"/>
      <c r="AI270" s="509"/>
      <c r="AJ270" s="509"/>
      <c r="AK270" s="509"/>
      <c r="AL270" s="509"/>
      <c r="AM270" s="509"/>
      <c r="AN270" s="509"/>
    </row>
    <row r="271" spans="1:40" ht="15.75" customHeight="1">
      <c r="A271" s="494" t="s">
        <v>394</v>
      </c>
      <c r="B271" s="509" t="s">
        <v>99</v>
      </c>
      <c r="C271" s="596" t="s">
        <v>54</v>
      </c>
      <c r="D271" s="581"/>
      <c r="E271" s="509"/>
      <c r="F271" s="530">
        <v>178.43173052524097</v>
      </c>
      <c r="G271" s="582"/>
      <c r="H271" s="509"/>
      <c r="I271" s="530"/>
      <c r="J271" s="529"/>
      <c r="K271" s="509"/>
      <c r="L271" s="532">
        <v>257.27999999999997</v>
      </c>
      <c r="M271" s="529"/>
      <c r="N271" s="555">
        <v>78.848269474759007</v>
      </c>
      <c r="O271" s="529"/>
      <c r="P271" s="509"/>
      <c r="Q271" s="555">
        <v>147.46</v>
      </c>
      <c r="R271" s="529"/>
      <c r="S271" s="555">
        <v>109.81999999999996</v>
      </c>
      <c r="T271" s="509"/>
      <c r="U271" s="509"/>
      <c r="V271" s="509"/>
      <c r="W271" s="509"/>
      <c r="X271" s="509"/>
      <c r="Y271" s="509"/>
      <c r="Z271" s="509"/>
      <c r="AA271" s="509"/>
      <c r="AB271" s="509"/>
      <c r="AC271" s="509"/>
      <c r="AD271" s="509"/>
      <c r="AE271" s="509"/>
      <c r="AF271" s="509"/>
      <c r="AG271" s="509"/>
      <c r="AH271" s="509"/>
      <c r="AI271" s="509"/>
      <c r="AJ271" s="509"/>
      <c r="AK271" s="509"/>
      <c r="AL271" s="509"/>
      <c r="AM271" s="509"/>
      <c r="AN271" s="509"/>
    </row>
    <row r="272" spans="1:40" ht="15.75" customHeight="1">
      <c r="A272" s="494" t="s">
        <v>395</v>
      </c>
      <c r="B272" s="509" t="s">
        <v>99</v>
      </c>
      <c r="C272" s="596" t="s">
        <v>55</v>
      </c>
      <c r="D272" s="583"/>
      <c r="E272" s="603"/>
      <c r="F272" s="524">
        <v>676.55120298287022</v>
      </c>
      <c r="G272" s="584"/>
      <c r="H272" s="603"/>
      <c r="I272" s="524"/>
      <c r="J272" s="522"/>
      <c r="K272" s="603"/>
      <c r="L272" s="532">
        <v>774.31</v>
      </c>
      <c r="M272" s="522"/>
      <c r="N272" s="579">
        <v>97.758797017129723</v>
      </c>
      <c r="O272" s="522"/>
      <c r="P272" s="603"/>
      <c r="Q272" s="579">
        <v>492.53</v>
      </c>
      <c r="R272" s="522"/>
      <c r="S272" s="579">
        <v>281.77999999999997</v>
      </c>
      <c r="T272" s="509"/>
      <c r="U272" s="509"/>
      <c r="V272" s="509"/>
      <c r="W272" s="509"/>
      <c r="X272" s="509"/>
      <c r="Y272" s="509"/>
      <c r="Z272" s="509"/>
      <c r="AA272" s="509"/>
      <c r="AB272" s="509"/>
      <c r="AC272" s="509"/>
      <c r="AD272" s="509"/>
      <c r="AE272" s="509"/>
      <c r="AF272" s="509"/>
      <c r="AG272" s="509"/>
      <c r="AH272" s="509"/>
      <c r="AI272" s="509"/>
      <c r="AJ272" s="509"/>
      <c r="AK272" s="509"/>
      <c r="AL272" s="509"/>
      <c r="AM272" s="509"/>
      <c r="AN272" s="509"/>
    </row>
    <row r="273" spans="1:40" ht="15.75" customHeight="1">
      <c r="A273" s="494" t="s">
        <v>396</v>
      </c>
      <c r="B273" s="509" t="s">
        <v>99</v>
      </c>
      <c r="C273" s="703" t="s">
        <v>98</v>
      </c>
      <c r="D273" s="581"/>
      <c r="E273" s="509"/>
      <c r="F273" s="530"/>
      <c r="G273" s="582"/>
      <c r="H273" s="509"/>
      <c r="I273" s="530"/>
      <c r="J273" s="529"/>
      <c r="K273" s="509"/>
      <c r="L273" s="551">
        <v>0</v>
      </c>
      <c r="M273" s="529"/>
      <c r="N273" s="555">
        <v>0</v>
      </c>
      <c r="O273" s="529"/>
      <c r="P273" s="509"/>
      <c r="Q273" s="555">
        <v>0</v>
      </c>
      <c r="R273" s="529"/>
      <c r="S273" s="555">
        <v>0</v>
      </c>
      <c r="T273" s="509"/>
      <c r="U273" s="509"/>
      <c r="V273" s="509"/>
      <c r="W273" s="509"/>
      <c r="X273" s="509"/>
      <c r="Y273" s="509"/>
      <c r="Z273" s="509"/>
      <c r="AA273" s="509"/>
      <c r="AB273" s="509"/>
      <c r="AC273" s="509"/>
      <c r="AD273" s="509"/>
      <c r="AE273" s="509"/>
      <c r="AF273" s="509"/>
      <c r="AG273" s="509"/>
      <c r="AH273" s="509"/>
      <c r="AI273" s="509"/>
      <c r="AJ273" s="509"/>
      <c r="AK273" s="509"/>
      <c r="AL273" s="509"/>
      <c r="AM273" s="509"/>
      <c r="AN273" s="509"/>
    </row>
    <row r="274" spans="1:40" ht="15.75" customHeight="1">
      <c r="A274" s="494" t="s">
        <v>397</v>
      </c>
      <c r="B274" s="509" t="s">
        <v>99</v>
      </c>
      <c r="C274" s="596" t="s">
        <v>56</v>
      </c>
      <c r="D274" s="581"/>
      <c r="E274" s="509"/>
      <c r="F274" s="530">
        <v>125</v>
      </c>
      <c r="G274" s="582"/>
      <c r="H274" s="509"/>
      <c r="I274" s="530"/>
      <c r="J274" s="529"/>
      <c r="K274" s="509"/>
      <c r="L274" s="532">
        <v>1</v>
      </c>
      <c r="M274" s="529"/>
      <c r="N274" s="555">
        <v>-124</v>
      </c>
      <c r="O274" s="529"/>
      <c r="P274" s="509"/>
      <c r="Q274" s="555">
        <v>0</v>
      </c>
      <c r="R274" s="529"/>
      <c r="S274" s="555">
        <v>1</v>
      </c>
      <c r="T274" s="509"/>
      <c r="U274" s="509"/>
      <c r="V274" s="509"/>
      <c r="W274" s="509"/>
      <c r="X274" s="509"/>
      <c r="Y274" s="509"/>
      <c r="Z274" s="509"/>
      <c r="AA274" s="509"/>
      <c r="AB274" s="509"/>
      <c r="AC274" s="509"/>
      <c r="AD274" s="509"/>
      <c r="AE274" s="509"/>
      <c r="AF274" s="509"/>
      <c r="AG274" s="509"/>
      <c r="AH274" s="509"/>
      <c r="AI274" s="509"/>
      <c r="AJ274" s="509"/>
      <c r="AK274" s="509"/>
      <c r="AL274" s="509"/>
      <c r="AM274" s="509"/>
      <c r="AN274" s="509"/>
    </row>
    <row r="275" spans="1:40" ht="15.75" customHeight="1">
      <c r="A275" s="494" t="s">
        <v>398</v>
      </c>
      <c r="B275" s="509" t="s">
        <v>99</v>
      </c>
      <c r="C275" s="596" t="s">
        <v>57</v>
      </c>
      <c r="D275" s="581"/>
      <c r="E275" s="509"/>
      <c r="F275" s="530">
        <v>83.333333333333329</v>
      </c>
      <c r="G275" s="582"/>
      <c r="H275" s="509"/>
      <c r="I275" s="530"/>
      <c r="J275" s="529"/>
      <c r="K275" s="509"/>
      <c r="L275" s="532">
        <v>0</v>
      </c>
      <c r="M275" s="529"/>
      <c r="N275" s="555">
        <v>-83.333333333333329</v>
      </c>
      <c r="O275" s="529"/>
      <c r="P275" s="509"/>
      <c r="Q275" s="555">
        <v>0</v>
      </c>
      <c r="R275" s="529"/>
      <c r="S275" s="555">
        <v>0</v>
      </c>
      <c r="T275" s="509"/>
      <c r="U275" s="509"/>
      <c r="V275" s="509"/>
      <c r="W275" s="509"/>
      <c r="X275" s="509"/>
      <c r="Y275" s="509"/>
      <c r="Z275" s="509"/>
      <c r="AA275" s="509"/>
      <c r="AB275" s="509"/>
      <c r="AC275" s="509"/>
      <c r="AD275" s="509"/>
      <c r="AE275" s="509"/>
      <c r="AF275" s="509"/>
      <c r="AG275" s="509"/>
      <c r="AH275" s="509"/>
      <c r="AI275" s="509"/>
      <c r="AJ275" s="509"/>
      <c r="AK275" s="509"/>
      <c r="AL275" s="509"/>
      <c r="AM275" s="509"/>
      <c r="AN275" s="509"/>
    </row>
    <row r="276" spans="1:40" ht="15.75" customHeight="1">
      <c r="A276" s="494" t="s">
        <v>399</v>
      </c>
      <c r="B276" s="509" t="s">
        <v>99</v>
      </c>
      <c r="C276" s="596" t="s">
        <v>58</v>
      </c>
      <c r="D276" s="581"/>
      <c r="E276" s="509"/>
      <c r="F276" s="530">
        <v>157.558520743</v>
      </c>
      <c r="G276" s="582"/>
      <c r="H276" s="509"/>
      <c r="I276" s="530"/>
      <c r="J276" s="529"/>
      <c r="K276" s="509"/>
      <c r="L276" s="532">
        <v>84.87</v>
      </c>
      <c r="M276" s="529"/>
      <c r="N276" s="555">
        <v>-72.688520742999998</v>
      </c>
      <c r="O276" s="529"/>
      <c r="P276" s="509"/>
      <c r="Q276" s="555">
        <v>132.52000000000001</v>
      </c>
      <c r="R276" s="529"/>
      <c r="S276" s="555">
        <v>-47.650000000000006</v>
      </c>
      <c r="T276" s="509"/>
      <c r="U276" s="509"/>
      <c r="V276" s="509"/>
      <c r="W276" s="509"/>
      <c r="X276" s="509"/>
      <c r="Y276" s="509"/>
      <c r="Z276" s="509"/>
      <c r="AA276" s="509"/>
      <c r="AB276" s="509"/>
      <c r="AC276" s="509"/>
      <c r="AD276" s="509"/>
      <c r="AE276" s="509"/>
      <c r="AF276" s="509"/>
      <c r="AG276" s="509"/>
      <c r="AH276" s="509"/>
      <c r="AI276" s="509"/>
      <c r="AJ276" s="509"/>
      <c r="AK276" s="509"/>
      <c r="AL276" s="509"/>
      <c r="AM276" s="509"/>
      <c r="AN276" s="509"/>
    </row>
    <row r="277" spans="1:40" ht="15.75" customHeight="1">
      <c r="A277" s="494" t="s">
        <v>400</v>
      </c>
      <c r="B277" s="509" t="s">
        <v>99</v>
      </c>
      <c r="C277" s="596" t="s">
        <v>59</v>
      </c>
      <c r="D277" s="581"/>
      <c r="E277" s="509"/>
      <c r="F277" s="530">
        <v>36.780368605319445</v>
      </c>
      <c r="G277" s="582"/>
      <c r="H277" s="509"/>
      <c r="I277" s="530"/>
      <c r="J277" s="529"/>
      <c r="K277" s="509"/>
      <c r="L277" s="532">
        <v>25.41</v>
      </c>
      <c r="M277" s="529"/>
      <c r="N277" s="555">
        <v>-11.370368605319445</v>
      </c>
      <c r="O277" s="529"/>
      <c r="P277" s="509"/>
      <c r="Q277" s="555">
        <v>20.98</v>
      </c>
      <c r="R277" s="529"/>
      <c r="S277" s="555">
        <v>4.43</v>
      </c>
      <c r="T277" s="509"/>
      <c r="U277" s="509"/>
      <c r="V277" s="509"/>
      <c r="W277" s="509"/>
      <c r="X277" s="509"/>
      <c r="Y277" s="509"/>
      <c r="Z277" s="509"/>
      <c r="AA277" s="509"/>
      <c r="AB277" s="509"/>
      <c r="AC277" s="509"/>
      <c r="AD277" s="509"/>
      <c r="AE277" s="509"/>
      <c r="AF277" s="509"/>
      <c r="AG277" s="509"/>
      <c r="AH277" s="509"/>
      <c r="AI277" s="509"/>
      <c r="AJ277" s="509"/>
      <c r="AK277" s="509"/>
      <c r="AL277" s="509"/>
      <c r="AM277" s="509"/>
      <c r="AN277" s="509"/>
    </row>
    <row r="278" spans="1:40" ht="15.75" customHeight="1">
      <c r="A278" s="494" t="s">
        <v>401</v>
      </c>
      <c r="B278" s="509" t="s">
        <v>99</v>
      </c>
      <c r="C278" s="596" t="s">
        <v>60</v>
      </c>
      <c r="D278" s="581"/>
      <c r="E278" s="509"/>
      <c r="F278" s="530">
        <v>24.745731854680557</v>
      </c>
      <c r="G278" s="582"/>
      <c r="H278" s="509"/>
      <c r="I278" s="530"/>
      <c r="J278" s="529"/>
      <c r="K278" s="509"/>
      <c r="L278" s="532">
        <v>7.21</v>
      </c>
      <c r="M278" s="529"/>
      <c r="N278" s="555">
        <v>-17.535731854680556</v>
      </c>
      <c r="O278" s="529"/>
      <c r="P278" s="509"/>
      <c r="Q278" s="555">
        <v>17.91</v>
      </c>
      <c r="R278" s="529"/>
      <c r="S278" s="555">
        <v>-10.7</v>
      </c>
      <c r="T278" s="509"/>
      <c r="U278" s="509"/>
      <c r="V278" s="509"/>
      <c r="W278" s="509"/>
      <c r="X278" s="509"/>
      <c r="Y278" s="509"/>
      <c r="Z278" s="509"/>
      <c r="AA278" s="509"/>
      <c r="AB278" s="509"/>
      <c r="AC278" s="509"/>
      <c r="AD278" s="509"/>
      <c r="AE278" s="509"/>
      <c r="AF278" s="509"/>
      <c r="AG278" s="509"/>
      <c r="AH278" s="509"/>
      <c r="AI278" s="509"/>
      <c r="AJ278" s="509"/>
      <c r="AK278" s="509"/>
      <c r="AL278" s="509"/>
      <c r="AM278" s="509"/>
      <c r="AN278" s="509"/>
    </row>
    <row r="279" spans="1:40" ht="15.75" customHeight="1">
      <c r="A279" s="494" t="s">
        <v>402</v>
      </c>
      <c r="B279" s="509" t="s">
        <v>99</v>
      </c>
      <c r="C279" s="596" t="s">
        <v>61</v>
      </c>
      <c r="D279" s="581"/>
      <c r="E279" s="509"/>
      <c r="F279" s="530">
        <v>234.99946325143051</v>
      </c>
      <c r="G279" s="582"/>
      <c r="H279" s="509"/>
      <c r="I279" s="530"/>
      <c r="J279" s="529"/>
      <c r="K279" s="509"/>
      <c r="L279" s="532">
        <v>27.09</v>
      </c>
      <c r="M279" s="529"/>
      <c r="N279" s="555">
        <v>-207.90946325143051</v>
      </c>
      <c r="O279" s="529"/>
      <c r="P279" s="509"/>
      <c r="Q279" s="555">
        <v>24.36</v>
      </c>
      <c r="R279" s="529"/>
      <c r="S279" s="555">
        <v>2.7300000000000004</v>
      </c>
      <c r="T279" s="509"/>
      <c r="U279" s="509"/>
      <c r="V279" s="509"/>
      <c r="W279" s="509"/>
      <c r="X279" s="509"/>
      <c r="Y279" s="509"/>
      <c r="Z279" s="509"/>
      <c r="AA279" s="509"/>
      <c r="AB279" s="509"/>
      <c r="AC279" s="509"/>
      <c r="AD279" s="509"/>
      <c r="AE279" s="509"/>
      <c r="AF279" s="509"/>
      <c r="AG279" s="509"/>
      <c r="AH279" s="509"/>
      <c r="AI279" s="509"/>
      <c r="AJ279" s="509"/>
      <c r="AK279" s="509"/>
      <c r="AL279" s="509"/>
      <c r="AM279" s="509"/>
      <c r="AN279" s="509"/>
    </row>
    <row r="280" spans="1:40" ht="15.75" customHeight="1">
      <c r="A280" s="494" t="s">
        <v>403</v>
      </c>
      <c r="B280" s="509" t="s">
        <v>99</v>
      </c>
      <c r="C280" s="596" t="s">
        <v>62</v>
      </c>
      <c r="D280" s="581"/>
      <c r="E280" s="509"/>
      <c r="F280" s="530">
        <v>434.32515231465453</v>
      </c>
      <c r="G280" s="582"/>
      <c r="H280" s="509"/>
      <c r="I280" s="530"/>
      <c r="J280" s="529"/>
      <c r="K280" s="509"/>
      <c r="L280" s="532">
        <v>22.33</v>
      </c>
      <c r="M280" s="529"/>
      <c r="N280" s="555">
        <v>-411.99515231465455</v>
      </c>
      <c r="O280" s="529"/>
      <c r="P280" s="509"/>
      <c r="Q280" s="555">
        <v>272.94</v>
      </c>
      <c r="R280" s="529"/>
      <c r="S280" s="555">
        <v>-250.61</v>
      </c>
      <c r="T280" s="509"/>
      <c r="X280" s="509"/>
      <c r="Y280" s="509"/>
      <c r="Z280" s="509"/>
      <c r="AA280" s="509"/>
      <c r="AB280" s="509"/>
      <c r="AC280" s="509"/>
      <c r="AD280" s="509"/>
      <c r="AE280" s="509"/>
      <c r="AF280" s="509"/>
      <c r="AG280" s="509"/>
      <c r="AH280" s="509"/>
      <c r="AI280" s="509"/>
      <c r="AJ280" s="509"/>
      <c r="AK280" s="509"/>
      <c r="AL280" s="509"/>
      <c r="AM280" s="509"/>
      <c r="AN280" s="509"/>
    </row>
    <row r="281" spans="1:40" ht="15.75" customHeight="1">
      <c r="A281" s="494" t="s">
        <v>404</v>
      </c>
      <c r="B281" s="509" t="s">
        <v>99</v>
      </c>
      <c r="C281" s="596" t="s">
        <v>63</v>
      </c>
      <c r="D281" s="581"/>
      <c r="E281" s="509"/>
      <c r="F281" s="530">
        <v>205.2815388471198</v>
      </c>
      <c r="G281" s="582"/>
      <c r="H281" s="509"/>
      <c r="I281" s="530"/>
      <c r="J281" s="529"/>
      <c r="K281" s="509"/>
      <c r="L281" s="532">
        <v>186.54</v>
      </c>
      <c r="M281" s="529"/>
      <c r="N281" s="555">
        <v>-18.741538847119813</v>
      </c>
      <c r="O281" s="529"/>
      <c r="P281" s="509"/>
      <c r="Q281" s="555">
        <v>196.51</v>
      </c>
      <c r="R281" s="529"/>
      <c r="S281" s="555">
        <v>-9.9699999999999989</v>
      </c>
      <c r="T281" s="509"/>
      <c r="X281" s="509"/>
      <c r="Y281" s="509"/>
      <c r="Z281" s="509"/>
      <c r="AA281" s="509"/>
      <c r="AB281" s="509"/>
      <c r="AC281" s="509"/>
      <c r="AD281" s="509"/>
      <c r="AE281" s="509"/>
      <c r="AF281" s="509"/>
      <c r="AG281" s="509"/>
      <c r="AH281" s="509"/>
      <c r="AI281" s="509"/>
      <c r="AJ281" s="509"/>
      <c r="AK281" s="509"/>
      <c r="AL281" s="509"/>
      <c r="AM281" s="509"/>
      <c r="AN281" s="509"/>
    </row>
    <row r="282" spans="1:40" ht="15.75" hidden="1" customHeight="1">
      <c r="A282" s="494" t="s">
        <v>384</v>
      </c>
      <c r="B282" s="509" t="s">
        <v>99</v>
      </c>
      <c r="C282" s="596" t="s">
        <v>20</v>
      </c>
      <c r="D282" s="581"/>
      <c r="E282" s="509"/>
      <c r="F282" s="530">
        <v>0</v>
      </c>
      <c r="G282" s="582"/>
      <c r="H282" s="509"/>
      <c r="I282" s="530"/>
      <c r="J282" s="529"/>
      <c r="K282" s="509"/>
      <c r="L282" s="532">
        <v>0</v>
      </c>
      <c r="M282" s="529"/>
      <c r="N282" s="555">
        <v>0</v>
      </c>
      <c r="O282" s="529"/>
      <c r="P282" s="509"/>
      <c r="Q282" s="532">
        <v>0</v>
      </c>
      <c r="R282" s="529"/>
      <c r="S282" s="555">
        <v>0</v>
      </c>
      <c r="T282" s="509"/>
      <c r="X282" s="509"/>
      <c r="Y282" s="509"/>
      <c r="Z282" s="509"/>
      <c r="AA282" s="509"/>
      <c r="AB282" s="509"/>
      <c r="AC282" s="509"/>
      <c r="AD282" s="509"/>
      <c r="AE282" s="509"/>
      <c r="AF282" s="509"/>
      <c r="AG282" s="509"/>
      <c r="AH282" s="509"/>
      <c r="AI282" s="509"/>
      <c r="AJ282" s="509"/>
      <c r="AK282" s="509"/>
      <c r="AL282" s="509"/>
      <c r="AM282" s="509"/>
      <c r="AN282" s="509"/>
    </row>
    <row r="283" spans="1:40" ht="15.75" hidden="1" customHeight="1">
      <c r="A283" s="494" t="s">
        <v>384</v>
      </c>
      <c r="B283" s="509" t="s">
        <v>99</v>
      </c>
      <c r="C283" s="596" t="s">
        <v>20</v>
      </c>
      <c r="D283" s="581"/>
      <c r="E283" s="509"/>
      <c r="F283" s="530">
        <v>0</v>
      </c>
      <c r="G283" s="582"/>
      <c r="H283" s="509"/>
      <c r="I283" s="530"/>
      <c r="J283" s="529"/>
      <c r="K283" s="509"/>
      <c r="L283" s="532">
        <v>0</v>
      </c>
      <c r="M283" s="529"/>
      <c r="N283" s="555">
        <v>0</v>
      </c>
      <c r="O283" s="529"/>
      <c r="P283" s="509"/>
      <c r="Q283" s="532">
        <v>0</v>
      </c>
      <c r="R283" s="529"/>
      <c r="S283" s="555">
        <v>0</v>
      </c>
      <c r="T283" s="509"/>
      <c r="X283" s="509"/>
      <c r="Y283" s="509"/>
      <c r="Z283" s="509"/>
      <c r="AA283" s="509"/>
      <c r="AB283" s="509"/>
      <c r="AC283" s="509"/>
      <c r="AD283" s="509"/>
      <c r="AE283" s="509"/>
      <c r="AF283" s="509"/>
      <c r="AG283" s="509"/>
      <c r="AH283" s="509"/>
      <c r="AI283" s="509"/>
      <c r="AJ283" s="509"/>
      <c r="AK283" s="509"/>
      <c r="AL283" s="509"/>
      <c r="AM283" s="509"/>
      <c r="AN283" s="509"/>
    </row>
    <row r="284" spans="1:40" ht="15.75" hidden="1" customHeight="1">
      <c r="A284" s="494" t="s">
        <v>384</v>
      </c>
      <c r="B284" s="509" t="s">
        <v>99</v>
      </c>
      <c r="C284" s="596" t="s">
        <v>20</v>
      </c>
      <c r="D284" s="581"/>
      <c r="E284" s="509"/>
      <c r="F284" s="530">
        <v>0</v>
      </c>
      <c r="G284" s="582"/>
      <c r="H284" s="509"/>
      <c r="I284" s="530"/>
      <c r="J284" s="529"/>
      <c r="K284" s="509"/>
      <c r="L284" s="532">
        <v>0</v>
      </c>
      <c r="M284" s="529"/>
      <c r="N284" s="555">
        <v>0</v>
      </c>
      <c r="O284" s="529"/>
      <c r="P284" s="509"/>
      <c r="Q284" s="532">
        <v>0</v>
      </c>
      <c r="R284" s="529"/>
      <c r="S284" s="555">
        <v>0</v>
      </c>
      <c r="T284" s="509"/>
      <c r="X284" s="509"/>
      <c r="Y284" s="509"/>
      <c r="Z284" s="509"/>
      <c r="AA284" s="509"/>
      <c r="AB284" s="509"/>
      <c r="AC284" s="509"/>
      <c r="AD284" s="509"/>
      <c r="AE284" s="509"/>
      <c r="AF284" s="509"/>
      <c r="AG284" s="509"/>
      <c r="AH284" s="509"/>
      <c r="AI284" s="509"/>
      <c r="AJ284" s="509"/>
      <c r="AK284" s="509"/>
      <c r="AL284" s="509"/>
      <c r="AM284" s="509"/>
      <c r="AN284" s="509"/>
    </row>
    <row r="285" spans="1:40" ht="15.75" customHeight="1">
      <c r="B285" s="509"/>
      <c r="C285" s="588" t="s">
        <v>64</v>
      </c>
      <c r="D285" s="589" t="s">
        <v>39</v>
      </c>
      <c r="E285" s="590" t="e">
        <v>#DIV/0!</v>
      </c>
      <c r="F285" s="591">
        <v>4185.0475351586747</v>
      </c>
      <c r="G285" s="592"/>
      <c r="H285" s="590"/>
      <c r="I285" s="591"/>
      <c r="J285" s="592" t="s">
        <v>39</v>
      </c>
      <c r="K285" s="590">
        <v>7.8751070312033287</v>
      </c>
      <c r="L285" s="591">
        <v>3954.7999999999997</v>
      </c>
      <c r="M285" s="595"/>
      <c r="N285" s="591">
        <v>-230.24753515867528</v>
      </c>
      <c r="O285" s="592" t="s">
        <v>39</v>
      </c>
      <c r="P285" s="590">
        <v>0</v>
      </c>
      <c r="Q285" s="591">
        <v>6917.4999999999991</v>
      </c>
      <c r="R285" s="595"/>
      <c r="S285" s="591">
        <v>-2962.6999999999994</v>
      </c>
      <c r="T285" s="568"/>
      <c r="X285" s="509"/>
      <c r="Y285" s="509"/>
      <c r="Z285" s="509"/>
      <c r="AA285" s="509"/>
      <c r="AB285" s="509"/>
      <c r="AC285" s="509"/>
      <c r="AD285" s="509"/>
      <c r="AE285" s="509"/>
      <c r="AF285" s="509"/>
      <c r="AG285" s="509"/>
      <c r="AH285" s="509"/>
      <c r="AI285" s="509"/>
      <c r="AJ285" s="509"/>
      <c r="AK285" s="509"/>
      <c r="AL285" s="509"/>
      <c r="AM285" s="509"/>
      <c r="AN285" s="509"/>
    </row>
    <row r="286" spans="1:40" ht="15.75" customHeight="1">
      <c r="B286" s="509"/>
      <c r="C286" s="522"/>
      <c r="D286" s="583"/>
      <c r="E286" s="603"/>
      <c r="F286" s="555"/>
      <c r="G286" s="584"/>
      <c r="H286" s="603"/>
      <c r="I286" s="555"/>
      <c r="J286" s="522"/>
      <c r="K286" s="603"/>
      <c r="L286" s="579"/>
      <c r="M286" s="522"/>
      <c r="N286" s="579"/>
      <c r="O286" s="522"/>
      <c r="P286" s="603"/>
      <c r="Q286" s="579"/>
      <c r="R286" s="522"/>
      <c r="S286" s="579"/>
      <c r="T286" s="568"/>
      <c r="U286" s="509"/>
      <c r="V286" s="509"/>
      <c r="W286" s="509"/>
      <c r="X286" s="509"/>
      <c r="Y286" s="509"/>
      <c r="Z286" s="509"/>
      <c r="AA286" s="509"/>
      <c r="AB286" s="509"/>
      <c r="AC286" s="509"/>
      <c r="AD286" s="509"/>
      <c r="AE286" s="509"/>
      <c r="AF286" s="509"/>
      <c r="AG286" s="509"/>
      <c r="AH286" s="509"/>
      <c r="AI286" s="509"/>
      <c r="AJ286" s="509"/>
      <c r="AK286" s="509"/>
      <c r="AL286" s="509"/>
      <c r="AM286" s="509"/>
      <c r="AN286" s="509"/>
    </row>
    <row r="287" spans="1:40" ht="15.75" customHeight="1">
      <c r="B287" s="509"/>
      <c r="C287" s="588" t="s">
        <v>65</v>
      </c>
      <c r="D287" s="589" t="s">
        <v>39</v>
      </c>
      <c r="E287" s="590" t="e">
        <v>#DIV/0!</v>
      </c>
      <c r="F287" s="591">
        <v>11062.389937374057</v>
      </c>
      <c r="G287" s="592"/>
      <c r="H287" s="590"/>
      <c r="I287" s="591"/>
      <c r="J287" s="592" t="s">
        <v>39</v>
      </c>
      <c r="K287" s="590">
        <v>13.979350445050676</v>
      </c>
      <c r="L287" s="591">
        <v>7020.2899999999991</v>
      </c>
      <c r="M287" s="595"/>
      <c r="N287" s="605">
        <v>-4042.0999373740578</v>
      </c>
      <c r="O287" s="592" t="s">
        <v>39</v>
      </c>
      <c r="P287" s="590">
        <v>0</v>
      </c>
      <c r="Q287" s="591">
        <v>14953.609999999999</v>
      </c>
      <c r="R287" s="595"/>
      <c r="S287" s="605">
        <v>-7933.32</v>
      </c>
      <c r="T287" s="568"/>
      <c r="U287" s="509"/>
      <c r="V287" s="509"/>
      <c r="W287" s="509"/>
      <c r="X287" s="509"/>
      <c r="Y287" s="509"/>
      <c r="Z287" s="509"/>
      <c r="AA287" s="509"/>
      <c r="AB287" s="509"/>
      <c r="AC287" s="509"/>
      <c r="AD287" s="509"/>
      <c r="AE287" s="509"/>
      <c r="AF287" s="509"/>
      <c r="AG287" s="509"/>
      <c r="AH287" s="509"/>
      <c r="AI287" s="509"/>
      <c r="AJ287" s="509"/>
      <c r="AK287" s="509"/>
      <c r="AL287" s="509"/>
      <c r="AM287" s="509"/>
      <c r="AN287" s="509"/>
    </row>
    <row r="288" spans="1:40" ht="15.75" customHeight="1">
      <c r="B288" s="509"/>
      <c r="C288" s="529"/>
      <c r="D288" s="581"/>
      <c r="E288" s="509"/>
      <c r="F288" s="555"/>
      <c r="G288" s="582"/>
      <c r="H288" s="509"/>
      <c r="I288" s="555"/>
      <c r="J288" s="529"/>
      <c r="K288" s="509"/>
      <c r="L288" s="555"/>
      <c r="M288" s="529"/>
      <c r="N288" s="555">
        <v>0</v>
      </c>
      <c r="O288" s="529"/>
      <c r="P288" s="509"/>
      <c r="Q288" s="555"/>
      <c r="R288" s="529"/>
      <c r="S288" s="555"/>
      <c r="T288" s="509"/>
      <c r="U288" s="509"/>
      <c r="V288" s="509"/>
      <c r="W288" s="509"/>
      <c r="X288" s="509"/>
      <c r="Y288" s="509"/>
      <c r="Z288" s="509"/>
      <c r="AA288" s="509"/>
      <c r="AB288" s="509"/>
      <c r="AC288" s="509"/>
      <c r="AD288" s="509"/>
      <c r="AE288" s="509"/>
      <c r="AF288" s="509"/>
      <c r="AG288" s="509"/>
      <c r="AH288" s="509"/>
      <c r="AI288" s="509"/>
      <c r="AJ288" s="509"/>
      <c r="AK288" s="509"/>
      <c r="AL288" s="509"/>
      <c r="AM288" s="509"/>
      <c r="AN288" s="509"/>
    </row>
    <row r="289" spans="1:40" ht="29.25" customHeight="1" thickBot="1">
      <c r="B289" s="509"/>
      <c r="C289" s="621" t="s">
        <v>72</v>
      </c>
      <c r="D289" s="651"/>
      <c r="E289" s="622"/>
      <c r="F289" s="624">
        <v>5352.7427170661031</v>
      </c>
      <c r="G289" s="652"/>
      <c r="H289" s="622"/>
      <c r="I289" s="624"/>
      <c r="J289" s="621"/>
      <c r="K289" s="623"/>
      <c r="L289" s="624">
        <v>-6518.0999999999995</v>
      </c>
      <c r="M289" s="621"/>
      <c r="N289" s="624">
        <v>-11870.842717066102</v>
      </c>
      <c r="O289" s="621"/>
      <c r="P289" s="626">
        <v>-3.7118888197897687E-2</v>
      </c>
      <c r="Q289" s="624">
        <v>-2286.6099999999988</v>
      </c>
      <c r="R289" s="621"/>
      <c r="S289" s="624">
        <v>-4231.4900000000007</v>
      </c>
      <c r="T289" s="568"/>
      <c r="U289" s="509"/>
      <c r="V289" s="509"/>
      <c r="W289" s="509"/>
      <c r="X289" s="509"/>
      <c r="Y289" s="509"/>
      <c r="Z289" s="509"/>
      <c r="AA289" s="509"/>
      <c r="AB289" s="509"/>
      <c r="AC289" s="509"/>
      <c r="AD289" s="509"/>
      <c r="AE289" s="509"/>
      <c r="AF289" s="509"/>
      <c r="AG289" s="509"/>
      <c r="AH289" s="509"/>
      <c r="AI289" s="509"/>
      <c r="AJ289" s="509"/>
      <c r="AK289" s="509"/>
      <c r="AL289" s="509"/>
      <c r="AM289" s="509"/>
      <c r="AN289" s="509"/>
    </row>
    <row r="290" spans="1:40" ht="15.75" customHeight="1" thickTop="1"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70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  <c r="AA290" s="509"/>
      <c r="AB290" s="509"/>
      <c r="AC290" s="509"/>
      <c r="AD290" s="509"/>
      <c r="AE290" s="509"/>
      <c r="AF290" s="509"/>
      <c r="AG290" s="509"/>
      <c r="AH290" s="509"/>
      <c r="AI290" s="509"/>
      <c r="AJ290" s="509"/>
      <c r="AK290" s="509"/>
      <c r="AL290" s="509"/>
      <c r="AM290" s="509"/>
      <c r="AN290" s="509"/>
    </row>
    <row r="291" spans="1:40" ht="36" customHeight="1">
      <c r="B291" s="509"/>
      <c r="C291" s="631" t="s">
        <v>477</v>
      </c>
      <c r="D291" s="497"/>
      <c r="E291" s="497"/>
      <c r="F291" s="497"/>
      <c r="G291" s="497"/>
      <c r="H291" s="495"/>
      <c r="I291" s="495"/>
      <c r="J291" s="495"/>
      <c r="K291" s="499" t="s">
        <v>103</v>
      </c>
      <c r="L291" s="497"/>
      <c r="M291" s="497"/>
      <c r="N291" s="495"/>
      <c r="O291" s="495"/>
      <c r="P291" s="497"/>
      <c r="Q291" s="495"/>
      <c r="R291" s="497"/>
      <c r="S291" s="632" t="s">
        <v>485</v>
      </c>
      <c r="T291" s="509"/>
      <c r="U291" s="509"/>
      <c r="V291" s="509"/>
      <c r="W291" s="509"/>
      <c r="X291" s="509"/>
      <c r="Y291" s="509"/>
      <c r="Z291" s="509"/>
      <c r="AA291" s="509"/>
      <c r="AB291" s="509"/>
      <c r="AC291" s="509"/>
      <c r="AD291" s="509"/>
      <c r="AE291" s="509"/>
      <c r="AF291" s="509"/>
      <c r="AG291" s="509"/>
      <c r="AH291" s="509"/>
      <c r="AI291" s="509"/>
      <c r="AJ291" s="509"/>
      <c r="AK291" s="509"/>
      <c r="AL291" s="509"/>
      <c r="AM291" s="509"/>
      <c r="AN291" s="509"/>
    </row>
    <row r="292" spans="1:40" ht="15.75" customHeight="1" thickBot="1">
      <c r="B292" s="509"/>
      <c r="C292" s="504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506"/>
      <c r="Q292" s="506"/>
      <c r="R292" s="506"/>
      <c r="S292" s="506"/>
      <c r="T292" s="509"/>
      <c r="U292" s="509"/>
      <c r="V292" s="509"/>
      <c r="W292" s="509"/>
      <c r="X292" s="509"/>
      <c r="Y292" s="509"/>
      <c r="Z292" s="509"/>
      <c r="AA292" s="509"/>
      <c r="AB292" s="509"/>
      <c r="AC292" s="509"/>
      <c r="AD292" s="509"/>
      <c r="AE292" s="509"/>
      <c r="AF292" s="509"/>
      <c r="AG292" s="509"/>
      <c r="AH292" s="509"/>
      <c r="AI292" s="509"/>
      <c r="AJ292" s="509"/>
      <c r="AK292" s="509"/>
      <c r="AL292" s="509"/>
      <c r="AM292" s="509"/>
      <c r="AN292" s="509"/>
    </row>
    <row r="293" spans="1:40" ht="15.75" customHeight="1" thickTop="1">
      <c r="B293" s="509"/>
      <c r="C293" s="510"/>
      <c r="D293" s="511" t="s">
        <v>5</v>
      </c>
      <c r="E293" s="512"/>
      <c r="F293" s="513"/>
      <c r="G293" s="514"/>
      <c r="H293" s="512"/>
      <c r="I293" s="513"/>
      <c r="J293" s="514" t="s">
        <v>7</v>
      </c>
      <c r="K293" s="512"/>
      <c r="L293" s="513"/>
      <c r="M293" s="514" t="s">
        <v>221</v>
      </c>
      <c r="N293" s="513"/>
      <c r="O293" s="511" t="s">
        <v>8</v>
      </c>
      <c r="P293" s="512"/>
      <c r="Q293" s="513"/>
      <c r="R293" s="514" t="s">
        <v>222</v>
      </c>
      <c r="S293" s="513"/>
      <c r="T293" s="509"/>
      <c r="U293" s="509"/>
      <c r="V293" s="509"/>
      <c r="W293" s="509"/>
      <c r="X293" s="509"/>
      <c r="Y293" s="509"/>
      <c r="Z293" s="509"/>
      <c r="AA293" s="509"/>
      <c r="AB293" s="509"/>
      <c r="AC293" s="509"/>
      <c r="AD293" s="509"/>
      <c r="AE293" s="509"/>
      <c r="AF293" s="509"/>
      <c r="AG293" s="509"/>
      <c r="AH293" s="509"/>
      <c r="AI293" s="509"/>
      <c r="AJ293" s="509"/>
      <c r="AK293" s="509"/>
      <c r="AL293" s="509"/>
      <c r="AM293" s="509"/>
      <c r="AN293" s="509"/>
    </row>
    <row r="294" spans="1:40" ht="15.75" customHeight="1">
      <c r="A294" s="494" t="s">
        <v>103</v>
      </c>
      <c r="B294" s="509" t="s">
        <v>103</v>
      </c>
      <c r="C294" s="529"/>
      <c r="D294" s="572" t="s">
        <v>84</v>
      </c>
      <c r="E294" s="572" t="s">
        <v>104</v>
      </c>
      <c r="F294" s="654" t="s">
        <v>12</v>
      </c>
      <c r="G294" s="655"/>
      <c r="H294" s="572"/>
      <c r="I294" s="654"/>
      <c r="J294" s="655" t="s">
        <v>84</v>
      </c>
      <c r="K294" s="572" t="s">
        <v>104</v>
      </c>
      <c r="L294" s="654" t="s">
        <v>12</v>
      </c>
      <c r="M294" s="655" t="s">
        <v>40</v>
      </c>
      <c r="N294" s="654" t="s">
        <v>336</v>
      </c>
      <c r="O294" s="572" t="s">
        <v>84</v>
      </c>
      <c r="P294" s="572" t="s">
        <v>104</v>
      </c>
      <c r="Q294" s="654" t="s">
        <v>12</v>
      </c>
      <c r="R294" s="655" t="s">
        <v>85</v>
      </c>
      <c r="S294" s="654" t="s">
        <v>12</v>
      </c>
      <c r="T294" s="509"/>
      <c r="U294" s="509"/>
      <c r="V294" s="509"/>
      <c r="W294" s="509"/>
      <c r="X294" s="509"/>
      <c r="Y294" s="509"/>
      <c r="Z294" s="509"/>
      <c r="AA294" s="509"/>
      <c r="AB294" s="509"/>
      <c r="AC294" s="509"/>
      <c r="AD294" s="509"/>
      <c r="AE294" s="509"/>
      <c r="AF294" s="509"/>
      <c r="AG294" s="509"/>
      <c r="AH294" s="509"/>
      <c r="AI294" s="509"/>
      <c r="AJ294" s="509"/>
      <c r="AK294" s="509"/>
      <c r="AL294" s="509"/>
      <c r="AM294" s="509"/>
      <c r="AN294" s="509"/>
    </row>
    <row r="295" spans="1:40" ht="15.75" customHeight="1">
      <c r="A295" s="494" t="s">
        <v>405</v>
      </c>
      <c r="B295" s="509" t="s">
        <v>103</v>
      </c>
      <c r="C295" s="529" t="s">
        <v>105</v>
      </c>
      <c r="D295" s="570">
        <v>101173.85646693091</v>
      </c>
      <c r="E295" s="644">
        <v>0.34200000000000003</v>
      </c>
      <c r="F295" s="555">
        <v>34601.458911690373</v>
      </c>
      <c r="G295" s="570"/>
      <c r="H295" s="644"/>
      <c r="I295" s="555"/>
      <c r="J295" s="530">
        <v>82983.19</v>
      </c>
      <c r="K295" s="644">
        <v>0.3606755777887064</v>
      </c>
      <c r="L295" s="555">
        <v>29930.010000000002</v>
      </c>
      <c r="M295" s="574">
        <v>-0.17979611633047321</v>
      </c>
      <c r="N295" s="555">
        <v>-4671.4489116903715</v>
      </c>
      <c r="O295" s="530">
        <v>105150.77</v>
      </c>
      <c r="P295" s="644">
        <v>0.35954544127446714</v>
      </c>
      <c r="Q295" s="555">
        <v>37806.480000000003</v>
      </c>
      <c r="R295" s="574">
        <v>-0.21081709625141121</v>
      </c>
      <c r="S295" s="555">
        <v>-7876.4700000000012</v>
      </c>
      <c r="T295" s="509"/>
      <c r="U295" s="509"/>
      <c r="V295" s="509"/>
      <c r="W295" s="509"/>
      <c r="X295" s="509"/>
      <c r="Y295" s="509"/>
      <c r="Z295" s="509"/>
      <c r="AA295" s="509"/>
      <c r="AB295" s="509"/>
      <c r="AC295" s="509"/>
      <c r="AD295" s="509"/>
      <c r="AE295" s="509"/>
      <c r="AF295" s="509"/>
      <c r="AG295" s="509"/>
      <c r="AH295" s="509"/>
      <c r="AI295" s="509"/>
      <c r="AJ295" s="509"/>
      <c r="AK295" s="509"/>
      <c r="AL295" s="509"/>
      <c r="AM295" s="509"/>
      <c r="AN295" s="509"/>
    </row>
    <row r="296" spans="1:40" ht="15.75" customHeight="1">
      <c r="A296" s="494" t="s">
        <v>406</v>
      </c>
      <c r="B296" s="509" t="s">
        <v>103</v>
      </c>
      <c r="C296" s="529" t="s">
        <v>106</v>
      </c>
      <c r="D296" s="570">
        <v>66130.940674823782</v>
      </c>
      <c r="E296" s="644">
        <v>0.248</v>
      </c>
      <c r="F296" s="555">
        <v>16400.473287356297</v>
      </c>
      <c r="G296" s="570"/>
      <c r="H296" s="644"/>
      <c r="I296" s="555"/>
      <c r="J296" s="530">
        <v>0</v>
      </c>
      <c r="K296" s="644">
        <v>0</v>
      </c>
      <c r="L296" s="555">
        <v>0</v>
      </c>
      <c r="M296" s="574">
        <v>-1</v>
      </c>
      <c r="N296" s="555">
        <v>-16400.473287356297</v>
      </c>
      <c r="O296" s="530">
        <v>37089.9399999999</v>
      </c>
      <c r="P296" s="644">
        <v>0.27931913613232934</v>
      </c>
      <c r="Q296" s="555">
        <v>10359.9299999999</v>
      </c>
      <c r="R296" s="574">
        <v>-1</v>
      </c>
      <c r="S296" s="555">
        <v>-10359.9299999999</v>
      </c>
      <c r="T296" s="509"/>
      <c r="U296" s="509"/>
      <c r="V296" s="509"/>
      <c r="W296" s="509"/>
      <c r="X296" s="509"/>
      <c r="Y296" s="509"/>
      <c r="Z296" s="509"/>
      <c r="AA296" s="509"/>
      <c r="AB296" s="509"/>
      <c r="AC296" s="509"/>
      <c r="AD296" s="509"/>
      <c r="AE296" s="509"/>
      <c r="AF296" s="509"/>
      <c r="AG296" s="509"/>
      <c r="AH296" s="509"/>
      <c r="AI296" s="509"/>
      <c r="AJ296" s="509"/>
      <c r="AK296" s="509"/>
      <c r="AL296" s="509"/>
      <c r="AM296" s="509"/>
      <c r="AN296" s="509"/>
    </row>
    <row r="297" spans="1:40" ht="15.75" customHeight="1">
      <c r="A297" s="494" t="s">
        <v>407</v>
      </c>
      <c r="B297" s="509" t="s">
        <v>103</v>
      </c>
      <c r="C297" s="529" t="s">
        <v>107</v>
      </c>
      <c r="D297" s="570">
        <v>37577.107375087311</v>
      </c>
      <c r="E297" s="644">
        <v>0.24300000000000002</v>
      </c>
      <c r="F297" s="555">
        <v>9131.237092146217</v>
      </c>
      <c r="G297" s="570"/>
      <c r="H297" s="644"/>
      <c r="I297" s="555"/>
      <c r="J297" s="530">
        <v>45095.6</v>
      </c>
      <c r="K297" s="644">
        <v>0.23370594913916215</v>
      </c>
      <c r="L297" s="555">
        <v>10539.11</v>
      </c>
      <c r="M297" s="574">
        <v>0.20008172927906795</v>
      </c>
      <c r="N297" s="555">
        <v>1407.8729078537835</v>
      </c>
      <c r="O297" s="530">
        <v>21374.01</v>
      </c>
      <c r="P297" s="644">
        <v>0.24063102805697154</v>
      </c>
      <c r="Q297" s="555">
        <v>5143.24999999999</v>
      </c>
      <c r="R297" s="574">
        <v>1.1098333911137874</v>
      </c>
      <c r="S297" s="555">
        <v>5395.8600000000106</v>
      </c>
      <c r="T297" s="509"/>
      <c r="U297" s="509"/>
      <c r="V297" s="509"/>
      <c r="W297" s="509"/>
      <c r="X297" s="509"/>
      <c r="Y297" s="509"/>
      <c r="Z297" s="509"/>
      <c r="AA297" s="509"/>
      <c r="AB297" s="509"/>
      <c r="AC297" s="509"/>
      <c r="AD297" s="509"/>
      <c r="AE297" s="509"/>
      <c r="AF297" s="509"/>
      <c r="AG297" s="509"/>
      <c r="AH297" s="509"/>
      <c r="AI297" s="509"/>
      <c r="AJ297" s="509"/>
      <c r="AK297" s="509"/>
      <c r="AL297" s="509"/>
      <c r="AM297" s="509"/>
      <c r="AN297" s="509"/>
    </row>
    <row r="298" spans="1:40" ht="15.75" customHeight="1">
      <c r="A298" s="494" t="s">
        <v>408</v>
      </c>
      <c r="B298" s="509" t="s">
        <v>103</v>
      </c>
      <c r="C298" s="529" t="s">
        <v>108</v>
      </c>
      <c r="D298" s="570">
        <v>60882.99990752634</v>
      </c>
      <c r="E298" s="644">
        <v>0.316</v>
      </c>
      <c r="F298" s="555">
        <v>19239.027970778323</v>
      </c>
      <c r="G298" s="570"/>
      <c r="H298" s="644"/>
      <c r="I298" s="555"/>
      <c r="J298" s="530">
        <v>25255.49</v>
      </c>
      <c r="K298" s="644">
        <v>0.32648624120933717</v>
      </c>
      <c r="L298" s="555">
        <v>8245.5700000000033</v>
      </c>
      <c r="M298" s="574">
        <v>-0.58517993465565221</v>
      </c>
      <c r="N298" s="555">
        <v>-10993.45797077832</v>
      </c>
      <c r="O298" s="530">
        <v>33715.69</v>
      </c>
      <c r="P298" s="644">
        <v>0.30651308040855751</v>
      </c>
      <c r="Q298" s="555">
        <v>10334.299999999999</v>
      </c>
      <c r="R298" s="574">
        <v>-0.25092768381723762</v>
      </c>
      <c r="S298" s="555">
        <v>-2088.7299999999959</v>
      </c>
      <c r="T298" s="509"/>
      <c r="U298" s="509"/>
      <c r="V298" s="509"/>
      <c r="W298" s="509"/>
      <c r="X298" s="509"/>
      <c r="Y298" s="509"/>
      <c r="Z298" s="509"/>
      <c r="AA298" s="509"/>
      <c r="AB298" s="509"/>
      <c r="AC298" s="509"/>
      <c r="AD298" s="509"/>
      <c r="AE298" s="509"/>
      <c r="AF298" s="509"/>
      <c r="AG298" s="509"/>
      <c r="AH298" s="509"/>
      <c r="AI298" s="509"/>
      <c r="AJ298" s="509"/>
      <c r="AK298" s="509"/>
      <c r="AL298" s="509"/>
      <c r="AM298" s="509"/>
      <c r="AN298" s="509"/>
    </row>
    <row r="299" spans="1:40" ht="15.75" customHeight="1">
      <c r="A299" s="494" t="s">
        <v>409</v>
      </c>
      <c r="B299" s="509" t="s">
        <v>103</v>
      </c>
      <c r="C299" s="529" t="s">
        <v>109</v>
      </c>
      <c r="D299" s="570">
        <v>23007.239999999998</v>
      </c>
      <c r="E299" s="644">
        <v>0.26500000000000001</v>
      </c>
      <c r="F299" s="555">
        <v>6096.9186</v>
      </c>
      <c r="G299" s="570"/>
      <c r="H299" s="644"/>
      <c r="I299" s="555"/>
      <c r="J299" s="530">
        <v>18047.939999999999</v>
      </c>
      <c r="K299" s="644">
        <v>0.31801801202796542</v>
      </c>
      <c r="L299" s="555">
        <v>5739.5699999999979</v>
      </c>
      <c r="M299" s="574">
        <v>-0.21555388651572285</v>
      </c>
      <c r="N299" s="555">
        <v>-357.34860000000208</v>
      </c>
      <c r="O299" s="530">
        <v>14407.53</v>
      </c>
      <c r="P299" s="644">
        <v>0.28317553390484002</v>
      </c>
      <c r="Q299" s="555">
        <v>4079.86</v>
      </c>
      <c r="R299" s="574">
        <v>0.25267412249011439</v>
      </c>
      <c r="S299" s="555">
        <v>1659.7099999999978</v>
      </c>
      <c r="T299" s="509"/>
      <c r="U299" s="509"/>
      <c r="V299" s="509"/>
      <c r="W299" s="509"/>
      <c r="X299" s="509"/>
      <c r="Y299" s="509"/>
      <c r="Z299" s="509"/>
      <c r="AA299" s="509"/>
      <c r="AB299" s="509"/>
      <c r="AC299" s="509"/>
      <c r="AD299" s="509"/>
      <c r="AE299" s="509"/>
      <c r="AF299" s="509"/>
      <c r="AG299" s="509"/>
      <c r="AH299" s="509"/>
      <c r="AI299" s="509"/>
      <c r="AJ299" s="509"/>
      <c r="AK299" s="509"/>
      <c r="AL299" s="509"/>
      <c r="AM299" s="509"/>
      <c r="AN299" s="509"/>
    </row>
    <row r="300" spans="1:40" ht="15.75" customHeight="1">
      <c r="A300" s="494" t="s">
        <v>410</v>
      </c>
      <c r="B300" s="509" t="s">
        <v>103</v>
      </c>
      <c r="C300" s="529" t="s">
        <v>110</v>
      </c>
      <c r="D300" s="570">
        <v>134183.48159425892</v>
      </c>
      <c r="E300" s="644">
        <v>0.14499999999999999</v>
      </c>
      <c r="F300" s="555">
        <v>19456.60483116754</v>
      </c>
      <c r="G300" s="570"/>
      <c r="H300" s="644"/>
      <c r="I300" s="555"/>
      <c r="J300" s="530">
        <v>132980.6</v>
      </c>
      <c r="K300" s="644">
        <v>0.13376725627647945</v>
      </c>
      <c r="L300" s="555">
        <v>17788.450000000004</v>
      </c>
      <c r="M300" s="574">
        <v>-8.9644535971734624E-3</v>
      </c>
      <c r="N300" s="555">
        <v>-1668.154831167536</v>
      </c>
      <c r="O300" s="530">
        <v>105345.60000000001</v>
      </c>
      <c r="P300" s="644">
        <v>0.18486533846691269</v>
      </c>
      <c r="Q300" s="555">
        <v>19474.75</v>
      </c>
      <c r="R300" s="574">
        <v>0.26232704545799729</v>
      </c>
      <c r="S300" s="555">
        <v>-1686.2999999999956</v>
      </c>
      <c r="T300" s="509"/>
      <c r="U300" s="509"/>
      <c r="V300" s="509"/>
      <c r="W300" s="509"/>
      <c r="X300" s="509"/>
      <c r="Y300" s="509"/>
      <c r="Z300" s="509"/>
      <c r="AA300" s="509"/>
      <c r="AB300" s="509"/>
      <c r="AC300" s="509"/>
      <c r="AD300" s="509"/>
      <c r="AE300" s="509"/>
      <c r="AF300" s="509"/>
      <c r="AG300" s="509"/>
      <c r="AH300" s="509"/>
      <c r="AI300" s="509"/>
      <c r="AJ300" s="509"/>
      <c r="AK300" s="509"/>
      <c r="AL300" s="509"/>
      <c r="AM300" s="509"/>
      <c r="AN300" s="509"/>
    </row>
    <row r="301" spans="1:40" ht="15.75" hidden="1" customHeight="1">
      <c r="A301" s="494" t="s">
        <v>411</v>
      </c>
      <c r="B301" s="509" t="s">
        <v>103</v>
      </c>
      <c r="C301" s="529" t="s">
        <v>20</v>
      </c>
      <c r="D301" s="570">
        <v>0</v>
      </c>
      <c r="E301" s="644">
        <v>0</v>
      </c>
      <c r="F301" s="555">
        <v>0</v>
      </c>
      <c r="G301" s="570"/>
      <c r="H301" s="644"/>
      <c r="I301" s="555"/>
      <c r="J301" s="530">
        <v>0</v>
      </c>
      <c r="K301" s="644">
        <v>0</v>
      </c>
      <c r="L301" s="555">
        <v>0</v>
      </c>
      <c r="M301" s="574" t="e">
        <v>#DIV/0!</v>
      </c>
      <c r="N301" s="555">
        <v>0</v>
      </c>
      <c r="O301" s="530">
        <v>0</v>
      </c>
      <c r="P301" s="644">
        <v>0</v>
      </c>
      <c r="Q301" s="555">
        <v>0</v>
      </c>
      <c r="R301" s="574">
        <v>0</v>
      </c>
      <c r="S301" s="555">
        <v>0</v>
      </c>
      <c r="T301" s="509"/>
      <c r="U301" s="509"/>
      <c r="V301" s="509"/>
      <c r="W301" s="509"/>
      <c r="X301" s="509"/>
      <c r="Y301" s="509"/>
      <c r="Z301" s="509"/>
      <c r="AA301" s="509"/>
      <c r="AB301" s="509"/>
      <c r="AC301" s="509"/>
      <c r="AD301" s="509"/>
      <c r="AE301" s="509"/>
      <c r="AF301" s="509"/>
      <c r="AG301" s="509"/>
      <c r="AH301" s="509"/>
      <c r="AI301" s="509"/>
      <c r="AJ301" s="509"/>
      <c r="AK301" s="509"/>
      <c r="AL301" s="509"/>
      <c r="AM301" s="509"/>
      <c r="AN301" s="509"/>
    </row>
    <row r="302" spans="1:40" ht="15.75" customHeight="1">
      <c r="A302" s="494" t="s">
        <v>412</v>
      </c>
      <c r="B302" s="509" t="s">
        <v>103</v>
      </c>
      <c r="C302" s="529" t="s">
        <v>111</v>
      </c>
      <c r="D302" s="570">
        <v>0</v>
      </c>
      <c r="E302" s="644">
        <v>0</v>
      </c>
      <c r="F302" s="555">
        <v>7739.0478702586215</v>
      </c>
      <c r="G302" s="570"/>
      <c r="H302" s="644"/>
      <c r="I302" s="555"/>
      <c r="J302" s="530">
        <v>0</v>
      </c>
      <c r="K302" s="644">
        <v>0</v>
      </c>
      <c r="L302" s="555">
        <v>5300.27</v>
      </c>
      <c r="M302" s="574"/>
      <c r="N302" s="555">
        <v>-2438.7778702586211</v>
      </c>
      <c r="O302" s="530">
        <v>0</v>
      </c>
      <c r="P302" s="644">
        <v>0</v>
      </c>
      <c r="Q302" s="555">
        <v>7973.19</v>
      </c>
      <c r="R302" s="574">
        <v>0</v>
      </c>
      <c r="S302" s="555">
        <v>-2672.9199999999992</v>
      </c>
      <c r="T302" s="509"/>
      <c r="U302" s="509"/>
      <c r="V302" s="509"/>
      <c r="W302" s="509"/>
      <c r="X302" s="509"/>
      <c r="Y302" s="509"/>
      <c r="Z302" s="509"/>
      <c r="AA302" s="509"/>
      <c r="AB302" s="509"/>
      <c r="AC302" s="509"/>
      <c r="AD302" s="509"/>
      <c r="AE302" s="509"/>
      <c r="AF302" s="509"/>
      <c r="AG302" s="509"/>
      <c r="AH302" s="509"/>
      <c r="AI302" s="509"/>
      <c r="AJ302" s="509"/>
      <c r="AK302" s="509"/>
      <c r="AL302" s="509"/>
      <c r="AM302" s="509"/>
      <c r="AN302" s="509"/>
    </row>
    <row r="303" spans="1:40" ht="15.75" customHeight="1">
      <c r="A303" s="494" t="s">
        <v>413</v>
      </c>
      <c r="B303" s="509" t="s">
        <v>103</v>
      </c>
      <c r="C303" s="522" t="s">
        <v>112</v>
      </c>
      <c r="D303" s="570">
        <v>0</v>
      </c>
      <c r="E303" s="644">
        <v>0</v>
      </c>
      <c r="F303" s="555">
        <v>0</v>
      </c>
      <c r="G303" s="570"/>
      <c r="H303" s="644"/>
      <c r="I303" s="555"/>
      <c r="J303" s="530">
        <v>0</v>
      </c>
      <c r="K303" s="644">
        <v>0</v>
      </c>
      <c r="L303" s="555">
        <v>0</v>
      </c>
      <c r="M303" s="574"/>
      <c r="N303" s="555">
        <v>0</v>
      </c>
      <c r="O303" s="530">
        <v>0</v>
      </c>
      <c r="P303" s="644">
        <v>0</v>
      </c>
      <c r="Q303" s="555">
        <v>0</v>
      </c>
      <c r="R303" s="574">
        <v>0</v>
      </c>
      <c r="S303" s="555">
        <v>0</v>
      </c>
      <c r="T303" s="509"/>
      <c r="U303" s="509"/>
      <c r="V303" s="509"/>
      <c r="W303" s="509"/>
      <c r="X303" s="509"/>
      <c r="Y303" s="509"/>
      <c r="Z303" s="509"/>
      <c r="AA303" s="509"/>
      <c r="AB303" s="509"/>
      <c r="AC303" s="509"/>
      <c r="AD303" s="509"/>
      <c r="AE303" s="509"/>
      <c r="AF303" s="509"/>
      <c r="AG303" s="509"/>
      <c r="AH303" s="509"/>
      <c r="AI303" s="509"/>
      <c r="AJ303" s="509"/>
      <c r="AK303" s="509"/>
      <c r="AL303" s="509"/>
      <c r="AM303" s="509"/>
      <c r="AN303" s="509"/>
    </row>
    <row r="304" spans="1:40" ht="15.75" customHeight="1">
      <c r="A304" s="494" t="s">
        <v>414</v>
      </c>
      <c r="B304" s="509" t="s">
        <v>103</v>
      </c>
      <c r="C304" s="548" t="s">
        <v>113</v>
      </c>
      <c r="D304" s="684">
        <v>422955.62601862726</v>
      </c>
      <c r="E304" s="704">
        <v>0.26637491413445707</v>
      </c>
      <c r="F304" s="686">
        <v>112664.76856339737</v>
      </c>
      <c r="G304" s="684"/>
      <c r="H304" s="704"/>
      <c r="I304" s="686"/>
      <c r="J304" s="684">
        <v>304362.82</v>
      </c>
      <c r="K304" s="704">
        <v>0.25477152564166677</v>
      </c>
      <c r="L304" s="686">
        <v>77542.98000000001</v>
      </c>
      <c r="M304" s="705">
        <v>-0.28039065737218577</v>
      </c>
      <c r="N304" s="686">
        <v>-35121.788563397364</v>
      </c>
      <c r="O304" s="684">
        <v>317083.53999999992</v>
      </c>
      <c r="P304" s="704">
        <v>0.30014727349139575</v>
      </c>
      <c r="Q304" s="686">
        <v>95171.759999999893</v>
      </c>
      <c r="R304" s="705">
        <v>-4.0117881867976865E-2</v>
      </c>
      <c r="S304" s="686">
        <v>-17628.779999999882</v>
      </c>
      <c r="T304" s="509"/>
      <c r="U304" s="509"/>
      <c r="V304" s="509"/>
      <c r="W304" s="509"/>
      <c r="X304" s="509"/>
      <c r="Y304" s="509"/>
      <c r="Z304" s="509"/>
      <c r="AA304" s="509"/>
      <c r="AB304" s="509"/>
      <c r="AC304" s="509"/>
      <c r="AD304" s="509"/>
      <c r="AE304" s="509"/>
      <c r="AF304" s="509"/>
      <c r="AG304" s="509"/>
      <c r="AH304" s="509"/>
      <c r="AI304" s="509"/>
      <c r="AJ304" s="509"/>
      <c r="AK304" s="509"/>
      <c r="AL304" s="509"/>
      <c r="AM304" s="509"/>
      <c r="AN304" s="509"/>
    </row>
    <row r="305" spans="1:40" ht="15.75" customHeight="1">
      <c r="A305" s="494" t="s">
        <v>103</v>
      </c>
      <c r="B305" s="509" t="s">
        <v>103</v>
      </c>
      <c r="C305" s="529"/>
      <c r="D305" s="509"/>
      <c r="E305" s="509"/>
      <c r="F305" s="539"/>
      <c r="G305" s="529"/>
      <c r="H305" s="509"/>
      <c r="I305" s="539"/>
      <c r="J305" s="529"/>
      <c r="K305" s="509"/>
      <c r="L305" s="539"/>
      <c r="M305" s="529"/>
      <c r="N305" s="547">
        <v>-0.31173710301134688</v>
      </c>
      <c r="O305" s="529"/>
      <c r="P305" s="509"/>
      <c r="Q305" s="539"/>
      <c r="R305" s="529"/>
      <c r="S305" s="547">
        <v>-0.1852312072404661</v>
      </c>
      <c r="T305" s="509"/>
      <c r="U305" s="509"/>
      <c r="V305" s="509"/>
      <c r="W305" s="509"/>
      <c r="X305" s="509"/>
      <c r="Y305" s="509"/>
      <c r="Z305" s="509"/>
      <c r="AA305" s="509"/>
      <c r="AB305" s="509"/>
      <c r="AC305" s="509"/>
      <c r="AD305" s="509"/>
      <c r="AE305" s="509"/>
      <c r="AF305" s="509"/>
      <c r="AG305" s="509"/>
      <c r="AH305" s="509"/>
      <c r="AI305" s="509"/>
      <c r="AJ305" s="509"/>
      <c r="AK305" s="509"/>
      <c r="AL305" s="509"/>
      <c r="AM305" s="509"/>
      <c r="AN305" s="509"/>
    </row>
    <row r="306" spans="1:40" ht="15.75" customHeight="1">
      <c r="A306" s="494" t="s">
        <v>103</v>
      </c>
      <c r="B306" s="509" t="s">
        <v>103</v>
      </c>
      <c r="C306" s="522"/>
      <c r="D306" s="603"/>
      <c r="E306" s="603"/>
      <c r="F306" s="706"/>
      <c r="G306" s="522"/>
      <c r="H306" s="603"/>
      <c r="I306" s="706"/>
      <c r="J306" s="522"/>
      <c r="K306" s="603"/>
      <c r="L306" s="706"/>
      <c r="M306" s="522"/>
      <c r="N306" s="664"/>
      <c r="O306" s="522"/>
      <c r="P306" s="603"/>
      <c r="Q306" s="706"/>
      <c r="R306" s="522"/>
      <c r="S306" s="664"/>
      <c r="T306" s="509"/>
      <c r="U306" s="509"/>
      <c r="V306" s="509"/>
      <c r="W306" s="509"/>
      <c r="X306" s="509"/>
      <c r="Y306" s="509"/>
      <c r="Z306" s="509"/>
      <c r="AA306" s="509"/>
      <c r="AB306" s="509"/>
      <c r="AC306" s="509"/>
      <c r="AD306" s="509"/>
      <c r="AE306" s="509"/>
      <c r="AF306" s="509"/>
      <c r="AG306" s="509"/>
      <c r="AH306" s="509"/>
      <c r="AI306" s="509"/>
      <c r="AJ306" s="509"/>
      <c r="AK306" s="509"/>
      <c r="AL306" s="509"/>
      <c r="AM306" s="509"/>
      <c r="AN306" s="509"/>
    </row>
    <row r="307" spans="1:40" ht="15.75" customHeight="1">
      <c r="A307" s="494" t="s">
        <v>415</v>
      </c>
      <c r="B307" s="509" t="s">
        <v>103</v>
      </c>
      <c r="C307" s="529" t="s">
        <v>114</v>
      </c>
      <c r="D307" s="570">
        <v>50861.61</v>
      </c>
      <c r="E307" s="644">
        <v>0.18</v>
      </c>
      <c r="F307" s="602">
        <v>9155.0897999999997</v>
      </c>
      <c r="G307" s="570"/>
      <c r="H307" s="644"/>
      <c r="I307" s="602"/>
      <c r="J307" s="530">
        <v>9670.9599999999991</v>
      </c>
      <c r="K307" s="644">
        <v>0.19384218319587709</v>
      </c>
      <c r="L307" s="602">
        <v>1874.6399999999994</v>
      </c>
      <c r="M307" s="574">
        <v>-0.80985737572994643</v>
      </c>
      <c r="N307" s="555">
        <v>-7280.4498000000003</v>
      </c>
      <c r="O307" s="530">
        <v>19732.46</v>
      </c>
      <c r="P307" s="644">
        <v>0.19391348063039227</v>
      </c>
      <c r="Q307" s="602">
        <v>3826.3899999999899</v>
      </c>
      <c r="R307" s="574">
        <v>-0.50989587714861706</v>
      </c>
      <c r="S307" s="555">
        <v>-1951.7499999999905</v>
      </c>
      <c r="T307" s="509"/>
      <c r="U307" s="509"/>
      <c r="V307" s="509"/>
      <c r="W307" s="509"/>
      <c r="X307" s="509"/>
      <c r="Y307" s="509"/>
      <c r="Z307" s="509"/>
      <c r="AA307" s="509"/>
      <c r="AB307" s="509"/>
      <c r="AC307" s="509"/>
      <c r="AD307" s="509"/>
      <c r="AE307" s="509"/>
      <c r="AF307" s="509"/>
      <c r="AG307" s="509"/>
      <c r="AH307" s="509"/>
      <c r="AI307" s="509"/>
      <c r="AJ307" s="509"/>
      <c r="AK307" s="509"/>
      <c r="AL307" s="509"/>
      <c r="AM307" s="509"/>
      <c r="AN307" s="509"/>
    </row>
    <row r="308" spans="1:40" ht="15.75" customHeight="1">
      <c r="A308" s="494" t="s">
        <v>416</v>
      </c>
      <c r="B308" s="509" t="s">
        <v>103</v>
      </c>
      <c r="C308" s="522" t="s">
        <v>115</v>
      </c>
      <c r="D308" s="570">
        <v>19580.108495676282</v>
      </c>
      <c r="E308" s="644">
        <v>0.26</v>
      </c>
      <c r="F308" s="579">
        <v>5090.8282088758333</v>
      </c>
      <c r="G308" s="570"/>
      <c r="H308" s="644"/>
      <c r="I308" s="579"/>
      <c r="J308" s="530">
        <v>18493.45</v>
      </c>
      <c r="K308" s="644">
        <v>0.25780749400463404</v>
      </c>
      <c r="L308" s="579">
        <v>4767.75</v>
      </c>
      <c r="M308" s="574">
        <v>-5.549808347161303E-2</v>
      </c>
      <c r="N308" s="555">
        <v>-323.0782088758333</v>
      </c>
      <c r="O308" s="530">
        <v>21141.68</v>
      </c>
      <c r="P308" s="644">
        <v>0.24924603910379872</v>
      </c>
      <c r="Q308" s="579">
        <v>5269.48</v>
      </c>
      <c r="R308" s="574">
        <v>-0.125261095617756</v>
      </c>
      <c r="S308" s="555">
        <v>-501.72999999999956</v>
      </c>
      <c r="T308" s="509"/>
      <c r="U308" s="509"/>
      <c r="V308" s="509"/>
      <c r="W308" s="509"/>
      <c r="X308" s="509"/>
      <c r="Y308" s="509"/>
      <c r="Z308" s="509"/>
      <c r="AA308" s="509"/>
      <c r="AB308" s="509"/>
      <c r="AC308" s="509"/>
      <c r="AD308" s="509"/>
      <c r="AE308" s="509"/>
      <c r="AF308" s="509"/>
      <c r="AG308" s="509"/>
      <c r="AH308" s="509"/>
      <c r="AI308" s="509"/>
      <c r="AJ308" s="509"/>
      <c r="AK308" s="509"/>
      <c r="AL308" s="509"/>
      <c r="AM308" s="509"/>
      <c r="AN308" s="509"/>
    </row>
    <row r="309" spans="1:40" ht="15.75" customHeight="1">
      <c r="A309" s="494" t="s">
        <v>417</v>
      </c>
      <c r="B309" s="509" t="s">
        <v>103</v>
      </c>
      <c r="C309" s="548" t="s">
        <v>116</v>
      </c>
      <c r="D309" s="684">
        <v>493397.34451430355</v>
      </c>
      <c r="E309" s="704">
        <v>0.2572180170470984</v>
      </c>
      <c r="F309" s="686">
        <v>126910.6865722732</v>
      </c>
      <c r="G309" s="687"/>
      <c r="H309" s="704"/>
      <c r="I309" s="686"/>
      <c r="J309" s="687">
        <v>332527.23000000004</v>
      </c>
      <c r="K309" s="704">
        <v>0.25316834955140366</v>
      </c>
      <c r="L309" s="686">
        <v>84185.37000000001</v>
      </c>
      <c r="M309" s="705">
        <v>-0.32604576474294322</v>
      </c>
      <c r="N309" s="686">
        <v>-42725.316572273194</v>
      </c>
      <c r="O309" s="687">
        <v>357957.67999999993</v>
      </c>
      <c r="P309" s="704">
        <v>0.29128479657148265</v>
      </c>
      <c r="Q309" s="686">
        <v>104267.62999999987</v>
      </c>
      <c r="R309" s="705">
        <v>-7.1043174712719953E-2</v>
      </c>
      <c r="S309" s="686">
        <v>-20082.259999999864</v>
      </c>
      <c r="T309" s="509"/>
      <c r="U309" s="509"/>
      <c r="V309" s="509"/>
      <c r="W309" s="509"/>
      <c r="X309" s="509"/>
      <c r="Y309" s="509"/>
      <c r="Z309" s="509"/>
      <c r="AA309" s="509"/>
      <c r="AB309" s="509"/>
      <c r="AC309" s="509"/>
      <c r="AD309" s="509"/>
      <c r="AE309" s="509"/>
      <c r="AF309" s="509"/>
      <c r="AG309" s="509"/>
      <c r="AH309" s="509"/>
      <c r="AI309" s="509"/>
      <c r="AJ309" s="509"/>
      <c r="AK309" s="509"/>
      <c r="AL309" s="509"/>
      <c r="AM309" s="509"/>
      <c r="AN309" s="509"/>
    </row>
    <row r="310" spans="1:40" ht="15.75" customHeight="1">
      <c r="A310" s="494" t="s">
        <v>103</v>
      </c>
      <c r="B310" s="509" t="s">
        <v>103</v>
      </c>
      <c r="C310" s="529"/>
      <c r="D310" s="509"/>
      <c r="E310" s="509"/>
      <c r="F310" s="539"/>
      <c r="G310" s="529"/>
      <c r="H310" s="509"/>
      <c r="I310" s="539"/>
      <c r="J310" s="529"/>
      <c r="K310" s="509"/>
      <c r="L310" s="539"/>
      <c r="M310" s="529"/>
      <c r="N310" s="547">
        <v>-0.33665657105985275</v>
      </c>
      <c r="O310" s="529"/>
      <c r="P310" s="509"/>
      <c r="Q310" s="539"/>
      <c r="R310" s="529"/>
      <c r="S310" s="547">
        <v>-0.19260301591203222</v>
      </c>
      <c r="T310" s="509"/>
      <c r="U310" s="509"/>
      <c r="V310" s="509"/>
      <c r="W310" s="509"/>
      <c r="X310" s="509"/>
      <c r="Y310" s="509"/>
      <c r="Z310" s="509"/>
      <c r="AA310" s="509"/>
      <c r="AB310" s="509"/>
      <c r="AC310" s="509"/>
      <c r="AD310" s="509"/>
      <c r="AE310" s="509"/>
      <c r="AF310" s="509"/>
      <c r="AG310" s="509"/>
      <c r="AH310" s="509"/>
      <c r="AI310" s="509"/>
      <c r="AJ310" s="509"/>
      <c r="AK310" s="509"/>
      <c r="AL310" s="509"/>
      <c r="AM310" s="509"/>
      <c r="AN310" s="509"/>
    </row>
    <row r="311" spans="1:40" ht="15.75" customHeight="1">
      <c r="A311" s="494" t="s">
        <v>103</v>
      </c>
      <c r="B311" s="509" t="s">
        <v>103</v>
      </c>
      <c r="C311" s="529"/>
      <c r="D311" s="509"/>
      <c r="E311" s="509"/>
      <c r="F311" s="539"/>
      <c r="G311" s="529"/>
      <c r="H311" s="509"/>
      <c r="I311" s="539"/>
      <c r="J311" s="529"/>
      <c r="K311" s="509"/>
      <c r="L311" s="539"/>
      <c r="M311" s="529"/>
      <c r="N311" s="547"/>
      <c r="O311" s="529"/>
      <c r="P311" s="509"/>
      <c r="Q311" s="539"/>
      <c r="R311" s="529"/>
      <c r="S311" s="547"/>
      <c r="T311" s="509"/>
      <c r="U311" s="509"/>
      <c r="V311" s="509"/>
      <c r="W311" s="509"/>
      <c r="X311" s="509"/>
      <c r="Y311" s="509"/>
      <c r="Z311" s="509"/>
      <c r="AA311" s="509"/>
      <c r="AB311" s="509"/>
      <c r="AC311" s="509"/>
      <c r="AD311" s="509"/>
      <c r="AE311" s="509"/>
      <c r="AF311" s="509"/>
      <c r="AG311" s="509"/>
      <c r="AH311" s="509"/>
      <c r="AI311" s="509"/>
      <c r="AJ311" s="509"/>
      <c r="AK311" s="509"/>
      <c r="AL311" s="509"/>
      <c r="AM311" s="509"/>
      <c r="AN311" s="509"/>
    </row>
    <row r="312" spans="1:40" ht="15.75" customHeight="1">
      <c r="A312" s="494" t="s">
        <v>418</v>
      </c>
      <c r="B312" s="509" t="s">
        <v>103</v>
      </c>
      <c r="C312" s="522" t="s">
        <v>117</v>
      </c>
      <c r="D312" s="577">
        <v>0</v>
      </c>
      <c r="E312" s="645">
        <v>0</v>
      </c>
      <c r="F312" s="579">
        <v>0</v>
      </c>
      <c r="G312" s="659"/>
      <c r="H312" s="645"/>
      <c r="I312" s="579"/>
      <c r="J312" s="543">
        <v>0</v>
      </c>
      <c r="K312" s="645">
        <v>0</v>
      </c>
      <c r="L312" s="524">
        <v>0</v>
      </c>
      <c r="M312" s="645">
        <v>0</v>
      </c>
      <c r="N312" s="579">
        <v>0</v>
      </c>
      <c r="O312" s="543">
        <v>0</v>
      </c>
      <c r="P312" s="645">
        <v>0</v>
      </c>
      <c r="Q312" s="524">
        <v>0</v>
      </c>
      <c r="R312" s="645">
        <v>0</v>
      </c>
      <c r="S312" s="579">
        <v>0</v>
      </c>
      <c r="T312" s="509"/>
      <c r="U312" s="509"/>
      <c r="V312" s="509"/>
      <c r="W312" s="509"/>
      <c r="X312" s="509"/>
      <c r="Y312" s="509"/>
      <c r="Z312" s="509"/>
      <c r="AA312" s="509"/>
      <c r="AB312" s="509"/>
      <c r="AC312" s="509"/>
      <c r="AD312" s="509"/>
      <c r="AE312" s="509"/>
      <c r="AF312" s="509"/>
      <c r="AG312" s="509"/>
      <c r="AH312" s="509"/>
      <c r="AI312" s="509"/>
      <c r="AJ312" s="509"/>
      <c r="AK312" s="509"/>
      <c r="AL312" s="509"/>
      <c r="AM312" s="509"/>
      <c r="AN312" s="509"/>
    </row>
    <row r="313" spans="1:40" ht="15.75" customHeight="1" thickBot="1">
      <c r="A313" s="494" t="s">
        <v>103</v>
      </c>
      <c r="B313" s="509" t="s">
        <v>103</v>
      </c>
      <c r="C313" s="529"/>
      <c r="D313" s="570"/>
      <c r="E313" s="644"/>
      <c r="F313" s="555"/>
      <c r="G313" s="556"/>
      <c r="H313" s="644"/>
      <c r="I313" s="555"/>
      <c r="J313" s="556"/>
      <c r="K313" s="644"/>
      <c r="L313" s="555"/>
      <c r="M313" s="574"/>
      <c r="N313" s="555"/>
      <c r="O313" s="556"/>
      <c r="P313" s="644"/>
      <c r="Q313" s="555"/>
      <c r="R313" s="574"/>
      <c r="S313" s="555"/>
      <c r="T313" s="509"/>
      <c r="U313" s="509"/>
      <c r="V313" s="509"/>
      <c r="W313" s="509"/>
      <c r="X313" s="509"/>
      <c r="Y313" s="509"/>
      <c r="Z313" s="509"/>
      <c r="AA313" s="509"/>
      <c r="AB313" s="509"/>
      <c r="AC313" s="509"/>
      <c r="AD313" s="509"/>
      <c r="AE313" s="509"/>
      <c r="AF313" s="509"/>
      <c r="AG313" s="509"/>
      <c r="AH313" s="509"/>
      <c r="AI313" s="509"/>
      <c r="AJ313" s="509"/>
      <c r="AK313" s="509"/>
      <c r="AL313" s="509"/>
      <c r="AM313" s="509"/>
      <c r="AN313" s="509"/>
    </row>
    <row r="314" spans="1:40" ht="15.75" customHeight="1" thickTop="1">
      <c r="A314" s="494" t="s">
        <v>419</v>
      </c>
      <c r="B314" s="509" t="s">
        <v>103</v>
      </c>
      <c r="C314" s="557" t="s">
        <v>118</v>
      </c>
      <c r="D314" s="558">
        <v>493397.34451430355</v>
      </c>
      <c r="E314" s="707">
        <v>0.2572180170470984</v>
      </c>
      <c r="F314" s="560">
        <v>126910.6865722732</v>
      </c>
      <c r="G314" s="561"/>
      <c r="H314" s="707"/>
      <c r="I314" s="560"/>
      <c r="J314" s="561">
        <v>332527.23000000004</v>
      </c>
      <c r="K314" s="707">
        <v>0.25316834955140366</v>
      </c>
      <c r="L314" s="560">
        <v>84185.37000000001</v>
      </c>
      <c r="M314" s="708">
        <v>-0.32604576474294322</v>
      </c>
      <c r="N314" s="709">
        <v>-42725.316572273194</v>
      </c>
      <c r="O314" s="561">
        <v>357957.67999999993</v>
      </c>
      <c r="P314" s="707">
        <v>0.29128479657148265</v>
      </c>
      <c r="Q314" s="560">
        <v>104267.62999999987</v>
      </c>
      <c r="R314" s="708">
        <v>-7.1043174712719953E-2</v>
      </c>
      <c r="S314" s="709">
        <v>-20082.259999999864</v>
      </c>
      <c r="T314" s="509"/>
      <c r="U314" s="509"/>
      <c r="V314" s="509"/>
      <c r="W314" s="509"/>
      <c r="X314" s="509"/>
      <c r="Y314" s="509"/>
      <c r="Z314" s="509"/>
      <c r="AA314" s="509"/>
      <c r="AB314" s="509"/>
      <c r="AC314" s="509"/>
      <c r="AD314" s="509"/>
      <c r="AE314" s="509"/>
      <c r="AF314" s="509"/>
      <c r="AG314" s="509"/>
      <c r="AH314" s="509"/>
      <c r="AI314" s="509"/>
      <c r="AJ314" s="509"/>
      <c r="AK314" s="509"/>
      <c r="AL314" s="509"/>
      <c r="AM314" s="509"/>
      <c r="AN314" s="509"/>
    </row>
    <row r="315" spans="1:40" ht="15.75" customHeight="1" thickBot="1">
      <c r="A315" s="494" t="s">
        <v>103</v>
      </c>
      <c r="B315" s="509" t="s">
        <v>103</v>
      </c>
      <c r="C315" s="621"/>
      <c r="D315" s="710"/>
      <c r="E315" s="711"/>
      <c r="F315" s="624"/>
      <c r="G315" s="712"/>
      <c r="H315" s="711"/>
      <c r="I315" s="624"/>
      <c r="J315" s="712"/>
      <c r="K315" s="711"/>
      <c r="L315" s="713">
        <v>0.66334342894014731</v>
      </c>
      <c r="M315" s="714"/>
      <c r="N315" s="567">
        <v>-0.33665657105985275</v>
      </c>
      <c r="O315" s="712"/>
      <c r="P315" s="711"/>
      <c r="Q315" s="624"/>
      <c r="R315" s="714"/>
      <c r="S315" s="567">
        <v>-0.19260301591203222</v>
      </c>
      <c r="T315" s="509"/>
      <c r="U315" s="509"/>
      <c r="V315" s="509"/>
      <c r="W315" s="509"/>
      <c r="X315" s="509"/>
      <c r="Y315" s="509"/>
      <c r="Z315" s="509"/>
      <c r="AA315" s="509"/>
      <c r="AB315" s="509"/>
      <c r="AC315" s="509"/>
      <c r="AD315" s="509"/>
      <c r="AE315" s="509"/>
      <c r="AF315" s="509"/>
      <c r="AG315" s="509"/>
      <c r="AH315" s="509"/>
      <c r="AI315" s="509"/>
      <c r="AJ315" s="509"/>
      <c r="AK315" s="509"/>
      <c r="AL315" s="509"/>
      <c r="AM315" s="509"/>
      <c r="AN315" s="509"/>
    </row>
    <row r="316" spans="1:40" ht="15.75" customHeight="1" thickTop="1">
      <c r="A316" s="494" t="s">
        <v>103</v>
      </c>
      <c r="B316" s="509" t="s">
        <v>103</v>
      </c>
      <c r="C316" s="548"/>
      <c r="D316" s="604"/>
      <c r="E316" s="666"/>
      <c r="F316" s="668"/>
      <c r="G316" s="667"/>
      <c r="H316" s="666"/>
      <c r="I316" s="668"/>
      <c r="J316" s="667"/>
      <c r="K316" s="666"/>
      <c r="L316" s="668"/>
      <c r="M316" s="529"/>
      <c r="N316" s="547"/>
      <c r="O316" s="667"/>
      <c r="P316" s="666"/>
      <c r="Q316" s="668"/>
      <c r="R316" s="529"/>
      <c r="S316" s="547"/>
      <c r="T316" s="509"/>
      <c r="U316" s="509"/>
      <c r="V316" s="509"/>
      <c r="W316" s="509"/>
      <c r="X316" s="509"/>
      <c r="Y316" s="509"/>
      <c r="Z316" s="509"/>
      <c r="AA316" s="509"/>
      <c r="AB316" s="509"/>
      <c r="AC316" s="509"/>
      <c r="AD316" s="509"/>
      <c r="AE316" s="509"/>
      <c r="AF316" s="509"/>
      <c r="AG316" s="509"/>
      <c r="AH316" s="509"/>
      <c r="AI316" s="509"/>
      <c r="AJ316" s="509"/>
      <c r="AK316" s="509"/>
      <c r="AL316" s="509"/>
      <c r="AM316" s="509"/>
      <c r="AN316" s="509"/>
    </row>
    <row r="317" spans="1:40" ht="15.75" customHeight="1">
      <c r="A317" s="494" t="s">
        <v>420</v>
      </c>
      <c r="B317" s="509" t="s">
        <v>103</v>
      </c>
      <c r="C317" s="571" t="s">
        <v>30</v>
      </c>
      <c r="D317" s="509"/>
      <c r="E317" s="509"/>
      <c r="F317" s="555"/>
      <c r="G317" s="529"/>
      <c r="H317" s="509"/>
      <c r="I317" s="555"/>
      <c r="J317" s="529"/>
      <c r="K317" s="509"/>
      <c r="L317" s="539"/>
      <c r="M317" s="529"/>
      <c r="N317" s="539"/>
      <c r="O317" s="529"/>
      <c r="P317" s="509"/>
      <c r="Q317" s="539"/>
      <c r="R317" s="529"/>
      <c r="S317" s="539"/>
      <c r="T317" s="509"/>
      <c r="U317" s="509"/>
      <c r="V317" s="509"/>
      <c r="W317" s="509"/>
      <c r="X317" s="509"/>
      <c r="Y317" s="509"/>
      <c r="Z317" s="509"/>
      <c r="AA317" s="509"/>
      <c r="AB317" s="509"/>
      <c r="AC317" s="509"/>
      <c r="AD317" s="509"/>
      <c r="AE317" s="509"/>
      <c r="AF317" s="509"/>
      <c r="AG317" s="509"/>
      <c r="AH317" s="509"/>
      <c r="AI317" s="509"/>
      <c r="AJ317" s="509"/>
      <c r="AK317" s="509"/>
      <c r="AL317" s="509"/>
      <c r="AM317" s="509"/>
      <c r="AN317" s="509"/>
    </row>
    <row r="318" spans="1:40" ht="15.75" customHeight="1">
      <c r="A318" s="494" t="s">
        <v>421</v>
      </c>
      <c r="B318" s="509" t="s">
        <v>103</v>
      </c>
      <c r="C318" s="596" t="s">
        <v>41</v>
      </c>
      <c r="D318" s="509"/>
      <c r="E318" s="509"/>
      <c r="F318" s="530">
        <v>6564.9358974358984</v>
      </c>
      <c r="G318" s="529"/>
      <c r="H318" s="509"/>
      <c r="I318" s="530"/>
      <c r="J318" s="529"/>
      <c r="K318" s="509"/>
      <c r="L318" s="532">
        <v>6304.17</v>
      </c>
      <c r="M318" s="529"/>
      <c r="N318" s="532">
        <v>-260.7658974358983</v>
      </c>
      <c r="O318" s="529"/>
      <c r="P318" s="509"/>
      <c r="Q318" s="532">
        <v>7430.53</v>
      </c>
      <c r="R318" s="529"/>
      <c r="S318" s="532">
        <v>-1126.3599999999997</v>
      </c>
      <c r="T318" s="509"/>
      <c r="U318" s="509"/>
      <c r="V318" s="509"/>
      <c r="W318" s="509"/>
      <c r="X318" s="509"/>
      <c r="Y318" s="509"/>
      <c r="Z318" s="509"/>
      <c r="AA318" s="509"/>
      <c r="AB318" s="509"/>
      <c r="AC318" s="509"/>
      <c r="AD318" s="509"/>
      <c r="AE318" s="509"/>
      <c r="AF318" s="509"/>
      <c r="AG318" s="509"/>
      <c r="AH318" s="509"/>
      <c r="AI318" s="509"/>
      <c r="AJ318" s="509"/>
      <c r="AK318" s="509"/>
      <c r="AL318" s="509"/>
      <c r="AM318" s="509"/>
      <c r="AN318" s="509"/>
    </row>
    <row r="319" spans="1:40" ht="15.75" customHeight="1">
      <c r="A319" s="494" t="s">
        <v>422</v>
      </c>
      <c r="B319" s="509" t="s">
        <v>103</v>
      </c>
      <c r="C319" s="598" t="s">
        <v>42</v>
      </c>
      <c r="D319" s="581"/>
      <c r="E319" s="509"/>
      <c r="F319" s="524">
        <v>26566.084923076924</v>
      </c>
      <c r="G319" s="582"/>
      <c r="H319" s="509"/>
      <c r="I319" s="524"/>
      <c r="J319" s="529"/>
      <c r="K319" s="509"/>
      <c r="L319" s="532">
        <v>22540.87</v>
      </c>
      <c r="M319" s="529"/>
      <c r="N319" s="532">
        <v>-4025.2149230769246</v>
      </c>
      <c r="O319" s="529"/>
      <c r="P319" s="509"/>
      <c r="Q319" s="532">
        <v>24203.71</v>
      </c>
      <c r="R319" s="529"/>
      <c r="S319" s="555">
        <v>-1662.8400000000001</v>
      </c>
      <c r="T319" s="509"/>
      <c r="U319" s="509"/>
      <c r="V319" s="509"/>
      <c r="W319" s="509"/>
      <c r="X319" s="509"/>
      <c r="Y319" s="509"/>
      <c r="Z319" s="509"/>
      <c r="AA319" s="509"/>
      <c r="AB319" s="509"/>
      <c r="AC319" s="509"/>
      <c r="AD319" s="509"/>
      <c r="AE319" s="509"/>
      <c r="AF319" s="509"/>
      <c r="AG319" s="509"/>
      <c r="AH319" s="509"/>
      <c r="AI319" s="509"/>
      <c r="AJ319" s="509"/>
      <c r="AK319" s="509"/>
      <c r="AL319" s="509"/>
      <c r="AM319" s="509"/>
      <c r="AN319" s="509"/>
    </row>
    <row r="320" spans="1:40" ht="15.75" customHeight="1">
      <c r="A320" s="494" t="s">
        <v>423</v>
      </c>
      <c r="B320" s="509" t="s">
        <v>103</v>
      </c>
      <c r="C320" s="596" t="s">
        <v>43</v>
      </c>
      <c r="D320" s="599"/>
      <c r="E320" s="600"/>
      <c r="F320" s="530">
        <v>140.24615384615385</v>
      </c>
      <c r="G320" s="601"/>
      <c r="H320" s="600"/>
      <c r="I320" s="530"/>
      <c r="J320" s="517"/>
      <c r="K320" s="600"/>
      <c r="L320" s="551">
        <v>113.92</v>
      </c>
      <c r="M320" s="517"/>
      <c r="N320" s="551">
        <v>-26.326153846153844</v>
      </c>
      <c r="O320" s="517"/>
      <c r="P320" s="600"/>
      <c r="Q320" s="551">
        <v>1521.99</v>
      </c>
      <c r="R320" s="517"/>
      <c r="S320" s="602">
        <v>-1408.07</v>
      </c>
      <c r="T320" s="509"/>
      <c r="U320" s="715" t="s">
        <v>424</v>
      </c>
      <c r="V320" s="715"/>
      <c r="W320" s="509"/>
      <c r="X320" s="509"/>
      <c r="Y320" s="509"/>
      <c r="Z320" s="509"/>
      <c r="AA320" s="509"/>
      <c r="AB320" s="509"/>
      <c r="AC320" s="509"/>
      <c r="AD320" s="509"/>
      <c r="AE320" s="509"/>
      <c r="AF320" s="509"/>
      <c r="AG320" s="509"/>
      <c r="AH320" s="509"/>
      <c r="AI320" s="509"/>
      <c r="AJ320" s="509"/>
      <c r="AK320" s="509"/>
      <c r="AL320" s="509"/>
      <c r="AM320" s="509"/>
      <c r="AN320" s="509"/>
    </row>
    <row r="321" spans="1:40" ht="15.75" customHeight="1">
      <c r="A321" s="494" t="s">
        <v>425</v>
      </c>
      <c r="B321" s="509" t="s">
        <v>103</v>
      </c>
      <c r="C321" s="596" t="s">
        <v>44</v>
      </c>
      <c r="D321" s="581"/>
      <c r="E321" s="509"/>
      <c r="F321" s="530">
        <v>0</v>
      </c>
      <c r="G321" s="582"/>
      <c r="H321" s="509"/>
      <c r="I321" s="530"/>
      <c r="J321" s="529"/>
      <c r="K321" s="509"/>
      <c r="L321" s="532">
        <v>0</v>
      </c>
      <c r="M321" s="529"/>
      <c r="N321" s="532">
        <v>0</v>
      </c>
      <c r="O321" s="529"/>
      <c r="P321" s="509"/>
      <c r="Q321" s="532">
        <v>0</v>
      </c>
      <c r="R321" s="529"/>
      <c r="S321" s="555">
        <v>0</v>
      </c>
      <c r="T321" s="509"/>
      <c r="U321" s="509"/>
      <c r="V321" s="509"/>
      <c r="W321" s="509"/>
      <c r="X321" s="509"/>
      <c r="Y321" s="509"/>
      <c r="Z321" s="509"/>
      <c r="AA321" s="509"/>
      <c r="AB321" s="509"/>
      <c r="AC321" s="509"/>
      <c r="AD321" s="509"/>
      <c r="AE321" s="509"/>
      <c r="AF321" s="509"/>
      <c r="AG321" s="509"/>
      <c r="AH321" s="509"/>
      <c r="AI321" s="509"/>
      <c r="AJ321" s="509"/>
      <c r="AK321" s="509"/>
      <c r="AL321" s="509"/>
      <c r="AM321" s="509"/>
      <c r="AN321" s="509"/>
    </row>
    <row r="322" spans="1:40" ht="15.75" hidden="1" customHeight="1">
      <c r="A322" s="494" t="s">
        <v>411</v>
      </c>
      <c r="B322" s="509" t="s">
        <v>103</v>
      </c>
      <c r="C322" s="529" t="s">
        <v>20</v>
      </c>
      <c r="D322" s="581"/>
      <c r="E322" s="509"/>
      <c r="F322" s="530">
        <v>0</v>
      </c>
      <c r="G322" s="582"/>
      <c r="H322" s="509"/>
      <c r="I322" s="530"/>
      <c r="J322" s="529"/>
      <c r="K322" s="509"/>
      <c r="L322" s="532">
        <v>0</v>
      </c>
      <c r="M322" s="529"/>
      <c r="N322" s="532">
        <v>0</v>
      </c>
      <c r="O322" s="529"/>
      <c r="P322" s="509"/>
      <c r="Q322" s="532">
        <v>0</v>
      </c>
      <c r="R322" s="529"/>
      <c r="S322" s="555">
        <v>0</v>
      </c>
      <c r="T322" s="509"/>
      <c r="U322" s="509"/>
      <c r="V322" s="509"/>
      <c r="W322" s="509"/>
      <c r="X322" s="509"/>
      <c r="Y322" s="509"/>
      <c r="Z322" s="509"/>
      <c r="AA322" s="509"/>
      <c r="AB322" s="509"/>
      <c r="AC322" s="509"/>
      <c r="AD322" s="509"/>
      <c r="AE322" s="509"/>
      <c r="AF322" s="509"/>
      <c r="AG322" s="509"/>
      <c r="AH322" s="509"/>
      <c r="AI322" s="509"/>
      <c r="AJ322" s="509"/>
      <c r="AK322" s="509"/>
      <c r="AL322" s="509"/>
      <c r="AM322" s="509"/>
      <c r="AN322" s="509"/>
    </row>
    <row r="323" spans="1:40" ht="15.75" hidden="1" customHeight="1">
      <c r="A323" s="494" t="s">
        <v>411</v>
      </c>
      <c r="B323" s="509" t="s">
        <v>103</v>
      </c>
      <c r="C323" s="529" t="s">
        <v>20</v>
      </c>
      <c r="D323" s="581"/>
      <c r="E323" s="509"/>
      <c r="F323" s="530">
        <v>0</v>
      </c>
      <c r="G323" s="582"/>
      <c r="H323" s="509"/>
      <c r="I323" s="530"/>
      <c r="J323" s="529"/>
      <c r="K323" s="509"/>
      <c r="L323" s="532">
        <v>0</v>
      </c>
      <c r="M323" s="529"/>
      <c r="N323" s="532">
        <v>0</v>
      </c>
      <c r="O323" s="529"/>
      <c r="P323" s="509"/>
      <c r="Q323" s="532">
        <v>0</v>
      </c>
      <c r="R323" s="529"/>
      <c r="S323" s="555">
        <v>0</v>
      </c>
      <c r="T323" s="509"/>
      <c r="U323" s="509"/>
      <c r="V323" s="509"/>
      <c r="W323" s="509"/>
      <c r="X323" s="509"/>
      <c r="Y323" s="509"/>
      <c r="Z323" s="509"/>
      <c r="AA323" s="509"/>
      <c r="AB323" s="509"/>
      <c r="AC323" s="509"/>
      <c r="AD323" s="509"/>
      <c r="AE323" s="509"/>
      <c r="AF323" s="509"/>
      <c r="AG323" s="509"/>
      <c r="AH323" s="509"/>
      <c r="AI323" s="509"/>
      <c r="AJ323" s="509"/>
      <c r="AK323" s="509"/>
      <c r="AL323" s="509"/>
      <c r="AM323" s="509"/>
      <c r="AN323" s="509"/>
    </row>
    <row r="324" spans="1:40" ht="15.75" hidden="1" customHeight="1">
      <c r="A324" s="494" t="s">
        <v>411</v>
      </c>
      <c r="B324" s="509" t="s">
        <v>103</v>
      </c>
      <c r="C324" s="529" t="s">
        <v>20</v>
      </c>
      <c r="D324" s="581"/>
      <c r="E324" s="509"/>
      <c r="F324" s="530">
        <v>0</v>
      </c>
      <c r="G324" s="582"/>
      <c r="H324" s="509"/>
      <c r="I324" s="530"/>
      <c r="J324" s="529"/>
      <c r="K324" s="509"/>
      <c r="L324" s="532">
        <v>0</v>
      </c>
      <c r="M324" s="529"/>
      <c r="N324" s="532">
        <v>0</v>
      </c>
      <c r="O324" s="529"/>
      <c r="P324" s="509"/>
      <c r="Q324" s="532">
        <v>0</v>
      </c>
      <c r="R324" s="529"/>
      <c r="S324" s="555">
        <v>0</v>
      </c>
      <c r="T324" s="509"/>
      <c r="U324" s="509"/>
      <c r="V324" s="509"/>
      <c r="W324" s="509"/>
      <c r="X324" s="509"/>
      <c r="Y324" s="509"/>
      <c r="Z324" s="509"/>
      <c r="AA324" s="509"/>
      <c r="AB324" s="509"/>
      <c r="AC324" s="509"/>
      <c r="AD324" s="509"/>
      <c r="AE324" s="509"/>
      <c r="AF324" s="509"/>
      <c r="AG324" s="509"/>
      <c r="AH324" s="509"/>
      <c r="AI324" s="509"/>
      <c r="AJ324" s="509"/>
      <c r="AK324" s="509"/>
      <c r="AL324" s="509"/>
      <c r="AM324" s="509"/>
      <c r="AN324" s="509"/>
    </row>
    <row r="325" spans="1:40" ht="15.75" customHeight="1">
      <c r="A325" s="494" t="s">
        <v>426</v>
      </c>
      <c r="B325" s="509" t="s">
        <v>103</v>
      </c>
      <c r="C325" s="598" t="s">
        <v>45</v>
      </c>
      <c r="D325" s="581"/>
      <c r="E325" s="509"/>
      <c r="F325" s="524">
        <v>4086.0378682564101</v>
      </c>
      <c r="G325" s="582"/>
      <c r="H325" s="509"/>
      <c r="I325" s="524"/>
      <c r="J325" s="529"/>
      <c r="K325" s="509"/>
      <c r="L325" s="532">
        <v>3027.35</v>
      </c>
      <c r="M325" s="529"/>
      <c r="N325" s="532">
        <v>-1058.6878682564102</v>
      </c>
      <c r="O325" s="529"/>
      <c r="P325" s="509"/>
      <c r="Q325" s="532">
        <v>4167.74</v>
      </c>
      <c r="R325" s="529"/>
      <c r="S325" s="555">
        <v>-1140.3899999999999</v>
      </c>
      <c r="T325" s="509"/>
      <c r="U325" s="509"/>
      <c r="V325" s="509"/>
      <c r="W325" s="509"/>
      <c r="X325" s="509"/>
      <c r="Y325" s="509"/>
      <c r="Z325" s="509"/>
      <c r="AA325" s="509"/>
      <c r="AB325" s="509"/>
      <c r="AC325" s="509"/>
      <c r="AD325" s="509"/>
      <c r="AE325" s="509"/>
      <c r="AF325" s="509"/>
      <c r="AG325" s="509"/>
      <c r="AH325" s="509"/>
      <c r="AI325" s="509"/>
      <c r="AJ325" s="509"/>
      <c r="AK325" s="509"/>
      <c r="AL325" s="509"/>
      <c r="AM325" s="509"/>
      <c r="AN325" s="509"/>
    </row>
    <row r="326" spans="1:40" ht="15.75" customHeight="1">
      <c r="A326" s="494" t="s">
        <v>427</v>
      </c>
      <c r="B326" s="509" t="s">
        <v>103</v>
      </c>
      <c r="C326" s="596" t="s">
        <v>46</v>
      </c>
      <c r="D326" s="599"/>
      <c r="E326" s="600"/>
      <c r="F326" s="530">
        <v>4968.0460424615385</v>
      </c>
      <c r="G326" s="601"/>
      <c r="H326" s="600"/>
      <c r="I326" s="530"/>
      <c r="J326" s="517"/>
      <c r="K326" s="600"/>
      <c r="L326" s="551">
        <v>7018.81</v>
      </c>
      <c r="M326" s="517"/>
      <c r="N326" s="551">
        <v>2050.7639575384619</v>
      </c>
      <c r="O326" s="517"/>
      <c r="P326" s="600"/>
      <c r="Q326" s="551">
        <v>7410.92</v>
      </c>
      <c r="R326" s="517"/>
      <c r="S326" s="602">
        <v>-392.10999999999967</v>
      </c>
      <c r="T326" s="509"/>
      <c r="U326" s="509"/>
      <c r="V326" s="509"/>
      <c r="W326" s="509"/>
      <c r="X326" s="509"/>
      <c r="Y326" s="509"/>
      <c r="Z326" s="509"/>
      <c r="AA326" s="509"/>
      <c r="AB326" s="509"/>
      <c r="AC326" s="509"/>
      <c r="AD326" s="509"/>
      <c r="AE326" s="509"/>
      <c r="AF326" s="509"/>
      <c r="AG326" s="509"/>
      <c r="AH326" s="509"/>
      <c r="AI326" s="509"/>
      <c r="AJ326" s="509"/>
      <c r="AK326" s="509"/>
      <c r="AL326" s="509"/>
      <c r="AM326" s="509"/>
      <c r="AN326" s="509"/>
    </row>
    <row r="327" spans="1:40" ht="15.75" customHeight="1">
      <c r="A327" s="494" t="s">
        <v>428</v>
      </c>
      <c r="B327" s="509" t="s">
        <v>103</v>
      </c>
      <c r="C327" s="596" t="s">
        <v>47</v>
      </c>
      <c r="D327" s="581"/>
      <c r="E327" s="509"/>
      <c r="F327" s="530">
        <v>2559.6237218769229</v>
      </c>
      <c r="G327" s="582"/>
      <c r="H327" s="509"/>
      <c r="I327" s="530"/>
      <c r="J327" s="529"/>
      <c r="K327" s="509"/>
      <c r="L327" s="532">
        <v>1006.31</v>
      </c>
      <c r="M327" s="529"/>
      <c r="N327" s="532">
        <v>-1553.313721876923</v>
      </c>
      <c r="O327" s="529"/>
      <c r="P327" s="509"/>
      <c r="Q327" s="532">
        <v>949.05</v>
      </c>
      <c r="R327" s="529"/>
      <c r="S327" s="555">
        <v>57.259999999999991</v>
      </c>
      <c r="T327" s="509"/>
      <c r="U327" s="509"/>
      <c r="V327" s="509"/>
      <c r="W327" s="509"/>
      <c r="X327" s="509"/>
      <c r="Y327" s="509"/>
      <c r="Z327" s="509"/>
      <c r="AA327" s="509"/>
      <c r="AB327" s="509"/>
      <c r="AC327" s="509"/>
      <c r="AD327" s="509"/>
      <c r="AE327" s="509"/>
      <c r="AF327" s="509"/>
      <c r="AG327" s="509"/>
      <c r="AH327" s="509"/>
      <c r="AI327" s="509"/>
      <c r="AJ327" s="509"/>
      <c r="AK327" s="509"/>
      <c r="AL327" s="509"/>
      <c r="AM327" s="509"/>
      <c r="AN327" s="509"/>
    </row>
    <row r="328" spans="1:40" ht="15.75" customHeight="1">
      <c r="A328" s="494" t="s">
        <v>429</v>
      </c>
      <c r="B328" s="509" t="s">
        <v>103</v>
      </c>
      <c r="C328" s="596" t="s">
        <v>48</v>
      </c>
      <c r="D328" s="581"/>
      <c r="E328" s="509"/>
      <c r="F328" s="530">
        <v>1116.0103428717948</v>
      </c>
      <c r="G328" s="582"/>
      <c r="H328" s="509"/>
      <c r="I328" s="530"/>
      <c r="J328" s="529"/>
      <c r="K328" s="509"/>
      <c r="L328" s="532">
        <v>788.92</v>
      </c>
      <c r="M328" s="529"/>
      <c r="N328" s="532">
        <v>-327.09034287179486</v>
      </c>
      <c r="O328" s="529"/>
      <c r="P328" s="509"/>
      <c r="Q328" s="532">
        <v>1818.31</v>
      </c>
      <c r="R328" s="529"/>
      <c r="S328" s="555">
        <v>-1029.3899999999999</v>
      </c>
      <c r="T328" s="509"/>
      <c r="U328" s="509"/>
      <c r="V328" s="509"/>
      <c r="W328" s="509"/>
      <c r="X328" s="509"/>
      <c r="Y328" s="509"/>
      <c r="Z328" s="509"/>
      <c r="AA328" s="509"/>
      <c r="AB328" s="509"/>
      <c r="AC328" s="509"/>
      <c r="AD328" s="509"/>
      <c r="AE328" s="509"/>
      <c r="AF328" s="509"/>
      <c r="AG328" s="509"/>
      <c r="AH328" s="509"/>
      <c r="AI328" s="509"/>
      <c r="AJ328" s="509"/>
      <c r="AK328" s="509"/>
      <c r="AL328" s="509"/>
      <c r="AM328" s="509"/>
      <c r="AN328" s="509"/>
    </row>
    <row r="329" spans="1:40" ht="15.75" hidden="1" customHeight="1">
      <c r="A329" s="494" t="s">
        <v>411</v>
      </c>
      <c r="B329" s="509" t="s">
        <v>103</v>
      </c>
      <c r="C329" s="529" t="s">
        <v>20</v>
      </c>
      <c r="D329" s="583"/>
      <c r="E329" s="603"/>
      <c r="F329" s="530">
        <v>0</v>
      </c>
      <c r="G329" s="584"/>
      <c r="H329" s="603"/>
      <c r="I329" s="530"/>
      <c r="J329" s="522"/>
      <c r="K329" s="603"/>
      <c r="L329" s="532">
        <v>0</v>
      </c>
      <c r="M329" s="522"/>
      <c r="N329" s="579">
        <v>0</v>
      </c>
      <c r="O329" s="522"/>
      <c r="P329" s="603"/>
      <c r="Q329" s="532">
        <v>0</v>
      </c>
      <c r="R329" s="522"/>
      <c r="S329" s="579">
        <v>0</v>
      </c>
      <c r="T329" s="509"/>
      <c r="U329" s="509"/>
      <c r="V329" s="509"/>
      <c r="W329" s="509"/>
      <c r="X329" s="509"/>
      <c r="Y329" s="509"/>
      <c r="Z329" s="509"/>
      <c r="AA329" s="509"/>
      <c r="AB329" s="509"/>
      <c r="AC329" s="509"/>
      <c r="AD329" s="509"/>
      <c r="AE329" s="509"/>
      <c r="AF329" s="509"/>
      <c r="AG329" s="509"/>
      <c r="AH329" s="509"/>
      <c r="AI329" s="509"/>
      <c r="AJ329" s="509"/>
      <c r="AK329" s="509"/>
      <c r="AL329" s="509"/>
      <c r="AM329" s="509"/>
      <c r="AN329" s="509"/>
    </row>
    <row r="330" spans="1:40" ht="15.75" customHeight="1">
      <c r="A330" s="494" t="s">
        <v>430</v>
      </c>
      <c r="B330" s="509" t="s">
        <v>103</v>
      </c>
      <c r="C330" s="588" t="s">
        <v>49</v>
      </c>
      <c r="D330" s="589" t="s">
        <v>39</v>
      </c>
      <c r="E330" s="590">
        <v>0.36246738704410802</v>
      </c>
      <c r="F330" s="591">
        <v>46000.984949825637</v>
      </c>
      <c r="G330" s="592"/>
      <c r="H330" s="590"/>
      <c r="I330" s="591"/>
      <c r="J330" s="592" t="s">
        <v>39</v>
      </c>
      <c r="K330" s="590">
        <v>0.484648936032472</v>
      </c>
      <c r="L330" s="591">
        <v>40800.349999999991</v>
      </c>
      <c r="M330" s="646"/>
      <c r="N330" s="605">
        <v>-5200.6349498256459</v>
      </c>
      <c r="O330" s="592" t="s">
        <v>39</v>
      </c>
      <c r="P330" s="590">
        <v>0.45558002996711494</v>
      </c>
      <c r="Q330" s="591">
        <v>47502.249999999993</v>
      </c>
      <c r="R330" s="646"/>
      <c r="S330" s="605">
        <v>-6701.9000000000015</v>
      </c>
      <c r="T330" s="509"/>
      <c r="U330" s="509"/>
      <c r="V330" s="509"/>
      <c r="W330" s="509"/>
      <c r="X330" s="509"/>
      <c r="Y330" s="509"/>
      <c r="Z330" s="509"/>
      <c r="AA330" s="509"/>
      <c r="AB330" s="509"/>
      <c r="AC330" s="509"/>
      <c r="AD330" s="509"/>
      <c r="AE330" s="509"/>
      <c r="AF330" s="509"/>
      <c r="AG330" s="509"/>
      <c r="AH330" s="509"/>
      <c r="AI330" s="509"/>
      <c r="AJ330" s="509"/>
      <c r="AK330" s="509"/>
      <c r="AL330" s="509"/>
      <c r="AM330" s="509"/>
      <c r="AN330" s="509"/>
    </row>
    <row r="331" spans="1:40" ht="15.75" customHeight="1">
      <c r="A331" s="494" t="s">
        <v>431</v>
      </c>
      <c r="B331" s="509" t="s">
        <v>103</v>
      </c>
      <c r="C331" s="703" t="s">
        <v>50</v>
      </c>
      <c r="D331" s="581"/>
      <c r="E331" s="509"/>
      <c r="F331" s="530">
        <v>4451.5681367708321</v>
      </c>
      <c r="G331" s="582"/>
      <c r="H331" s="509"/>
      <c r="I331" s="530"/>
      <c r="J331" s="529"/>
      <c r="K331" s="509"/>
      <c r="L331" s="532">
        <v>3800.67</v>
      </c>
      <c r="M331" s="529"/>
      <c r="N331" s="555">
        <v>-650.89813677083202</v>
      </c>
      <c r="O331" s="529"/>
      <c r="P331" s="509"/>
      <c r="Q331" s="532">
        <v>4220.76</v>
      </c>
      <c r="R331" s="529"/>
      <c r="S331" s="555">
        <v>-420.09000000000015</v>
      </c>
      <c r="T331" s="509"/>
      <c r="U331" s="509"/>
      <c r="V331" s="509"/>
      <c r="W331" s="570"/>
      <c r="X331" s="509"/>
      <c r="Y331" s="509"/>
      <c r="Z331" s="509"/>
      <c r="AA331" s="509"/>
      <c r="AB331" s="509"/>
      <c r="AC331" s="509"/>
      <c r="AD331" s="509"/>
      <c r="AE331" s="509"/>
      <c r="AF331" s="509"/>
      <c r="AG331" s="509"/>
      <c r="AH331" s="509"/>
      <c r="AI331" s="509"/>
      <c r="AJ331" s="509"/>
      <c r="AK331" s="509"/>
      <c r="AL331" s="509"/>
      <c r="AM331" s="509"/>
      <c r="AN331" s="509"/>
    </row>
    <row r="332" spans="1:40" ht="15.75" customHeight="1">
      <c r="A332" s="494" t="s">
        <v>432</v>
      </c>
      <c r="B332" s="509" t="s">
        <v>103</v>
      </c>
      <c r="C332" s="596" t="s">
        <v>51</v>
      </c>
      <c r="D332" s="581"/>
      <c r="E332" s="509"/>
      <c r="F332" s="530">
        <v>1484.7664064747862</v>
      </c>
      <c r="G332" s="582"/>
      <c r="H332" s="509"/>
      <c r="I332" s="530"/>
      <c r="J332" s="529"/>
      <c r="K332" s="509"/>
      <c r="L332" s="532">
        <v>954.5</v>
      </c>
      <c r="M332" s="529"/>
      <c r="N332" s="555">
        <v>-530.26640647478621</v>
      </c>
      <c r="O332" s="529"/>
      <c r="P332" s="509"/>
      <c r="Q332" s="532">
        <v>3208.48</v>
      </c>
      <c r="R332" s="529"/>
      <c r="S332" s="555">
        <v>-2253.98</v>
      </c>
      <c r="T332" s="509"/>
      <c r="U332" s="509"/>
      <c r="V332" s="509"/>
      <c r="W332" s="509"/>
      <c r="X332" s="509"/>
      <c r="Y332" s="509"/>
      <c r="Z332" s="509"/>
      <c r="AA332" s="509"/>
      <c r="AB332" s="509"/>
      <c r="AC332" s="509"/>
      <c r="AD332" s="509"/>
      <c r="AE332" s="509"/>
      <c r="AF332" s="509"/>
      <c r="AG332" s="509"/>
      <c r="AH332" s="509"/>
      <c r="AI332" s="509"/>
      <c r="AJ332" s="509"/>
      <c r="AK332" s="509"/>
      <c r="AL332" s="509"/>
      <c r="AM332" s="509"/>
      <c r="AN332" s="509"/>
    </row>
    <row r="333" spans="1:40" ht="15.75" customHeight="1">
      <c r="A333" s="494" t="s">
        <v>433</v>
      </c>
      <c r="B333" s="509" t="s">
        <v>103</v>
      </c>
      <c r="C333" s="598" t="s">
        <v>52</v>
      </c>
      <c r="D333" s="583"/>
      <c r="E333" s="603"/>
      <c r="F333" s="524">
        <v>1083.3333333333333</v>
      </c>
      <c r="G333" s="584"/>
      <c r="H333" s="603"/>
      <c r="I333" s="524"/>
      <c r="J333" s="522"/>
      <c r="K333" s="603"/>
      <c r="L333" s="532">
        <v>1299.26</v>
      </c>
      <c r="M333" s="522"/>
      <c r="N333" s="579">
        <v>215.92666666666673</v>
      </c>
      <c r="O333" s="522"/>
      <c r="P333" s="603"/>
      <c r="Q333" s="532">
        <v>1031</v>
      </c>
      <c r="R333" s="522"/>
      <c r="S333" s="579">
        <v>268.26</v>
      </c>
      <c r="T333" s="509"/>
      <c r="U333" s="509"/>
      <c r="V333" s="509"/>
      <c r="W333" s="509"/>
      <c r="X333" s="509"/>
      <c r="Y333" s="509"/>
      <c r="Z333" s="509"/>
      <c r="AA333" s="509"/>
      <c r="AB333" s="509"/>
      <c r="AC333" s="509"/>
      <c r="AD333" s="509"/>
      <c r="AE333" s="509"/>
      <c r="AF333" s="509"/>
      <c r="AG333" s="509"/>
      <c r="AH333" s="509"/>
      <c r="AI333" s="509"/>
      <c r="AJ333" s="509"/>
      <c r="AK333" s="509"/>
      <c r="AL333" s="509"/>
      <c r="AM333" s="509"/>
      <c r="AN333" s="509"/>
    </row>
    <row r="334" spans="1:40" ht="15.75" customHeight="1">
      <c r="A334" s="494" t="s">
        <v>434</v>
      </c>
      <c r="B334" s="509" t="s">
        <v>103</v>
      </c>
      <c r="C334" s="596" t="s">
        <v>53</v>
      </c>
      <c r="D334" s="581"/>
      <c r="E334" s="509"/>
      <c r="F334" s="530">
        <v>3808.9357027777774</v>
      </c>
      <c r="G334" s="582"/>
      <c r="H334" s="509"/>
      <c r="I334" s="530"/>
      <c r="J334" s="529"/>
      <c r="K334" s="509"/>
      <c r="L334" s="551">
        <v>4542.16</v>
      </c>
      <c r="M334" s="529"/>
      <c r="N334" s="555">
        <v>733.2242972222225</v>
      </c>
      <c r="O334" s="529"/>
      <c r="P334" s="509"/>
      <c r="Q334" s="551">
        <v>3783.42</v>
      </c>
      <c r="R334" s="529"/>
      <c r="S334" s="555">
        <v>758.73999999999978</v>
      </c>
      <c r="T334" s="509"/>
      <c r="U334" s="509"/>
      <c r="V334" s="509"/>
      <c r="W334" s="509"/>
      <c r="X334" s="509"/>
      <c r="Y334" s="509"/>
      <c r="Z334" s="509"/>
      <c r="AA334" s="509"/>
      <c r="AB334" s="509"/>
      <c r="AC334" s="509"/>
      <c r="AD334" s="509"/>
      <c r="AE334" s="509"/>
      <c r="AF334" s="509"/>
      <c r="AG334" s="509"/>
      <c r="AH334" s="509"/>
      <c r="AI334" s="509"/>
      <c r="AJ334" s="509"/>
      <c r="AK334" s="509"/>
      <c r="AL334" s="509"/>
      <c r="AM334" s="509"/>
      <c r="AN334" s="509"/>
    </row>
    <row r="335" spans="1:40" ht="15.75" customHeight="1">
      <c r="A335" s="494" t="s">
        <v>435</v>
      </c>
      <c r="B335" s="509" t="s">
        <v>103</v>
      </c>
      <c r="C335" s="596" t="s">
        <v>54</v>
      </c>
      <c r="D335" s="581"/>
      <c r="E335" s="509"/>
      <c r="F335" s="530">
        <v>685.62049669649684</v>
      </c>
      <c r="G335" s="582"/>
      <c r="H335" s="509"/>
      <c r="I335" s="530"/>
      <c r="J335" s="529"/>
      <c r="K335" s="509"/>
      <c r="L335" s="532">
        <v>918.93</v>
      </c>
      <c r="M335" s="529"/>
      <c r="N335" s="555">
        <v>233.30950330350311</v>
      </c>
      <c r="O335" s="529"/>
      <c r="P335" s="509"/>
      <c r="Q335" s="532">
        <v>526.75</v>
      </c>
      <c r="R335" s="529"/>
      <c r="S335" s="555">
        <v>392.17999999999995</v>
      </c>
      <c r="T335" s="509"/>
      <c r="U335" s="509"/>
      <c r="V335" s="509"/>
      <c r="W335" s="509"/>
      <c r="X335" s="509"/>
      <c r="Y335" s="509"/>
      <c r="Z335" s="509"/>
      <c r="AA335" s="509"/>
      <c r="AB335" s="509"/>
      <c r="AC335" s="509"/>
      <c r="AD335" s="509"/>
      <c r="AE335" s="509"/>
      <c r="AF335" s="509"/>
      <c r="AG335" s="509"/>
      <c r="AH335" s="509"/>
      <c r="AI335" s="509"/>
      <c r="AJ335" s="509"/>
      <c r="AK335" s="509"/>
      <c r="AL335" s="509"/>
      <c r="AM335" s="509"/>
      <c r="AN335" s="509"/>
    </row>
    <row r="336" spans="1:40" ht="15.75" customHeight="1">
      <c r="A336" s="494" t="s">
        <v>436</v>
      </c>
      <c r="B336" s="509" t="s">
        <v>103</v>
      </c>
      <c r="C336" s="598" t="s">
        <v>55</v>
      </c>
      <c r="D336" s="583"/>
      <c r="E336" s="603"/>
      <c r="F336" s="524">
        <v>12416.827750532408</v>
      </c>
      <c r="G336" s="584"/>
      <c r="H336" s="603"/>
      <c r="I336" s="524"/>
      <c r="J336" s="522"/>
      <c r="K336" s="603"/>
      <c r="L336" s="524">
        <v>10112.43</v>
      </c>
      <c r="M336" s="522"/>
      <c r="N336" s="579">
        <v>-2304.3977505324074</v>
      </c>
      <c r="O336" s="522"/>
      <c r="P336" s="603"/>
      <c r="Q336" s="524">
        <v>16475.91</v>
      </c>
      <c r="R336" s="522"/>
      <c r="S336" s="579">
        <v>-6363.48</v>
      </c>
      <c r="T336" s="509"/>
      <c r="U336" s="509"/>
      <c r="V336" s="509"/>
      <c r="W336" s="509"/>
      <c r="X336" s="509"/>
      <c r="Y336" s="509"/>
      <c r="Z336" s="509"/>
      <c r="AA336" s="509"/>
      <c r="AB336" s="509"/>
      <c r="AC336" s="509"/>
      <c r="AD336" s="509"/>
      <c r="AE336" s="509"/>
      <c r="AF336" s="509"/>
      <c r="AG336" s="509"/>
      <c r="AH336" s="509"/>
      <c r="AI336" s="509"/>
      <c r="AJ336" s="509"/>
      <c r="AK336" s="509"/>
      <c r="AL336" s="509"/>
      <c r="AM336" s="509"/>
      <c r="AN336" s="509"/>
    </row>
    <row r="337" spans="1:40" ht="15.75" customHeight="1">
      <c r="A337" s="494" t="s">
        <v>437</v>
      </c>
      <c r="B337" s="509" t="s">
        <v>103</v>
      </c>
      <c r="C337" s="596" t="s">
        <v>98</v>
      </c>
      <c r="D337" s="581"/>
      <c r="E337" s="509"/>
      <c r="F337" s="530"/>
      <c r="G337" s="582"/>
      <c r="H337" s="509"/>
      <c r="I337" s="530"/>
      <c r="J337" s="529"/>
      <c r="K337" s="509"/>
      <c r="L337" s="532">
        <v>0</v>
      </c>
      <c r="M337" s="529"/>
      <c r="N337" s="555">
        <v>0</v>
      </c>
      <c r="O337" s="529"/>
      <c r="P337" s="509"/>
      <c r="Q337" s="532">
        <v>0</v>
      </c>
      <c r="R337" s="529"/>
      <c r="S337" s="555">
        <v>0</v>
      </c>
      <c r="T337" s="509"/>
      <c r="U337" s="509"/>
      <c r="V337" s="509"/>
      <c r="W337" s="509"/>
      <c r="X337" s="509"/>
      <c r="Y337" s="509"/>
      <c r="Z337" s="509"/>
      <c r="AA337" s="509"/>
      <c r="AB337" s="509"/>
      <c r="AC337" s="509"/>
      <c r="AD337" s="509"/>
      <c r="AE337" s="509"/>
      <c r="AF337" s="509"/>
      <c r="AG337" s="509"/>
      <c r="AH337" s="509"/>
      <c r="AI337" s="509"/>
      <c r="AJ337" s="509"/>
      <c r="AK337" s="509"/>
      <c r="AL337" s="509"/>
      <c r="AM337" s="509"/>
      <c r="AN337" s="509"/>
    </row>
    <row r="338" spans="1:40" ht="15.75" customHeight="1">
      <c r="A338" s="494" t="s">
        <v>438</v>
      </c>
      <c r="B338" s="509" t="s">
        <v>103</v>
      </c>
      <c r="C338" s="596" t="s">
        <v>56</v>
      </c>
      <c r="D338" s="581"/>
      <c r="E338" s="509"/>
      <c r="F338" s="530">
        <v>125</v>
      </c>
      <c r="G338" s="582"/>
      <c r="H338" s="509"/>
      <c r="I338" s="530"/>
      <c r="J338" s="529"/>
      <c r="K338" s="509"/>
      <c r="L338" s="532">
        <v>3.57</v>
      </c>
      <c r="M338" s="529"/>
      <c r="N338" s="555">
        <v>-121.43</v>
      </c>
      <c r="O338" s="529"/>
      <c r="P338" s="509"/>
      <c r="Q338" s="532">
        <v>0</v>
      </c>
      <c r="R338" s="529"/>
      <c r="S338" s="555">
        <v>3.57</v>
      </c>
      <c r="T338" s="509"/>
      <c r="U338" s="509"/>
      <c r="V338" s="509"/>
      <c r="W338" s="509"/>
      <c r="X338" s="509"/>
      <c r="Y338" s="509"/>
      <c r="Z338" s="509"/>
      <c r="AA338" s="509"/>
      <c r="AB338" s="509"/>
      <c r="AC338" s="509"/>
      <c r="AD338" s="509"/>
      <c r="AE338" s="509"/>
      <c r="AF338" s="509"/>
      <c r="AG338" s="509"/>
      <c r="AH338" s="509"/>
      <c r="AI338" s="509"/>
      <c r="AJ338" s="509"/>
      <c r="AK338" s="509"/>
      <c r="AL338" s="509"/>
      <c r="AM338" s="509"/>
      <c r="AN338" s="509"/>
    </row>
    <row r="339" spans="1:40" ht="15.75" customHeight="1">
      <c r="A339" s="494" t="s">
        <v>439</v>
      </c>
      <c r="B339" s="509" t="s">
        <v>103</v>
      </c>
      <c r="C339" s="596" t="s">
        <v>57</v>
      </c>
      <c r="D339" s="581"/>
      <c r="E339" s="509"/>
      <c r="F339" s="530">
        <v>83.333333333333329</v>
      </c>
      <c r="G339" s="582"/>
      <c r="H339" s="509"/>
      <c r="I339" s="530"/>
      <c r="J339" s="529"/>
      <c r="K339" s="509"/>
      <c r="L339" s="532">
        <v>0</v>
      </c>
      <c r="M339" s="529"/>
      <c r="N339" s="555">
        <v>-83.333333333333329</v>
      </c>
      <c r="O339" s="529"/>
      <c r="P339" s="509"/>
      <c r="Q339" s="532">
        <v>0</v>
      </c>
      <c r="R339" s="529"/>
      <c r="S339" s="555">
        <v>0</v>
      </c>
      <c r="T339" s="509"/>
      <c r="U339" s="509"/>
      <c r="V339" s="509"/>
      <c r="W339" s="509"/>
      <c r="X339" s="509"/>
      <c r="Y339" s="509"/>
      <c r="Z339" s="509"/>
      <c r="AA339" s="509"/>
      <c r="AB339" s="509"/>
      <c r="AC339" s="509"/>
      <c r="AD339" s="509"/>
      <c r="AE339" s="509"/>
      <c r="AF339" s="509"/>
      <c r="AG339" s="509"/>
      <c r="AH339" s="509"/>
      <c r="AI339" s="509"/>
      <c r="AJ339" s="509"/>
      <c r="AK339" s="509"/>
      <c r="AL339" s="509"/>
      <c r="AM339" s="509"/>
      <c r="AN339" s="509"/>
    </row>
    <row r="340" spans="1:40" ht="15.75" customHeight="1">
      <c r="A340" s="494" t="s">
        <v>440</v>
      </c>
      <c r="B340" s="509" t="s">
        <v>103</v>
      </c>
      <c r="C340" s="596" t="s">
        <v>58</v>
      </c>
      <c r="D340" s="581"/>
      <c r="E340" s="509"/>
      <c r="F340" s="530">
        <v>617.95293122500004</v>
      </c>
      <c r="G340" s="582"/>
      <c r="H340" s="509"/>
      <c r="I340" s="530"/>
      <c r="J340" s="529"/>
      <c r="K340" s="509"/>
      <c r="L340" s="532">
        <v>303.14</v>
      </c>
      <c r="M340" s="529"/>
      <c r="N340" s="555">
        <v>-314.81293122500006</v>
      </c>
      <c r="O340" s="529"/>
      <c r="P340" s="509"/>
      <c r="Q340" s="532">
        <v>1123.3800000000001</v>
      </c>
      <c r="R340" s="529"/>
      <c r="S340" s="555">
        <v>-820.24000000000012</v>
      </c>
      <c r="T340" s="509"/>
      <c r="U340" s="509"/>
      <c r="V340" s="509"/>
      <c r="W340" s="509"/>
      <c r="X340" s="509"/>
      <c r="Y340" s="509"/>
      <c r="Z340" s="509"/>
      <c r="AA340" s="509"/>
      <c r="AB340" s="509"/>
      <c r="AC340" s="509"/>
      <c r="AD340" s="509"/>
      <c r="AE340" s="509"/>
      <c r="AF340" s="509"/>
      <c r="AG340" s="509"/>
      <c r="AH340" s="509"/>
      <c r="AI340" s="509"/>
      <c r="AJ340" s="509"/>
      <c r="AK340" s="509"/>
      <c r="AL340" s="509"/>
      <c r="AM340" s="509"/>
      <c r="AN340" s="509"/>
    </row>
    <row r="341" spans="1:40" ht="15.75" customHeight="1">
      <c r="A341" s="494" t="s">
        <v>441</v>
      </c>
      <c r="B341" s="509" t="s">
        <v>103</v>
      </c>
      <c r="C341" s="596" t="s">
        <v>59</v>
      </c>
      <c r="D341" s="581"/>
      <c r="E341" s="509"/>
      <c r="F341" s="530">
        <v>131.35821644756945</v>
      </c>
      <c r="G341" s="582"/>
      <c r="H341" s="509"/>
      <c r="I341" s="530"/>
      <c r="J341" s="529"/>
      <c r="K341" s="509"/>
      <c r="L341" s="532">
        <v>90.67</v>
      </c>
      <c r="M341" s="529"/>
      <c r="N341" s="555">
        <v>-40.688216447569445</v>
      </c>
      <c r="O341" s="529"/>
      <c r="P341" s="509"/>
      <c r="Q341" s="532">
        <v>74.930000000000007</v>
      </c>
      <c r="R341" s="529"/>
      <c r="S341" s="555">
        <v>15.739999999999995</v>
      </c>
      <c r="T341" s="509"/>
      <c r="U341" s="509"/>
      <c r="V341" s="509"/>
      <c r="W341" s="509"/>
      <c r="X341" s="509"/>
      <c r="Y341" s="509"/>
      <c r="Z341" s="509"/>
      <c r="AA341" s="509"/>
      <c r="AB341" s="509"/>
      <c r="AC341" s="509"/>
      <c r="AD341" s="509"/>
      <c r="AE341" s="509"/>
      <c r="AF341" s="509"/>
      <c r="AG341" s="509"/>
      <c r="AH341" s="509"/>
      <c r="AI341" s="509"/>
      <c r="AJ341" s="509"/>
      <c r="AK341" s="509"/>
      <c r="AL341" s="509"/>
      <c r="AM341" s="509"/>
      <c r="AN341" s="509"/>
    </row>
    <row r="342" spans="1:40" ht="15.75" customHeight="1">
      <c r="A342" s="494" t="s">
        <v>442</v>
      </c>
      <c r="B342" s="509" t="s">
        <v>103</v>
      </c>
      <c r="C342" s="596" t="s">
        <v>60</v>
      </c>
      <c r="D342" s="581"/>
      <c r="E342" s="509"/>
      <c r="F342" s="530">
        <v>160.29647805243053</v>
      </c>
      <c r="G342" s="582"/>
      <c r="H342" s="509"/>
      <c r="I342" s="530"/>
      <c r="J342" s="529"/>
      <c r="K342" s="509"/>
      <c r="L342" s="532">
        <v>25.75</v>
      </c>
      <c r="M342" s="529"/>
      <c r="N342" s="555">
        <v>-134.54647805243053</v>
      </c>
      <c r="O342" s="529"/>
      <c r="P342" s="509"/>
      <c r="Q342" s="532">
        <v>814.78</v>
      </c>
      <c r="R342" s="529"/>
      <c r="S342" s="555">
        <v>-789.03</v>
      </c>
      <c r="T342" s="509"/>
      <c r="U342" s="509"/>
      <c r="V342" s="509"/>
      <c r="W342" s="509"/>
      <c r="X342" s="509"/>
      <c r="Y342" s="509"/>
      <c r="Z342" s="509"/>
      <c r="AA342" s="509"/>
      <c r="AB342" s="509"/>
      <c r="AC342" s="509"/>
      <c r="AD342" s="509"/>
      <c r="AE342" s="509"/>
      <c r="AF342" s="509"/>
      <c r="AG342" s="509"/>
      <c r="AH342" s="509"/>
      <c r="AI342" s="509"/>
      <c r="AJ342" s="509"/>
      <c r="AK342" s="509"/>
      <c r="AL342" s="509"/>
      <c r="AM342" s="509"/>
      <c r="AN342" s="509"/>
    </row>
    <row r="343" spans="1:40" ht="15.75" customHeight="1">
      <c r="A343" s="494" t="s">
        <v>443</v>
      </c>
      <c r="B343" s="509" t="s">
        <v>103</v>
      </c>
      <c r="C343" s="596" t="s">
        <v>61</v>
      </c>
      <c r="D343" s="581"/>
      <c r="E343" s="509"/>
      <c r="F343" s="530">
        <v>218.76449018368055</v>
      </c>
      <c r="G343" s="582"/>
      <c r="H343" s="509"/>
      <c r="I343" s="530"/>
      <c r="J343" s="529"/>
      <c r="K343" s="509"/>
      <c r="L343" s="532">
        <v>96.66</v>
      </c>
      <c r="M343" s="529"/>
      <c r="N343" s="555">
        <v>-122.10449018368055</v>
      </c>
      <c r="O343" s="529"/>
      <c r="P343" s="509"/>
      <c r="Q343" s="532">
        <v>86.99</v>
      </c>
      <c r="R343" s="529"/>
      <c r="S343" s="555">
        <v>9.6700000000000017</v>
      </c>
      <c r="T343" s="509"/>
      <c r="U343" s="509"/>
      <c r="V343" s="509"/>
      <c r="W343" s="509"/>
      <c r="X343" s="509"/>
      <c r="Y343" s="509"/>
      <c r="Z343" s="509"/>
      <c r="AA343" s="509"/>
      <c r="AB343" s="509"/>
      <c r="AC343" s="509"/>
      <c r="AD343" s="509"/>
      <c r="AE343" s="509"/>
      <c r="AF343" s="509"/>
      <c r="AG343" s="509"/>
      <c r="AH343" s="509"/>
      <c r="AI343" s="509"/>
      <c r="AJ343" s="509"/>
      <c r="AK343" s="509"/>
      <c r="AL343" s="509"/>
      <c r="AM343" s="509"/>
      <c r="AN343" s="509"/>
    </row>
    <row r="344" spans="1:40" ht="15.75" customHeight="1">
      <c r="A344" s="494" t="s">
        <v>444</v>
      </c>
      <c r="B344" s="509" t="s">
        <v>103</v>
      </c>
      <c r="C344" s="596" t="s">
        <v>62</v>
      </c>
      <c r="D344" s="581"/>
      <c r="E344" s="509"/>
      <c r="F344" s="530">
        <v>822.25903298327421</v>
      </c>
      <c r="G344" s="582"/>
      <c r="H344" s="509"/>
      <c r="I344" s="530"/>
      <c r="J344" s="529"/>
      <c r="K344" s="509"/>
      <c r="L344" s="532">
        <v>79.75</v>
      </c>
      <c r="M344" s="529"/>
      <c r="N344" s="555">
        <v>-742.50903298327421</v>
      </c>
      <c r="O344" s="529"/>
      <c r="P344" s="509"/>
      <c r="Q344" s="532">
        <v>-486.8</v>
      </c>
      <c r="R344" s="529"/>
      <c r="S344" s="555">
        <v>566.54999999999995</v>
      </c>
      <c r="T344" s="509"/>
      <c r="X344" s="509"/>
      <c r="Y344" s="509"/>
      <c r="Z344" s="509"/>
      <c r="AA344" s="509"/>
      <c r="AB344" s="509"/>
      <c r="AC344" s="509"/>
      <c r="AD344" s="509"/>
      <c r="AE344" s="509"/>
      <c r="AF344" s="509"/>
      <c r="AG344" s="509"/>
      <c r="AH344" s="509"/>
      <c r="AI344" s="509"/>
      <c r="AJ344" s="509"/>
      <c r="AK344" s="509"/>
      <c r="AL344" s="509"/>
      <c r="AM344" s="509"/>
      <c r="AN344" s="509"/>
    </row>
    <row r="345" spans="1:40" ht="15.75" customHeight="1">
      <c r="A345" s="494" t="s">
        <v>445</v>
      </c>
      <c r="B345" s="509" t="s">
        <v>103</v>
      </c>
      <c r="C345" s="596" t="s">
        <v>63</v>
      </c>
      <c r="D345" s="581"/>
      <c r="E345" s="509"/>
      <c r="F345" s="530">
        <v>1479.6608489796454</v>
      </c>
      <c r="G345" s="582"/>
      <c r="H345" s="509"/>
      <c r="I345" s="530"/>
      <c r="J345" s="529"/>
      <c r="K345" s="509"/>
      <c r="L345" s="532">
        <v>1492.37</v>
      </c>
      <c r="M345" s="529"/>
      <c r="N345" s="555">
        <v>12.709151020354511</v>
      </c>
      <c r="O345" s="529"/>
      <c r="P345" s="509"/>
      <c r="Q345" s="532">
        <v>1572.05</v>
      </c>
      <c r="R345" s="529"/>
      <c r="S345" s="555">
        <v>-79.680000000000064</v>
      </c>
      <c r="T345" s="509"/>
      <c r="X345" s="509"/>
      <c r="Y345" s="509"/>
      <c r="Z345" s="509"/>
      <c r="AA345" s="509"/>
      <c r="AB345" s="509"/>
      <c r="AC345" s="509"/>
      <c r="AD345" s="509"/>
      <c r="AE345" s="509"/>
      <c r="AF345" s="509"/>
      <c r="AG345" s="509"/>
      <c r="AH345" s="509"/>
      <c r="AI345" s="509"/>
      <c r="AJ345" s="509"/>
      <c r="AK345" s="509"/>
      <c r="AL345" s="509"/>
      <c r="AM345" s="509"/>
      <c r="AN345" s="509"/>
    </row>
    <row r="346" spans="1:40" ht="15.75" hidden="1" customHeight="1">
      <c r="A346" s="494" t="s">
        <v>411</v>
      </c>
      <c r="B346" s="509" t="s">
        <v>103</v>
      </c>
      <c r="C346" s="596" t="s">
        <v>20</v>
      </c>
      <c r="D346" s="581"/>
      <c r="E346" s="509"/>
      <c r="F346" s="530">
        <v>0</v>
      </c>
      <c r="G346" s="582"/>
      <c r="H346" s="509"/>
      <c r="I346" s="530"/>
      <c r="J346" s="529"/>
      <c r="K346" s="509"/>
      <c r="L346" s="532">
        <v>0</v>
      </c>
      <c r="M346" s="529"/>
      <c r="N346" s="555">
        <v>0</v>
      </c>
      <c r="O346" s="529"/>
      <c r="P346" s="509"/>
      <c r="Q346" s="532">
        <v>0</v>
      </c>
      <c r="R346" s="529"/>
      <c r="S346" s="555">
        <v>0</v>
      </c>
      <c r="T346" s="509"/>
      <c r="X346" s="509"/>
      <c r="Y346" s="509"/>
      <c r="Z346" s="509"/>
      <c r="AA346" s="509"/>
      <c r="AB346" s="509"/>
      <c r="AC346" s="509"/>
      <c r="AD346" s="509"/>
      <c r="AE346" s="509"/>
      <c r="AF346" s="509"/>
      <c r="AG346" s="509"/>
      <c r="AH346" s="509"/>
      <c r="AI346" s="509"/>
      <c r="AJ346" s="509"/>
      <c r="AK346" s="509"/>
      <c r="AL346" s="509"/>
      <c r="AM346" s="509"/>
      <c r="AN346" s="509"/>
    </row>
    <row r="347" spans="1:40" ht="15.75" hidden="1" customHeight="1">
      <c r="A347" s="494" t="s">
        <v>411</v>
      </c>
      <c r="B347" s="509" t="s">
        <v>103</v>
      </c>
      <c r="C347" s="596" t="s">
        <v>20</v>
      </c>
      <c r="D347" s="581"/>
      <c r="E347" s="509"/>
      <c r="F347" s="530">
        <v>0</v>
      </c>
      <c r="G347" s="582"/>
      <c r="H347" s="509"/>
      <c r="I347" s="530"/>
      <c r="J347" s="529"/>
      <c r="K347" s="509"/>
      <c r="L347" s="532">
        <v>0</v>
      </c>
      <c r="M347" s="529"/>
      <c r="N347" s="555">
        <v>0</v>
      </c>
      <c r="O347" s="529"/>
      <c r="P347" s="509"/>
      <c r="Q347" s="532">
        <v>0</v>
      </c>
      <c r="R347" s="529"/>
      <c r="S347" s="555">
        <v>0</v>
      </c>
      <c r="T347" s="509"/>
      <c r="X347" s="509"/>
      <c r="Y347" s="509"/>
      <c r="Z347" s="509"/>
      <c r="AA347" s="509"/>
      <c r="AB347" s="509"/>
      <c r="AC347" s="509"/>
      <c r="AD347" s="509"/>
      <c r="AE347" s="509"/>
      <c r="AF347" s="509"/>
      <c r="AG347" s="509"/>
      <c r="AH347" s="509"/>
      <c r="AI347" s="509"/>
      <c r="AJ347" s="509"/>
      <c r="AK347" s="509"/>
      <c r="AL347" s="509"/>
      <c r="AM347" s="509"/>
      <c r="AN347" s="509"/>
    </row>
    <row r="348" spans="1:40" ht="15.75" hidden="1" customHeight="1">
      <c r="A348" s="494" t="s">
        <v>411</v>
      </c>
      <c r="B348" s="509" t="s">
        <v>103</v>
      </c>
      <c r="C348" s="596" t="s">
        <v>20</v>
      </c>
      <c r="D348" s="581"/>
      <c r="E348" s="509"/>
      <c r="F348" s="530">
        <v>0</v>
      </c>
      <c r="G348" s="582"/>
      <c r="H348" s="509"/>
      <c r="I348" s="530"/>
      <c r="J348" s="529"/>
      <c r="K348" s="509"/>
      <c r="L348" s="532">
        <v>0</v>
      </c>
      <c r="M348" s="529"/>
      <c r="N348" s="555">
        <v>0</v>
      </c>
      <c r="O348" s="529"/>
      <c r="P348" s="509"/>
      <c r="Q348" s="532">
        <v>0</v>
      </c>
      <c r="R348" s="529"/>
      <c r="S348" s="555">
        <v>0</v>
      </c>
      <c r="T348" s="509"/>
      <c r="X348" s="509"/>
      <c r="Y348" s="509"/>
      <c r="Z348" s="509"/>
      <c r="AA348" s="509"/>
      <c r="AB348" s="509"/>
      <c r="AC348" s="509"/>
      <c r="AD348" s="509"/>
      <c r="AE348" s="509"/>
      <c r="AF348" s="509"/>
      <c r="AG348" s="509"/>
      <c r="AH348" s="509"/>
      <c r="AI348" s="509"/>
      <c r="AJ348" s="509"/>
      <c r="AK348" s="509"/>
      <c r="AL348" s="509"/>
      <c r="AM348" s="509"/>
      <c r="AN348" s="509"/>
    </row>
    <row r="349" spans="1:40" ht="15.75" customHeight="1">
      <c r="B349" s="503"/>
      <c r="C349" s="588" t="s">
        <v>64</v>
      </c>
      <c r="D349" s="589" t="s">
        <v>39</v>
      </c>
      <c r="E349" s="590">
        <v>0.21723684507915858</v>
      </c>
      <c r="F349" s="591">
        <v>27569.677157790564</v>
      </c>
      <c r="G349" s="592"/>
      <c r="H349" s="590"/>
      <c r="I349" s="591"/>
      <c r="J349" s="592" t="s">
        <v>39</v>
      </c>
      <c r="K349" s="590">
        <v>0.28175750727234428</v>
      </c>
      <c r="L349" s="591">
        <v>23719.859999999997</v>
      </c>
      <c r="M349" s="595"/>
      <c r="N349" s="591">
        <v>-3849.8171577905664</v>
      </c>
      <c r="O349" s="592" t="s">
        <v>39</v>
      </c>
      <c r="P349" s="590">
        <v>0.31104236281192965</v>
      </c>
      <c r="Q349" s="591">
        <v>32431.65</v>
      </c>
      <c r="R349" s="595"/>
      <c r="S349" s="591">
        <v>-8711.7900000000027</v>
      </c>
      <c r="T349" s="509"/>
      <c r="X349" s="509"/>
      <c r="Y349" s="509"/>
      <c r="Z349" s="509"/>
      <c r="AA349" s="509"/>
      <c r="AB349" s="509"/>
      <c r="AC349" s="509"/>
      <c r="AD349" s="509"/>
      <c r="AE349" s="509"/>
      <c r="AF349" s="509"/>
      <c r="AG349" s="509"/>
      <c r="AH349" s="509"/>
      <c r="AI349" s="509"/>
      <c r="AJ349" s="509"/>
      <c r="AK349" s="509"/>
      <c r="AL349" s="509"/>
      <c r="AM349" s="509"/>
      <c r="AN349" s="509"/>
    </row>
    <row r="350" spans="1:40" ht="15.75" customHeight="1">
      <c r="B350" s="503"/>
      <c r="C350" s="522"/>
      <c r="D350" s="583"/>
      <c r="E350" s="603"/>
      <c r="F350" s="555"/>
      <c r="G350" s="584"/>
      <c r="H350" s="603"/>
      <c r="I350" s="555"/>
      <c r="J350" s="522"/>
      <c r="K350" s="603"/>
      <c r="L350" s="579"/>
      <c r="M350" s="522"/>
      <c r="N350" s="579"/>
      <c r="O350" s="522"/>
      <c r="P350" s="603"/>
      <c r="Q350" s="579"/>
      <c r="R350" s="522"/>
      <c r="S350" s="579"/>
      <c r="T350" s="509"/>
      <c r="U350" s="509"/>
      <c r="V350" s="509"/>
      <c r="W350" s="509"/>
      <c r="X350" s="509"/>
      <c r="Y350" s="509"/>
      <c r="Z350" s="509"/>
      <c r="AA350" s="509"/>
      <c r="AB350" s="509"/>
      <c r="AC350" s="509"/>
      <c r="AD350" s="509"/>
      <c r="AE350" s="509"/>
      <c r="AF350" s="509"/>
      <c r="AG350" s="509"/>
      <c r="AH350" s="509"/>
      <c r="AI350" s="509"/>
      <c r="AJ350" s="509"/>
      <c r="AK350" s="509"/>
      <c r="AL350" s="509"/>
      <c r="AM350" s="509"/>
      <c r="AN350" s="509"/>
    </row>
    <row r="351" spans="1:40" ht="15.75" customHeight="1">
      <c r="B351" s="503"/>
      <c r="C351" s="588" t="s">
        <v>65</v>
      </c>
      <c r="D351" s="589" t="s">
        <v>39</v>
      </c>
      <c r="E351" s="590">
        <v>0.57970423212326661</v>
      </c>
      <c r="F351" s="591">
        <v>73570.662107616197</v>
      </c>
      <c r="G351" s="592"/>
      <c r="H351" s="590"/>
      <c r="I351" s="591"/>
      <c r="J351" s="592" t="s">
        <v>39</v>
      </c>
      <c r="K351" s="590">
        <v>0.76640644330481633</v>
      </c>
      <c r="L351" s="591">
        <v>64520.209999999992</v>
      </c>
      <c r="M351" s="595"/>
      <c r="N351" s="605">
        <v>-9050.4521076162055</v>
      </c>
      <c r="O351" s="592" t="s">
        <v>39</v>
      </c>
      <c r="P351" s="590">
        <v>0.76662239277904454</v>
      </c>
      <c r="Q351" s="591">
        <v>79933.899999999994</v>
      </c>
      <c r="R351" s="595"/>
      <c r="S351" s="605">
        <v>-15413.690000000002</v>
      </c>
      <c r="T351" s="509"/>
      <c r="U351" s="509"/>
      <c r="V351" s="509"/>
      <c r="W351" s="509"/>
      <c r="X351" s="509"/>
      <c r="Y351" s="509"/>
      <c r="Z351" s="509"/>
      <c r="AA351" s="509"/>
      <c r="AB351" s="509"/>
      <c r="AC351" s="509"/>
      <c r="AD351" s="509"/>
      <c r="AE351" s="509"/>
      <c r="AF351" s="509"/>
      <c r="AG351" s="509"/>
      <c r="AH351" s="509"/>
      <c r="AI351" s="509"/>
      <c r="AJ351" s="509"/>
      <c r="AK351" s="509"/>
      <c r="AL351" s="509"/>
      <c r="AM351" s="509"/>
      <c r="AN351" s="509"/>
    </row>
    <row r="352" spans="1:40" ht="15.75" customHeight="1">
      <c r="B352" s="503"/>
      <c r="C352" s="529"/>
      <c r="D352" s="581"/>
      <c r="E352" s="509"/>
      <c r="F352" s="555"/>
      <c r="G352" s="582"/>
      <c r="H352" s="509"/>
      <c r="I352" s="555"/>
      <c r="J352" s="529"/>
      <c r="K352" s="509"/>
      <c r="L352" s="555"/>
      <c r="M352" s="529"/>
      <c r="N352" s="555">
        <v>0</v>
      </c>
      <c r="O352" s="529"/>
      <c r="P352" s="509"/>
      <c r="Q352" s="555"/>
      <c r="R352" s="529"/>
      <c r="S352" s="555"/>
      <c r="T352" s="509"/>
      <c r="U352" s="509"/>
      <c r="V352" s="509"/>
      <c r="W352" s="509"/>
      <c r="X352" s="509"/>
      <c r="Y352" s="509"/>
      <c r="Z352" s="509"/>
      <c r="AA352" s="509"/>
      <c r="AB352" s="509"/>
      <c r="AC352" s="509"/>
      <c r="AD352" s="509"/>
      <c r="AE352" s="509"/>
      <c r="AF352" s="509"/>
      <c r="AG352" s="509"/>
      <c r="AH352" s="509"/>
      <c r="AI352" s="509"/>
      <c r="AJ352" s="509"/>
      <c r="AK352" s="509"/>
      <c r="AL352" s="509"/>
      <c r="AM352" s="509"/>
      <c r="AN352" s="509"/>
    </row>
    <row r="353" spans="1:40" ht="24" customHeight="1" thickBot="1">
      <c r="B353" s="503"/>
      <c r="C353" s="621" t="s">
        <v>72</v>
      </c>
      <c r="D353" s="651"/>
      <c r="E353" s="622"/>
      <c r="F353" s="624">
        <v>53340.024464657006</v>
      </c>
      <c r="G353" s="652"/>
      <c r="H353" s="622"/>
      <c r="I353" s="624"/>
      <c r="J353" s="621"/>
      <c r="K353" s="623"/>
      <c r="L353" s="624">
        <v>19665.160000000018</v>
      </c>
      <c r="M353" s="621"/>
      <c r="N353" s="624">
        <v>-33674.864464656988</v>
      </c>
      <c r="O353" s="621"/>
      <c r="P353" s="626">
        <v>6.7979348843695386E-2</v>
      </c>
      <c r="Q353" s="624">
        <v>24333.72999999988</v>
      </c>
      <c r="R353" s="621"/>
      <c r="S353" s="624">
        <v>-4668.5699999998615</v>
      </c>
      <c r="T353" s="509"/>
      <c r="U353" s="509"/>
      <c r="V353" s="509"/>
      <c r="W353" s="509"/>
      <c r="X353" s="509"/>
      <c r="Y353" s="509"/>
      <c r="Z353" s="509"/>
      <c r="AA353" s="509"/>
      <c r="AB353" s="509"/>
      <c r="AC353" s="509"/>
      <c r="AD353" s="509"/>
      <c r="AE353" s="509"/>
      <c r="AF353" s="509"/>
      <c r="AG353" s="509"/>
      <c r="AH353" s="509"/>
      <c r="AI353" s="509"/>
      <c r="AJ353" s="509"/>
      <c r="AK353" s="509"/>
      <c r="AL353" s="509"/>
      <c r="AM353" s="509"/>
      <c r="AN353" s="509"/>
    </row>
    <row r="354" spans="1:40" ht="15.75" customHeight="1" thickTop="1">
      <c r="B354" s="503"/>
      <c r="C354" s="568"/>
      <c r="D354" s="581"/>
      <c r="E354" s="509"/>
      <c r="F354" s="604"/>
      <c r="G354" s="581"/>
      <c r="H354" s="509"/>
      <c r="I354" s="604"/>
      <c r="J354" s="568"/>
      <c r="K354" s="568"/>
      <c r="L354" s="604"/>
      <c r="M354" s="568"/>
      <c r="N354" s="604"/>
      <c r="O354" s="568"/>
      <c r="P354" s="568"/>
      <c r="Q354" s="604"/>
      <c r="R354" s="568"/>
      <c r="S354" s="604"/>
      <c r="T354" s="509"/>
      <c r="U354" s="509"/>
      <c r="V354" s="509"/>
      <c r="W354" s="509"/>
      <c r="X354" s="509"/>
      <c r="Y354" s="509"/>
      <c r="Z354" s="509"/>
      <c r="AA354" s="509"/>
      <c r="AB354" s="509"/>
      <c r="AC354" s="509"/>
      <c r="AD354" s="509"/>
      <c r="AE354" s="509"/>
      <c r="AF354" s="509"/>
      <c r="AG354" s="509"/>
      <c r="AH354" s="509"/>
      <c r="AI354" s="509"/>
      <c r="AJ354" s="509"/>
      <c r="AK354" s="509"/>
      <c r="AL354" s="509"/>
      <c r="AM354" s="509"/>
      <c r="AN354" s="509"/>
    </row>
    <row r="355" spans="1:40" ht="15.75" hidden="1" customHeight="1">
      <c r="B355" s="503"/>
      <c r="C355" s="568"/>
      <c r="D355" s="581"/>
      <c r="E355" s="509"/>
      <c r="F355" s="604"/>
      <c r="G355" s="581"/>
      <c r="H355" s="509"/>
      <c r="I355" s="604"/>
      <c r="J355" s="568"/>
      <c r="K355" s="568"/>
      <c r="L355" s="604"/>
      <c r="M355" s="568"/>
      <c r="N355" s="604"/>
      <c r="O355" s="568"/>
      <c r="P355" s="568"/>
      <c r="Q355" s="604"/>
      <c r="R355" s="568"/>
      <c r="S355" s="604"/>
      <c r="T355" s="509"/>
      <c r="U355" s="509"/>
      <c r="V355" s="509"/>
      <c r="W355" s="509"/>
      <c r="X355" s="509"/>
      <c r="Y355" s="509"/>
      <c r="Z355" s="509"/>
      <c r="AA355" s="509"/>
      <c r="AB355" s="509"/>
      <c r="AC355" s="509"/>
      <c r="AD355" s="509"/>
      <c r="AE355" s="509"/>
      <c r="AF355" s="509"/>
      <c r="AG355" s="509"/>
      <c r="AH355" s="509"/>
      <c r="AI355" s="509"/>
      <c r="AJ355" s="509"/>
      <c r="AK355" s="509"/>
      <c r="AL355" s="509"/>
      <c r="AM355" s="509"/>
      <c r="AN355" s="509"/>
    </row>
    <row r="356" spans="1:40" ht="34.5" hidden="1" customHeight="1">
      <c r="B356" s="503"/>
      <c r="C356" s="631" t="s">
        <v>477</v>
      </c>
      <c r="D356" s="497"/>
      <c r="E356" s="497"/>
      <c r="F356" s="497"/>
      <c r="G356" s="497"/>
      <c r="H356" s="495"/>
      <c r="I356" s="495"/>
      <c r="J356" s="495"/>
      <c r="K356" s="499" t="s">
        <v>119</v>
      </c>
      <c r="L356" s="497"/>
      <c r="M356" s="497"/>
      <c r="N356" s="495"/>
      <c r="O356" s="495"/>
      <c r="P356" s="497"/>
      <c r="Q356" s="495"/>
      <c r="R356" s="497"/>
      <c r="S356" s="632" t="s">
        <v>485</v>
      </c>
      <c r="T356" s="506"/>
      <c r="U356" s="506"/>
      <c r="V356" s="509"/>
      <c r="W356" s="506"/>
      <c r="X356" s="506"/>
      <c r="Y356" s="506"/>
      <c r="Z356" s="506"/>
      <c r="AA356" s="506"/>
      <c r="AB356" s="506"/>
      <c r="AC356" s="506"/>
      <c r="AD356" s="506"/>
      <c r="AE356" s="506"/>
      <c r="AF356" s="506"/>
      <c r="AG356" s="506"/>
      <c r="AH356" s="506"/>
      <c r="AI356" s="506"/>
      <c r="AJ356" s="506"/>
      <c r="AK356" s="506"/>
      <c r="AL356" s="506"/>
      <c r="AM356" s="506"/>
      <c r="AN356" s="506"/>
    </row>
    <row r="357" spans="1:40" ht="15.75" hidden="1" customHeight="1">
      <c r="B357" s="503"/>
      <c r="C357" s="504"/>
      <c r="D357" s="506"/>
      <c r="E357" s="506"/>
      <c r="F357" s="506"/>
      <c r="G357" s="506"/>
      <c r="H357" s="506"/>
      <c r="I357" s="506"/>
      <c r="J357" s="506"/>
      <c r="K357" s="506"/>
      <c r="L357" s="506"/>
      <c r="M357" s="506"/>
      <c r="N357" s="506"/>
      <c r="O357" s="506"/>
      <c r="P357" s="506"/>
      <c r="Q357" s="506"/>
      <c r="R357" s="506"/>
      <c r="S357" s="506"/>
      <c r="T357" s="506"/>
      <c r="U357" s="506"/>
      <c r="V357" s="509"/>
      <c r="W357" s="506"/>
      <c r="X357" s="506"/>
      <c r="Y357" s="506"/>
      <c r="Z357" s="506"/>
      <c r="AA357" s="506"/>
      <c r="AB357" s="506"/>
      <c r="AC357" s="506"/>
      <c r="AD357" s="506"/>
      <c r="AE357" s="506"/>
      <c r="AF357" s="506"/>
      <c r="AG357" s="506"/>
      <c r="AH357" s="506"/>
      <c r="AI357" s="506"/>
      <c r="AJ357" s="506"/>
      <c r="AK357" s="506"/>
      <c r="AL357" s="506"/>
      <c r="AM357" s="506"/>
      <c r="AN357" s="506"/>
    </row>
    <row r="358" spans="1:40" ht="15.75" hidden="1" customHeight="1">
      <c r="B358" s="503"/>
      <c r="C358" s="510"/>
      <c r="D358" s="511" t="s">
        <v>5</v>
      </c>
      <c r="E358" s="512"/>
      <c r="F358" s="513"/>
      <c r="G358" s="514"/>
      <c r="H358" s="512"/>
      <c r="I358" s="513"/>
      <c r="J358" s="514" t="s">
        <v>7</v>
      </c>
      <c r="K358" s="512"/>
      <c r="L358" s="513"/>
      <c r="M358" s="514"/>
      <c r="N358" s="513"/>
      <c r="O358" s="511" t="s">
        <v>8</v>
      </c>
      <c r="P358" s="512"/>
      <c r="Q358" s="513"/>
      <c r="R358" s="514" t="s">
        <v>9</v>
      </c>
      <c r="S358" s="513"/>
      <c r="T358" s="506"/>
      <c r="U358" s="506"/>
      <c r="V358" s="509"/>
      <c r="W358" s="506"/>
      <c r="X358" s="506"/>
      <c r="Y358" s="506"/>
      <c r="Z358" s="506"/>
      <c r="AA358" s="506"/>
      <c r="AB358" s="506"/>
      <c r="AC358" s="506"/>
      <c r="AD358" s="506"/>
      <c r="AE358" s="506"/>
      <c r="AF358" s="506"/>
      <c r="AG358" s="506"/>
      <c r="AH358" s="506"/>
      <c r="AI358" s="506"/>
      <c r="AJ358" s="506"/>
      <c r="AK358" s="506"/>
      <c r="AL358" s="506"/>
      <c r="AM358" s="506"/>
      <c r="AN358" s="506"/>
    </row>
    <row r="359" spans="1:40" ht="15.75" hidden="1" customHeight="1">
      <c r="A359" s="494" t="s">
        <v>119</v>
      </c>
      <c r="B359" s="509" t="s">
        <v>119</v>
      </c>
      <c r="C359" s="529"/>
      <c r="D359" s="716" t="s">
        <v>84</v>
      </c>
      <c r="E359" s="716" t="s">
        <v>104</v>
      </c>
      <c r="F359" s="717" t="s">
        <v>12</v>
      </c>
      <c r="G359" s="718"/>
      <c r="H359" s="716"/>
      <c r="I359" s="717"/>
      <c r="J359" s="655" t="s">
        <v>84</v>
      </c>
      <c r="K359" s="572" t="s">
        <v>104</v>
      </c>
      <c r="L359" s="654" t="s">
        <v>12</v>
      </c>
      <c r="M359" s="655"/>
      <c r="N359" s="654"/>
      <c r="O359" s="655" t="s">
        <v>84</v>
      </c>
      <c r="P359" s="572" t="s">
        <v>104</v>
      </c>
      <c r="Q359" s="654" t="s">
        <v>12</v>
      </c>
      <c r="R359" s="655" t="s">
        <v>85</v>
      </c>
      <c r="S359" s="654" t="s">
        <v>12</v>
      </c>
      <c r="T359" s="506"/>
      <c r="U359" s="506"/>
      <c r="V359" s="509"/>
      <c r="W359" s="506"/>
      <c r="X359" s="506"/>
      <c r="Y359" s="506"/>
      <c r="Z359" s="506"/>
      <c r="AA359" s="506"/>
      <c r="AB359" s="506"/>
      <c r="AC359" s="506"/>
      <c r="AD359" s="506"/>
      <c r="AE359" s="506"/>
      <c r="AF359" s="506"/>
      <c r="AG359" s="506"/>
      <c r="AH359" s="506"/>
      <c r="AI359" s="506"/>
      <c r="AJ359" s="506"/>
      <c r="AK359" s="506"/>
      <c r="AL359" s="506"/>
      <c r="AM359" s="506"/>
      <c r="AN359" s="506"/>
    </row>
    <row r="360" spans="1:40" ht="15.75" hidden="1" customHeight="1">
      <c r="A360" s="494" t="s">
        <v>446</v>
      </c>
      <c r="B360" s="509" t="s">
        <v>119</v>
      </c>
      <c r="C360" s="557" t="s">
        <v>119</v>
      </c>
      <c r="D360" s="719">
        <v>0</v>
      </c>
      <c r="E360" s="720">
        <v>0</v>
      </c>
      <c r="F360" s="721">
        <v>0</v>
      </c>
      <c r="G360" s="719"/>
      <c r="H360" s="720"/>
      <c r="I360" s="719"/>
      <c r="J360" s="722">
        <v>0</v>
      </c>
      <c r="K360" s="707">
        <v>0</v>
      </c>
      <c r="L360" s="723">
        <v>0</v>
      </c>
      <c r="M360" s="708"/>
      <c r="N360" s="709"/>
      <c r="O360" s="722">
        <v>0</v>
      </c>
      <c r="P360" s="707">
        <v>0</v>
      </c>
      <c r="Q360" s="723">
        <v>0</v>
      </c>
      <c r="R360" s="708">
        <v>0</v>
      </c>
      <c r="S360" s="709">
        <v>0</v>
      </c>
      <c r="T360" s="506"/>
      <c r="U360" s="506"/>
      <c r="V360" s="724"/>
      <c r="W360" s="506"/>
      <c r="X360" s="506"/>
      <c r="Y360" s="506"/>
      <c r="Z360" s="506"/>
      <c r="AA360" s="506"/>
      <c r="AB360" s="506"/>
      <c r="AC360" s="506"/>
      <c r="AD360" s="506"/>
      <c r="AE360" s="506"/>
      <c r="AF360" s="506"/>
      <c r="AG360" s="506"/>
      <c r="AH360" s="506"/>
      <c r="AI360" s="506"/>
      <c r="AJ360" s="506"/>
      <c r="AK360" s="506"/>
      <c r="AL360" s="506"/>
      <c r="AM360" s="506"/>
      <c r="AN360" s="506"/>
    </row>
    <row r="361" spans="1:40" ht="15.75" hidden="1" customHeight="1">
      <c r="A361" s="494" t="s">
        <v>119</v>
      </c>
      <c r="B361" s="509" t="s">
        <v>119</v>
      </c>
      <c r="C361" s="621"/>
      <c r="D361" s="710"/>
      <c r="E361" s="711"/>
      <c r="F361" s="624"/>
      <c r="G361" s="712"/>
      <c r="H361" s="711"/>
      <c r="I361" s="624"/>
      <c r="J361" s="712"/>
      <c r="K361" s="711"/>
      <c r="L361" s="624"/>
      <c r="M361" s="714"/>
      <c r="N361" s="567"/>
      <c r="O361" s="712"/>
      <c r="P361" s="711"/>
      <c r="Q361" s="624"/>
      <c r="R361" s="714"/>
      <c r="S361" s="567"/>
      <c r="T361" s="506"/>
      <c r="U361" s="506"/>
      <c r="V361" s="509"/>
      <c r="W361" s="506"/>
      <c r="X361" s="506"/>
      <c r="Y361" s="506"/>
      <c r="Z361" s="506"/>
      <c r="AA361" s="506"/>
      <c r="AB361" s="506"/>
      <c r="AC361" s="506"/>
      <c r="AD361" s="506"/>
      <c r="AE361" s="506"/>
      <c r="AF361" s="506"/>
      <c r="AG361" s="506"/>
      <c r="AH361" s="506"/>
      <c r="AI361" s="506"/>
      <c r="AJ361" s="506"/>
      <c r="AK361" s="506"/>
      <c r="AL361" s="506"/>
      <c r="AM361" s="506"/>
      <c r="AN361" s="506"/>
    </row>
    <row r="362" spans="1:40" ht="15.75" hidden="1" customHeight="1">
      <c r="A362" s="494" t="s">
        <v>447</v>
      </c>
      <c r="B362" s="509" t="s">
        <v>119</v>
      </c>
      <c r="C362" s="548" t="s">
        <v>120</v>
      </c>
      <c r="D362" s="604">
        <v>0</v>
      </c>
      <c r="E362" s="666">
        <v>0</v>
      </c>
      <c r="F362" s="668">
        <v>0</v>
      </c>
      <c r="G362" s="667"/>
      <c r="H362" s="666"/>
      <c r="I362" s="668"/>
      <c r="J362" s="667">
        <v>0</v>
      </c>
      <c r="K362" s="666">
        <v>0</v>
      </c>
      <c r="L362" s="668">
        <v>0</v>
      </c>
      <c r="M362" s="644"/>
      <c r="N362" s="725"/>
      <c r="O362" s="667">
        <v>0</v>
      </c>
      <c r="P362" s="666">
        <v>0</v>
      </c>
      <c r="Q362" s="668">
        <v>0</v>
      </c>
      <c r="R362" s="529">
        <v>0</v>
      </c>
      <c r="S362" s="547">
        <v>0</v>
      </c>
      <c r="T362" s="506"/>
      <c r="U362" s="506"/>
      <c r="V362" s="509"/>
      <c r="W362" s="506"/>
      <c r="X362" s="506"/>
      <c r="Y362" s="506"/>
      <c r="Z362" s="506"/>
      <c r="AA362" s="506"/>
      <c r="AB362" s="506"/>
      <c r="AC362" s="506"/>
      <c r="AD362" s="506"/>
      <c r="AE362" s="506"/>
      <c r="AF362" s="506"/>
      <c r="AG362" s="506"/>
      <c r="AH362" s="506"/>
      <c r="AI362" s="506"/>
      <c r="AJ362" s="506"/>
      <c r="AK362" s="506"/>
      <c r="AL362" s="506"/>
      <c r="AM362" s="506"/>
      <c r="AN362" s="506"/>
    </row>
    <row r="363" spans="1:40" ht="15.75" hidden="1" customHeight="1">
      <c r="A363" s="494" t="s">
        <v>119</v>
      </c>
      <c r="B363" s="509" t="s">
        <v>119</v>
      </c>
      <c r="C363" s="571"/>
      <c r="D363" s="509"/>
      <c r="E363" s="509"/>
      <c r="F363" s="555"/>
      <c r="G363" s="529"/>
      <c r="H363" s="509"/>
      <c r="I363" s="555"/>
      <c r="J363" s="529"/>
      <c r="K363" s="509"/>
      <c r="L363" s="539"/>
      <c r="M363" s="529"/>
      <c r="N363" s="656"/>
      <c r="O363" s="529"/>
      <c r="P363" s="509"/>
      <c r="Q363" s="539"/>
      <c r="R363" s="529"/>
      <c r="S363" s="539">
        <v>0</v>
      </c>
      <c r="T363" s="506"/>
      <c r="U363" s="506"/>
      <c r="V363" s="509"/>
      <c r="W363" s="506"/>
      <c r="X363" s="506"/>
      <c r="Y363" s="506"/>
      <c r="Z363" s="506"/>
      <c r="AA363" s="506"/>
      <c r="AB363" s="506"/>
      <c r="AC363" s="506"/>
      <c r="AD363" s="506"/>
      <c r="AE363" s="506"/>
      <c r="AF363" s="506"/>
      <c r="AG363" s="506"/>
      <c r="AH363" s="506"/>
      <c r="AI363" s="506"/>
      <c r="AJ363" s="506"/>
      <c r="AK363" s="506"/>
      <c r="AL363" s="506"/>
      <c r="AM363" s="506"/>
      <c r="AN363" s="506"/>
    </row>
    <row r="364" spans="1:40" ht="15.75" hidden="1" customHeight="1">
      <c r="A364" s="494" t="s">
        <v>448</v>
      </c>
      <c r="B364" s="509" t="s">
        <v>119</v>
      </c>
      <c r="C364" s="571" t="s">
        <v>30</v>
      </c>
      <c r="D364" s="509"/>
      <c r="E364" s="509"/>
      <c r="F364" s="555"/>
      <c r="G364" s="529"/>
      <c r="H364" s="509"/>
      <c r="I364" s="555"/>
      <c r="J364" s="529"/>
      <c r="K364" s="509"/>
      <c r="L364" s="539"/>
      <c r="M364" s="529"/>
      <c r="N364" s="539"/>
      <c r="O364" s="529"/>
      <c r="P364" s="509"/>
      <c r="Q364" s="539"/>
      <c r="R364" s="529"/>
      <c r="S364" s="539"/>
      <c r="T364" s="506"/>
      <c r="U364" s="506"/>
      <c r="V364" s="509"/>
      <c r="W364" s="506"/>
      <c r="X364" s="506"/>
      <c r="Y364" s="506"/>
      <c r="Z364" s="506"/>
      <c r="AA364" s="506"/>
      <c r="AB364" s="506"/>
      <c r="AC364" s="506"/>
      <c r="AD364" s="506"/>
      <c r="AE364" s="506"/>
      <c r="AF364" s="506"/>
      <c r="AG364" s="506"/>
      <c r="AH364" s="506"/>
      <c r="AI364" s="506"/>
      <c r="AJ364" s="506"/>
      <c r="AK364" s="506"/>
      <c r="AL364" s="506"/>
      <c r="AM364" s="506"/>
      <c r="AN364" s="506"/>
    </row>
    <row r="365" spans="1:40" ht="15.75" hidden="1" customHeight="1">
      <c r="A365" s="494" t="s">
        <v>449</v>
      </c>
      <c r="B365" s="509" t="s">
        <v>119</v>
      </c>
      <c r="C365" s="596" t="s">
        <v>41</v>
      </c>
      <c r="D365" s="509"/>
      <c r="E365" s="509"/>
      <c r="F365" s="530">
        <v>0</v>
      </c>
      <c r="G365" s="529"/>
      <c r="H365" s="509"/>
      <c r="I365" s="530"/>
      <c r="J365" s="529"/>
      <c r="K365" s="509"/>
      <c r="L365" s="532">
        <v>0</v>
      </c>
      <c r="M365" s="529"/>
      <c r="N365" s="539"/>
      <c r="O365" s="529"/>
      <c r="P365" s="509"/>
      <c r="Q365" s="532">
        <v>0</v>
      </c>
      <c r="R365" s="529"/>
      <c r="S365" s="532">
        <v>0</v>
      </c>
      <c r="T365" s="506"/>
      <c r="U365" s="506"/>
      <c r="V365" s="509"/>
      <c r="W365" s="506"/>
      <c r="X365" s="506"/>
      <c r="Y365" s="506"/>
      <c r="Z365" s="506"/>
      <c r="AA365" s="506"/>
      <c r="AB365" s="506"/>
      <c r="AC365" s="506"/>
      <c r="AD365" s="506"/>
      <c r="AE365" s="506"/>
      <c r="AF365" s="506"/>
      <c r="AG365" s="506"/>
      <c r="AH365" s="506"/>
      <c r="AI365" s="506"/>
      <c r="AJ365" s="506"/>
      <c r="AK365" s="506"/>
      <c r="AL365" s="506"/>
      <c r="AM365" s="506"/>
      <c r="AN365" s="506"/>
    </row>
    <row r="366" spans="1:40" ht="15.75" hidden="1" customHeight="1">
      <c r="A366" s="494" t="s">
        <v>450</v>
      </c>
      <c r="B366" s="509" t="s">
        <v>119</v>
      </c>
      <c r="C366" s="598" t="s">
        <v>42</v>
      </c>
      <c r="D366" s="581"/>
      <c r="E366" s="509"/>
      <c r="F366" s="524">
        <v>0</v>
      </c>
      <c r="G366" s="582"/>
      <c r="H366" s="509"/>
      <c r="I366" s="524"/>
      <c r="J366" s="529"/>
      <c r="K366" s="509"/>
      <c r="L366" s="524">
        <v>0</v>
      </c>
      <c r="M366" s="529"/>
      <c r="N366" s="555"/>
      <c r="O366" s="529"/>
      <c r="P366" s="509"/>
      <c r="Q366" s="524">
        <v>0</v>
      </c>
      <c r="R366" s="529"/>
      <c r="S366" s="555">
        <v>0</v>
      </c>
      <c r="T366" s="506"/>
      <c r="U366" s="506"/>
      <c r="V366" s="509"/>
      <c r="W366" s="506"/>
      <c r="X366" s="506"/>
      <c r="Y366" s="506"/>
      <c r="Z366" s="506"/>
      <c r="AA366" s="506"/>
      <c r="AB366" s="506"/>
      <c r="AC366" s="506"/>
      <c r="AD366" s="506"/>
      <c r="AE366" s="506"/>
      <c r="AF366" s="506"/>
      <c r="AG366" s="506"/>
      <c r="AH366" s="506"/>
      <c r="AI366" s="506"/>
      <c r="AJ366" s="506"/>
      <c r="AK366" s="506"/>
      <c r="AL366" s="506"/>
      <c r="AM366" s="506"/>
      <c r="AN366" s="506"/>
    </row>
    <row r="367" spans="1:40" ht="15.75" hidden="1" customHeight="1">
      <c r="A367" s="494" t="s">
        <v>451</v>
      </c>
      <c r="B367" s="509" t="s">
        <v>119</v>
      </c>
      <c r="C367" s="596" t="s">
        <v>43</v>
      </c>
      <c r="D367" s="599"/>
      <c r="E367" s="600"/>
      <c r="F367" s="530">
        <v>0</v>
      </c>
      <c r="G367" s="601"/>
      <c r="H367" s="600"/>
      <c r="I367" s="530"/>
      <c r="J367" s="517"/>
      <c r="K367" s="600"/>
      <c r="L367" s="532">
        <v>0</v>
      </c>
      <c r="M367" s="517"/>
      <c r="N367" s="602"/>
      <c r="O367" s="517"/>
      <c r="P367" s="600"/>
      <c r="Q367" s="532">
        <v>0</v>
      </c>
      <c r="R367" s="517"/>
      <c r="S367" s="602">
        <v>0</v>
      </c>
      <c r="T367" s="506"/>
      <c r="U367" s="506"/>
      <c r="V367" s="509"/>
      <c r="W367" s="506"/>
      <c r="X367" s="506"/>
      <c r="Y367" s="506"/>
      <c r="Z367" s="506"/>
      <c r="AA367" s="506"/>
      <c r="AB367" s="506"/>
      <c r="AC367" s="506"/>
      <c r="AD367" s="506"/>
      <c r="AE367" s="506"/>
      <c r="AF367" s="506"/>
      <c r="AG367" s="506"/>
      <c r="AH367" s="506"/>
      <c r="AI367" s="506"/>
      <c r="AJ367" s="506"/>
      <c r="AK367" s="506"/>
      <c r="AL367" s="506"/>
      <c r="AM367" s="506"/>
      <c r="AN367" s="506"/>
    </row>
    <row r="368" spans="1:40" ht="15.75" hidden="1" customHeight="1">
      <c r="A368" s="494" t="s">
        <v>452</v>
      </c>
      <c r="B368" s="509" t="s">
        <v>119</v>
      </c>
      <c r="C368" s="596" t="s">
        <v>44</v>
      </c>
      <c r="D368" s="581"/>
      <c r="E368" s="509"/>
      <c r="F368" s="530">
        <v>0</v>
      </c>
      <c r="G368" s="582"/>
      <c r="H368" s="509"/>
      <c r="I368" s="530"/>
      <c r="J368" s="529"/>
      <c r="K368" s="509"/>
      <c r="L368" s="532">
        <v>0</v>
      </c>
      <c r="M368" s="529"/>
      <c r="N368" s="555"/>
      <c r="O368" s="529"/>
      <c r="P368" s="509"/>
      <c r="Q368" s="532">
        <v>0</v>
      </c>
      <c r="R368" s="529"/>
      <c r="S368" s="555">
        <v>0</v>
      </c>
      <c r="T368" s="506"/>
      <c r="U368" s="506"/>
      <c r="V368" s="509"/>
      <c r="W368" s="506"/>
      <c r="X368" s="506"/>
      <c r="Y368" s="506"/>
      <c r="Z368" s="506"/>
      <c r="AA368" s="506"/>
      <c r="AB368" s="506"/>
      <c r="AC368" s="506"/>
      <c r="AD368" s="506"/>
      <c r="AE368" s="506"/>
      <c r="AF368" s="506"/>
      <c r="AG368" s="506"/>
      <c r="AH368" s="506"/>
      <c r="AI368" s="506"/>
      <c r="AJ368" s="506"/>
      <c r="AK368" s="506"/>
      <c r="AL368" s="506"/>
      <c r="AM368" s="506"/>
      <c r="AN368" s="506"/>
    </row>
    <row r="369" spans="1:40" ht="15.75" hidden="1" customHeight="1">
      <c r="A369" s="494" t="s">
        <v>453</v>
      </c>
      <c r="B369" s="509" t="s">
        <v>119</v>
      </c>
      <c r="C369" s="529" t="s">
        <v>20</v>
      </c>
      <c r="D369" s="581"/>
      <c r="E369" s="509"/>
      <c r="F369" s="530">
        <v>0</v>
      </c>
      <c r="G369" s="582"/>
      <c r="H369" s="509"/>
      <c r="I369" s="530"/>
      <c r="J369" s="529"/>
      <c r="K369" s="509"/>
      <c r="L369" s="532">
        <v>0</v>
      </c>
      <c r="M369" s="529"/>
      <c r="N369" s="555"/>
      <c r="O369" s="529"/>
      <c r="P369" s="509"/>
      <c r="Q369" s="532">
        <v>0</v>
      </c>
      <c r="R369" s="529"/>
      <c r="S369" s="555">
        <v>0</v>
      </c>
      <c r="T369" s="506"/>
      <c r="U369" s="506"/>
      <c r="V369" s="509"/>
      <c r="W369" s="506"/>
      <c r="X369" s="506"/>
      <c r="Y369" s="506"/>
      <c r="Z369" s="506"/>
      <c r="AA369" s="506"/>
      <c r="AB369" s="506"/>
      <c r="AC369" s="506"/>
      <c r="AD369" s="506"/>
      <c r="AE369" s="506"/>
      <c r="AF369" s="506"/>
      <c r="AG369" s="506"/>
      <c r="AH369" s="506"/>
      <c r="AI369" s="506"/>
      <c r="AJ369" s="506"/>
      <c r="AK369" s="506"/>
      <c r="AL369" s="506"/>
      <c r="AM369" s="506"/>
      <c r="AN369" s="506"/>
    </row>
    <row r="370" spans="1:40" ht="15.75" hidden="1" customHeight="1">
      <c r="A370" s="494" t="s">
        <v>453</v>
      </c>
      <c r="B370" s="509" t="s">
        <v>119</v>
      </c>
      <c r="C370" s="529" t="s">
        <v>20</v>
      </c>
      <c r="D370" s="581"/>
      <c r="E370" s="509"/>
      <c r="F370" s="530">
        <v>0</v>
      </c>
      <c r="G370" s="582"/>
      <c r="H370" s="509"/>
      <c r="I370" s="530"/>
      <c r="J370" s="529"/>
      <c r="K370" s="509"/>
      <c r="L370" s="532">
        <v>0</v>
      </c>
      <c r="M370" s="529"/>
      <c r="N370" s="555"/>
      <c r="O370" s="529"/>
      <c r="P370" s="509"/>
      <c r="Q370" s="532">
        <v>0</v>
      </c>
      <c r="R370" s="529"/>
      <c r="S370" s="555">
        <v>0</v>
      </c>
      <c r="T370" s="506"/>
      <c r="U370" s="506"/>
      <c r="V370" s="509"/>
      <c r="W370" s="506"/>
      <c r="X370" s="506"/>
      <c r="Y370" s="506"/>
      <c r="Z370" s="506"/>
      <c r="AA370" s="506"/>
      <c r="AB370" s="506"/>
      <c r="AC370" s="506"/>
      <c r="AD370" s="506"/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</row>
    <row r="371" spans="1:40" ht="15.75" hidden="1" customHeight="1">
      <c r="A371" s="494" t="s">
        <v>453</v>
      </c>
      <c r="B371" s="509" t="s">
        <v>119</v>
      </c>
      <c r="C371" s="529" t="s">
        <v>20</v>
      </c>
      <c r="D371" s="581"/>
      <c r="E371" s="509"/>
      <c r="F371" s="530">
        <v>0</v>
      </c>
      <c r="G371" s="582"/>
      <c r="H371" s="509"/>
      <c r="I371" s="530"/>
      <c r="J371" s="529"/>
      <c r="K371" s="509"/>
      <c r="L371" s="532">
        <v>0</v>
      </c>
      <c r="M371" s="529"/>
      <c r="N371" s="555"/>
      <c r="O371" s="529"/>
      <c r="P371" s="509"/>
      <c r="Q371" s="532">
        <v>0</v>
      </c>
      <c r="R371" s="529"/>
      <c r="S371" s="555">
        <v>0</v>
      </c>
      <c r="T371" s="506"/>
      <c r="U371" s="506"/>
      <c r="V371" s="509"/>
      <c r="W371" s="506"/>
      <c r="X371" s="506"/>
      <c r="Y371" s="506"/>
      <c r="Z371" s="506"/>
      <c r="AA371" s="506"/>
      <c r="AB371" s="506"/>
      <c r="AC371" s="506"/>
      <c r="AD371" s="506"/>
      <c r="AE371" s="506"/>
      <c r="AF371" s="506"/>
      <c r="AG371" s="506"/>
      <c r="AH371" s="506"/>
      <c r="AI371" s="506"/>
      <c r="AJ371" s="506"/>
      <c r="AK371" s="506"/>
      <c r="AL371" s="506"/>
      <c r="AM371" s="506"/>
      <c r="AN371" s="506"/>
    </row>
    <row r="372" spans="1:40" ht="15.75" hidden="1" customHeight="1">
      <c r="A372" s="494" t="s">
        <v>454</v>
      </c>
      <c r="B372" s="509" t="s">
        <v>119</v>
      </c>
      <c r="C372" s="598" t="s">
        <v>45</v>
      </c>
      <c r="D372" s="581"/>
      <c r="E372" s="509"/>
      <c r="F372" s="524">
        <v>0</v>
      </c>
      <c r="G372" s="582"/>
      <c r="H372" s="509"/>
      <c r="I372" s="524"/>
      <c r="J372" s="529"/>
      <c r="K372" s="509"/>
      <c r="L372" s="524">
        <v>0</v>
      </c>
      <c r="M372" s="529"/>
      <c r="N372" s="555"/>
      <c r="O372" s="529"/>
      <c r="P372" s="509"/>
      <c r="Q372" s="524">
        <v>0</v>
      </c>
      <c r="R372" s="529"/>
      <c r="S372" s="555">
        <v>0</v>
      </c>
      <c r="T372" s="506"/>
      <c r="U372" s="506"/>
      <c r="V372" s="509"/>
      <c r="W372" s="506"/>
      <c r="X372" s="506"/>
      <c r="Y372" s="506"/>
      <c r="Z372" s="506"/>
      <c r="AA372" s="506"/>
      <c r="AB372" s="506"/>
      <c r="AC372" s="506"/>
      <c r="AD372" s="506"/>
      <c r="AE372" s="506"/>
      <c r="AF372" s="506"/>
      <c r="AG372" s="506"/>
      <c r="AH372" s="506"/>
      <c r="AI372" s="506"/>
      <c r="AJ372" s="506"/>
      <c r="AK372" s="506"/>
      <c r="AL372" s="506"/>
      <c r="AM372" s="506"/>
      <c r="AN372" s="506"/>
    </row>
    <row r="373" spans="1:40" ht="15.75" hidden="1" customHeight="1">
      <c r="A373" s="494" t="s">
        <v>455</v>
      </c>
      <c r="B373" s="509" t="s">
        <v>119</v>
      </c>
      <c r="C373" s="596" t="s">
        <v>46</v>
      </c>
      <c r="D373" s="599"/>
      <c r="E373" s="600"/>
      <c r="F373" s="530">
        <v>0</v>
      </c>
      <c r="G373" s="601"/>
      <c r="H373" s="600"/>
      <c r="I373" s="530"/>
      <c r="J373" s="517"/>
      <c r="K373" s="600"/>
      <c r="L373" s="532">
        <v>0</v>
      </c>
      <c r="M373" s="517"/>
      <c r="N373" s="602"/>
      <c r="O373" s="517"/>
      <c r="P373" s="600"/>
      <c r="Q373" s="532">
        <v>0</v>
      </c>
      <c r="R373" s="517"/>
      <c r="S373" s="602">
        <v>0</v>
      </c>
      <c r="T373" s="506"/>
      <c r="U373" s="506"/>
      <c r="V373" s="509"/>
      <c r="W373" s="506"/>
      <c r="X373" s="506"/>
      <c r="Y373" s="506"/>
      <c r="Z373" s="506"/>
      <c r="AA373" s="506"/>
      <c r="AB373" s="506"/>
      <c r="AC373" s="506"/>
      <c r="AD373" s="506"/>
      <c r="AE373" s="506"/>
      <c r="AF373" s="506"/>
      <c r="AG373" s="506"/>
      <c r="AH373" s="506"/>
      <c r="AI373" s="506"/>
      <c r="AJ373" s="506"/>
      <c r="AK373" s="506"/>
      <c r="AL373" s="506"/>
      <c r="AM373" s="506"/>
      <c r="AN373" s="506"/>
    </row>
    <row r="374" spans="1:40" ht="15.75" hidden="1" customHeight="1">
      <c r="A374" s="494" t="s">
        <v>456</v>
      </c>
      <c r="B374" s="509" t="s">
        <v>119</v>
      </c>
      <c r="C374" s="596" t="s">
        <v>47</v>
      </c>
      <c r="D374" s="581"/>
      <c r="E374" s="509"/>
      <c r="F374" s="530">
        <v>0</v>
      </c>
      <c r="G374" s="582"/>
      <c r="H374" s="509"/>
      <c r="I374" s="530"/>
      <c r="J374" s="529"/>
      <c r="K374" s="509"/>
      <c r="L374" s="532">
        <v>0</v>
      </c>
      <c r="M374" s="529"/>
      <c r="N374" s="555"/>
      <c r="O374" s="529"/>
      <c r="P374" s="509"/>
      <c r="Q374" s="532">
        <v>0</v>
      </c>
      <c r="R374" s="529"/>
      <c r="S374" s="555">
        <v>0</v>
      </c>
      <c r="T374" s="506"/>
      <c r="U374" s="506"/>
      <c r="V374" s="509"/>
      <c r="W374" s="506"/>
      <c r="X374" s="506"/>
      <c r="Y374" s="506"/>
      <c r="Z374" s="506"/>
      <c r="AA374" s="506"/>
      <c r="AB374" s="506"/>
      <c r="AC374" s="506"/>
      <c r="AD374" s="506"/>
      <c r="AE374" s="506"/>
      <c r="AF374" s="506"/>
      <c r="AG374" s="506"/>
      <c r="AH374" s="506"/>
      <c r="AI374" s="506"/>
      <c r="AJ374" s="506"/>
      <c r="AK374" s="506"/>
      <c r="AL374" s="506"/>
      <c r="AM374" s="506"/>
      <c r="AN374" s="506"/>
    </row>
    <row r="375" spans="1:40" ht="15.75" hidden="1" customHeight="1">
      <c r="A375" s="494" t="s">
        <v>457</v>
      </c>
      <c r="B375" s="509" t="s">
        <v>119</v>
      </c>
      <c r="C375" s="596" t="s">
        <v>48</v>
      </c>
      <c r="D375" s="581"/>
      <c r="E375" s="509"/>
      <c r="F375" s="530">
        <v>0</v>
      </c>
      <c r="G375" s="582"/>
      <c r="H375" s="509"/>
      <c r="I375" s="530"/>
      <c r="J375" s="529"/>
      <c r="K375" s="509"/>
      <c r="L375" s="532">
        <v>0</v>
      </c>
      <c r="M375" s="529"/>
      <c r="N375" s="555"/>
      <c r="O375" s="529"/>
      <c r="P375" s="509"/>
      <c r="Q375" s="532">
        <v>0</v>
      </c>
      <c r="R375" s="529"/>
      <c r="S375" s="555">
        <v>0</v>
      </c>
      <c r="T375" s="506"/>
      <c r="U375" s="506"/>
      <c r="V375" s="509"/>
      <c r="W375" s="506"/>
      <c r="X375" s="506"/>
      <c r="Y375" s="506"/>
      <c r="Z375" s="506"/>
      <c r="AA375" s="506"/>
      <c r="AB375" s="506"/>
      <c r="AC375" s="506"/>
      <c r="AD375" s="506"/>
      <c r="AE375" s="506"/>
      <c r="AF375" s="506"/>
      <c r="AG375" s="506"/>
      <c r="AH375" s="506"/>
      <c r="AI375" s="506"/>
      <c r="AJ375" s="506"/>
      <c r="AK375" s="506"/>
      <c r="AL375" s="506"/>
      <c r="AM375" s="506"/>
      <c r="AN375" s="506"/>
    </row>
    <row r="376" spans="1:40" ht="15.75" hidden="1" customHeight="1">
      <c r="A376" s="494" t="s">
        <v>453</v>
      </c>
      <c r="B376" s="509" t="s">
        <v>119</v>
      </c>
      <c r="C376" s="529" t="s">
        <v>20</v>
      </c>
      <c r="D376" s="583"/>
      <c r="E376" s="603"/>
      <c r="F376" s="530">
        <v>0</v>
      </c>
      <c r="G376" s="584"/>
      <c r="H376" s="603"/>
      <c r="I376" s="530"/>
      <c r="J376" s="522"/>
      <c r="K376" s="603"/>
      <c r="L376" s="532">
        <v>0</v>
      </c>
      <c r="M376" s="522"/>
      <c r="N376" s="579"/>
      <c r="O376" s="522"/>
      <c r="P376" s="603"/>
      <c r="Q376" s="532">
        <v>0</v>
      </c>
      <c r="R376" s="522"/>
      <c r="S376" s="579">
        <v>0</v>
      </c>
      <c r="T376" s="506"/>
      <c r="U376" s="506"/>
      <c r="V376" s="509"/>
      <c r="W376" s="506"/>
      <c r="X376" s="506"/>
      <c r="Y376" s="506"/>
      <c r="Z376" s="506"/>
      <c r="AA376" s="506"/>
      <c r="AB376" s="506"/>
      <c r="AC376" s="506"/>
      <c r="AD376" s="506"/>
      <c r="AE376" s="506"/>
      <c r="AF376" s="506"/>
      <c r="AG376" s="506"/>
      <c r="AH376" s="506"/>
      <c r="AI376" s="506"/>
      <c r="AJ376" s="506"/>
      <c r="AK376" s="506"/>
      <c r="AL376" s="506"/>
      <c r="AM376" s="506"/>
      <c r="AN376" s="506"/>
    </row>
    <row r="377" spans="1:40" ht="15.75" hidden="1" customHeight="1">
      <c r="A377" s="494" t="s">
        <v>458</v>
      </c>
      <c r="B377" s="509" t="s">
        <v>119</v>
      </c>
      <c r="C377" s="588" t="s">
        <v>49</v>
      </c>
      <c r="D377" s="589" t="s">
        <v>39</v>
      </c>
      <c r="E377" s="590">
        <v>0</v>
      </c>
      <c r="F377" s="591">
        <v>0</v>
      </c>
      <c r="G377" s="592"/>
      <c r="H377" s="590"/>
      <c r="I377" s="591"/>
      <c r="J377" s="592" t="s">
        <v>39</v>
      </c>
      <c r="K377" s="590">
        <v>0</v>
      </c>
      <c r="L377" s="591">
        <v>0</v>
      </c>
      <c r="M377" s="646"/>
      <c r="N377" s="605"/>
      <c r="O377" s="592" t="s">
        <v>39</v>
      </c>
      <c r="P377" s="590">
        <v>0</v>
      </c>
      <c r="Q377" s="591">
        <v>0</v>
      </c>
      <c r="R377" s="646"/>
      <c r="S377" s="605">
        <v>0</v>
      </c>
      <c r="T377" s="506"/>
      <c r="U377" s="506"/>
      <c r="V377" s="509"/>
      <c r="W377" s="506"/>
      <c r="X377" s="506"/>
      <c r="Y377" s="506"/>
      <c r="Z377" s="506"/>
      <c r="AA377" s="506"/>
      <c r="AB377" s="506"/>
      <c r="AC377" s="506"/>
      <c r="AD377" s="506"/>
      <c r="AE377" s="506"/>
      <c r="AF377" s="506"/>
      <c r="AG377" s="506"/>
      <c r="AH377" s="506"/>
      <c r="AI377" s="506"/>
      <c r="AJ377" s="506"/>
      <c r="AK377" s="506"/>
      <c r="AL377" s="506"/>
      <c r="AM377" s="506"/>
      <c r="AN377" s="506"/>
    </row>
    <row r="378" spans="1:40" ht="15.75" hidden="1" customHeight="1">
      <c r="A378" s="494" t="s">
        <v>459</v>
      </c>
      <c r="B378" s="509" t="s">
        <v>119</v>
      </c>
      <c r="C378" s="703" t="s">
        <v>50</v>
      </c>
      <c r="D378" s="581"/>
      <c r="E378" s="509"/>
      <c r="F378" s="530">
        <v>0</v>
      </c>
      <c r="G378" s="582"/>
      <c r="H378" s="509"/>
      <c r="I378" s="530"/>
      <c r="J378" s="529"/>
      <c r="K378" s="509"/>
      <c r="L378" s="532">
        <v>0</v>
      </c>
      <c r="M378" s="529"/>
      <c r="N378" s="555"/>
      <c r="O378" s="529"/>
      <c r="P378" s="509"/>
      <c r="Q378" s="532">
        <v>0</v>
      </c>
      <c r="R378" s="529"/>
      <c r="S378" s="555">
        <v>0</v>
      </c>
      <c r="T378" s="506"/>
      <c r="U378" s="506"/>
      <c r="V378" s="509"/>
      <c r="W378" s="506"/>
      <c r="X378" s="506"/>
      <c r="Y378" s="506"/>
      <c r="Z378" s="506"/>
      <c r="AA378" s="506"/>
      <c r="AB378" s="506"/>
      <c r="AC378" s="506"/>
      <c r="AD378" s="506"/>
      <c r="AE378" s="506"/>
      <c r="AF378" s="506"/>
      <c r="AG378" s="506"/>
      <c r="AH378" s="506"/>
      <c r="AI378" s="506"/>
      <c r="AJ378" s="506"/>
      <c r="AK378" s="506"/>
      <c r="AL378" s="506"/>
      <c r="AM378" s="506"/>
      <c r="AN378" s="506"/>
    </row>
    <row r="379" spans="1:40" ht="15.75" hidden="1" customHeight="1">
      <c r="A379" s="494" t="s">
        <v>460</v>
      </c>
      <c r="B379" s="509" t="s">
        <v>119</v>
      </c>
      <c r="C379" s="596" t="s">
        <v>51</v>
      </c>
      <c r="D379" s="581"/>
      <c r="E379" s="509"/>
      <c r="F379" s="530">
        <v>0</v>
      </c>
      <c r="G379" s="582"/>
      <c r="H379" s="509"/>
      <c r="I379" s="530"/>
      <c r="J379" s="529"/>
      <c r="K379" s="509"/>
      <c r="L379" s="532">
        <v>0</v>
      </c>
      <c r="M379" s="529"/>
      <c r="N379" s="555"/>
      <c r="O379" s="529"/>
      <c r="P379" s="509"/>
      <c r="Q379" s="532">
        <v>0</v>
      </c>
      <c r="R379" s="529"/>
      <c r="S379" s="555">
        <v>0</v>
      </c>
      <c r="T379" s="506"/>
      <c r="U379" s="506"/>
      <c r="V379" s="509"/>
      <c r="W379" s="506"/>
      <c r="X379" s="506"/>
      <c r="Y379" s="506"/>
      <c r="Z379" s="506"/>
      <c r="AA379" s="506"/>
      <c r="AB379" s="506"/>
      <c r="AC379" s="506"/>
      <c r="AD379" s="506"/>
      <c r="AE379" s="506"/>
      <c r="AF379" s="506"/>
      <c r="AG379" s="506"/>
      <c r="AH379" s="506"/>
      <c r="AI379" s="506"/>
      <c r="AJ379" s="506"/>
      <c r="AK379" s="506"/>
      <c r="AL379" s="506"/>
      <c r="AM379" s="506"/>
      <c r="AN379" s="506"/>
    </row>
    <row r="380" spans="1:40" ht="15.75" hidden="1" customHeight="1">
      <c r="A380" s="494" t="s">
        <v>461</v>
      </c>
      <c r="B380" s="509" t="s">
        <v>119</v>
      </c>
      <c r="C380" s="598" t="s">
        <v>52</v>
      </c>
      <c r="D380" s="583"/>
      <c r="E380" s="603"/>
      <c r="F380" s="524">
        <v>0</v>
      </c>
      <c r="G380" s="584"/>
      <c r="H380" s="603"/>
      <c r="I380" s="524"/>
      <c r="J380" s="522"/>
      <c r="K380" s="603"/>
      <c r="L380" s="524">
        <v>0</v>
      </c>
      <c r="M380" s="522"/>
      <c r="N380" s="579"/>
      <c r="O380" s="522"/>
      <c r="P380" s="603"/>
      <c r="Q380" s="524">
        <v>0</v>
      </c>
      <c r="R380" s="522"/>
      <c r="S380" s="579">
        <v>0</v>
      </c>
      <c r="T380" s="506"/>
      <c r="U380" s="506"/>
      <c r="V380" s="509"/>
      <c r="W380" s="506"/>
      <c r="X380" s="506"/>
      <c r="Y380" s="506"/>
      <c r="Z380" s="506"/>
      <c r="AA380" s="506"/>
      <c r="AB380" s="506"/>
      <c r="AC380" s="506"/>
      <c r="AD380" s="506"/>
      <c r="AE380" s="506"/>
      <c r="AF380" s="506"/>
      <c r="AG380" s="506"/>
      <c r="AH380" s="506"/>
      <c r="AI380" s="506"/>
      <c r="AJ380" s="506"/>
      <c r="AK380" s="506"/>
      <c r="AL380" s="506"/>
      <c r="AM380" s="506"/>
      <c r="AN380" s="506"/>
    </row>
    <row r="381" spans="1:40" ht="15.75" hidden="1" customHeight="1">
      <c r="A381" s="494" t="s">
        <v>462</v>
      </c>
      <c r="B381" s="509" t="s">
        <v>119</v>
      </c>
      <c r="C381" s="596" t="s">
        <v>53</v>
      </c>
      <c r="D381" s="581"/>
      <c r="E381" s="509"/>
      <c r="F381" s="530">
        <v>0</v>
      </c>
      <c r="G381" s="582"/>
      <c r="H381" s="509"/>
      <c r="I381" s="530"/>
      <c r="J381" s="529"/>
      <c r="K381" s="509"/>
      <c r="L381" s="532">
        <v>0</v>
      </c>
      <c r="M381" s="529"/>
      <c r="N381" s="555"/>
      <c r="O381" s="529"/>
      <c r="P381" s="509"/>
      <c r="Q381" s="532">
        <v>0</v>
      </c>
      <c r="R381" s="529"/>
      <c r="S381" s="555">
        <v>0</v>
      </c>
      <c r="T381" s="506"/>
      <c r="U381" s="506"/>
      <c r="V381" s="509"/>
      <c r="W381" s="506"/>
      <c r="X381" s="506"/>
      <c r="Y381" s="506"/>
      <c r="Z381" s="506"/>
      <c r="AA381" s="506"/>
      <c r="AB381" s="506"/>
      <c r="AC381" s="506"/>
      <c r="AD381" s="506"/>
      <c r="AE381" s="506"/>
      <c r="AF381" s="506"/>
      <c r="AG381" s="506"/>
      <c r="AH381" s="506"/>
      <c r="AI381" s="506"/>
      <c r="AJ381" s="506"/>
      <c r="AK381" s="506"/>
      <c r="AL381" s="506"/>
      <c r="AM381" s="506"/>
      <c r="AN381" s="506"/>
    </row>
    <row r="382" spans="1:40" ht="15.75" hidden="1" customHeight="1">
      <c r="A382" s="494" t="s">
        <v>463</v>
      </c>
      <c r="B382" s="509" t="s">
        <v>119</v>
      </c>
      <c r="C382" s="596" t="s">
        <v>54</v>
      </c>
      <c r="D382" s="581"/>
      <c r="E382" s="509"/>
      <c r="F382" s="530">
        <v>0</v>
      </c>
      <c r="G382" s="582"/>
      <c r="H382" s="509"/>
      <c r="I382" s="530"/>
      <c r="J382" s="529"/>
      <c r="K382" s="509"/>
      <c r="L382" s="532">
        <v>0</v>
      </c>
      <c r="M382" s="529"/>
      <c r="N382" s="555"/>
      <c r="O382" s="529"/>
      <c r="P382" s="509"/>
      <c r="Q382" s="532">
        <v>0</v>
      </c>
      <c r="R382" s="529"/>
      <c r="S382" s="555">
        <v>0</v>
      </c>
      <c r="T382" s="506"/>
      <c r="U382" s="506"/>
      <c r="V382" s="509"/>
      <c r="W382" s="506"/>
      <c r="X382" s="506"/>
      <c r="Y382" s="506"/>
      <c r="Z382" s="506"/>
      <c r="AA382" s="506"/>
      <c r="AB382" s="506"/>
      <c r="AC382" s="506"/>
      <c r="AD382" s="506"/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</row>
    <row r="383" spans="1:40" ht="15.75" hidden="1" customHeight="1">
      <c r="A383" s="494" t="s">
        <v>464</v>
      </c>
      <c r="B383" s="509" t="s">
        <v>119</v>
      </c>
      <c r="C383" s="596" t="s">
        <v>55</v>
      </c>
      <c r="D383" s="583"/>
      <c r="E383" s="603"/>
      <c r="F383" s="524">
        <v>0</v>
      </c>
      <c r="G383" s="584"/>
      <c r="H383" s="603"/>
      <c r="I383" s="524"/>
      <c r="J383" s="522"/>
      <c r="K383" s="603"/>
      <c r="L383" s="524">
        <v>0</v>
      </c>
      <c r="M383" s="522"/>
      <c r="N383" s="579"/>
      <c r="O383" s="522"/>
      <c r="P383" s="603"/>
      <c r="Q383" s="524">
        <v>0</v>
      </c>
      <c r="R383" s="522"/>
      <c r="S383" s="579">
        <v>0</v>
      </c>
      <c r="T383" s="506"/>
      <c r="U383" s="506"/>
      <c r="V383" s="509"/>
      <c r="W383" s="506"/>
      <c r="X383" s="506"/>
      <c r="Y383" s="506"/>
      <c r="Z383" s="506"/>
      <c r="AA383" s="506"/>
      <c r="AB383" s="506"/>
      <c r="AC383" s="506"/>
      <c r="AD383" s="506"/>
      <c r="AE383" s="506"/>
      <c r="AF383" s="506"/>
      <c r="AG383" s="506"/>
      <c r="AH383" s="506"/>
      <c r="AI383" s="506"/>
      <c r="AJ383" s="506"/>
      <c r="AK383" s="506"/>
      <c r="AL383" s="506"/>
      <c r="AM383" s="506"/>
      <c r="AN383" s="506"/>
    </row>
    <row r="384" spans="1:40" ht="20.25" hidden="1" customHeight="1">
      <c r="A384" s="494" t="s">
        <v>465</v>
      </c>
      <c r="B384" s="509" t="s">
        <v>119</v>
      </c>
      <c r="C384" s="703" t="s">
        <v>56</v>
      </c>
      <c r="D384" s="581"/>
      <c r="E384" s="509"/>
      <c r="F384" s="530">
        <v>0</v>
      </c>
      <c r="G384" s="582"/>
      <c r="H384" s="509"/>
      <c r="I384" s="530"/>
      <c r="J384" s="529"/>
      <c r="K384" s="509"/>
      <c r="L384" s="532">
        <v>0</v>
      </c>
      <c r="M384" s="529"/>
      <c r="N384" s="555"/>
      <c r="O384" s="529"/>
      <c r="P384" s="509"/>
      <c r="Q384" s="532">
        <v>0</v>
      </c>
      <c r="R384" s="529"/>
      <c r="S384" s="555">
        <v>0</v>
      </c>
      <c r="T384" s="506"/>
      <c r="U384" s="506"/>
      <c r="V384" s="509"/>
      <c r="W384" s="506"/>
      <c r="X384" s="506"/>
      <c r="Y384" s="506"/>
      <c r="Z384" s="506"/>
      <c r="AA384" s="506"/>
      <c r="AB384" s="506"/>
      <c r="AC384" s="506"/>
      <c r="AD384" s="506"/>
      <c r="AE384" s="506"/>
      <c r="AF384" s="506"/>
      <c r="AG384" s="506"/>
      <c r="AH384" s="506"/>
      <c r="AI384" s="506"/>
      <c r="AJ384" s="506"/>
      <c r="AK384" s="506"/>
      <c r="AL384" s="506"/>
      <c r="AM384" s="506"/>
      <c r="AN384" s="506"/>
    </row>
    <row r="385" spans="1:40" ht="20.25" hidden="1" customHeight="1">
      <c r="A385" s="494" t="s">
        <v>466</v>
      </c>
      <c r="B385" s="509" t="s">
        <v>119</v>
      </c>
      <c r="C385" s="596" t="s">
        <v>57</v>
      </c>
      <c r="D385" s="581"/>
      <c r="E385" s="509"/>
      <c r="F385" s="530">
        <v>0</v>
      </c>
      <c r="G385" s="582"/>
      <c r="H385" s="509"/>
      <c r="I385" s="530"/>
      <c r="J385" s="529"/>
      <c r="K385" s="509"/>
      <c r="L385" s="532">
        <v>0</v>
      </c>
      <c r="M385" s="529"/>
      <c r="N385" s="555"/>
      <c r="O385" s="529"/>
      <c r="P385" s="509"/>
      <c r="Q385" s="532">
        <v>0</v>
      </c>
      <c r="R385" s="529"/>
      <c r="S385" s="555">
        <v>0</v>
      </c>
      <c r="T385" s="506"/>
      <c r="U385" s="506"/>
      <c r="V385" s="509"/>
      <c r="W385" s="506"/>
      <c r="X385" s="506"/>
      <c r="Y385" s="506"/>
      <c r="Z385" s="506"/>
      <c r="AA385" s="506"/>
      <c r="AB385" s="506"/>
      <c r="AC385" s="506"/>
      <c r="AD385" s="506"/>
      <c r="AE385" s="506"/>
      <c r="AF385" s="506"/>
      <c r="AG385" s="506"/>
      <c r="AH385" s="506"/>
      <c r="AI385" s="506"/>
      <c r="AJ385" s="506"/>
      <c r="AK385" s="506"/>
      <c r="AL385" s="506"/>
      <c r="AM385" s="506"/>
      <c r="AN385" s="506"/>
    </row>
    <row r="386" spans="1:40" ht="20.25" hidden="1" customHeight="1">
      <c r="A386" s="494" t="s">
        <v>467</v>
      </c>
      <c r="B386" s="509" t="s">
        <v>119</v>
      </c>
      <c r="C386" s="596" t="s">
        <v>58</v>
      </c>
      <c r="D386" s="581"/>
      <c r="E386" s="509"/>
      <c r="F386" s="530">
        <v>0</v>
      </c>
      <c r="G386" s="582"/>
      <c r="H386" s="509"/>
      <c r="I386" s="530"/>
      <c r="J386" s="529"/>
      <c r="K386" s="509"/>
      <c r="L386" s="532">
        <v>0</v>
      </c>
      <c r="M386" s="529"/>
      <c r="N386" s="555"/>
      <c r="O386" s="529"/>
      <c r="P386" s="509"/>
      <c r="Q386" s="532">
        <v>0</v>
      </c>
      <c r="R386" s="529"/>
      <c r="S386" s="555">
        <v>0</v>
      </c>
      <c r="T386" s="506"/>
      <c r="U386" s="506"/>
      <c r="V386" s="509"/>
      <c r="W386" s="506"/>
      <c r="X386" s="506"/>
      <c r="Y386" s="506"/>
      <c r="Z386" s="506"/>
      <c r="AA386" s="506"/>
      <c r="AB386" s="506"/>
      <c r="AC386" s="506"/>
      <c r="AD386" s="506"/>
      <c r="AE386" s="506"/>
      <c r="AF386" s="506"/>
      <c r="AG386" s="506"/>
      <c r="AH386" s="506"/>
      <c r="AI386" s="506"/>
      <c r="AJ386" s="506"/>
      <c r="AK386" s="506"/>
      <c r="AL386" s="506"/>
      <c r="AM386" s="506"/>
      <c r="AN386" s="506"/>
    </row>
    <row r="387" spans="1:40" ht="20.25" hidden="1" customHeight="1">
      <c r="A387" s="494" t="s">
        <v>468</v>
      </c>
      <c r="B387" s="509" t="s">
        <v>119</v>
      </c>
      <c r="C387" s="596" t="s">
        <v>59</v>
      </c>
      <c r="D387" s="581"/>
      <c r="E387" s="509"/>
      <c r="F387" s="530">
        <v>0</v>
      </c>
      <c r="G387" s="582"/>
      <c r="H387" s="509"/>
      <c r="I387" s="530"/>
      <c r="J387" s="529"/>
      <c r="K387" s="509"/>
      <c r="L387" s="532">
        <v>0</v>
      </c>
      <c r="M387" s="529"/>
      <c r="N387" s="555"/>
      <c r="O387" s="529"/>
      <c r="P387" s="509"/>
      <c r="Q387" s="532">
        <v>0</v>
      </c>
      <c r="R387" s="529"/>
      <c r="S387" s="555">
        <v>0</v>
      </c>
      <c r="T387" s="506"/>
      <c r="U387" s="506"/>
      <c r="V387" s="509"/>
      <c r="W387" s="506"/>
      <c r="X387" s="506"/>
      <c r="Y387" s="506"/>
      <c r="Z387" s="506"/>
      <c r="AA387" s="506"/>
      <c r="AB387" s="506"/>
      <c r="AC387" s="506"/>
      <c r="AD387" s="506"/>
      <c r="AE387" s="506"/>
      <c r="AF387" s="506"/>
      <c r="AG387" s="506"/>
      <c r="AH387" s="506"/>
      <c r="AI387" s="506"/>
      <c r="AJ387" s="506"/>
      <c r="AK387" s="506"/>
      <c r="AL387" s="506"/>
      <c r="AM387" s="506"/>
      <c r="AN387" s="506"/>
    </row>
    <row r="388" spans="1:40" ht="20.25" hidden="1" customHeight="1">
      <c r="A388" s="494" t="s">
        <v>469</v>
      </c>
      <c r="B388" s="509" t="s">
        <v>119</v>
      </c>
      <c r="C388" s="596" t="s">
        <v>60</v>
      </c>
      <c r="D388" s="581"/>
      <c r="E388" s="509"/>
      <c r="F388" s="530">
        <v>0</v>
      </c>
      <c r="G388" s="582"/>
      <c r="H388" s="509"/>
      <c r="I388" s="530"/>
      <c r="J388" s="529"/>
      <c r="K388" s="509"/>
      <c r="L388" s="532">
        <v>0</v>
      </c>
      <c r="M388" s="529"/>
      <c r="N388" s="555"/>
      <c r="O388" s="529"/>
      <c r="P388" s="509"/>
      <c r="Q388" s="532">
        <v>0</v>
      </c>
      <c r="R388" s="529"/>
      <c r="S388" s="555">
        <v>0</v>
      </c>
      <c r="T388" s="506"/>
      <c r="U388" s="506"/>
      <c r="V388" s="509"/>
      <c r="W388" s="506"/>
      <c r="X388" s="506"/>
      <c r="Y388" s="506"/>
      <c r="Z388" s="506"/>
      <c r="AA388" s="506"/>
      <c r="AB388" s="506"/>
      <c r="AC388" s="506"/>
      <c r="AD388" s="506"/>
      <c r="AE388" s="506"/>
      <c r="AF388" s="506"/>
      <c r="AG388" s="506"/>
      <c r="AH388" s="506"/>
      <c r="AI388" s="506"/>
      <c r="AJ388" s="506"/>
      <c r="AK388" s="506"/>
      <c r="AL388" s="506"/>
      <c r="AM388" s="506"/>
      <c r="AN388" s="506"/>
    </row>
    <row r="389" spans="1:40" ht="20.25" hidden="1" customHeight="1">
      <c r="A389" s="494" t="s">
        <v>470</v>
      </c>
      <c r="B389" s="509" t="s">
        <v>119</v>
      </c>
      <c r="C389" s="596" t="s">
        <v>61</v>
      </c>
      <c r="D389" s="581"/>
      <c r="E389" s="509"/>
      <c r="F389" s="530">
        <v>0</v>
      </c>
      <c r="G389" s="582"/>
      <c r="H389" s="509"/>
      <c r="I389" s="530"/>
      <c r="J389" s="529"/>
      <c r="K389" s="509"/>
      <c r="L389" s="532">
        <v>0</v>
      </c>
      <c r="M389" s="529"/>
      <c r="N389" s="555"/>
      <c r="O389" s="529"/>
      <c r="P389" s="509"/>
      <c r="Q389" s="532">
        <v>0</v>
      </c>
      <c r="R389" s="529"/>
      <c r="S389" s="555">
        <v>0</v>
      </c>
      <c r="T389" s="506"/>
      <c r="U389" s="506"/>
      <c r="V389" s="509"/>
      <c r="W389" s="506"/>
      <c r="X389" s="506"/>
      <c r="Y389" s="506"/>
      <c r="Z389" s="506"/>
      <c r="AA389" s="506"/>
      <c r="AB389" s="506"/>
      <c r="AC389" s="506"/>
      <c r="AD389" s="506"/>
      <c r="AE389" s="506"/>
      <c r="AF389" s="506"/>
      <c r="AG389" s="506"/>
      <c r="AH389" s="506"/>
      <c r="AI389" s="506"/>
      <c r="AJ389" s="506"/>
      <c r="AK389" s="506"/>
      <c r="AL389" s="506"/>
      <c r="AM389" s="506"/>
      <c r="AN389" s="506"/>
    </row>
    <row r="390" spans="1:40" ht="20.25" hidden="1" customHeight="1">
      <c r="A390" s="494" t="s">
        <v>471</v>
      </c>
      <c r="B390" s="509" t="s">
        <v>119</v>
      </c>
      <c r="C390" s="596" t="s">
        <v>62</v>
      </c>
      <c r="D390" s="581"/>
      <c r="E390" s="509"/>
      <c r="F390" s="530">
        <v>0</v>
      </c>
      <c r="G390" s="582"/>
      <c r="H390" s="509"/>
      <c r="I390" s="530"/>
      <c r="J390" s="529"/>
      <c r="K390" s="509"/>
      <c r="L390" s="532">
        <v>0</v>
      </c>
      <c r="M390" s="529"/>
      <c r="N390" s="555"/>
      <c r="O390" s="529"/>
      <c r="P390" s="509"/>
      <c r="Q390" s="532">
        <v>0</v>
      </c>
      <c r="R390" s="529"/>
      <c r="S390" s="555">
        <v>0</v>
      </c>
      <c r="T390" s="506"/>
      <c r="U390" s="506"/>
      <c r="V390" s="509"/>
      <c r="W390" s="506"/>
      <c r="X390" s="506"/>
      <c r="Y390" s="506"/>
      <c r="Z390" s="506"/>
      <c r="AA390" s="506"/>
      <c r="AB390" s="506"/>
      <c r="AC390" s="506"/>
      <c r="AD390" s="506"/>
      <c r="AE390" s="506"/>
      <c r="AF390" s="506"/>
      <c r="AG390" s="506"/>
      <c r="AH390" s="506"/>
      <c r="AI390" s="506"/>
      <c r="AJ390" s="506"/>
      <c r="AK390" s="506"/>
      <c r="AL390" s="506"/>
      <c r="AM390" s="506"/>
      <c r="AN390" s="506"/>
    </row>
    <row r="391" spans="1:40" ht="20.25" hidden="1" customHeight="1">
      <c r="A391" s="494" t="s">
        <v>472</v>
      </c>
      <c r="B391" s="509" t="s">
        <v>119</v>
      </c>
      <c r="C391" s="596" t="s">
        <v>63</v>
      </c>
      <c r="D391" s="581"/>
      <c r="E391" s="509"/>
      <c r="F391" s="530">
        <v>0</v>
      </c>
      <c r="G391" s="582"/>
      <c r="H391" s="509"/>
      <c r="I391" s="530"/>
      <c r="J391" s="529"/>
      <c r="K391" s="509"/>
      <c r="L391" s="532">
        <v>0</v>
      </c>
      <c r="M391" s="529"/>
      <c r="N391" s="555"/>
      <c r="O391" s="529"/>
      <c r="P391" s="509"/>
      <c r="Q391" s="532">
        <v>0</v>
      </c>
      <c r="R391" s="529"/>
      <c r="S391" s="555">
        <v>0</v>
      </c>
      <c r="T391" s="506"/>
      <c r="U391" s="506"/>
      <c r="V391" s="509"/>
      <c r="W391" s="506"/>
      <c r="X391" s="506"/>
      <c r="Y391" s="506"/>
      <c r="Z391" s="506"/>
      <c r="AA391" s="506"/>
      <c r="AB391" s="506"/>
      <c r="AC391" s="506"/>
      <c r="AD391" s="506"/>
      <c r="AE391" s="506"/>
      <c r="AF391" s="506"/>
      <c r="AG391" s="506"/>
      <c r="AH391" s="506"/>
      <c r="AI391" s="506"/>
      <c r="AJ391" s="506"/>
      <c r="AK391" s="506"/>
      <c r="AL391" s="506"/>
      <c r="AM391" s="506"/>
      <c r="AN391" s="506"/>
    </row>
    <row r="392" spans="1:40" ht="15.75" hidden="1" customHeight="1">
      <c r="A392" s="494" t="s">
        <v>453</v>
      </c>
      <c r="B392" s="509" t="s">
        <v>119</v>
      </c>
      <c r="C392" s="596" t="s">
        <v>20</v>
      </c>
      <c r="D392" s="581"/>
      <c r="E392" s="509"/>
      <c r="F392" s="530">
        <v>0</v>
      </c>
      <c r="G392" s="582"/>
      <c r="H392" s="509"/>
      <c r="I392" s="530"/>
      <c r="J392" s="529"/>
      <c r="K392" s="509"/>
      <c r="L392" s="532">
        <v>0</v>
      </c>
      <c r="M392" s="529"/>
      <c r="N392" s="555"/>
      <c r="O392" s="529"/>
      <c r="P392" s="509"/>
      <c r="Q392" s="532">
        <v>0</v>
      </c>
      <c r="R392" s="529"/>
      <c r="S392" s="555">
        <v>0</v>
      </c>
      <c r="T392" s="506"/>
      <c r="U392" s="506"/>
      <c r="V392" s="509"/>
      <c r="W392" s="506"/>
      <c r="X392" s="506"/>
      <c r="Y392" s="506"/>
      <c r="Z392" s="506"/>
      <c r="AA392" s="506"/>
      <c r="AB392" s="506"/>
      <c r="AC392" s="506"/>
      <c r="AD392" s="506"/>
      <c r="AE392" s="506"/>
      <c r="AF392" s="506"/>
      <c r="AG392" s="506"/>
      <c r="AH392" s="506"/>
      <c r="AI392" s="506"/>
      <c r="AJ392" s="506"/>
      <c r="AK392" s="506"/>
      <c r="AL392" s="506"/>
      <c r="AM392" s="506"/>
      <c r="AN392" s="506"/>
    </row>
    <row r="393" spans="1:40" ht="15.75" hidden="1" customHeight="1">
      <c r="A393" s="494" t="s">
        <v>453</v>
      </c>
      <c r="B393" s="509" t="s">
        <v>119</v>
      </c>
      <c r="C393" s="596" t="s">
        <v>20</v>
      </c>
      <c r="D393" s="581"/>
      <c r="E393" s="509"/>
      <c r="F393" s="530">
        <v>0</v>
      </c>
      <c r="G393" s="582"/>
      <c r="H393" s="509"/>
      <c r="I393" s="530"/>
      <c r="J393" s="529"/>
      <c r="K393" s="509"/>
      <c r="L393" s="532">
        <v>0</v>
      </c>
      <c r="M393" s="529"/>
      <c r="N393" s="555"/>
      <c r="O393" s="529"/>
      <c r="P393" s="509"/>
      <c r="Q393" s="532">
        <v>0</v>
      </c>
      <c r="R393" s="529"/>
      <c r="S393" s="555">
        <v>0</v>
      </c>
      <c r="T393" s="506"/>
      <c r="U393" s="506"/>
      <c r="V393" s="509"/>
      <c r="W393" s="506"/>
      <c r="X393" s="506"/>
      <c r="Y393" s="506"/>
      <c r="Z393" s="506"/>
      <c r="AA393" s="506"/>
      <c r="AB393" s="506"/>
      <c r="AC393" s="506"/>
      <c r="AD393" s="506"/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</row>
    <row r="394" spans="1:40" ht="15.75" hidden="1" customHeight="1">
      <c r="A394" s="494" t="s">
        <v>453</v>
      </c>
      <c r="B394" s="509" t="s">
        <v>119</v>
      </c>
      <c r="C394" s="596" t="s">
        <v>20</v>
      </c>
      <c r="D394" s="583"/>
      <c r="E394" s="603"/>
      <c r="F394" s="530">
        <v>0</v>
      </c>
      <c r="G394" s="584"/>
      <c r="H394" s="603"/>
      <c r="I394" s="530"/>
      <c r="J394" s="522"/>
      <c r="K394" s="603"/>
      <c r="L394" s="532">
        <v>0</v>
      </c>
      <c r="M394" s="522"/>
      <c r="N394" s="579"/>
      <c r="O394" s="522"/>
      <c r="P394" s="603"/>
      <c r="Q394" s="532">
        <v>0</v>
      </c>
      <c r="R394" s="522"/>
      <c r="S394" s="579">
        <v>0</v>
      </c>
      <c r="T394" s="506"/>
      <c r="U394" s="506"/>
      <c r="V394" s="509"/>
      <c r="W394" s="506"/>
      <c r="X394" s="506"/>
      <c r="Y394" s="506"/>
      <c r="Z394" s="506"/>
      <c r="AA394" s="506"/>
      <c r="AB394" s="506"/>
      <c r="AC394" s="506"/>
      <c r="AD394" s="506"/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</row>
    <row r="395" spans="1:40" ht="15.75" hidden="1" customHeight="1">
      <c r="B395" s="503"/>
      <c r="C395" s="588" t="s">
        <v>64</v>
      </c>
      <c r="D395" s="589" t="s">
        <v>39</v>
      </c>
      <c r="E395" s="590">
        <v>0</v>
      </c>
      <c r="F395" s="591">
        <v>0</v>
      </c>
      <c r="G395" s="592"/>
      <c r="H395" s="590"/>
      <c r="I395" s="591"/>
      <c r="J395" s="592" t="s">
        <v>39</v>
      </c>
      <c r="K395" s="590">
        <v>0</v>
      </c>
      <c r="L395" s="591">
        <v>0</v>
      </c>
      <c r="M395" s="646"/>
      <c r="N395" s="591"/>
      <c r="O395" s="592" t="s">
        <v>39</v>
      </c>
      <c r="P395" s="590">
        <v>0</v>
      </c>
      <c r="Q395" s="591">
        <v>0</v>
      </c>
      <c r="R395" s="646"/>
      <c r="S395" s="605">
        <v>0</v>
      </c>
      <c r="T395" s="506"/>
      <c r="U395" s="506"/>
      <c r="V395" s="509"/>
      <c r="W395" s="506"/>
      <c r="X395" s="506"/>
      <c r="Y395" s="506"/>
      <c r="Z395" s="506"/>
      <c r="AA395" s="506"/>
      <c r="AB395" s="506"/>
      <c r="AC395" s="506"/>
      <c r="AD395" s="506"/>
      <c r="AE395" s="506"/>
      <c r="AF395" s="506"/>
      <c r="AG395" s="506"/>
      <c r="AH395" s="506"/>
      <c r="AI395" s="506"/>
      <c r="AJ395" s="506"/>
      <c r="AK395" s="506"/>
      <c r="AL395" s="506"/>
      <c r="AM395" s="506"/>
      <c r="AN395" s="506"/>
    </row>
    <row r="396" spans="1:40" ht="15.75" hidden="1" customHeight="1">
      <c r="B396" s="503"/>
      <c r="C396" s="529"/>
      <c r="D396" s="509"/>
      <c r="E396" s="509"/>
      <c r="F396" s="539"/>
      <c r="G396" s="529"/>
      <c r="H396" s="509"/>
      <c r="I396" s="539"/>
      <c r="J396" s="529"/>
      <c r="K396" s="509"/>
      <c r="L396" s="539"/>
      <c r="M396" s="548"/>
      <c r="N396" s="569"/>
      <c r="O396" s="529"/>
      <c r="P396" s="509"/>
      <c r="Q396" s="539"/>
      <c r="R396" s="529"/>
      <c r="S396" s="569"/>
      <c r="T396" s="506"/>
      <c r="U396" s="506"/>
      <c r="V396" s="509"/>
      <c r="W396" s="506"/>
      <c r="X396" s="506"/>
      <c r="Y396" s="506"/>
      <c r="Z396" s="506"/>
      <c r="AA396" s="506"/>
      <c r="AB396" s="506"/>
      <c r="AC396" s="506"/>
      <c r="AD396" s="506"/>
      <c r="AE396" s="506"/>
      <c r="AF396" s="506"/>
      <c r="AG396" s="506"/>
      <c r="AH396" s="506"/>
      <c r="AI396" s="506"/>
      <c r="AJ396" s="506"/>
      <c r="AK396" s="506"/>
      <c r="AL396" s="506"/>
      <c r="AM396" s="506"/>
      <c r="AN396" s="506"/>
    </row>
    <row r="397" spans="1:40" ht="15.75" hidden="1" customHeight="1">
      <c r="B397" s="503"/>
      <c r="C397" s="588" t="s">
        <v>65</v>
      </c>
      <c r="D397" s="589" t="s">
        <v>39</v>
      </c>
      <c r="E397" s="590">
        <v>0</v>
      </c>
      <c r="F397" s="591">
        <v>0</v>
      </c>
      <c r="G397" s="592"/>
      <c r="H397" s="590"/>
      <c r="I397" s="591"/>
      <c r="J397" s="592" t="s">
        <v>39</v>
      </c>
      <c r="K397" s="590">
        <v>0</v>
      </c>
      <c r="L397" s="591">
        <v>0</v>
      </c>
      <c r="M397" s="588"/>
      <c r="N397" s="591"/>
      <c r="O397" s="592" t="s">
        <v>39</v>
      </c>
      <c r="P397" s="590">
        <v>0</v>
      </c>
      <c r="Q397" s="591">
        <v>0</v>
      </c>
      <c r="R397" s="595"/>
      <c r="S397" s="591">
        <v>0</v>
      </c>
      <c r="T397" s="506"/>
      <c r="U397" s="506"/>
      <c r="V397" s="509"/>
      <c r="W397" s="506"/>
      <c r="X397" s="506"/>
      <c r="Y397" s="506"/>
      <c r="Z397" s="506"/>
      <c r="AA397" s="506"/>
      <c r="AB397" s="506"/>
      <c r="AC397" s="506"/>
      <c r="AD397" s="506"/>
      <c r="AE397" s="506"/>
      <c r="AF397" s="506"/>
      <c r="AG397" s="506"/>
      <c r="AH397" s="506"/>
      <c r="AI397" s="506"/>
      <c r="AJ397" s="506"/>
      <c r="AK397" s="506"/>
      <c r="AL397" s="506"/>
      <c r="AM397" s="506"/>
      <c r="AN397" s="506"/>
    </row>
    <row r="398" spans="1:40" ht="15.75" hidden="1" customHeight="1">
      <c r="B398" s="503"/>
      <c r="C398" s="529"/>
      <c r="D398" s="509"/>
      <c r="E398" s="509"/>
      <c r="F398" s="555"/>
      <c r="G398" s="529"/>
      <c r="H398" s="509"/>
      <c r="I398" s="555"/>
      <c r="J398" s="529"/>
      <c r="K398" s="509"/>
      <c r="L398" s="555"/>
      <c r="M398" s="548"/>
      <c r="N398" s="569"/>
      <c r="O398" s="529"/>
      <c r="P398" s="509"/>
      <c r="Q398" s="555"/>
      <c r="R398" s="529"/>
      <c r="S398" s="569"/>
      <c r="T398" s="506"/>
      <c r="U398" s="506"/>
      <c r="V398" s="509"/>
      <c r="W398" s="506"/>
      <c r="X398" s="506"/>
      <c r="Y398" s="506"/>
      <c r="Z398" s="506"/>
      <c r="AA398" s="506"/>
      <c r="AB398" s="506"/>
      <c r="AC398" s="506"/>
      <c r="AD398" s="506"/>
      <c r="AE398" s="506"/>
      <c r="AF398" s="506"/>
      <c r="AG398" s="506"/>
      <c r="AH398" s="506"/>
      <c r="AI398" s="506"/>
      <c r="AJ398" s="506"/>
      <c r="AK398" s="506"/>
      <c r="AL398" s="506"/>
      <c r="AM398" s="506"/>
      <c r="AN398" s="506"/>
    </row>
    <row r="399" spans="1:40" ht="15.75" hidden="1" customHeight="1">
      <c r="B399" s="503"/>
      <c r="C399" s="726" t="s">
        <v>72</v>
      </c>
      <c r="D399" s="727"/>
      <c r="E399" s="727"/>
      <c r="F399" s="728">
        <v>0</v>
      </c>
      <c r="G399" s="726"/>
      <c r="H399" s="727"/>
      <c r="I399" s="728"/>
      <c r="J399" s="729"/>
      <c r="K399" s="730"/>
      <c r="L399" s="728">
        <v>0</v>
      </c>
      <c r="M399" s="726"/>
      <c r="N399" s="728"/>
      <c r="O399" s="729"/>
      <c r="P399" s="730"/>
      <c r="Q399" s="728">
        <v>0</v>
      </c>
      <c r="R399" s="729"/>
      <c r="S399" s="728">
        <v>0</v>
      </c>
      <c r="T399" s="506"/>
      <c r="U399" s="506"/>
      <c r="V399" s="509"/>
      <c r="W399" s="506"/>
      <c r="X399" s="506"/>
      <c r="Y399" s="506"/>
      <c r="Z399" s="506"/>
      <c r="AA399" s="506"/>
      <c r="AB399" s="506"/>
      <c r="AC399" s="506"/>
      <c r="AD399" s="506"/>
      <c r="AE399" s="506"/>
      <c r="AF399" s="506"/>
      <c r="AG399" s="506"/>
      <c r="AH399" s="506"/>
      <c r="AI399" s="506"/>
      <c r="AJ399" s="506"/>
      <c r="AK399" s="506"/>
      <c r="AL399" s="506"/>
      <c r="AM399" s="506"/>
      <c r="AN399" s="506"/>
    </row>
    <row r="400" spans="1:40" ht="15.75" customHeight="1">
      <c r="B400" s="503"/>
      <c r="C400" s="568"/>
      <c r="D400" s="731"/>
      <c r="E400" s="509"/>
      <c r="F400" s="604">
        <v>85334.050288457074</v>
      </c>
      <c r="G400" s="581"/>
      <c r="H400" s="509"/>
      <c r="I400" s="604"/>
      <c r="J400" s="731"/>
      <c r="K400" s="568"/>
      <c r="L400" s="604">
        <v>26438.450000000004</v>
      </c>
      <c r="M400" s="568"/>
      <c r="N400" s="604"/>
      <c r="O400" s="568"/>
      <c r="P400" s="568"/>
      <c r="Q400" s="604"/>
      <c r="R400" s="568"/>
      <c r="S400" s="604"/>
      <c r="T400" s="509"/>
      <c r="U400" s="509"/>
      <c r="V400" s="509"/>
      <c r="W400" s="509"/>
      <c r="X400" s="509"/>
      <c r="Y400" s="509"/>
      <c r="Z400" s="509"/>
      <c r="AA400" s="509"/>
      <c r="AB400" s="509"/>
      <c r="AC400" s="509"/>
      <c r="AD400" s="509"/>
      <c r="AE400" s="509"/>
      <c r="AF400" s="509"/>
      <c r="AG400" s="509"/>
      <c r="AH400" s="509"/>
      <c r="AI400" s="509"/>
      <c r="AJ400" s="509"/>
      <c r="AK400" s="509"/>
      <c r="AL400" s="509"/>
      <c r="AM400" s="509"/>
      <c r="AN400" s="509"/>
    </row>
    <row r="401" spans="1:61" ht="15.75" customHeight="1">
      <c r="B401" s="503"/>
      <c r="F401" s="732"/>
      <c r="L401" s="732"/>
      <c r="V401" s="509"/>
      <c r="W401" s="506"/>
      <c r="X401" s="506"/>
      <c r="Y401" s="506"/>
      <c r="Z401" s="506"/>
      <c r="AA401" s="506"/>
      <c r="AB401" s="506"/>
      <c r="AC401" s="506"/>
      <c r="AD401" s="506"/>
      <c r="AE401" s="506"/>
      <c r="AF401" s="506"/>
      <c r="AG401" s="506"/>
      <c r="AH401" s="506"/>
      <c r="AI401" s="506"/>
      <c r="AJ401" s="506"/>
      <c r="AK401" s="506"/>
      <c r="AL401" s="506"/>
      <c r="AM401" s="506"/>
      <c r="AN401" s="506"/>
    </row>
    <row r="402" spans="1:61" ht="35.4">
      <c r="B402" s="503"/>
      <c r="C402" s="733" t="s">
        <v>473</v>
      </c>
      <c r="F402" s="732"/>
      <c r="L402" s="732"/>
      <c r="V402" s="734" t="s">
        <v>477</v>
      </c>
      <c r="W402" s="495"/>
      <c r="X402" s="495"/>
      <c r="Y402" s="495"/>
      <c r="Z402" s="495"/>
      <c r="AA402" s="495"/>
      <c r="AB402" s="495"/>
      <c r="AC402" s="495"/>
      <c r="AD402" s="495"/>
      <c r="AE402" s="497" t="s">
        <v>474</v>
      </c>
      <c r="AF402" s="495"/>
      <c r="AG402" s="495"/>
      <c r="AH402" s="495"/>
      <c r="AI402" s="495"/>
      <c r="AJ402" s="735"/>
      <c r="AK402" s="497"/>
      <c r="AL402" s="495"/>
      <c r="AM402" s="495"/>
      <c r="AN402" s="495"/>
      <c r="AO402" s="735" t="s">
        <v>485</v>
      </c>
      <c r="AP402" s="506"/>
      <c r="AQ402" s="506"/>
      <c r="AR402" s="506"/>
      <c r="AS402" s="506"/>
      <c r="AT402" s="506"/>
      <c r="AU402" s="506"/>
      <c r="AV402" s="506"/>
      <c r="AW402" s="506"/>
      <c r="AX402" s="506"/>
      <c r="AY402" s="506"/>
      <c r="AZ402" s="506"/>
      <c r="BA402" s="506"/>
      <c r="BB402" s="506"/>
      <c r="BC402" s="506"/>
      <c r="BD402" s="506"/>
      <c r="BE402" s="506"/>
      <c r="BF402" s="506"/>
      <c r="BG402" s="506"/>
      <c r="BH402" s="506"/>
      <c r="BI402" s="506"/>
    </row>
    <row r="403" spans="1:61" ht="15.75" customHeight="1" thickBot="1">
      <c r="B403" s="503"/>
      <c r="C403" s="733" t="s">
        <v>473</v>
      </c>
      <c r="V403" s="736"/>
      <c r="W403" s="505"/>
      <c r="X403" s="505"/>
      <c r="Y403" s="505"/>
      <c r="Z403" s="505"/>
      <c r="AA403" s="505"/>
      <c r="AB403" s="505"/>
      <c r="AC403" s="505"/>
      <c r="AD403" s="505"/>
      <c r="AE403" s="505"/>
      <c r="AF403" s="505"/>
      <c r="AG403" s="505"/>
      <c r="AH403" s="505"/>
      <c r="AI403" s="505"/>
      <c r="AJ403" s="505"/>
      <c r="AK403" s="505"/>
      <c r="AL403" s="506"/>
      <c r="AM403" s="506"/>
      <c r="AN403" s="506"/>
      <c r="AO403" s="506"/>
      <c r="AP403" s="506"/>
      <c r="AQ403" s="506"/>
      <c r="AR403" s="506"/>
      <c r="AS403" s="506"/>
      <c r="AT403" s="506"/>
      <c r="AU403" s="506"/>
      <c r="AV403" s="506"/>
      <c r="AW403" s="506"/>
      <c r="AX403" s="506"/>
      <c r="AY403" s="506"/>
      <c r="AZ403" s="506"/>
      <c r="BA403" s="506"/>
      <c r="BB403" s="506"/>
      <c r="BC403" s="506"/>
      <c r="BD403" s="506"/>
      <c r="BE403" s="506"/>
      <c r="BF403" s="506"/>
      <c r="BG403" s="506"/>
      <c r="BH403" s="506"/>
      <c r="BI403" s="506"/>
    </row>
    <row r="404" spans="1:61" ht="15.75" customHeight="1" thickTop="1" thickBot="1">
      <c r="A404" s="494" t="s">
        <v>475</v>
      </c>
      <c r="B404" s="503"/>
      <c r="C404" s="733" t="s">
        <v>473</v>
      </c>
      <c r="V404" s="737"/>
      <c r="W404" s="738"/>
      <c r="X404" s="739" t="s">
        <v>122</v>
      </c>
      <c r="Y404" s="740"/>
      <c r="Z404" s="741"/>
      <c r="AA404" s="742"/>
      <c r="AB404" s="740"/>
      <c r="AC404" s="741"/>
      <c r="AD404" s="742" t="s">
        <v>7</v>
      </c>
      <c r="AE404" s="740"/>
      <c r="AF404" s="741"/>
      <c r="AG404" s="742" t="s">
        <v>221</v>
      </c>
      <c r="AH404" s="740"/>
      <c r="AI404" s="741"/>
      <c r="AJ404" s="742" t="s">
        <v>123</v>
      </c>
      <c r="AK404" s="740"/>
      <c r="AL404" s="740"/>
      <c r="AM404" s="742" t="s">
        <v>124</v>
      </c>
      <c r="AN404" s="740"/>
      <c r="AO404" s="743"/>
      <c r="AP404" s="506"/>
      <c r="AQ404" s="506"/>
      <c r="AR404" s="506"/>
      <c r="AS404" s="506"/>
      <c r="AT404" s="506"/>
      <c r="AU404" s="506"/>
      <c r="AV404" s="506"/>
      <c r="AW404" s="506"/>
      <c r="AX404" s="506"/>
      <c r="AY404" s="506"/>
      <c r="AZ404" s="506"/>
      <c r="BA404" s="506"/>
      <c r="BB404" s="506"/>
      <c r="BC404" s="506"/>
      <c r="BD404" s="506"/>
      <c r="BE404" s="506"/>
      <c r="BF404" s="506"/>
      <c r="BG404" s="506"/>
      <c r="BH404" s="506"/>
      <c r="BI404" s="506"/>
    </row>
    <row r="405" spans="1:61" ht="15.75" customHeight="1">
      <c r="A405" s="494" t="s">
        <v>475</v>
      </c>
      <c r="B405" s="503"/>
      <c r="C405" s="733" t="s">
        <v>473</v>
      </c>
      <c r="V405" s="522"/>
      <c r="W405" s="698" t="s">
        <v>125</v>
      </c>
      <c r="X405" s="698" t="s">
        <v>126</v>
      </c>
      <c r="Y405" s="698" t="s">
        <v>127</v>
      </c>
      <c r="Z405" s="744" t="s">
        <v>128</v>
      </c>
      <c r="AA405" s="698"/>
      <c r="AB405" s="698"/>
      <c r="AC405" s="744"/>
      <c r="AD405" s="745" t="s">
        <v>126</v>
      </c>
      <c r="AE405" s="698" t="s">
        <v>127</v>
      </c>
      <c r="AF405" s="698" t="s">
        <v>128</v>
      </c>
      <c r="AG405" s="745" t="s">
        <v>129</v>
      </c>
      <c r="AH405" s="698" t="s">
        <v>130</v>
      </c>
      <c r="AI405" s="698" t="s">
        <v>131</v>
      </c>
      <c r="AJ405" s="745" t="s">
        <v>126</v>
      </c>
      <c r="AK405" s="698" t="s">
        <v>127</v>
      </c>
      <c r="AL405" s="698" t="s">
        <v>128</v>
      </c>
      <c r="AM405" s="746" t="s">
        <v>129</v>
      </c>
      <c r="AN405" s="698" t="s">
        <v>130</v>
      </c>
      <c r="AO405" s="634" t="s">
        <v>131</v>
      </c>
      <c r="AP405" s="506"/>
      <c r="AQ405" s="506"/>
      <c r="AR405" s="506"/>
      <c r="AS405" s="506"/>
      <c r="AT405" s="506"/>
      <c r="AU405" s="506"/>
      <c r="AV405" s="506"/>
      <c r="AW405" s="506"/>
      <c r="AX405" s="506"/>
      <c r="AY405" s="506"/>
      <c r="AZ405" s="506"/>
      <c r="BA405" s="506"/>
      <c r="BB405" s="506"/>
      <c r="BC405" s="506"/>
      <c r="BD405" s="506"/>
      <c r="BE405" s="506"/>
      <c r="BF405" s="506"/>
      <c r="BG405" s="506"/>
      <c r="BH405" s="506"/>
      <c r="BI405" s="506"/>
    </row>
    <row r="406" spans="1:61" ht="15.75" customHeight="1">
      <c r="A406" s="494" t="s">
        <v>15</v>
      </c>
      <c r="B406" s="503"/>
      <c r="C406" s="733" t="s">
        <v>473</v>
      </c>
      <c r="V406" s="598" t="s">
        <v>15</v>
      </c>
      <c r="W406" s="747"/>
      <c r="X406" s="747"/>
      <c r="Y406" s="747"/>
      <c r="Z406" s="748">
        <v>5732896.1504884642</v>
      </c>
      <c r="AA406" s="747"/>
      <c r="AB406" s="747"/>
      <c r="AC406" s="748"/>
      <c r="AD406" s="749"/>
      <c r="AE406" s="750"/>
      <c r="AF406" s="750">
        <v>4003551.9599999995</v>
      </c>
      <c r="AG406" s="749"/>
      <c r="AH406" s="750"/>
      <c r="AI406" s="751"/>
      <c r="AJ406" s="749"/>
      <c r="AK406" s="750"/>
      <c r="AL406" s="750">
        <v>5520989.48999999</v>
      </c>
      <c r="AM406" s="752"/>
      <c r="AN406" s="750"/>
      <c r="AO406" s="753"/>
      <c r="AP406" s="506"/>
      <c r="AQ406" s="506"/>
      <c r="AR406" s="506"/>
      <c r="AS406" s="506"/>
      <c r="AT406" s="506"/>
      <c r="AU406" s="506"/>
      <c r="AV406" s="506"/>
      <c r="AW406" s="506"/>
      <c r="AX406" s="506"/>
      <c r="AY406" s="506"/>
      <c r="AZ406" s="506"/>
      <c r="BA406" s="506"/>
      <c r="BB406" s="506"/>
      <c r="BC406" s="506"/>
      <c r="BD406" s="506"/>
      <c r="BE406" s="506"/>
      <c r="BF406" s="506"/>
      <c r="BG406" s="506"/>
      <c r="BH406" s="506"/>
      <c r="BI406" s="506"/>
    </row>
    <row r="407" spans="1:61" ht="15.75" customHeight="1">
      <c r="A407" s="494" t="s">
        <v>132</v>
      </c>
      <c r="B407" s="503"/>
      <c r="C407" s="733" t="s">
        <v>473</v>
      </c>
      <c r="V407" s="754" t="s">
        <v>132</v>
      </c>
      <c r="W407" s="755"/>
      <c r="X407" s="881">
        <v>0.13457828298334809</v>
      </c>
      <c r="Y407" s="755"/>
      <c r="Z407" s="756">
        <v>771523.3204545835</v>
      </c>
      <c r="AA407" s="755"/>
      <c r="AB407" s="755"/>
      <c r="AC407" s="756"/>
      <c r="AD407" s="881">
        <v>0.11966109714234854</v>
      </c>
      <c r="AE407" s="758"/>
      <c r="AF407" s="756">
        <v>479069.41999999987</v>
      </c>
      <c r="AG407" s="757"/>
      <c r="AH407" s="758">
        <v>-292453.90045458364</v>
      </c>
      <c r="AI407" s="759">
        <v>-0.37906035073867766</v>
      </c>
      <c r="AJ407" s="757">
        <v>0.12242723722337684</v>
      </c>
      <c r="AK407" s="758"/>
      <c r="AL407" s="758">
        <v>675919.48999999906</v>
      </c>
      <c r="AM407" s="760"/>
      <c r="AN407" s="758">
        <v>-196850.06999999919</v>
      </c>
      <c r="AO407" s="761">
        <v>-0.29123301356497278</v>
      </c>
      <c r="AP407" s="506"/>
      <c r="AQ407" s="506"/>
      <c r="AR407" s="506"/>
      <c r="AS407" s="506"/>
      <c r="AT407" s="506"/>
      <c r="AU407" s="506"/>
      <c r="AV407" s="506"/>
      <c r="AW407" s="506"/>
      <c r="AX407" s="506"/>
      <c r="AY407" s="506"/>
      <c r="AZ407" s="506"/>
      <c r="BA407" s="506"/>
      <c r="BB407" s="506"/>
      <c r="BC407" s="506"/>
      <c r="BD407" s="506"/>
      <c r="BE407" s="506"/>
      <c r="BF407" s="506"/>
      <c r="BG407" s="506"/>
      <c r="BH407" s="506"/>
      <c r="BI407" s="506"/>
    </row>
    <row r="408" spans="1:61" ht="15.75" customHeight="1">
      <c r="A408" s="494" t="s">
        <v>133</v>
      </c>
      <c r="B408" s="503"/>
      <c r="C408" s="733" t="s">
        <v>473</v>
      </c>
      <c r="V408" s="762" t="s">
        <v>133</v>
      </c>
      <c r="W408" s="763"/>
      <c r="X408" s="763"/>
      <c r="Y408" s="763"/>
      <c r="Z408" s="764"/>
      <c r="AA408" s="763"/>
      <c r="AB408" s="763"/>
      <c r="AC408" s="764"/>
      <c r="AD408" s="765"/>
      <c r="AE408" s="763"/>
      <c r="AF408" s="766"/>
      <c r="AG408" s="765"/>
      <c r="AH408" s="766"/>
      <c r="AI408" s="767"/>
      <c r="AJ408" s="765"/>
      <c r="AK408" s="763"/>
      <c r="AL408" s="766"/>
      <c r="AM408" s="768"/>
      <c r="AN408" s="766"/>
      <c r="AO408" s="769"/>
      <c r="AP408" s="506"/>
      <c r="AQ408" s="506"/>
      <c r="AR408" s="506"/>
      <c r="AS408" s="506"/>
      <c r="AT408" s="506"/>
      <c r="AU408" s="506"/>
      <c r="AV408" s="506"/>
      <c r="AW408" s="506"/>
      <c r="AX408" s="506"/>
      <c r="AY408" s="506"/>
      <c r="AZ408" s="506"/>
      <c r="BA408" s="506"/>
      <c r="BB408" s="506"/>
      <c r="BC408" s="506"/>
      <c r="BD408" s="506"/>
      <c r="BE408" s="506"/>
      <c r="BF408" s="506"/>
      <c r="BG408" s="506"/>
      <c r="BH408" s="506"/>
      <c r="BI408" s="506"/>
    </row>
    <row r="409" spans="1:61" ht="15.75" customHeight="1">
      <c r="A409" s="494" t="s">
        <v>31</v>
      </c>
      <c r="B409" s="503"/>
      <c r="C409" s="733" t="s">
        <v>473</v>
      </c>
      <c r="V409" s="596" t="s">
        <v>31</v>
      </c>
      <c r="W409" s="770" t="s">
        <v>134</v>
      </c>
      <c r="X409" s="763"/>
      <c r="Y409" s="771">
        <v>831.30092390094819</v>
      </c>
      <c r="Z409" s="764">
        <v>78580.798084046881</v>
      </c>
      <c r="AA409" s="763"/>
      <c r="AB409" s="771"/>
      <c r="AC409" s="764"/>
      <c r="AD409" s="772"/>
      <c r="AE409" s="771">
        <v>586.18547945205466</v>
      </c>
      <c r="AF409" s="764">
        <v>42791.539999999994</v>
      </c>
      <c r="AG409" s="765">
        <v>-245.11544444889353</v>
      </c>
      <c r="AH409" s="766">
        <v>-35789.258084046887</v>
      </c>
      <c r="AI409" s="767">
        <v>-0.45544533724088837</v>
      </c>
      <c r="AJ409" s="773">
        <v>0.10101328783994688</v>
      </c>
      <c r="AK409" s="766">
        <v>853.46062500000005</v>
      </c>
      <c r="AL409" s="764">
        <v>68276.850000000006</v>
      </c>
      <c r="AM409" s="768">
        <v>-245.11544444889353</v>
      </c>
      <c r="AN409" s="766">
        <v>-25485.310000000012</v>
      </c>
      <c r="AO409" s="774">
        <v>-0.37326429089801316</v>
      </c>
      <c r="AP409" s="506"/>
      <c r="AQ409" s="506"/>
      <c r="AR409" s="503"/>
      <c r="AS409" s="506"/>
      <c r="AT409" s="506"/>
      <c r="AU409" s="506"/>
      <c r="AV409" s="506"/>
      <c r="AW409" s="506"/>
      <c r="AX409" s="506"/>
      <c r="AY409" s="506"/>
      <c r="AZ409" s="506"/>
      <c r="BA409" s="506"/>
      <c r="BB409" s="506"/>
      <c r="BC409" s="506"/>
      <c r="BD409" s="506"/>
      <c r="BE409" s="506"/>
      <c r="BF409" s="506"/>
      <c r="BG409" s="506"/>
      <c r="BH409" s="506"/>
      <c r="BI409" s="506"/>
    </row>
    <row r="410" spans="1:61" ht="15.75" customHeight="1">
      <c r="A410" s="494" t="s">
        <v>32</v>
      </c>
      <c r="B410" s="503"/>
      <c r="C410" s="733" t="s">
        <v>473</v>
      </c>
      <c r="V410" s="598" t="s">
        <v>32</v>
      </c>
      <c r="W410" s="775" t="s">
        <v>135</v>
      </c>
      <c r="X410" s="747"/>
      <c r="Y410" s="776">
        <v>519.26952474147731</v>
      </c>
      <c r="Z410" s="748">
        <v>49085.25</v>
      </c>
      <c r="AA410" s="747"/>
      <c r="AB410" s="776"/>
      <c r="AC410" s="748"/>
      <c r="AD410" s="777"/>
      <c r="AE410" s="776">
        <v>244.5164383561644</v>
      </c>
      <c r="AF410" s="748">
        <v>17849.7</v>
      </c>
      <c r="AG410" s="749">
        <v>-274.75308638531294</v>
      </c>
      <c r="AH410" s="750">
        <v>-31235.55</v>
      </c>
      <c r="AI410" s="778">
        <v>-0.63635307959111953</v>
      </c>
      <c r="AJ410" s="779">
        <v>5.2544527159588267E-2</v>
      </c>
      <c r="AK410" s="750">
        <v>443.94837500000006</v>
      </c>
      <c r="AL410" s="748">
        <v>35515.870000000003</v>
      </c>
      <c r="AM410" s="752">
        <v>-274.75308638531294</v>
      </c>
      <c r="AN410" s="750">
        <v>-17666.170000000002</v>
      </c>
      <c r="AO410" s="753">
        <v>-0.49741622547891973</v>
      </c>
      <c r="AP410" s="506"/>
      <c r="AQ410" s="506"/>
      <c r="AR410" s="509"/>
      <c r="AS410" s="506"/>
      <c r="AT410" s="506"/>
      <c r="AU410" s="506"/>
      <c r="AV410" s="506"/>
      <c r="AW410" s="506"/>
      <c r="AX410" s="506"/>
      <c r="AY410" s="506"/>
      <c r="AZ410" s="506"/>
      <c r="BA410" s="506"/>
      <c r="BB410" s="506"/>
      <c r="BC410" s="506"/>
      <c r="BD410" s="506"/>
      <c r="BE410" s="506"/>
      <c r="BF410" s="506"/>
      <c r="BG410" s="506"/>
      <c r="BH410" s="506"/>
      <c r="BI410" s="506"/>
    </row>
    <row r="411" spans="1:61" ht="15.75" customHeight="1">
      <c r="A411" s="494" t="s">
        <v>33</v>
      </c>
      <c r="B411" s="503"/>
      <c r="C411" s="733" t="s">
        <v>473</v>
      </c>
      <c r="V411" s="596" t="s">
        <v>33</v>
      </c>
      <c r="W411" s="770" t="s">
        <v>136</v>
      </c>
      <c r="X411" s="763"/>
      <c r="Y411" s="771">
        <v>77.169342254899362</v>
      </c>
      <c r="Z411" s="764">
        <v>7294.625</v>
      </c>
      <c r="AA411" s="763"/>
      <c r="AB411" s="771"/>
      <c r="AC411" s="764"/>
      <c r="AD411" s="772"/>
      <c r="AE411" s="771">
        <v>62.983424657534258</v>
      </c>
      <c r="AF411" s="764">
        <v>4597.7900000000009</v>
      </c>
      <c r="AG411" s="765">
        <v>-14.185917597365105</v>
      </c>
      <c r="AH411" s="766">
        <v>-2696.8349999999991</v>
      </c>
      <c r="AI411" s="767">
        <v>-0.36970166389636194</v>
      </c>
      <c r="AJ411" s="773">
        <v>8.192307045325779E-3</v>
      </c>
      <c r="AK411" s="766">
        <v>69.216750000000005</v>
      </c>
      <c r="AL411" s="764">
        <v>5537.34</v>
      </c>
      <c r="AM411" s="768">
        <v>-14.185917597365105</v>
      </c>
      <c r="AN411" s="766">
        <v>-939.54999999999927</v>
      </c>
      <c r="AO411" s="774">
        <v>-0.16967533147684616</v>
      </c>
      <c r="AP411" s="506"/>
      <c r="AQ411" s="506"/>
      <c r="AR411" s="509"/>
      <c r="AS411" s="506"/>
      <c r="AT411" s="506"/>
      <c r="AU411" s="506"/>
      <c r="AV411" s="506"/>
      <c r="AW411" s="506"/>
      <c r="AX411" s="506"/>
      <c r="AY411" s="506"/>
      <c r="AZ411" s="506"/>
      <c r="BA411" s="506"/>
      <c r="BB411" s="506"/>
      <c r="BC411" s="506"/>
      <c r="BD411" s="506"/>
      <c r="BE411" s="506"/>
      <c r="BF411" s="506"/>
      <c r="BG411" s="506"/>
      <c r="BH411" s="506"/>
      <c r="BI411" s="506"/>
    </row>
    <row r="412" spans="1:61" ht="15.75" customHeight="1">
      <c r="A412" s="494" t="s">
        <v>34</v>
      </c>
      <c r="B412" s="503"/>
      <c r="C412" s="733" t="s">
        <v>473</v>
      </c>
      <c r="V412" s="596" t="s">
        <v>34</v>
      </c>
      <c r="W412" s="770" t="s">
        <v>137</v>
      </c>
      <c r="X412" s="763"/>
      <c r="Y412" s="771">
        <v>4.7855121525482005</v>
      </c>
      <c r="Z412" s="764">
        <v>452.36250000000001</v>
      </c>
      <c r="AA412" s="763"/>
      <c r="AB412" s="771"/>
      <c r="AC412" s="764"/>
      <c r="AD412" s="772"/>
      <c r="AE412" s="771">
        <v>33.609863013698629</v>
      </c>
      <c r="AF412" s="764">
        <v>2453.52</v>
      </c>
      <c r="AG412" s="765">
        <v>28.824350861150428</v>
      </c>
      <c r="AH412" s="766">
        <v>2001.1575</v>
      </c>
      <c r="AI412" s="767">
        <v>4.4237917599270498</v>
      </c>
      <c r="AJ412" s="773">
        <v>0</v>
      </c>
      <c r="AK412" s="766">
        <v>0</v>
      </c>
      <c r="AL412" s="764">
        <v>0</v>
      </c>
      <c r="AM412" s="768">
        <v>28.824350861150428</v>
      </c>
      <c r="AN412" s="766">
        <v>2453.52</v>
      </c>
      <c r="AO412" s="774">
        <v>0</v>
      </c>
      <c r="AP412" s="506"/>
      <c r="AQ412" s="506"/>
      <c r="AR412" s="509"/>
      <c r="AS412" s="506"/>
      <c r="AT412" s="506"/>
      <c r="AU412" s="506"/>
      <c r="AV412" s="506"/>
      <c r="AW412" s="506"/>
      <c r="AX412" s="506"/>
      <c r="AY412" s="506"/>
      <c r="AZ412" s="506"/>
      <c r="BA412" s="506"/>
      <c r="BB412" s="506"/>
      <c r="BC412" s="506"/>
      <c r="BD412" s="506"/>
      <c r="BE412" s="506"/>
      <c r="BF412" s="506"/>
      <c r="BG412" s="506"/>
      <c r="BH412" s="506"/>
      <c r="BI412" s="506"/>
    </row>
    <row r="413" spans="1:61" ht="15.75" customHeight="1">
      <c r="A413" s="494" t="s">
        <v>35</v>
      </c>
      <c r="B413" s="503"/>
      <c r="C413" s="733" t="s">
        <v>473</v>
      </c>
      <c r="V413" s="598" t="s">
        <v>35</v>
      </c>
      <c r="W413" s="775"/>
      <c r="X413" s="747"/>
      <c r="Y413" s="776">
        <v>120.67416889265029</v>
      </c>
      <c r="Z413" s="748">
        <v>11407.0275</v>
      </c>
      <c r="AA413" s="747"/>
      <c r="AB413" s="776"/>
      <c r="AC413" s="748"/>
      <c r="AD413" s="777"/>
      <c r="AE413" s="776">
        <v>168.25657534246574</v>
      </c>
      <c r="AF413" s="748">
        <v>12282.73</v>
      </c>
      <c r="AG413" s="749">
        <v>47.582406449815451</v>
      </c>
      <c r="AH413" s="750">
        <v>875.70249999999942</v>
      </c>
      <c r="AI413" s="778">
        <v>7.676868491813485E-2</v>
      </c>
      <c r="AJ413" s="779">
        <v>1.2071837135514485E-2</v>
      </c>
      <c r="AK413" s="750">
        <v>101.99487500000001</v>
      </c>
      <c r="AL413" s="748">
        <v>8159.59</v>
      </c>
      <c r="AM413" s="752">
        <v>47.582406449815451</v>
      </c>
      <c r="AN413" s="750">
        <v>4123.1399999999994</v>
      </c>
      <c r="AO413" s="753">
        <v>0.50531215416460873</v>
      </c>
      <c r="AP413" s="506"/>
      <c r="AQ413" s="506"/>
      <c r="AR413" s="509"/>
      <c r="AS413" s="506"/>
      <c r="AT413" s="506"/>
      <c r="AU413" s="506"/>
      <c r="AV413" s="506"/>
      <c r="AW413" s="506"/>
      <c r="AX413" s="506"/>
      <c r="AY413" s="506"/>
      <c r="AZ413" s="506"/>
      <c r="BA413" s="506"/>
      <c r="BB413" s="506"/>
      <c r="BC413" s="506"/>
      <c r="BD413" s="506"/>
      <c r="BE413" s="506"/>
      <c r="BF413" s="506"/>
      <c r="BG413" s="506"/>
      <c r="BH413" s="506"/>
      <c r="BI413" s="506"/>
    </row>
    <row r="414" spans="1:61" ht="15.75" customHeight="1">
      <c r="A414" s="494" t="s">
        <v>36</v>
      </c>
      <c r="B414" s="503"/>
      <c r="C414" s="733" t="s">
        <v>473</v>
      </c>
      <c r="V414" s="596" t="s">
        <v>36</v>
      </c>
      <c r="W414" s="770" t="s">
        <v>138</v>
      </c>
      <c r="X414" s="767"/>
      <c r="Y414" s="771">
        <v>206.2283462484462</v>
      </c>
      <c r="Z414" s="764">
        <v>19494.25</v>
      </c>
      <c r="AA414" s="767"/>
      <c r="AB414" s="771"/>
      <c r="AC414" s="764"/>
      <c r="AD414" s="772"/>
      <c r="AE414" s="771">
        <v>294.71424657534249</v>
      </c>
      <c r="AF414" s="764">
        <v>21514.14</v>
      </c>
      <c r="AG414" s="765">
        <v>88.485900326896285</v>
      </c>
      <c r="AH414" s="766">
        <v>2019.8899999999994</v>
      </c>
      <c r="AI414" s="767">
        <v>0.10361465560357538</v>
      </c>
      <c r="AJ414" s="773">
        <v>3.0949810309508947E-2</v>
      </c>
      <c r="AK414" s="766">
        <v>261.49475000000001</v>
      </c>
      <c r="AL414" s="764">
        <v>20919.580000000002</v>
      </c>
      <c r="AM414" s="768">
        <v>88.485900326896285</v>
      </c>
      <c r="AN414" s="766">
        <v>594.55999999999767</v>
      </c>
      <c r="AO414" s="774">
        <v>2.8421220693723184E-2</v>
      </c>
      <c r="AP414" s="506"/>
      <c r="AQ414" s="506"/>
      <c r="AR414" s="509"/>
      <c r="AS414" s="506"/>
      <c r="AT414" s="506"/>
      <c r="AU414" s="506"/>
      <c r="AV414" s="506"/>
      <c r="AW414" s="506"/>
      <c r="AX414" s="506"/>
      <c r="AY414" s="506"/>
      <c r="AZ414" s="506"/>
      <c r="BA414" s="506"/>
      <c r="BB414" s="506"/>
      <c r="BC414" s="506"/>
      <c r="BD414" s="506"/>
      <c r="BE414" s="506"/>
      <c r="BF414" s="506"/>
      <c r="BG414" s="506"/>
      <c r="BH414" s="506"/>
      <c r="BI414" s="506"/>
    </row>
    <row r="415" spans="1:61" ht="15.75" customHeight="1">
      <c r="A415" s="494" t="s">
        <v>37</v>
      </c>
      <c r="B415" s="503"/>
      <c r="C415" s="733" t="s">
        <v>473</v>
      </c>
      <c r="V415" s="596" t="s">
        <v>37</v>
      </c>
      <c r="W415" s="770" t="s">
        <v>139</v>
      </c>
      <c r="X415" s="763"/>
      <c r="Y415" s="771">
        <v>258.21814822848836</v>
      </c>
      <c r="Z415" s="764">
        <v>24408.716006668434</v>
      </c>
      <c r="AA415" s="763"/>
      <c r="AB415" s="771"/>
      <c r="AC415" s="764"/>
      <c r="AD415" s="772"/>
      <c r="AE415" s="771">
        <v>590.14475000000004</v>
      </c>
      <c r="AF415" s="764">
        <v>47211.58</v>
      </c>
      <c r="AG415" s="765">
        <v>331.92660177151168</v>
      </c>
      <c r="AH415" s="766">
        <v>22802.863993331568</v>
      </c>
      <c r="AI415" s="767">
        <v>0.93420989400269361</v>
      </c>
      <c r="AJ415" s="773">
        <v>9.3169232329726268E-3</v>
      </c>
      <c r="AK415" s="766">
        <v>78.718625000000003</v>
      </c>
      <c r="AL415" s="764">
        <v>6297.49</v>
      </c>
      <c r="AM415" s="768">
        <v>331.92660177151168</v>
      </c>
      <c r="AN415" s="766">
        <v>40914.090000000004</v>
      </c>
      <c r="AO415" s="774">
        <v>6.4968884428558056</v>
      </c>
      <c r="AP415" s="506"/>
      <c r="AQ415" s="506"/>
      <c r="AR415" s="509"/>
      <c r="AS415" s="506"/>
      <c r="AT415" s="506"/>
      <c r="AU415" s="506"/>
      <c r="AV415" s="506"/>
      <c r="AW415" s="506"/>
      <c r="AX415" s="506"/>
      <c r="AY415" s="506"/>
      <c r="AZ415" s="506"/>
      <c r="BA415" s="506"/>
      <c r="BB415" s="506"/>
      <c r="BC415" s="506"/>
      <c r="BD415" s="506"/>
      <c r="BE415" s="506"/>
      <c r="BF415" s="506"/>
      <c r="BG415" s="506"/>
      <c r="BH415" s="506"/>
      <c r="BI415" s="506"/>
    </row>
    <row r="416" spans="1:61" ht="15.75" hidden="1" customHeight="1">
      <c r="A416" s="494" t="s">
        <v>20</v>
      </c>
      <c r="B416" s="503"/>
      <c r="C416" s="733" t="s">
        <v>473</v>
      </c>
      <c r="V416" s="596" t="s">
        <v>20</v>
      </c>
      <c r="W416" s="770"/>
      <c r="X416" s="767"/>
      <c r="Y416" s="771">
        <v>0</v>
      </c>
      <c r="Z416" s="764">
        <v>0</v>
      </c>
      <c r="AA416" s="763"/>
      <c r="AB416" s="771"/>
      <c r="AC416" s="764"/>
      <c r="AD416" s="772"/>
      <c r="AE416" s="771">
        <v>0</v>
      </c>
      <c r="AF416" s="764">
        <v>0</v>
      </c>
      <c r="AG416" s="765">
        <v>0</v>
      </c>
      <c r="AH416" s="766">
        <v>0</v>
      </c>
      <c r="AI416" s="767">
        <v>0</v>
      </c>
      <c r="AJ416" s="772"/>
      <c r="AK416" s="766">
        <v>0</v>
      </c>
      <c r="AL416" s="764">
        <v>0</v>
      </c>
      <c r="AM416" s="768">
        <v>0</v>
      </c>
      <c r="AN416" s="766">
        <v>0</v>
      </c>
      <c r="AO416" s="774">
        <v>0</v>
      </c>
      <c r="AP416" s="506"/>
      <c r="AQ416" s="506"/>
      <c r="AR416" s="509"/>
      <c r="AS416" s="506"/>
      <c r="AT416" s="506"/>
      <c r="AU416" s="506"/>
      <c r="AV416" s="506"/>
      <c r="AW416" s="506"/>
      <c r="AX416" s="506"/>
      <c r="AY416" s="506"/>
      <c r="AZ416" s="506"/>
      <c r="BA416" s="506"/>
      <c r="BB416" s="506"/>
      <c r="BC416" s="506"/>
      <c r="BD416" s="506"/>
      <c r="BE416" s="506"/>
      <c r="BF416" s="506"/>
      <c r="BG416" s="506"/>
      <c r="BH416" s="506"/>
      <c r="BI416" s="506"/>
    </row>
    <row r="417" spans="1:61" ht="15.75" hidden="1" customHeight="1">
      <c r="A417" s="494" t="s">
        <v>20</v>
      </c>
      <c r="B417" s="503"/>
      <c r="C417" s="733" t="s">
        <v>473</v>
      </c>
      <c r="V417" s="596" t="s">
        <v>20</v>
      </c>
      <c r="W417" s="770"/>
      <c r="X417" s="767"/>
      <c r="Y417" s="771">
        <v>0</v>
      </c>
      <c r="Z417" s="764">
        <v>0</v>
      </c>
      <c r="AA417" s="763"/>
      <c r="AB417" s="771"/>
      <c r="AC417" s="764"/>
      <c r="AD417" s="772"/>
      <c r="AE417" s="771">
        <v>0</v>
      </c>
      <c r="AF417" s="764">
        <v>0</v>
      </c>
      <c r="AG417" s="765">
        <v>0</v>
      </c>
      <c r="AH417" s="766">
        <v>0</v>
      </c>
      <c r="AI417" s="767">
        <v>0</v>
      </c>
      <c r="AJ417" s="772"/>
      <c r="AK417" s="766">
        <v>0</v>
      </c>
      <c r="AL417" s="764">
        <v>0</v>
      </c>
      <c r="AM417" s="768">
        <v>0</v>
      </c>
      <c r="AN417" s="766">
        <v>0</v>
      </c>
      <c r="AO417" s="774">
        <v>0</v>
      </c>
      <c r="AP417" s="506"/>
      <c r="AQ417" s="506"/>
      <c r="AR417" s="509"/>
      <c r="AS417" s="506"/>
      <c r="AT417" s="506"/>
      <c r="AU417" s="506"/>
      <c r="AV417" s="506"/>
      <c r="AW417" s="506"/>
      <c r="AX417" s="506"/>
      <c r="AY417" s="506"/>
      <c r="AZ417" s="506"/>
      <c r="BA417" s="506"/>
      <c r="BB417" s="506"/>
      <c r="BC417" s="506"/>
      <c r="BD417" s="506"/>
      <c r="BE417" s="506"/>
      <c r="BF417" s="506"/>
      <c r="BG417" s="506"/>
      <c r="BH417" s="506"/>
      <c r="BI417" s="506"/>
    </row>
    <row r="418" spans="1:61" ht="15.75" hidden="1" customHeight="1">
      <c r="A418" s="494" t="s">
        <v>20</v>
      </c>
      <c r="B418" s="503"/>
      <c r="C418" s="733" t="s">
        <v>473</v>
      </c>
      <c r="V418" s="596" t="s">
        <v>20</v>
      </c>
      <c r="W418" s="770" t="s">
        <v>139</v>
      </c>
      <c r="X418" s="763"/>
      <c r="Y418" s="771">
        <v>0</v>
      </c>
      <c r="Z418" s="764">
        <v>0</v>
      </c>
      <c r="AA418" s="763"/>
      <c r="AB418" s="771"/>
      <c r="AC418" s="764"/>
      <c r="AD418" s="772"/>
      <c r="AE418" s="771">
        <v>0</v>
      </c>
      <c r="AF418" s="764">
        <v>0</v>
      </c>
      <c r="AG418" s="765">
        <v>0</v>
      </c>
      <c r="AH418" s="766">
        <v>0</v>
      </c>
      <c r="AI418" s="767">
        <v>0</v>
      </c>
      <c r="AJ418" s="772"/>
      <c r="AK418" s="766">
        <v>0</v>
      </c>
      <c r="AL418" s="764">
        <v>0</v>
      </c>
      <c r="AM418" s="768">
        <v>0</v>
      </c>
      <c r="AN418" s="766">
        <v>0</v>
      </c>
      <c r="AO418" s="774">
        <v>0</v>
      </c>
      <c r="AP418" s="506"/>
      <c r="AQ418" s="506"/>
      <c r="AR418" s="509"/>
      <c r="AS418" s="506"/>
      <c r="AT418" s="506"/>
      <c r="AU418" s="506"/>
      <c r="AV418" s="506"/>
      <c r="AW418" s="506"/>
      <c r="AX418" s="506"/>
      <c r="AY418" s="506"/>
      <c r="AZ418" s="506"/>
      <c r="BA418" s="506"/>
      <c r="BB418" s="506"/>
      <c r="BC418" s="506"/>
      <c r="BD418" s="506"/>
      <c r="BE418" s="506"/>
      <c r="BF418" s="506"/>
      <c r="BG418" s="506"/>
      <c r="BH418" s="506"/>
      <c r="BI418" s="506"/>
    </row>
    <row r="419" spans="1:61" ht="15.75" customHeight="1">
      <c r="A419" s="494" t="s">
        <v>38</v>
      </c>
      <c r="B419" s="503"/>
      <c r="C419" s="733" t="s">
        <v>473</v>
      </c>
      <c r="V419" s="780" t="s">
        <v>38</v>
      </c>
      <c r="W419" s="781"/>
      <c r="X419" s="782">
        <v>0.24720319403740224</v>
      </c>
      <c r="Y419" s="781"/>
      <c r="Z419" s="783">
        <v>190723.02909071528</v>
      </c>
      <c r="AA419" s="782"/>
      <c r="AB419" s="781"/>
      <c r="AC419" s="783"/>
      <c r="AD419" s="784">
        <v>0.31039551637422408</v>
      </c>
      <c r="AE419" s="781"/>
      <c r="AF419" s="783">
        <v>148701</v>
      </c>
      <c r="AG419" s="785"/>
      <c r="AH419" s="786">
        <v>-42022.029090715281</v>
      </c>
      <c r="AI419" s="782">
        <v>-0.2203301263148876</v>
      </c>
      <c r="AJ419" s="784">
        <v>0.21408869272285694</v>
      </c>
      <c r="AK419" s="781"/>
      <c r="AL419" s="783">
        <v>144706.71999999997</v>
      </c>
      <c r="AM419" s="787"/>
      <c r="AN419" s="786">
        <v>3994.2800000000279</v>
      </c>
      <c r="AO419" s="761">
        <v>2.7602588186644191E-2</v>
      </c>
      <c r="AP419" s="506"/>
      <c r="AQ419" s="506"/>
      <c r="AR419" s="509"/>
      <c r="AS419" s="506"/>
      <c r="AT419" s="506"/>
      <c r="AU419" s="506"/>
      <c r="AV419" s="506"/>
      <c r="AW419" s="506"/>
      <c r="AX419" s="506"/>
      <c r="AY419" s="506"/>
      <c r="AZ419" s="506"/>
      <c r="BA419" s="506"/>
      <c r="BB419" s="506"/>
      <c r="BC419" s="506"/>
      <c r="BD419" s="506"/>
      <c r="BE419" s="506"/>
      <c r="BF419" s="506"/>
      <c r="BG419" s="506"/>
      <c r="BH419" s="506"/>
      <c r="BI419" s="506"/>
    </row>
    <row r="420" spans="1:61" ht="15.75" customHeight="1">
      <c r="A420" s="494" t="s">
        <v>140</v>
      </c>
      <c r="B420" s="503"/>
      <c r="C420" s="733" t="s">
        <v>473</v>
      </c>
      <c r="V420" s="596" t="s">
        <v>140</v>
      </c>
      <c r="W420" s="770" t="s">
        <v>141</v>
      </c>
      <c r="X420" s="763"/>
      <c r="Y420" s="763"/>
      <c r="Z420" s="764">
        <v>13542.199999999997</v>
      </c>
      <c r="AA420" s="763"/>
      <c r="AB420" s="763"/>
      <c r="AC420" s="764"/>
      <c r="AD420" s="772"/>
      <c r="AE420" s="771"/>
      <c r="AF420" s="764">
        <v>15663.760000000002</v>
      </c>
      <c r="AG420" s="765"/>
      <c r="AH420" s="766">
        <v>2121.5600000000049</v>
      </c>
      <c r="AI420" s="767">
        <v>0.15666287604672841</v>
      </c>
      <c r="AJ420" s="772"/>
      <c r="AK420" s="763"/>
      <c r="AL420" s="764">
        <v>19731.150000000001</v>
      </c>
      <c r="AM420" s="768"/>
      <c r="AN420" s="766">
        <v>-4067.3899999999994</v>
      </c>
      <c r="AO420" s="774">
        <v>-0.20614054426629969</v>
      </c>
      <c r="AP420" s="506"/>
      <c r="AQ420" s="506"/>
      <c r="AR420" s="506"/>
      <c r="AS420" s="506"/>
      <c r="AT420" s="506"/>
      <c r="AU420" s="506"/>
      <c r="AV420" s="506"/>
      <c r="AW420" s="506"/>
      <c r="AX420" s="506"/>
      <c r="AY420" s="506"/>
      <c r="AZ420" s="506"/>
      <c r="BA420" s="506"/>
      <c r="BB420" s="506"/>
      <c r="BC420" s="506"/>
      <c r="BD420" s="506"/>
      <c r="BE420" s="506"/>
      <c r="BF420" s="506"/>
      <c r="BG420" s="506"/>
      <c r="BH420" s="506"/>
      <c r="BI420" s="506"/>
    </row>
    <row r="421" spans="1:61" ht="15.75" customHeight="1">
      <c r="A421" s="494" t="s">
        <v>41</v>
      </c>
      <c r="B421" s="503"/>
      <c r="C421" s="733" t="s">
        <v>473</v>
      </c>
      <c r="V421" s="596" t="s">
        <v>41</v>
      </c>
      <c r="W421" s="770" t="s">
        <v>142</v>
      </c>
      <c r="X421" s="763"/>
      <c r="Y421" s="763"/>
      <c r="Z421" s="764">
        <v>53378.839743589742</v>
      </c>
      <c r="AA421" s="763"/>
      <c r="AB421" s="763"/>
      <c r="AC421" s="764"/>
      <c r="AD421" s="772"/>
      <c r="AE421" s="771"/>
      <c r="AF421" s="764">
        <v>52828.59</v>
      </c>
      <c r="AG421" s="765"/>
      <c r="AH421" s="766">
        <v>-550.24974358974578</v>
      </c>
      <c r="AI421" s="767">
        <v>-1.0308387110565198E-2</v>
      </c>
      <c r="AJ421" s="772"/>
      <c r="AK421" s="763"/>
      <c r="AL421" s="764">
        <v>37891.840000000004</v>
      </c>
      <c r="AM421" s="768"/>
      <c r="AN421" s="766">
        <v>14936.749999999993</v>
      </c>
      <c r="AO421" s="774">
        <v>0.39419437008073482</v>
      </c>
      <c r="AP421" s="506"/>
      <c r="AQ421" s="506"/>
      <c r="AR421" s="506"/>
      <c r="AS421" s="506"/>
      <c r="AT421" s="506"/>
      <c r="AU421" s="506"/>
      <c r="AV421" s="506"/>
      <c r="AW421" s="506"/>
      <c r="AX421" s="506"/>
      <c r="AY421" s="506"/>
      <c r="AZ421" s="506"/>
      <c r="BA421" s="506"/>
      <c r="BB421" s="506"/>
      <c r="BC421" s="506"/>
      <c r="BD421" s="506"/>
      <c r="BE421" s="506"/>
      <c r="BF421" s="506"/>
      <c r="BG421" s="506"/>
      <c r="BH421" s="506"/>
      <c r="BI421" s="506"/>
    </row>
    <row r="422" spans="1:61" ht="15.75" customHeight="1">
      <c r="A422" s="494" t="s">
        <v>42</v>
      </c>
      <c r="B422" s="503"/>
      <c r="C422" s="733" t="s">
        <v>473</v>
      </c>
      <c r="V422" s="598" t="s">
        <v>42</v>
      </c>
      <c r="W422" s="775" t="s">
        <v>143</v>
      </c>
      <c r="X422" s="747"/>
      <c r="Y422" s="747"/>
      <c r="Z422" s="748">
        <v>55333.304615384615</v>
      </c>
      <c r="AA422" s="747"/>
      <c r="AB422" s="747"/>
      <c r="AC422" s="748"/>
      <c r="AD422" s="777"/>
      <c r="AE422" s="776"/>
      <c r="AF422" s="748">
        <v>40340.399999999994</v>
      </c>
      <c r="AG422" s="749"/>
      <c r="AH422" s="750">
        <v>-14992.904615384621</v>
      </c>
      <c r="AI422" s="778">
        <v>-0.27095624813299263</v>
      </c>
      <c r="AJ422" s="777"/>
      <c r="AK422" s="747"/>
      <c r="AL422" s="748">
        <v>50801</v>
      </c>
      <c r="AM422" s="752"/>
      <c r="AN422" s="750">
        <v>-10460.600000000006</v>
      </c>
      <c r="AO422" s="753">
        <v>-0.20591326942383034</v>
      </c>
      <c r="AP422" s="506"/>
      <c r="AQ422" s="506"/>
      <c r="AR422" s="506"/>
      <c r="AS422" s="506"/>
      <c r="AT422" s="506"/>
      <c r="AU422" s="506"/>
      <c r="AV422" s="506"/>
      <c r="AW422" s="506"/>
      <c r="AX422" s="506"/>
      <c r="AY422" s="506"/>
      <c r="AZ422" s="506"/>
      <c r="BA422" s="506"/>
      <c r="BB422" s="506"/>
      <c r="BC422" s="506"/>
      <c r="BD422" s="506"/>
      <c r="BE422" s="506"/>
      <c r="BF422" s="506"/>
      <c r="BG422" s="506"/>
      <c r="BH422" s="506"/>
      <c r="BI422" s="506"/>
    </row>
    <row r="423" spans="1:61" ht="15.75" customHeight="1">
      <c r="A423" s="494" t="s">
        <v>43</v>
      </c>
      <c r="B423" s="503"/>
      <c r="C423" s="733" t="s">
        <v>473</v>
      </c>
      <c r="V423" s="596" t="s">
        <v>43</v>
      </c>
      <c r="W423" s="770" t="s">
        <v>144</v>
      </c>
      <c r="X423" s="763"/>
      <c r="Y423" s="763"/>
      <c r="Z423" s="764">
        <v>25902.400000000001</v>
      </c>
      <c r="AA423" s="763"/>
      <c r="AB423" s="763"/>
      <c r="AC423" s="764"/>
      <c r="AD423" s="772"/>
      <c r="AE423" s="771"/>
      <c r="AF423" s="764">
        <v>25752.15</v>
      </c>
      <c r="AG423" s="765"/>
      <c r="AH423" s="766">
        <v>-150.25</v>
      </c>
      <c r="AI423" s="767">
        <v>-5.8006207918957315E-3</v>
      </c>
      <c r="AJ423" s="772"/>
      <c r="AK423" s="763"/>
      <c r="AL423" s="764">
        <v>30665.710000000003</v>
      </c>
      <c r="AM423" s="768"/>
      <c r="AN423" s="766">
        <v>-4913.5600000000013</v>
      </c>
      <c r="AO423" s="774">
        <v>-0.16022978108121419</v>
      </c>
      <c r="AP423" s="506"/>
      <c r="AQ423" s="506"/>
      <c r="AR423" s="506"/>
      <c r="AS423" s="506"/>
      <c r="AT423" s="506"/>
      <c r="AU423" s="506"/>
      <c r="AV423" s="506"/>
      <c r="AW423" s="506"/>
      <c r="AX423" s="506"/>
      <c r="AY423" s="506"/>
      <c r="AZ423" s="506"/>
      <c r="BA423" s="506"/>
      <c r="BB423" s="506"/>
      <c r="BC423" s="506"/>
      <c r="BD423" s="506"/>
      <c r="BE423" s="506"/>
      <c r="BF423" s="506"/>
      <c r="BG423" s="506"/>
      <c r="BH423" s="506"/>
      <c r="BI423" s="506"/>
    </row>
    <row r="424" spans="1:61" ht="15.75" customHeight="1">
      <c r="A424" s="494" t="s">
        <v>44</v>
      </c>
      <c r="B424" s="503"/>
      <c r="C424" s="733" t="s">
        <v>473</v>
      </c>
      <c r="V424" s="596" t="s">
        <v>44</v>
      </c>
      <c r="W424" s="770" t="s">
        <v>145</v>
      </c>
      <c r="X424" s="763"/>
      <c r="Y424" s="763"/>
      <c r="Z424" s="764">
        <v>26712.389950435332</v>
      </c>
      <c r="AA424" s="763"/>
      <c r="AB424" s="763"/>
      <c r="AC424" s="764"/>
      <c r="AD424" s="772"/>
      <c r="AE424" s="771"/>
      <c r="AF424" s="764">
        <v>26139.54</v>
      </c>
      <c r="AG424" s="765"/>
      <c r="AH424" s="766">
        <v>-572.84995043533127</v>
      </c>
      <c r="AI424" s="767">
        <v>-2.1445102871673057E-2</v>
      </c>
      <c r="AJ424" s="772"/>
      <c r="AK424" s="763"/>
      <c r="AL424" s="764">
        <v>38627.79</v>
      </c>
      <c r="AM424" s="768"/>
      <c r="AN424" s="766">
        <v>-12488.25</v>
      </c>
      <c r="AO424" s="774">
        <v>-0.32329703563160095</v>
      </c>
      <c r="AP424" s="506"/>
      <c r="AQ424" s="506"/>
      <c r="AR424" s="506"/>
      <c r="AS424" s="506"/>
      <c r="AT424" s="506"/>
      <c r="AU424" s="506"/>
      <c r="AV424" s="506"/>
      <c r="AW424" s="506"/>
      <c r="AX424" s="506"/>
      <c r="AY424" s="506"/>
      <c r="AZ424" s="506"/>
      <c r="BA424" s="506"/>
      <c r="BB424" s="506"/>
      <c r="BC424" s="506"/>
      <c r="BD424" s="506"/>
      <c r="BE424" s="506"/>
      <c r="BF424" s="506"/>
      <c r="BG424" s="506"/>
      <c r="BH424" s="506"/>
      <c r="BI424" s="506"/>
    </row>
    <row r="425" spans="1:61" ht="15.75" hidden="1" customHeight="1">
      <c r="A425" s="494" t="s">
        <v>20</v>
      </c>
      <c r="B425" s="503"/>
      <c r="C425" s="733" t="s">
        <v>473</v>
      </c>
      <c r="V425" s="596" t="s">
        <v>20</v>
      </c>
      <c r="W425" s="770"/>
      <c r="X425" s="763"/>
      <c r="Y425" s="763"/>
      <c r="Z425" s="764">
        <v>0</v>
      </c>
      <c r="AA425" s="763"/>
      <c r="AB425" s="763"/>
      <c r="AC425" s="764"/>
      <c r="AD425" s="772"/>
      <c r="AE425" s="771"/>
      <c r="AF425" s="764">
        <v>0</v>
      </c>
      <c r="AG425" s="765"/>
      <c r="AH425" s="766">
        <v>0</v>
      </c>
      <c r="AI425" s="767">
        <v>0</v>
      </c>
      <c r="AJ425" s="772"/>
      <c r="AK425" s="763"/>
      <c r="AL425" s="764">
        <v>0</v>
      </c>
      <c r="AM425" s="768"/>
      <c r="AN425" s="766">
        <v>0</v>
      </c>
      <c r="AO425" s="774">
        <v>0</v>
      </c>
      <c r="AP425" s="506"/>
      <c r="AQ425" s="506"/>
      <c r="AR425" s="506"/>
      <c r="AS425" s="506"/>
      <c r="AT425" s="506"/>
      <c r="AU425" s="506"/>
      <c r="AV425" s="506"/>
      <c r="AW425" s="506"/>
      <c r="AX425" s="506"/>
      <c r="AY425" s="506"/>
      <c r="AZ425" s="506"/>
      <c r="BA425" s="506"/>
      <c r="BB425" s="506"/>
      <c r="BC425" s="506"/>
      <c r="BD425" s="506"/>
      <c r="BE425" s="506"/>
      <c r="BF425" s="506"/>
      <c r="BG425" s="506"/>
      <c r="BH425" s="506"/>
      <c r="BI425" s="506"/>
    </row>
    <row r="426" spans="1:61" ht="15.75" hidden="1" customHeight="1">
      <c r="A426" s="494" t="s">
        <v>20</v>
      </c>
      <c r="B426" s="503"/>
      <c r="C426" s="733" t="s">
        <v>473</v>
      </c>
      <c r="V426" s="596" t="s">
        <v>20</v>
      </c>
      <c r="W426" s="770"/>
      <c r="X426" s="763"/>
      <c r="Y426" s="763"/>
      <c r="Z426" s="764">
        <v>0</v>
      </c>
      <c r="AA426" s="763"/>
      <c r="AB426" s="763"/>
      <c r="AC426" s="764"/>
      <c r="AD426" s="772"/>
      <c r="AE426" s="771"/>
      <c r="AF426" s="764">
        <v>0</v>
      </c>
      <c r="AG426" s="765"/>
      <c r="AH426" s="766">
        <v>0</v>
      </c>
      <c r="AI426" s="767">
        <v>0</v>
      </c>
      <c r="AJ426" s="772"/>
      <c r="AK426" s="763"/>
      <c r="AL426" s="764">
        <v>0</v>
      </c>
      <c r="AM426" s="768"/>
      <c r="AN426" s="766">
        <v>0</v>
      </c>
      <c r="AO426" s="774">
        <v>0</v>
      </c>
      <c r="AP426" s="506"/>
      <c r="AQ426" s="506"/>
      <c r="AR426" s="506"/>
      <c r="AS426" s="506"/>
      <c r="AT426" s="506"/>
      <c r="AU426" s="506"/>
      <c r="AV426" s="506"/>
      <c r="AW426" s="506"/>
      <c r="AX426" s="506"/>
      <c r="AY426" s="506"/>
      <c r="AZ426" s="506"/>
      <c r="BA426" s="506"/>
      <c r="BB426" s="506"/>
      <c r="BC426" s="506"/>
      <c r="BD426" s="506"/>
      <c r="BE426" s="506"/>
      <c r="BF426" s="506"/>
      <c r="BG426" s="506"/>
      <c r="BH426" s="506"/>
      <c r="BI426" s="506"/>
    </row>
    <row r="427" spans="1:61" ht="15.75" hidden="1" customHeight="1">
      <c r="A427" s="494" t="s">
        <v>20</v>
      </c>
      <c r="B427" s="503"/>
      <c r="C427" s="733" t="s">
        <v>473</v>
      </c>
      <c r="V427" s="596" t="s">
        <v>20</v>
      </c>
      <c r="W427" s="770"/>
      <c r="X427" s="763"/>
      <c r="Y427" s="763"/>
      <c r="Z427" s="764">
        <v>0</v>
      </c>
      <c r="AA427" s="763"/>
      <c r="AB427" s="763"/>
      <c r="AC427" s="764"/>
      <c r="AD427" s="772"/>
      <c r="AE427" s="771"/>
      <c r="AF427" s="764">
        <v>0</v>
      </c>
      <c r="AG427" s="765"/>
      <c r="AH427" s="766">
        <v>0</v>
      </c>
      <c r="AI427" s="767">
        <v>0</v>
      </c>
      <c r="AJ427" s="772"/>
      <c r="AK427" s="763"/>
      <c r="AL427" s="764">
        <v>0</v>
      </c>
      <c r="AM427" s="768"/>
      <c r="AN427" s="766">
        <v>0</v>
      </c>
      <c r="AO427" s="774">
        <v>0</v>
      </c>
      <c r="AP427" s="506"/>
      <c r="AQ427" s="506"/>
      <c r="AR427" s="506"/>
      <c r="AS427" s="506"/>
      <c r="AT427" s="506"/>
      <c r="AU427" s="506"/>
      <c r="AV427" s="506"/>
      <c r="AW427" s="506"/>
      <c r="AX427" s="506"/>
      <c r="AY427" s="506"/>
      <c r="AZ427" s="506"/>
      <c r="BA427" s="506"/>
      <c r="BB427" s="506"/>
      <c r="BC427" s="506"/>
      <c r="BD427" s="506"/>
      <c r="BE427" s="506"/>
      <c r="BF427" s="506"/>
      <c r="BG427" s="506"/>
      <c r="BH427" s="506"/>
      <c r="BI427" s="506"/>
    </row>
    <row r="428" spans="1:61" ht="15.75" customHeight="1">
      <c r="A428" s="494" t="s">
        <v>45</v>
      </c>
      <c r="B428" s="503"/>
      <c r="C428" s="733" t="s">
        <v>473</v>
      </c>
      <c r="V428" s="598" t="s">
        <v>45</v>
      </c>
      <c r="W428" s="775" t="s">
        <v>146</v>
      </c>
      <c r="X428" s="747"/>
      <c r="Y428" s="788">
        <v>0.10327728596937698</v>
      </c>
      <c r="Z428" s="748">
        <v>39545.835860183834</v>
      </c>
      <c r="AA428" s="747"/>
      <c r="AB428" s="747"/>
      <c r="AC428" s="748"/>
      <c r="AD428" s="777"/>
      <c r="AE428" s="776"/>
      <c r="AF428" s="748">
        <v>35589.440000000002</v>
      </c>
      <c r="AG428" s="749"/>
      <c r="AH428" s="750">
        <v>-3956.3958601838312</v>
      </c>
      <c r="AI428" s="778">
        <v>-0.10004582718068863</v>
      </c>
      <c r="AJ428" s="777"/>
      <c r="AK428" s="747"/>
      <c r="AL428" s="748">
        <v>43881.119999999995</v>
      </c>
      <c r="AM428" s="752"/>
      <c r="AN428" s="750">
        <v>-8291.679999999993</v>
      </c>
      <c r="AO428" s="753">
        <v>-0.18895780235326706</v>
      </c>
      <c r="AP428" s="506"/>
      <c r="AQ428" s="506"/>
      <c r="AR428" s="506"/>
      <c r="AS428" s="506"/>
      <c r="AT428" s="506"/>
      <c r="AU428" s="506"/>
      <c r="AV428" s="506"/>
      <c r="AW428" s="506"/>
      <c r="AX428" s="506"/>
      <c r="AY428" s="506"/>
      <c r="AZ428" s="506"/>
      <c r="BA428" s="506"/>
      <c r="BB428" s="506"/>
      <c r="BC428" s="506"/>
      <c r="BD428" s="506"/>
      <c r="BE428" s="506"/>
      <c r="BF428" s="506"/>
      <c r="BG428" s="506"/>
      <c r="BH428" s="506"/>
      <c r="BI428" s="506"/>
    </row>
    <row r="429" spans="1:61" ht="15.75" customHeight="1">
      <c r="A429" s="494" t="s">
        <v>46</v>
      </c>
      <c r="B429" s="503"/>
      <c r="C429" s="733" t="s">
        <v>473</v>
      </c>
      <c r="V429" s="596" t="s">
        <v>46</v>
      </c>
      <c r="W429" s="770" t="s">
        <v>147</v>
      </c>
      <c r="X429" s="763"/>
      <c r="Y429" s="789">
        <v>0.12557062082620285</v>
      </c>
      <c r="Z429" s="764">
        <v>48082.161662602375</v>
      </c>
      <c r="AA429" s="763"/>
      <c r="AB429" s="763"/>
      <c r="AC429" s="764"/>
      <c r="AD429" s="772"/>
      <c r="AE429" s="771"/>
      <c r="AF429" s="764">
        <v>46819.999999999993</v>
      </c>
      <c r="AG429" s="765"/>
      <c r="AH429" s="766">
        <v>-1262.1616626023824</v>
      </c>
      <c r="AI429" s="767">
        <v>-2.6250102303201437E-2</v>
      </c>
      <c r="AJ429" s="772"/>
      <c r="AK429" s="763"/>
      <c r="AL429" s="764">
        <v>46194.979999999996</v>
      </c>
      <c r="AM429" s="768"/>
      <c r="AN429" s="766">
        <v>625.0199999999968</v>
      </c>
      <c r="AO429" s="774">
        <v>1.3530041575946063E-2</v>
      </c>
      <c r="AP429" s="506"/>
      <c r="AQ429" s="506"/>
      <c r="AR429" s="506"/>
      <c r="AS429" s="506"/>
      <c r="AT429" s="506"/>
      <c r="AU429" s="506"/>
      <c r="AV429" s="506"/>
      <c r="AW429" s="506"/>
      <c r="AX429" s="506"/>
      <c r="AY429" s="506"/>
      <c r="AZ429" s="506"/>
      <c r="BA429" s="506"/>
      <c r="BB429" s="506"/>
      <c r="BC429" s="506"/>
      <c r="BD429" s="506"/>
      <c r="BE429" s="506"/>
      <c r="BF429" s="506"/>
      <c r="BG429" s="506"/>
      <c r="BH429" s="506"/>
      <c r="BI429" s="506"/>
    </row>
    <row r="430" spans="1:61" ht="15.75" customHeight="1">
      <c r="A430" s="494" t="s">
        <v>47</v>
      </c>
      <c r="B430" s="503"/>
      <c r="C430" s="733" t="s">
        <v>473</v>
      </c>
      <c r="V430" s="596" t="s">
        <v>47</v>
      </c>
      <c r="W430" s="770" t="s">
        <v>148</v>
      </c>
      <c r="X430" s="763"/>
      <c r="Y430" s="789">
        <v>6.4696167686543654E-2</v>
      </c>
      <c r="Z430" s="764">
        <v>24772.765900079918</v>
      </c>
      <c r="AA430" s="763"/>
      <c r="AB430" s="763"/>
      <c r="AC430" s="764"/>
      <c r="AD430" s="772"/>
      <c r="AE430" s="771"/>
      <c r="AF430" s="764">
        <v>19403.8</v>
      </c>
      <c r="AG430" s="765"/>
      <c r="AH430" s="766">
        <v>-5368.9659000799184</v>
      </c>
      <c r="AI430" s="767">
        <v>-0.21672856078063524</v>
      </c>
      <c r="AJ430" s="772"/>
      <c r="AK430" s="763"/>
      <c r="AL430" s="764">
        <v>21671.14</v>
      </c>
      <c r="AM430" s="768"/>
      <c r="AN430" s="766">
        <v>-2267.34</v>
      </c>
      <c r="AO430" s="774">
        <v>-0.10462486052879545</v>
      </c>
      <c r="AP430" s="506"/>
      <c r="AQ430" s="506"/>
      <c r="AR430" s="506"/>
      <c r="AS430" s="506"/>
      <c r="AT430" s="506"/>
      <c r="AU430" s="506"/>
      <c r="AV430" s="506"/>
      <c r="AW430" s="506"/>
      <c r="AX430" s="506"/>
      <c r="AY430" s="506"/>
      <c r="AZ430" s="506"/>
      <c r="BA430" s="506"/>
      <c r="BB430" s="506"/>
      <c r="BC430" s="506"/>
      <c r="BD430" s="506"/>
      <c r="BE430" s="506"/>
      <c r="BF430" s="506"/>
      <c r="BG430" s="506"/>
      <c r="BH430" s="506"/>
      <c r="BI430" s="506"/>
    </row>
    <row r="431" spans="1:61" ht="15.75" customHeight="1">
      <c r="A431" s="494" t="s">
        <v>48</v>
      </c>
      <c r="B431" s="503"/>
      <c r="C431" s="733" t="s">
        <v>473</v>
      </c>
      <c r="V431" s="596" t="s">
        <v>48</v>
      </c>
      <c r="W431" s="770"/>
      <c r="X431" s="763"/>
      <c r="Y431" s="763"/>
      <c r="Z431" s="764">
        <v>10801.065301019375</v>
      </c>
      <c r="AA431" s="763"/>
      <c r="AB431" s="763"/>
      <c r="AC431" s="764"/>
      <c r="AD431" s="772"/>
      <c r="AE431" s="771"/>
      <c r="AF431" s="764">
        <v>7407.93</v>
      </c>
      <c r="AG431" s="765"/>
      <c r="AH431" s="766">
        <v>-3393.1353010193743</v>
      </c>
      <c r="AI431" s="790">
        <v>-0.31414820727906717</v>
      </c>
      <c r="AJ431" s="772"/>
      <c r="AK431" s="763"/>
      <c r="AL431" s="764">
        <v>13049.16</v>
      </c>
      <c r="AM431" s="768"/>
      <c r="AN431" s="766">
        <v>-5641.23</v>
      </c>
      <c r="AO431" s="774">
        <v>-0.4323059875118398</v>
      </c>
      <c r="AP431" s="506"/>
      <c r="AQ431" s="506"/>
      <c r="AR431" s="506"/>
      <c r="AS431" s="506"/>
      <c r="AT431" s="506"/>
      <c r="AU431" s="506"/>
      <c r="AV431" s="506"/>
      <c r="AW431" s="506"/>
      <c r="AX431" s="506"/>
      <c r="AY431" s="506"/>
      <c r="AZ431" s="506"/>
      <c r="BA431" s="506"/>
      <c r="BB431" s="506"/>
      <c r="BC431" s="506"/>
      <c r="BD431" s="506"/>
      <c r="BE431" s="506"/>
      <c r="BF431" s="506"/>
      <c r="BG431" s="506"/>
      <c r="BH431" s="506"/>
      <c r="BI431" s="506"/>
    </row>
    <row r="432" spans="1:61" ht="15.75" hidden="1" customHeight="1">
      <c r="A432" s="494" t="s">
        <v>20</v>
      </c>
      <c r="B432" s="503"/>
      <c r="C432" s="733" t="s">
        <v>473</v>
      </c>
      <c r="V432" s="529" t="s">
        <v>20</v>
      </c>
      <c r="W432" s="770"/>
      <c r="X432" s="763"/>
      <c r="Y432" s="771"/>
      <c r="Z432" s="764">
        <v>0</v>
      </c>
      <c r="AA432" s="763"/>
      <c r="AB432" s="763"/>
      <c r="AC432" s="764"/>
      <c r="AD432" s="772"/>
      <c r="AE432" s="771"/>
      <c r="AF432" s="764">
        <v>0</v>
      </c>
      <c r="AG432" s="765"/>
      <c r="AH432" s="766">
        <v>0</v>
      </c>
      <c r="AI432" s="767">
        <v>0</v>
      </c>
      <c r="AJ432" s="772"/>
      <c r="AK432" s="763"/>
      <c r="AL432" s="764">
        <v>0</v>
      </c>
      <c r="AM432" s="768"/>
      <c r="AN432" s="766"/>
      <c r="AO432" s="753"/>
      <c r="AP432" s="506"/>
      <c r="AQ432" s="506"/>
      <c r="AR432" s="506"/>
      <c r="AS432" s="506"/>
      <c r="AT432" s="506"/>
      <c r="AU432" s="506"/>
      <c r="AV432" s="506"/>
      <c r="AW432" s="506"/>
      <c r="AX432" s="506"/>
      <c r="AY432" s="506"/>
      <c r="AZ432" s="506"/>
      <c r="BA432" s="506"/>
      <c r="BB432" s="506"/>
      <c r="BC432" s="506"/>
      <c r="BD432" s="506"/>
      <c r="BE432" s="506"/>
      <c r="BF432" s="506"/>
      <c r="BG432" s="506"/>
      <c r="BH432" s="506"/>
      <c r="BI432" s="506"/>
    </row>
    <row r="433" spans="1:62" ht="15.75" customHeight="1">
      <c r="A433" s="494" t="s">
        <v>49</v>
      </c>
      <c r="B433" s="503"/>
      <c r="C433" s="733" t="s">
        <v>473</v>
      </c>
      <c r="V433" s="780" t="s">
        <v>49</v>
      </c>
      <c r="W433" s="781"/>
      <c r="X433" s="782">
        <v>0.3863408339461093</v>
      </c>
      <c r="Y433" s="781"/>
      <c r="Z433" s="783">
        <v>298070.96303329512</v>
      </c>
      <c r="AA433" s="782"/>
      <c r="AB433" s="781"/>
      <c r="AC433" s="783"/>
      <c r="AD433" s="784">
        <v>0.5634791091445579</v>
      </c>
      <c r="AE433" s="791"/>
      <c r="AF433" s="783">
        <v>269945.61</v>
      </c>
      <c r="AG433" s="785"/>
      <c r="AH433" s="786">
        <v>-28125.353033295134</v>
      </c>
      <c r="AI433" s="782">
        <v>-9.4357909764439141E-2</v>
      </c>
      <c r="AJ433" s="784">
        <v>0.44755905766232668</v>
      </c>
      <c r="AK433" s="781"/>
      <c r="AL433" s="783">
        <v>302513.89</v>
      </c>
      <c r="AM433" s="792"/>
      <c r="AN433" s="786">
        <v>-32568.280000000028</v>
      </c>
      <c r="AO433" s="761">
        <v>-0.10765879213017301</v>
      </c>
      <c r="AP433" s="506"/>
      <c r="AQ433" s="506"/>
      <c r="AR433" s="506"/>
      <c r="AS433" s="506"/>
      <c r="AT433" s="506"/>
      <c r="AU433" s="506"/>
      <c r="AV433" s="506"/>
      <c r="AW433" s="506"/>
      <c r="AX433" s="506"/>
      <c r="AY433" s="506"/>
      <c r="AZ433" s="506"/>
      <c r="BA433" s="506"/>
      <c r="BB433" s="506"/>
      <c r="BC433" s="506"/>
      <c r="BD433" s="506"/>
      <c r="BE433" s="506"/>
      <c r="BF433" s="506"/>
      <c r="BG433" s="506"/>
      <c r="BH433" s="506"/>
      <c r="BI433" s="506"/>
    </row>
    <row r="434" spans="1:62" ht="15.75" customHeight="1">
      <c r="A434" s="494" t="s">
        <v>50</v>
      </c>
      <c r="B434" s="503"/>
      <c r="C434" s="733" t="s">
        <v>473</v>
      </c>
      <c r="V434" s="703" t="s">
        <v>50</v>
      </c>
      <c r="W434" s="793" t="s">
        <v>138</v>
      </c>
      <c r="X434" s="794"/>
      <c r="Y434" s="794"/>
      <c r="Z434" s="795">
        <v>14838.560455902774</v>
      </c>
      <c r="AA434" s="794"/>
      <c r="AB434" s="794"/>
      <c r="AC434" s="795"/>
      <c r="AD434" s="796"/>
      <c r="AE434" s="797"/>
      <c r="AF434" s="795">
        <v>14517.59</v>
      </c>
      <c r="AG434" s="796"/>
      <c r="AH434" s="798">
        <v>-320.97045590277412</v>
      </c>
      <c r="AI434" s="799">
        <v>-2.1630835205115342E-2</v>
      </c>
      <c r="AJ434" s="796"/>
      <c r="AK434" s="794"/>
      <c r="AL434" s="795">
        <v>15432.61</v>
      </c>
      <c r="AM434" s="800"/>
      <c r="AN434" s="798">
        <v>-915.02000000000044</v>
      </c>
      <c r="AO434" s="769">
        <v>-5.9291331796760265E-2</v>
      </c>
      <c r="AP434" s="506"/>
      <c r="AQ434" s="506"/>
      <c r="AR434" s="506"/>
      <c r="AS434" s="506"/>
      <c r="AT434" s="506"/>
      <c r="AU434" s="506"/>
      <c r="AV434" s="506"/>
      <c r="AW434" s="506"/>
      <c r="AX434" s="506"/>
      <c r="AY434" s="506"/>
      <c r="AZ434" s="506"/>
      <c r="BA434" s="506"/>
      <c r="BB434" s="506"/>
      <c r="BC434" s="506"/>
      <c r="BD434" s="506"/>
      <c r="BE434" s="506"/>
      <c r="BF434" s="506"/>
      <c r="BG434" s="506"/>
      <c r="BH434" s="506"/>
      <c r="BI434" s="506"/>
    </row>
    <row r="435" spans="1:62" ht="15.75" customHeight="1">
      <c r="A435" s="494" t="s">
        <v>51</v>
      </c>
      <c r="B435" s="503"/>
      <c r="C435" s="733" t="s">
        <v>473</v>
      </c>
      <c r="V435" s="596" t="s">
        <v>51</v>
      </c>
      <c r="W435" s="770" t="s">
        <v>149</v>
      </c>
      <c r="X435" s="763"/>
      <c r="Y435" s="763"/>
      <c r="Z435" s="764">
        <v>5939.0656258991448</v>
      </c>
      <c r="AA435" s="763"/>
      <c r="AB435" s="763"/>
      <c r="AC435" s="764"/>
      <c r="AD435" s="772"/>
      <c r="AE435" s="771"/>
      <c r="AF435" s="764">
        <v>6353.59</v>
      </c>
      <c r="AG435" s="765"/>
      <c r="AH435" s="766">
        <v>414.52437410085531</v>
      </c>
      <c r="AI435" s="767">
        <v>6.979622725386174E-2</v>
      </c>
      <c r="AJ435" s="772"/>
      <c r="AK435" s="763"/>
      <c r="AL435" s="764">
        <v>11922.65</v>
      </c>
      <c r="AM435" s="768"/>
      <c r="AN435" s="766">
        <v>-5569.0599999999995</v>
      </c>
      <c r="AO435" s="774">
        <v>-0.46709917677697488</v>
      </c>
      <c r="AP435" s="506"/>
      <c r="AQ435" s="506"/>
      <c r="AR435" s="506"/>
      <c r="AS435" s="506"/>
      <c r="AT435" s="506"/>
      <c r="AU435" s="506"/>
      <c r="AV435" s="506"/>
      <c r="AW435" s="506"/>
      <c r="AX435" s="506"/>
      <c r="AY435" s="506"/>
      <c r="AZ435" s="506"/>
      <c r="BA435" s="506"/>
      <c r="BB435" s="506"/>
      <c r="BC435" s="506"/>
      <c r="BD435" s="506"/>
      <c r="BE435" s="506"/>
      <c r="BF435" s="506"/>
      <c r="BG435" s="506"/>
      <c r="BH435" s="506"/>
      <c r="BI435" s="506"/>
    </row>
    <row r="436" spans="1:62" ht="15.75" customHeight="1">
      <c r="A436" s="494" t="s">
        <v>52</v>
      </c>
      <c r="B436" s="503"/>
      <c r="C436" s="733" t="s">
        <v>473</v>
      </c>
      <c r="U436" s="801"/>
      <c r="V436" s="598" t="s">
        <v>52</v>
      </c>
      <c r="W436" s="775" t="s">
        <v>150</v>
      </c>
      <c r="X436" s="747"/>
      <c r="Y436" s="747"/>
      <c r="Z436" s="748">
        <v>26075</v>
      </c>
      <c r="AA436" s="747"/>
      <c r="AB436" s="747"/>
      <c r="AC436" s="748"/>
      <c r="AD436" s="777"/>
      <c r="AE436" s="776"/>
      <c r="AF436" s="748">
        <v>22511.9</v>
      </c>
      <c r="AG436" s="749"/>
      <c r="AH436" s="750">
        <v>-3563.0999999999985</v>
      </c>
      <c r="AI436" s="778">
        <v>-0.13664813039309678</v>
      </c>
      <c r="AJ436" s="777"/>
      <c r="AK436" s="747"/>
      <c r="AL436" s="748">
        <v>22933.759999999998</v>
      </c>
      <c r="AM436" s="752"/>
      <c r="AN436" s="750">
        <v>-421.85999999999694</v>
      </c>
      <c r="AO436" s="753">
        <v>-1.8394715912261966E-2</v>
      </c>
      <c r="AP436" s="506"/>
      <c r="AQ436" s="506"/>
      <c r="AR436" s="506"/>
      <c r="AS436" s="506"/>
      <c r="AT436" s="506"/>
      <c r="AU436" s="506"/>
      <c r="AV436" s="506"/>
      <c r="AW436" s="506"/>
      <c r="AX436" s="506"/>
      <c r="AY436" s="506"/>
      <c r="AZ436" s="506"/>
      <c r="BA436" s="506"/>
      <c r="BB436" s="506"/>
      <c r="BC436" s="506"/>
      <c r="BD436" s="506"/>
      <c r="BE436" s="506"/>
      <c r="BF436" s="506"/>
      <c r="BG436" s="506"/>
      <c r="BH436" s="506"/>
      <c r="BI436" s="506"/>
    </row>
    <row r="437" spans="1:62" ht="15.75" customHeight="1">
      <c r="A437" s="494" t="s">
        <v>53</v>
      </c>
      <c r="B437" s="503"/>
      <c r="C437" s="733" t="s">
        <v>473</v>
      </c>
      <c r="U437" s="801"/>
      <c r="V437" s="596" t="s">
        <v>53</v>
      </c>
      <c r="W437" s="770" t="s">
        <v>151</v>
      </c>
      <c r="X437" s="763"/>
      <c r="Y437" s="763"/>
      <c r="Z437" s="764">
        <v>22270.688511111108</v>
      </c>
      <c r="AA437" s="763"/>
      <c r="AB437" s="763"/>
      <c r="AC437" s="764"/>
      <c r="AD437" s="772"/>
      <c r="AE437" s="771"/>
      <c r="AF437" s="764">
        <v>21215.530000000002</v>
      </c>
      <c r="AG437" s="765"/>
      <c r="AH437" s="802">
        <v>-1055.1585111111053</v>
      </c>
      <c r="AI437" s="767">
        <v>-4.7378800641240809E-2</v>
      </c>
      <c r="AJ437" s="772"/>
      <c r="AK437" s="763"/>
      <c r="AL437" s="764">
        <v>19595.53</v>
      </c>
      <c r="AM437" s="768"/>
      <c r="AN437" s="766">
        <v>1620.0000000000036</v>
      </c>
      <c r="AO437" s="774">
        <v>8.2671915482765909E-2</v>
      </c>
      <c r="AP437" s="506"/>
      <c r="AQ437" s="506"/>
      <c r="AR437" s="506"/>
      <c r="AS437" s="506"/>
      <c r="AT437" s="506"/>
      <c r="AU437" s="506"/>
      <c r="AV437" s="506"/>
      <c r="AW437" s="506"/>
      <c r="AX437" s="506"/>
      <c r="AY437" s="506"/>
      <c r="AZ437" s="506"/>
      <c r="BA437" s="506"/>
      <c r="BB437" s="506"/>
      <c r="BC437" s="506"/>
      <c r="BD437" s="506"/>
      <c r="BE437" s="506"/>
      <c r="BF437" s="506"/>
      <c r="BG437" s="506"/>
      <c r="BH437" s="506"/>
      <c r="BI437" s="506"/>
    </row>
    <row r="438" spans="1:62" ht="15.75" customHeight="1">
      <c r="A438" s="494" t="s">
        <v>54</v>
      </c>
      <c r="B438" s="503"/>
      <c r="C438" s="733" t="s">
        <v>473</v>
      </c>
      <c r="U438" s="801"/>
      <c r="V438" s="596" t="s">
        <v>54</v>
      </c>
      <c r="W438" s="770" t="s">
        <v>152</v>
      </c>
      <c r="X438" s="763"/>
      <c r="Y438" s="763"/>
      <c r="Z438" s="764">
        <v>3589.7692131944445</v>
      </c>
      <c r="AA438" s="763"/>
      <c r="AB438" s="763"/>
      <c r="AC438" s="764"/>
      <c r="AD438" s="772"/>
      <c r="AE438" s="771"/>
      <c r="AF438" s="764">
        <v>4364.88</v>
      </c>
      <c r="AG438" s="765"/>
      <c r="AH438" s="766">
        <v>775.11078680555556</v>
      </c>
      <c r="AI438" s="767">
        <v>0.21592217793739563</v>
      </c>
      <c r="AJ438" s="772"/>
      <c r="AK438" s="763"/>
      <c r="AL438" s="764">
        <v>3288.06</v>
      </c>
      <c r="AM438" s="768"/>
      <c r="AN438" s="766">
        <v>1076.8200000000002</v>
      </c>
      <c r="AO438" s="774">
        <v>0.32749402383168197</v>
      </c>
      <c r="AP438" s="506"/>
      <c r="AQ438" s="506"/>
      <c r="AR438" s="506"/>
      <c r="AS438" s="506"/>
      <c r="AT438" s="506"/>
      <c r="AU438" s="506"/>
      <c r="AV438" s="506"/>
      <c r="AW438" s="506"/>
      <c r="AX438" s="506"/>
      <c r="AY438" s="506"/>
      <c r="AZ438" s="506"/>
      <c r="BA438" s="506"/>
      <c r="BB438" s="506"/>
      <c r="BC438" s="506"/>
      <c r="BD438" s="506"/>
      <c r="BE438" s="506"/>
      <c r="BF438" s="506"/>
      <c r="BG438" s="506"/>
      <c r="BH438" s="506"/>
      <c r="BI438" s="506"/>
    </row>
    <row r="439" spans="1:62" ht="15.75" customHeight="1">
      <c r="A439" s="494" t="s">
        <v>55</v>
      </c>
      <c r="B439" s="503"/>
      <c r="C439" s="733" t="s">
        <v>473</v>
      </c>
      <c r="V439" s="596" t="s">
        <v>55</v>
      </c>
      <c r="W439" s="770" t="s">
        <v>153</v>
      </c>
      <c r="X439" s="763"/>
      <c r="Y439" s="763"/>
      <c r="Z439" s="764">
        <v>26936.160651539351</v>
      </c>
      <c r="AA439" s="763"/>
      <c r="AB439" s="763"/>
      <c r="AC439" s="764"/>
      <c r="AD439" s="772"/>
      <c r="AE439" s="771"/>
      <c r="AF439" s="764">
        <v>29035.8</v>
      </c>
      <c r="AG439" s="765"/>
      <c r="AH439" s="766">
        <v>2099.6393484606488</v>
      </c>
      <c r="AI439" s="767">
        <v>7.7948723859450939E-2</v>
      </c>
      <c r="AJ439" s="772"/>
      <c r="AK439" s="763"/>
      <c r="AL439" s="764">
        <v>28389.370000000003</v>
      </c>
      <c r="AM439" s="768"/>
      <c r="AN439" s="766">
        <v>646.42999999999665</v>
      </c>
      <c r="AO439" s="774">
        <v>2.2770142486430542E-2</v>
      </c>
      <c r="AP439" s="506"/>
      <c r="AQ439" s="506"/>
      <c r="AR439" s="506"/>
      <c r="AS439" s="506"/>
      <c r="AT439" s="506"/>
      <c r="AU439" s="506"/>
      <c r="AV439" s="506"/>
      <c r="AW439" s="506"/>
      <c r="AX439" s="506"/>
      <c r="AY439" s="506"/>
      <c r="AZ439" s="506"/>
      <c r="BA439" s="506"/>
      <c r="BB439" s="506"/>
      <c r="BC439" s="506"/>
      <c r="BD439" s="506"/>
      <c r="BE439" s="506"/>
      <c r="BF439" s="506"/>
      <c r="BG439" s="506"/>
      <c r="BH439" s="506"/>
      <c r="BI439" s="506"/>
    </row>
    <row r="440" spans="1:62" ht="15.75" customHeight="1">
      <c r="B440" s="503"/>
      <c r="C440" s="733" t="s">
        <v>473</v>
      </c>
      <c r="V440" s="703" t="s">
        <v>98</v>
      </c>
      <c r="W440" s="793"/>
      <c r="X440" s="794"/>
      <c r="Y440" s="794"/>
      <c r="Z440" s="795">
        <v>0</v>
      </c>
      <c r="AA440" s="794"/>
      <c r="AB440" s="794"/>
      <c r="AC440" s="795"/>
      <c r="AD440" s="796"/>
      <c r="AE440" s="797"/>
      <c r="AF440" s="795">
        <v>0</v>
      </c>
      <c r="AG440" s="804"/>
      <c r="AH440" s="798">
        <v>0</v>
      </c>
      <c r="AI440" s="799">
        <v>0</v>
      </c>
      <c r="AJ440" s="796"/>
      <c r="AK440" s="794"/>
      <c r="AL440" s="795">
        <v>0</v>
      </c>
      <c r="AM440" s="800"/>
      <c r="AN440" s="798">
        <v>0</v>
      </c>
      <c r="AO440" s="769">
        <v>0</v>
      </c>
      <c r="AP440" s="506"/>
      <c r="AQ440" s="506"/>
      <c r="AR440" s="506"/>
      <c r="AS440" s="506"/>
      <c r="AT440" s="506"/>
      <c r="AU440" s="506"/>
      <c r="AV440" s="506"/>
      <c r="AW440" s="506"/>
      <c r="AX440" s="506"/>
      <c r="AY440" s="506"/>
      <c r="AZ440" s="506"/>
      <c r="BA440" s="506"/>
      <c r="BB440" s="506"/>
      <c r="BC440" s="506"/>
      <c r="BD440" s="506"/>
      <c r="BE440" s="506"/>
      <c r="BF440" s="506"/>
      <c r="BG440" s="506"/>
      <c r="BH440" s="506"/>
      <c r="BI440" s="506"/>
    </row>
    <row r="441" spans="1:62" ht="15.75" customHeight="1">
      <c r="A441" s="494" t="s">
        <v>56</v>
      </c>
      <c r="B441" s="503"/>
      <c r="C441" s="733" t="s">
        <v>473</v>
      </c>
      <c r="V441" s="596" t="s">
        <v>56</v>
      </c>
      <c r="W441" s="770" t="s">
        <v>154</v>
      </c>
      <c r="X441" s="763"/>
      <c r="Y441" s="771"/>
      <c r="Z441" s="764">
        <v>6083.333333333333</v>
      </c>
      <c r="AA441" s="763"/>
      <c r="AB441" s="771"/>
      <c r="AC441" s="764"/>
      <c r="AD441" s="772"/>
      <c r="AE441" s="771"/>
      <c r="AF441" s="764">
        <v>2791.05</v>
      </c>
      <c r="AG441" s="765"/>
      <c r="AH441" s="766">
        <v>-3292.2833333333328</v>
      </c>
      <c r="AI441" s="767">
        <v>-0.54119726027397252</v>
      </c>
      <c r="AJ441" s="772"/>
      <c r="AK441" s="763"/>
      <c r="AL441" s="764">
        <v>4394.93</v>
      </c>
      <c r="AM441" s="768"/>
      <c r="AN441" s="766">
        <v>-1603.88</v>
      </c>
      <c r="AO441" s="774">
        <v>-0.3649386907186235</v>
      </c>
      <c r="AP441" s="506"/>
      <c r="AQ441" s="506"/>
      <c r="AR441" s="506"/>
      <c r="AS441" s="506"/>
      <c r="AT441" s="506"/>
      <c r="AU441" s="506"/>
      <c r="AV441" s="506"/>
      <c r="AW441" s="506"/>
      <c r="AX441" s="506"/>
      <c r="AY441" s="506"/>
      <c r="AZ441" s="506"/>
      <c r="BA441" s="506"/>
      <c r="BB441" s="506"/>
      <c r="BC441" s="506"/>
      <c r="BD441" s="506"/>
      <c r="BE441" s="506"/>
      <c r="BF441" s="506"/>
      <c r="BG441" s="506"/>
      <c r="BH441" s="506"/>
      <c r="BI441" s="506"/>
      <c r="BJ441" s="506"/>
    </row>
    <row r="442" spans="1:62" ht="15.75" customHeight="1">
      <c r="A442" s="494" t="s">
        <v>57</v>
      </c>
      <c r="B442" s="503"/>
      <c r="C442" s="733" t="s">
        <v>473</v>
      </c>
      <c r="U442" s="506"/>
      <c r="V442" s="596" t="s">
        <v>57</v>
      </c>
      <c r="W442" s="770" t="s">
        <v>155</v>
      </c>
      <c r="X442" s="763"/>
      <c r="Y442" s="763"/>
      <c r="Z442" s="764">
        <v>1555.2749709404429</v>
      </c>
      <c r="AA442" s="763"/>
      <c r="AB442" s="763"/>
      <c r="AC442" s="764"/>
      <c r="AD442" s="772"/>
      <c r="AE442" s="771"/>
      <c r="AF442" s="764">
        <v>1811.25</v>
      </c>
      <c r="AG442" s="765"/>
      <c r="AH442" s="766">
        <v>255.97502905955707</v>
      </c>
      <c r="AI442" s="790">
        <v>0.16458506299035611</v>
      </c>
      <c r="AJ442" s="772"/>
      <c r="AK442" s="763"/>
      <c r="AL442" s="764">
        <v>788.71</v>
      </c>
      <c r="AM442" s="768"/>
      <c r="AN442" s="766">
        <v>1022.54</v>
      </c>
      <c r="AO442" s="774">
        <v>1.2964714533859085</v>
      </c>
      <c r="AP442" s="506"/>
      <c r="AQ442" s="506"/>
      <c r="AR442" s="506"/>
      <c r="AS442" s="506"/>
      <c r="AT442" s="506"/>
      <c r="AU442" s="506"/>
      <c r="AV442" s="506"/>
      <c r="AW442" s="506"/>
      <c r="AX442" s="506"/>
      <c r="AY442" s="506"/>
      <c r="AZ442" s="506"/>
      <c r="BA442" s="506"/>
      <c r="BB442" s="506"/>
      <c r="BC442" s="506"/>
      <c r="BD442" s="506"/>
      <c r="BE442" s="506"/>
      <c r="BF442" s="506"/>
      <c r="BG442" s="506"/>
      <c r="BH442" s="506"/>
      <c r="BI442" s="506"/>
      <c r="BJ442" s="506"/>
    </row>
    <row r="443" spans="1:62" ht="15.75" customHeight="1">
      <c r="A443" s="494" t="s">
        <v>58</v>
      </c>
      <c r="B443" s="503"/>
      <c r="C443" s="733" t="s">
        <v>473</v>
      </c>
      <c r="T443" s="506"/>
      <c r="U443" s="506"/>
      <c r="V443" s="596" t="s">
        <v>58</v>
      </c>
      <c r="W443" s="770" t="s">
        <v>156</v>
      </c>
      <c r="X443" s="763"/>
      <c r="Y443" s="763"/>
      <c r="Z443" s="764">
        <v>2587.4465749000001</v>
      </c>
      <c r="AA443" s="763"/>
      <c r="AB443" s="763"/>
      <c r="AC443" s="764"/>
      <c r="AD443" s="772"/>
      <c r="AE443" s="771"/>
      <c r="AF443" s="764">
        <v>1450.33</v>
      </c>
      <c r="AG443" s="765"/>
      <c r="AH443" s="766">
        <v>-1137.1165749000002</v>
      </c>
      <c r="AI443" s="767">
        <v>-0.4394744169525307</v>
      </c>
      <c r="AJ443" s="772"/>
      <c r="AK443" s="763"/>
      <c r="AL443" s="764">
        <v>3259.74</v>
      </c>
      <c r="AM443" s="768"/>
      <c r="AN443" s="766">
        <v>-1809.4099999999999</v>
      </c>
      <c r="AO443" s="774">
        <v>-0.55507801235681375</v>
      </c>
      <c r="AP443" s="506"/>
      <c r="AQ443" s="506"/>
      <c r="AR443" s="506"/>
      <c r="AS443" s="506"/>
      <c r="AT443" s="506"/>
      <c r="AU443" s="506"/>
      <c r="AV443" s="506"/>
      <c r="AW443" s="506"/>
      <c r="AX443" s="506"/>
      <c r="AY443" s="506"/>
      <c r="AZ443" s="506"/>
      <c r="BA443" s="506"/>
      <c r="BB443" s="506"/>
      <c r="BC443" s="506"/>
      <c r="BD443" s="506"/>
      <c r="BE443" s="506"/>
      <c r="BF443" s="506"/>
      <c r="BG443" s="506"/>
      <c r="BH443" s="506"/>
      <c r="BI443" s="506"/>
      <c r="BJ443" s="506"/>
    </row>
    <row r="444" spans="1:62" ht="15.75" customHeight="1">
      <c r="A444" s="494" t="s">
        <v>59</v>
      </c>
      <c r="B444" s="503"/>
      <c r="C444" s="733" t="s">
        <v>473</v>
      </c>
      <c r="T444" s="506"/>
      <c r="U444" s="506"/>
      <c r="V444" s="596" t="s">
        <v>59</v>
      </c>
      <c r="W444" s="770" t="s">
        <v>157</v>
      </c>
      <c r="X444" s="763"/>
      <c r="Y444" s="763"/>
      <c r="Z444" s="764">
        <v>778.11576579027781</v>
      </c>
      <c r="AA444" s="763"/>
      <c r="AB444" s="763"/>
      <c r="AC444" s="764"/>
      <c r="AD444" s="772"/>
      <c r="AE444" s="771"/>
      <c r="AF444" s="764">
        <v>610.55999999999995</v>
      </c>
      <c r="AG444" s="765"/>
      <c r="AH444" s="766">
        <v>-167.55576579027786</v>
      </c>
      <c r="AI444" s="790">
        <v>-0.21533526649482956</v>
      </c>
      <c r="AJ444" s="772"/>
      <c r="AK444" s="763"/>
      <c r="AL444" s="764">
        <v>542.27</v>
      </c>
      <c r="AM444" s="768"/>
      <c r="AN444" s="766">
        <v>68.289999999999964</v>
      </c>
      <c r="AO444" s="774">
        <v>0.12593357552510737</v>
      </c>
      <c r="AP444" s="506"/>
      <c r="AQ444" s="506"/>
      <c r="AR444" s="506"/>
      <c r="AS444" s="506"/>
      <c r="AT444" s="506"/>
      <c r="AU444" s="506"/>
      <c r="AV444" s="506"/>
      <c r="AW444" s="506"/>
      <c r="AX444" s="506"/>
      <c r="AY444" s="506"/>
      <c r="AZ444" s="506"/>
      <c r="BA444" s="506"/>
      <c r="BB444" s="506"/>
      <c r="BC444" s="506"/>
      <c r="BD444" s="506"/>
      <c r="BE444" s="506"/>
      <c r="BF444" s="506"/>
      <c r="BG444" s="506"/>
      <c r="BH444" s="506"/>
      <c r="BI444" s="506"/>
      <c r="BJ444" s="506"/>
    </row>
    <row r="445" spans="1:62" ht="15.75" customHeight="1">
      <c r="A445" s="494" t="s">
        <v>60</v>
      </c>
      <c r="B445" s="503"/>
      <c r="C445" s="733" t="s">
        <v>473</v>
      </c>
      <c r="T445" s="506"/>
      <c r="U445" s="506"/>
      <c r="V445" s="596" t="s">
        <v>60</v>
      </c>
      <c r="W445" s="770" t="s">
        <v>158</v>
      </c>
      <c r="X445" s="763"/>
      <c r="Y445" s="763"/>
      <c r="Z445" s="764">
        <v>462.27621220972219</v>
      </c>
      <c r="AA445" s="763"/>
      <c r="AB445" s="763"/>
      <c r="AC445" s="764"/>
      <c r="AD445" s="772"/>
      <c r="AE445" s="771"/>
      <c r="AF445" s="764">
        <v>102.99999999999999</v>
      </c>
      <c r="AG445" s="765"/>
      <c r="AH445" s="766">
        <v>-359.27621220972219</v>
      </c>
      <c r="AI445" s="767">
        <v>-0.77718948697868173</v>
      </c>
      <c r="AJ445" s="772"/>
      <c r="AK445" s="763"/>
      <c r="AL445" s="764">
        <v>929.61</v>
      </c>
      <c r="AM445" s="768"/>
      <c r="AN445" s="766">
        <v>-826.61</v>
      </c>
      <c r="AO445" s="774">
        <v>-0.88920084766730134</v>
      </c>
      <c r="AP445" s="506"/>
      <c r="AQ445" s="506"/>
      <c r="AR445" s="506"/>
      <c r="AS445" s="506"/>
      <c r="AT445" s="506"/>
      <c r="AU445" s="506"/>
      <c r="AV445" s="506"/>
      <c r="AW445" s="506"/>
      <c r="AX445" s="506"/>
      <c r="AY445" s="506"/>
      <c r="AZ445" s="506"/>
      <c r="BA445" s="506"/>
      <c r="BB445" s="506"/>
      <c r="BC445" s="506"/>
      <c r="BD445" s="506"/>
      <c r="BE445" s="506"/>
      <c r="BF445" s="506"/>
      <c r="BG445" s="506"/>
      <c r="BH445" s="506"/>
      <c r="BI445" s="506"/>
      <c r="BJ445" s="506"/>
    </row>
    <row r="446" spans="1:62" ht="15.75" customHeight="1">
      <c r="A446" s="494" t="s">
        <v>61</v>
      </c>
      <c r="B446" s="503"/>
      <c r="C446" s="733" t="s">
        <v>473</v>
      </c>
      <c r="T446" s="506"/>
      <c r="U446" s="506"/>
      <c r="V446" s="596" t="s">
        <v>61</v>
      </c>
      <c r="W446" s="770" t="s">
        <v>159</v>
      </c>
      <c r="X446" s="763"/>
      <c r="Y446" s="771"/>
      <c r="Z446" s="764">
        <v>1152.4792607347222</v>
      </c>
      <c r="AA446" s="763"/>
      <c r="AB446" s="771"/>
      <c r="AC446" s="764"/>
      <c r="AD446" s="772"/>
      <c r="AE446" s="771"/>
      <c r="AF446" s="764">
        <v>386.75</v>
      </c>
      <c r="AG446" s="765"/>
      <c r="AH446" s="766">
        <v>-765.72926073472217</v>
      </c>
      <c r="AI446" s="790">
        <v>-0.66441912390385116</v>
      </c>
      <c r="AJ446" s="772"/>
      <c r="AK446" s="763"/>
      <c r="AL446" s="764">
        <v>347.95000000000005</v>
      </c>
      <c r="AM446" s="768"/>
      <c r="AN446" s="766">
        <v>38.799999999999955</v>
      </c>
      <c r="AO446" s="774">
        <v>0.1115102744647218</v>
      </c>
      <c r="AP446" s="506"/>
      <c r="AQ446" s="506"/>
      <c r="AR446" s="506"/>
      <c r="AS446" s="506"/>
      <c r="AT446" s="506"/>
      <c r="AU446" s="506"/>
      <c r="AV446" s="506"/>
      <c r="AW446" s="506"/>
      <c r="AX446" s="506"/>
      <c r="AY446" s="506"/>
      <c r="AZ446" s="506"/>
      <c r="BA446" s="506"/>
      <c r="BB446" s="506"/>
      <c r="BC446" s="506"/>
      <c r="BD446" s="506"/>
      <c r="BE446" s="506"/>
      <c r="BF446" s="506"/>
      <c r="BG446" s="506"/>
      <c r="BH446" s="506"/>
      <c r="BI446" s="506"/>
      <c r="BJ446" s="506"/>
    </row>
    <row r="447" spans="1:62" ht="15.75" customHeight="1">
      <c r="A447" s="494" t="s">
        <v>62</v>
      </c>
      <c r="B447" s="503"/>
      <c r="C447" s="733" t="s">
        <v>473</v>
      </c>
      <c r="T447" s="506"/>
      <c r="U447" s="506"/>
      <c r="V447" s="596" t="s">
        <v>62</v>
      </c>
      <c r="W447" s="770" t="s">
        <v>160</v>
      </c>
      <c r="X447" s="763"/>
      <c r="Y447" s="771"/>
      <c r="Z447" s="764">
        <v>7644.3785104434319</v>
      </c>
      <c r="AA447" s="763"/>
      <c r="AB447" s="771"/>
      <c r="AC447" s="764"/>
      <c r="AD447" s="772"/>
      <c r="AE447" s="771"/>
      <c r="AF447" s="764">
        <v>4618.51</v>
      </c>
      <c r="AG447" s="765"/>
      <c r="AH447" s="766">
        <v>-3025.8685104434317</v>
      </c>
      <c r="AI447" s="767">
        <v>-0.39582923664881531</v>
      </c>
      <c r="AJ447" s="772"/>
      <c r="AK447" s="763"/>
      <c r="AL447" s="764">
        <v>3572.32</v>
      </c>
      <c r="AM447" s="768"/>
      <c r="AN447" s="766">
        <v>1046.19</v>
      </c>
      <c r="AO447" s="774">
        <v>0.29286010211851121</v>
      </c>
      <c r="AQ447" s="506"/>
      <c r="AR447" s="506"/>
      <c r="AS447" s="506"/>
      <c r="AT447" s="506"/>
      <c r="AU447" s="506"/>
      <c r="AV447" s="506"/>
      <c r="AW447" s="506"/>
      <c r="AX447" s="506"/>
      <c r="AY447" s="506"/>
      <c r="AZ447" s="506"/>
      <c r="BA447" s="506"/>
      <c r="BB447" s="506"/>
      <c r="BC447" s="506"/>
      <c r="BD447" s="506"/>
      <c r="BE447" s="506"/>
      <c r="BF447" s="506"/>
      <c r="BG447" s="506"/>
      <c r="BH447" s="506"/>
      <c r="BI447" s="506"/>
      <c r="BJ447" s="506"/>
    </row>
    <row r="448" spans="1:62" ht="15.75" customHeight="1">
      <c r="A448" s="494" t="s">
        <v>63</v>
      </c>
      <c r="B448" s="503"/>
      <c r="C448" s="733" t="s">
        <v>473</v>
      </c>
      <c r="T448" s="506"/>
      <c r="U448" s="506"/>
      <c r="V448" s="596" t="s">
        <v>63</v>
      </c>
      <c r="W448" s="770" t="s">
        <v>161</v>
      </c>
      <c r="X448" s="763"/>
      <c r="Y448" s="789">
        <v>1.3571284184322476E-3</v>
      </c>
      <c r="Z448" s="764">
        <v>7780.2762857487296</v>
      </c>
      <c r="AA448" s="763"/>
      <c r="AB448" s="771"/>
      <c r="AC448" s="764"/>
      <c r="AD448" s="772"/>
      <c r="AE448" s="771"/>
      <c r="AF448" s="764">
        <v>7461.8099999999995</v>
      </c>
      <c r="AG448" s="765"/>
      <c r="AH448" s="766">
        <v>-318.46628574873012</v>
      </c>
      <c r="AI448" s="767">
        <v>-4.0932516282496355E-2</v>
      </c>
      <c r="AJ448" s="772"/>
      <c r="AK448" s="763"/>
      <c r="AL448" s="764">
        <v>7860.3200000000006</v>
      </c>
      <c r="AM448" s="768"/>
      <c r="AN448" s="766">
        <v>-398.51000000000113</v>
      </c>
      <c r="AO448" s="774">
        <v>-5.0698953732163717E-2</v>
      </c>
      <c r="AQ448" s="506"/>
      <c r="AR448" s="506"/>
      <c r="AS448" s="506"/>
      <c r="AT448" s="506"/>
      <c r="AU448" s="506"/>
      <c r="AV448" s="506"/>
      <c r="AW448" s="506"/>
      <c r="AX448" s="506"/>
      <c r="AY448" s="506"/>
      <c r="AZ448" s="506"/>
      <c r="BA448" s="506"/>
      <c r="BB448" s="506"/>
      <c r="BC448" s="506"/>
      <c r="BD448" s="506"/>
      <c r="BE448" s="506"/>
      <c r="BF448" s="506"/>
      <c r="BG448" s="506"/>
      <c r="BH448" s="506"/>
      <c r="BI448" s="506"/>
      <c r="BJ448" s="506"/>
    </row>
    <row r="449" spans="1:62" ht="15.75" hidden="1" customHeight="1">
      <c r="A449" s="494" t="s">
        <v>20</v>
      </c>
      <c r="B449" s="503"/>
      <c r="C449" s="733" t="s">
        <v>473</v>
      </c>
      <c r="T449" s="506"/>
      <c r="U449" s="506"/>
      <c r="V449" s="596" t="s">
        <v>20</v>
      </c>
      <c r="W449" s="770"/>
      <c r="X449" s="763"/>
      <c r="Y449" s="771"/>
      <c r="Z449" s="764">
        <v>0</v>
      </c>
      <c r="AA449" s="763"/>
      <c r="AB449" s="763"/>
      <c r="AC449" s="764"/>
      <c r="AD449" s="772"/>
      <c r="AE449" s="771"/>
      <c r="AF449" s="764">
        <v>0</v>
      </c>
      <c r="AG449" s="765"/>
      <c r="AH449" s="766">
        <v>0</v>
      </c>
      <c r="AI449" s="767">
        <v>0</v>
      </c>
      <c r="AJ449" s="772"/>
      <c r="AK449" s="763"/>
      <c r="AL449" s="764">
        <v>0</v>
      </c>
      <c r="AM449" s="768"/>
      <c r="AN449" s="766">
        <v>0</v>
      </c>
      <c r="AO449" s="774">
        <v>0</v>
      </c>
      <c r="AP449" s="506"/>
      <c r="AQ449" s="506"/>
      <c r="AR449" s="506"/>
      <c r="AS449" s="506"/>
      <c r="AT449" s="506"/>
      <c r="AU449" s="506"/>
      <c r="AV449" s="506"/>
      <c r="AW449" s="506"/>
      <c r="AX449" s="506"/>
      <c r="AY449" s="506"/>
      <c r="AZ449" s="506"/>
      <c r="BA449" s="506"/>
      <c r="BB449" s="506"/>
      <c r="BC449" s="506"/>
      <c r="BD449" s="506"/>
      <c r="BE449" s="506"/>
      <c r="BF449" s="506"/>
      <c r="BG449" s="506"/>
      <c r="BH449" s="506"/>
      <c r="BI449" s="506"/>
      <c r="BJ449" s="506"/>
    </row>
    <row r="450" spans="1:62" ht="15.75" hidden="1" customHeight="1">
      <c r="A450" s="494" t="s">
        <v>20</v>
      </c>
      <c r="B450" s="503"/>
      <c r="C450" s="733" t="s">
        <v>473</v>
      </c>
      <c r="T450" s="506"/>
      <c r="U450" s="506"/>
      <c r="V450" s="596" t="s">
        <v>20</v>
      </c>
      <c r="W450" s="770"/>
      <c r="X450" s="763"/>
      <c r="Y450" s="771"/>
      <c r="Z450" s="764">
        <v>0</v>
      </c>
      <c r="AA450" s="763"/>
      <c r="AB450" s="763"/>
      <c r="AC450" s="764"/>
      <c r="AD450" s="772"/>
      <c r="AE450" s="771"/>
      <c r="AF450" s="764">
        <v>0</v>
      </c>
      <c r="AG450" s="765"/>
      <c r="AH450" s="766">
        <v>0</v>
      </c>
      <c r="AI450" s="767">
        <v>0</v>
      </c>
      <c r="AJ450" s="772"/>
      <c r="AK450" s="763"/>
      <c r="AL450" s="764">
        <v>0</v>
      </c>
      <c r="AM450" s="768"/>
      <c r="AN450" s="766">
        <v>0</v>
      </c>
      <c r="AO450" s="774">
        <v>0</v>
      </c>
      <c r="AP450" s="506"/>
      <c r="AQ450" s="506"/>
      <c r="AR450" s="506"/>
      <c r="AS450" s="506"/>
      <c r="AT450" s="506"/>
      <c r="AU450" s="506"/>
      <c r="AV450" s="506"/>
      <c r="AW450" s="506"/>
      <c r="AX450" s="506"/>
      <c r="AY450" s="506"/>
      <c r="AZ450" s="506"/>
      <c r="BA450" s="506"/>
      <c r="BB450" s="506"/>
      <c r="BC450" s="506"/>
      <c r="BD450" s="506"/>
      <c r="BE450" s="506"/>
      <c r="BF450" s="506"/>
      <c r="BG450" s="506"/>
      <c r="BH450" s="506"/>
      <c r="BI450" s="506"/>
      <c r="BJ450" s="506"/>
    </row>
    <row r="451" spans="1:62" ht="15.75" hidden="1" customHeight="1">
      <c r="A451" s="494" t="s">
        <v>20</v>
      </c>
      <c r="B451" s="503"/>
      <c r="C451" s="733" t="s">
        <v>473</v>
      </c>
      <c r="T451" s="506"/>
      <c r="U451" s="506"/>
      <c r="V451" s="596" t="s">
        <v>20</v>
      </c>
      <c r="W451" s="770"/>
      <c r="X451" s="763"/>
      <c r="Y451" s="771"/>
      <c r="Z451" s="764">
        <v>0</v>
      </c>
      <c r="AA451" s="763"/>
      <c r="AB451" s="763"/>
      <c r="AC451" s="764"/>
      <c r="AD451" s="772"/>
      <c r="AE451" s="771"/>
      <c r="AF451" s="764">
        <v>0</v>
      </c>
      <c r="AG451" s="765"/>
      <c r="AH451" s="766">
        <v>0</v>
      </c>
      <c r="AI451" s="767">
        <v>0</v>
      </c>
      <c r="AJ451" s="772"/>
      <c r="AK451" s="763"/>
      <c r="AL451" s="764">
        <v>0</v>
      </c>
      <c r="AM451" s="768"/>
      <c r="AN451" s="766">
        <v>0</v>
      </c>
      <c r="AO451" s="774">
        <v>0</v>
      </c>
      <c r="AP451" s="506"/>
      <c r="AQ451" s="506"/>
      <c r="AR451" s="506"/>
      <c r="AS451" s="506"/>
      <c r="AT451" s="506"/>
      <c r="AU451" s="506"/>
      <c r="AV451" s="506"/>
      <c r="AW451" s="506"/>
      <c r="AX451" s="506"/>
      <c r="AY451" s="506"/>
      <c r="AZ451" s="506"/>
      <c r="BA451" s="506"/>
      <c r="BB451" s="506"/>
      <c r="BC451" s="506"/>
      <c r="BD451" s="506"/>
      <c r="BE451" s="506"/>
      <c r="BF451" s="506"/>
      <c r="BG451" s="506"/>
      <c r="BH451" s="506"/>
      <c r="BI451" s="506"/>
      <c r="BJ451" s="506"/>
    </row>
    <row r="452" spans="1:62" ht="15.75" customHeight="1">
      <c r="A452" s="494" t="s">
        <v>64</v>
      </c>
      <c r="B452" s="503"/>
      <c r="C452" s="733" t="s">
        <v>473</v>
      </c>
      <c r="T452" s="506"/>
      <c r="U452" s="506"/>
      <c r="V452" s="780" t="s">
        <v>64</v>
      </c>
      <c r="W452" s="805"/>
      <c r="X452" s="782">
        <v>0.16550740850776946</v>
      </c>
      <c r="Y452" s="781"/>
      <c r="Z452" s="783">
        <v>127692.82537174747</v>
      </c>
      <c r="AA452" s="782"/>
      <c r="AB452" s="781"/>
      <c r="AC452" s="783"/>
      <c r="AD452" s="784">
        <v>0.24470889834713314</v>
      </c>
      <c r="AE452" s="781"/>
      <c r="AF452" s="783">
        <v>117232.55</v>
      </c>
      <c r="AG452" s="806"/>
      <c r="AH452" s="807">
        <v>-10460.275371747477</v>
      </c>
      <c r="AI452" s="782">
        <v>-8.1917487073332879E-2</v>
      </c>
      <c r="AJ452" s="784">
        <v>0.18235578618986145</v>
      </c>
      <c r="AK452" s="782"/>
      <c r="AL452" s="783">
        <v>123257.83000000003</v>
      </c>
      <c r="AM452" s="792"/>
      <c r="AN452" s="786">
        <v>-6025.2799999999979</v>
      </c>
      <c r="AO452" s="808">
        <v>-4.8883547600992137E-2</v>
      </c>
      <c r="AP452" s="506"/>
      <c r="AQ452" s="506"/>
      <c r="AR452" s="506"/>
      <c r="AS452" s="506"/>
      <c r="AT452" s="506"/>
      <c r="AU452" s="506"/>
      <c r="AV452" s="506"/>
      <c r="AW452" s="506"/>
      <c r="AX452" s="506"/>
      <c r="AY452" s="506"/>
      <c r="AZ452" s="506"/>
      <c r="BA452" s="506"/>
      <c r="BB452" s="506"/>
      <c r="BC452" s="506"/>
      <c r="BD452" s="506"/>
      <c r="BE452" s="506"/>
      <c r="BF452" s="506"/>
      <c r="BG452" s="506"/>
      <c r="BH452" s="506"/>
      <c r="BI452" s="506"/>
      <c r="BJ452" s="506"/>
    </row>
    <row r="453" spans="1:62" ht="15.75" customHeight="1">
      <c r="A453" s="494" t="s">
        <v>162</v>
      </c>
      <c r="B453" s="503"/>
      <c r="C453" s="733" t="s">
        <v>473</v>
      </c>
      <c r="D453" s="506"/>
      <c r="E453" s="506"/>
      <c r="F453" s="506"/>
      <c r="G453" s="506"/>
      <c r="H453" s="506"/>
      <c r="I453" s="506"/>
      <c r="J453" s="506"/>
      <c r="K453" s="506"/>
      <c r="L453" s="506"/>
      <c r="M453" s="506"/>
      <c r="N453" s="506"/>
      <c r="O453" s="506"/>
      <c r="P453" s="506"/>
      <c r="Q453" s="506"/>
      <c r="R453" s="506"/>
      <c r="S453" s="506"/>
      <c r="T453" s="506"/>
      <c r="U453" s="506"/>
      <c r="V453" s="596" t="s">
        <v>162</v>
      </c>
      <c r="W453" s="770" t="s">
        <v>163</v>
      </c>
      <c r="X453" s="763"/>
      <c r="Y453" s="771"/>
      <c r="Z453" s="764">
        <v>36000</v>
      </c>
      <c r="AA453" s="763"/>
      <c r="AB453" s="771"/>
      <c r="AC453" s="764"/>
      <c r="AD453" s="772"/>
      <c r="AE453" s="771"/>
      <c r="AF453" s="764">
        <v>36000</v>
      </c>
      <c r="AG453" s="765"/>
      <c r="AH453" s="766">
        <v>0</v>
      </c>
      <c r="AI453" s="767">
        <v>0</v>
      </c>
      <c r="AJ453" s="772"/>
      <c r="AK453" s="763"/>
      <c r="AL453" s="764">
        <v>26000</v>
      </c>
      <c r="AM453" s="768"/>
      <c r="AN453" s="766">
        <v>10000</v>
      </c>
      <c r="AO453" s="774">
        <v>0.38461538461538464</v>
      </c>
      <c r="AP453" s="506"/>
      <c r="AQ453" s="506"/>
      <c r="AR453" s="506"/>
      <c r="AS453" s="506"/>
      <c r="AT453" s="506"/>
      <c r="AU453" s="506"/>
      <c r="AV453" s="506"/>
      <c r="AW453" s="506"/>
      <c r="AX453" s="506"/>
      <c r="AY453" s="506"/>
      <c r="AZ453" s="506"/>
      <c r="BA453" s="506"/>
      <c r="BB453" s="506"/>
      <c r="BC453" s="506"/>
      <c r="BD453" s="506"/>
      <c r="BE453" s="506"/>
      <c r="BF453" s="506"/>
      <c r="BG453" s="506"/>
      <c r="BH453" s="506"/>
      <c r="BI453" s="506"/>
      <c r="BJ453" s="506"/>
    </row>
    <row r="454" spans="1:62" ht="15.75" customHeight="1">
      <c r="A454" s="494" t="s">
        <v>164</v>
      </c>
      <c r="B454" s="503"/>
      <c r="C454" s="733" t="s">
        <v>473</v>
      </c>
      <c r="D454" s="506"/>
      <c r="E454" s="506"/>
      <c r="F454" s="506"/>
      <c r="G454" s="506"/>
      <c r="H454" s="506"/>
      <c r="I454" s="506"/>
      <c r="J454" s="506"/>
      <c r="K454" s="506"/>
      <c r="L454" s="506"/>
      <c r="M454" s="506"/>
      <c r="N454" s="506"/>
      <c r="O454" s="506"/>
      <c r="P454" s="506"/>
      <c r="Q454" s="506"/>
      <c r="R454" s="506"/>
      <c r="S454" s="506"/>
      <c r="T454" s="506"/>
      <c r="U454" s="506"/>
      <c r="V454" s="596" t="s">
        <v>164</v>
      </c>
      <c r="W454" s="770" t="s">
        <v>165</v>
      </c>
      <c r="X454" s="763"/>
      <c r="Y454" s="771"/>
      <c r="Z454" s="764">
        <v>5176.92</v>
      </c>
      <c r="AA454" s="763"/>
      <c r="AB454" s="771"/>
      <c r="AC454" s="764"/>
      <c r="AD454" s="772"/>
      <c r="AE454" s="771"/>
      <c r="AF454" s="764">
        <v>5177</v>
      </c>
      <c r="AG454" s="765"/>
      <c r="AH454" s="766">
        <v>7.999999999992724E-2</v>
      </c>
      <c r="AI454" s="767">
        <v>1.5453203835471139E-5</v>
      </c>
      <c r="AJ454" s="772"/>
      <c r="AK454" s="763"/>
      <c r="AL454" s="764">
        <v>4937.75</v>
      </c>
      <c r="AM454" s="768"/>
      <c r="AN454" s="766">
        <v>239.25</v>
      </c>
      <c r="AO454" s="774">
        <v>4.8453242873778543E-2</v>
      </c>
      <c r="AP454" s="506"/>
      <c r="AQ454" s="506"/>
      <c r="AR454" s="506"/>
      <c r="AS454" s="506"/>
      <c r="AT454" s="506"/>
      <c r="AU454" s="506"/>
      <c r="AV454" s="506"/>
      <c r="AW454" s="506"/>
      <c r="AX454" s="506"/>
      <c r="AY454" s="506"/>
      <c r="AZ454" s="506"/>
      <c r="BA454" s="506"/>
      <c r="BB454" s="506"/>
      <c r="BC454" s="506"/>
      <c r="BD454" s="506"/>
      <c r="BE454" s="506"/>
      <c r="BF454" s="506"/>
      <c r="BG454" s="506"/>
      <c r="BH454" s="506"/>
      <c r="BI454" s="506"/>
      <c r="BJ454" s="506"/>
    </row>
    <row r="455" spans="1:62" ht="15.75" customHeight="1">
      <c r="A455" s="494" t="s">
        <v>166</v>
      </c>
      <c r="B455" s="503"/>
      <c r="C455" s="733" t="s">
        <v>473</v>
      </c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6"/>
      <c r="S455" s="506"/>
      <c r="T455" s="506"/>
      <c r="U455" s="506"/>
      <c r="V455" s="598" t="s">
        <v>166</v>
      </c>
      <c r="W455" s="775" t="s">
        <v>167</v>
      </c>
      <c r="X455" s="747"/>
      <c r="Y455" s="776"/>
      <c r="Z455" s="748">
        <v>3444.8400000000006</v>
      </c>
      <c r="AA455" s="747"/>
      <c r="AB455" s="776"/>
      <c r="AC455" s="748"/>
      <c r="AD455" s="777"/>
      <c r="AE455" s="776"/>
      <c r="AF455" s="748">
        <v>3761.7</v>
      </c>
      <c r="AG455" s="749"/>
      <c r="AH455" s="750">
        <v>316.85999999999922</v>
      </c>
      <c r="AI455" s="778">
        <v>9.1981049918138186E-2</v>
      </c>
      <c r="AJ455" s="777"/>
      <c r="AK455" s="747"/>
      <c r="AL455" s="748">
        <v>3279.99999999999</v>
      </c>
      <c r="AM455" s="752"/>
      <c r="AN455" s="750">
        <v>481.70000000000982</v>
      </c>
      <c r="AO455" s="753">
        <v>0.14685975609756441</v>
      </c>
      <c r="AP455" s="506"/>
      <c r="AQ455" s="506"/>
      <c r="AR455" s="506"/>
      <c r="AS455" s="506"/>
      <c r="AT455" s="506"/>
      <c r="AU455" s="506"/>
      <c r="AV455" s="506"/>
      <c r="AW455" s="506"/>
      <c r="AX455" s="506"/>
      <c r="AY455" s="506"/>
      <c r="AZ455" s="506"/>
      <c r="BA455" s="506"/>
      <c r="BB455" s="506"/>
      <c r="BC455" s="506"/>
      <c r="BD455" s="506"/>
      <c r="BE455" s="506"/>
      <c r="BF455" s="506"/>
      <c r="BG455" s="506"/>
      <c r="BH455" s="506"/>
      <c r="BI455" s="506"/>
      <c r="BJ455" s="506"/>
    </row>
    <row r="456" spans="1:62" ht="15.75" customHeight="1">
      <c r="A456" s="494" t="s">
        <v>168</v>
      </c>
      <c r="B456" s="503"/>
      <c r="C456" s="733" t="s">
        <v>473</v>
      </c>
      <c r="D456" s="506"/>
      <c r="E456" s="506"/>
      <c r="F456" s="506"/>
      <c r="G456" s="506"/>
      <c r="H456" s="506"/>
      <c r="I456" s="506"/>
      <c r="J456" s="506"/>
      <c r="K456" s="506"/>
      <c r="L456" s="506"/>
      <c r="M456" s="506"/>
      <c r="N456" s="506"/>
      <c r="O456" s="506"/>
      <c r="P456" s="506"/>
      <c r="Q456" s="506"/>
      <c r="R456" s="506"/>
      <c r="S456" s="506"/>
      <c r="T456" s="506"/>
      <c r="U456" s="506"/>
      <c r="V456" s="596" t="s">
        <v>168</v>
      </c>
      <c r="W456" s="770"/>
      <c r="X456" s="763"/>
      <c r="Y456" s="771"/>
      <c r="Z456" s="764">
        <v>0</v>
      </c>
      <c r="AA456" s="763"/>
      <c r="AB456" s="771"/>
      <c r="AC456" s="764"/>
      <c r="AD456" s="772"/>
      <c r="AE456" s="771"/>
      <c r="AF456" s="764">
        <v>0</v>
      </c>
      <c r="AG456" s="765"/>
      <c r="AH456" s="766">
        <v>0</v>
      </c>
      <c r="AI456" s="767">
        <v>0</v>
      </c>
      <c r="AJ456" s="772"/>
      <c r="AK456" s="763"/>
      <c r="AL456" s="764">
        <v>0</v>
      </c>
      <c r="AM456" s="768"/>
      <c r="AN456" s="766">
        <v>0</v>
      </c>
      <c r="AO456" s="774">
        <v>0</v>
      </c>
      <c r="AP456" s="506"/>
      <c r="AQ456" s="506"/>
      <c r="AR456" s="506"/>
      <c r="AS456" s="506"/>
      <c r="AT456" s="506"/>
      <c r="AU456" s="506"/>
      <c r="AV456" s="506"/>
      <c r="AW456" s="506"/>
      <c r="AX456" s="506"/>
      <c r="AY456" s="506"/>
      <c r="AZ456" s="506"/>
      <c r="BA456" s="506"/>
      <c r="BB456" s="506"/>
      <c r="BC456" s="506"/>
      <c r="BD456" s="506"/>
      <c r="BE456" s="506"/>
      <c r="BF456" s="506"/>
      <c r="BG456" s="506"/>
      <c r="BH456" s="506"/>
      <c r="BI456" s="506"/>
      <c r="BJ456" s="506"/>
    </row>
    <row r="457" spans="1:62" ht="15.75" customHeight="1">
      <c r="A457" s="494" t="s">
        <v>169</v>
      </c>
      <c r="B457" s="503"/>
      <c r="C457" s="733" t="s">
        <v>473</v>
      </c>
      <c r="D457" s="506"/>
      <c r="E457" s="506"/>
      <c r="F457" s="506"/>
      <c r="G457" s="506"/>
      <c r="H457" s="506"/>
      <c r="I457" s="506"/>
      <c r="J457" s="506"/>
      <c r="K457" s="506"/>
      <c r="L457" s="506"/>
      <c r="M457" s="506"/>
      <c r="N457" s="506"/>
      <c r="O457" s="506"/>
      <c r="P457" s="506"/>
      <c r="Q457" s="506"/>
      <c r="R457" s="506"/>
      <c r="S457" s="506"/>
      <c r="T457" s="506"/>
      <c r="U457" s="506"/>
      <c r="V457" s="598" t="s">
        <v>169</v>
      </c>
      <c r="W457" s="775" t="s">
        <v>170</v>
      </c>
      <c r="X457" s="747"/>
      <c r="Y457" s="776"/>
      <c r="Z457" s="748">
        <v>3893.083333333333</v>
      </c>
      <c r="AA457" s="747"/>
      <c r="AB457" s="776"/>
      <c r="AC457" s="748"/>
      <c r="AD457" s="777"/>
      <c r="AE457" s="776"/>
      <c r="AF457" s="748">
        <v>3893.08</v>
      </c>
      <c r="AG457" s="749"/>
      <c r="AH457" s="750">
        <v>-3.333333333102928E-3</v>
      </c>
      <c r="AI457" s="778">
        <v>-8.5621936334172008E-7</v>
      </c>
      <c r="AJ457" s="777"/>
      <c r="AK457" s="747"/>
      <c r="AL457" s="748">
        <v>4271</v>
      </c>
      <c r="AM457" s="752"/>
      <c r="AN457" s="750">
        <v>-377.92000000000007</v>
      </c>
      <c r="AO457" s="753">
        <v>-8.8485132287520502E-2</v>
      </c>
      <c r="AP457" s="506"/>
      <c r="AQ457" s="506"/>
      <c r="AR457" s="506"/>
      <c r="AS457" s="506"/>
      <c r="AT457" s="506"/>
      <c r="AU457" s="506"/>
      <c r="AV457" s="506"/>
      <c r="AW457" s="506"/>
      <c r="AX457" s="506"/>
      <c r="AY457" s="506"/>
      <c r="AZ457" s="506"/>
      <c r="BA457" s="506"/>
      <c r="BB457" s="506"/>
      <c r="BC457" s="506"/>
      <c r="BD457" s="506"/>
      <c r="BE457" s="506"/>
      <c r="BF457" s="506"/>
      <c r="BG457" s="506"/>
      <c r="BH457" s="506"/>
      <c r="BI457" s="506"/>
      <c r="BJ457" s="506"/>
    </row>
    <row r="458" spans="1:62" ht="15.75" customHeight="1">
      <c r="A458" s="494" t="s">
        <v>171</v>
      </c>
      <c r="B458" s="503"/>
      <c r="C458" s="733" t="s">
        <v>473</v>
      </c>
      <c r="D458" s="506"/>
      <c r="E458" s="506"/>
      <c r="F458" s="506"/>
      <c r="G458" s="506"/>
      <c r="H458" s="506"/>
      <c r="I458" s="506"/>
      <c r="J458" s="506"/>
      <c r="K458" s="506"/>
      <c r="L458" s="506"/>
      <c r="M458" s="506"/>
      <c r="N458" s="506"/>
      <c r="O458" s="506"/>
      <c r="P458" s="506"/>
      <c r="Q458" s="506"/>
      <c r="R458" s="506"/>
      <c r="S458" s="506"/>
      <c r="T458" s="506"/>
      <c r="U458" s="506"/>
      <c r="V458" s="596" t="s">
        <v>171</v>
      </c>
      <c r="W458" s="770" t="s">
        <v>172</v>
      </c>
      <c r="X458" s="809"/>
      <c r="Y458" s="810"/>
      <c r="Z458" s="764">
        <v>3451.2500000000005</v>
      </c>
      <c r="AA458" s="809"/>
      <c r="AB458" s="810"/>
      <c r="AC458" s="764"/>
      <c r="AD458" s="772"/>
      <c r="AE458" s="771"/>
      <c r="AF458" s="811">
        <v>767.85</v>
      </c>
      <c r="AG458" s="765"/>
      <c r="AH458" s="766">
        <v>-2683.4000000000005</v>
      </c>
      <c r="AI458" s="767">
        <v>-0.77751539297356032</v>
      </c>
      <c r="AJ458" s="772"/>
      <c r="AK458" s="763"/>
      <c r="AL458" s="764">
        <v>-898.86</v>
      </c>
      <c r="AM458" s="768"/>
      <c r="AN458" s="766">
        <v>1666.71</v>
      </c>
      <c r="AO458" s="774">
        <v>-1.8542487150390494</v>
      </c>
      <c r="AP458" s="506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06"/>
      <c r="BC458" s="506"/>
      <c r="BD458" s="506"/>
      <c r="BE458" s="506"/>
      <c r="BF458" s="506"/>
      <c r="BG458" s="506"/>
      <c r="BH458" s="506"/>
      <c r="BI458" s="506"/>
      <c r="BJ458" s="506"/>
    </row>
    <row r="459" spans="1:62" ht="15.75" customHeight="1">
      <c r="A459" s="494" t="s">
        <v>173</v>
      </c>
      <c r="B459" s="503"/>
      <c r="C459" s="733" t="s">
        <v>473</v>
      </c>
      <c r="D459" s="506"/>
      <c r="E459" s="506"/>
      <c r="F459" s="506"/>
      <c r="G459" s="506"/>
      <c r="H459" s="506"/>
      <c r="I459" s="506"/>
      <c r="J459" s="506"/>
      <c r="K459" s="506"/>
      <c r="L459" s="506"/>
      <c r="M459" s="506"/>
      <c r="N459" s="506"/>
      <c r="O459" s="506"/>
      <c r="P459" s="506"/>
      <c r="Q459" s="506"/>
      <c r="R459" s="506"/>
      <c r="S459" s="506"/>
      <c r="T459" s="506"/>
      <c r="U459" s="506"/>
      <c r="V459" s="596" t="s">
        <v>173</v>
      </c>
      <c r="W459" s="770" t="s">
        <v>174</v>
      </c>
      <c r="X459" s="763"/>
      <c r="Y459" s="771"/>
      <c r="Z459" s="764">
        <v>6784.05</v>
      </c>
      <c r="AA459" s="763"/>
      <c r="AB459" s="771"/>
      <c r="AC459" s="764"/>
      <c r="AD459" s="772"/>
      <c r="AE459" s="771"/>
      <c r="AF459" s="764">
        <v>7623.329999999999</v>
      </c>
      <c r="AG459" s="765"/>
      <c r="AH459" s="766">
        <v>839.27999999999884</v>
      </c>
      <c r="AI459" s="767">
        <v>0.12371371083644708</v>
      </c>
      <c r="AJ459" s="772"/>
      <c r="AK459" s="763"/>
      <c r="AL459" s="764">
        <v>6550.12</v>
      </c>
      <c r="AM459" s="768"/>
      <c r="AN459" s="766">
        <v>1073.2099999999991</v>
      </c>
      <c r="AO459" s="774">
        <v>0.16384585320574266</v>
      </c>
      <c r="AP459" s="506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06"/>
      <c r="BC459" s="506"/>
      <c r="BD459" s="506"/>
      <c r="BE459" s="506"/>
      <c r="BF459" s="506"/>
      <c r="BG459" s="506"/>
      <c r="BH459" s="506"/>
      <c r="BI459" s="506"/>
      <c r="BJ459" s="506"/>
    </row>
    <row r="460" spans="1:62" ht="15.75" customHeight="1">
      <c r="A460" s="494" t="s">
        <v>175</v>
      </c>
      <c r="B460" s="503"/>
      <c r="C460" s="733" t="s">
        <v>473</v>
      </c>
      <c r="D460" s="506"/>
      <c r="E460" s="506"/>
      <c r="F460" s="506"/>
      <c r="G460" s="506"/>
      <c r="H460" s="506"/>
      <c r="I460" s="506"/>
      <c r="J460" s="506"/>
      <c r="K460" s="506"/>
      <c r="L460" s="506"/>
      <c r="M460" s="506"/>
      <c r="N460" s="506"/>
      <c r="O460" s="506"/>
      <c r="P460" s="506"/>
      <c r="Q460" s="506"/>
      <c r="R460" s="506"/>
      <c r="S460" s="506"/>
      <c r="T460" s="506"/>
      <c r="U460" s="506"/>
      <c r="V460" s="598" t="s">
        <v>175</v>
      </c>
      <c r="W460" s="775" t="s">
        <v>176</v>
      </c>
      <c r="X460" s="747"/>
      <c r="Y460" s="776"/>
      <c r="Z460" s="748">
        <v>1946.9211566305551</v>
      </c>
      <c r="AA460" s="747"/>
      <c r="AB460" s="776"/>
      <c r="AC460" s="748"/>
      <c r="AD460" s="777"/>
      <c r="AE460" s="776"/>
      <c r="AF460" s="748">
        <v>329.85</v>
      </c>
      <c r="AG460" s="749"/>
      <c r="AH460" s="750">
        <v>-1617.0711566305549</v>
      </c>
      <c r="AI460" s="778">
        <v>-0.83057865549581056</v>
      </c>
      <c r="AJ460" s="777"/>
      <c r="AK460" s="747"/>
      <c r="AL460" s="748">
        <v>0</v>
      </c>
      <c r="AM460" s="752"/>
      <c r="AN460" s="750">
        <v>329.85</v>
      </c>
      <c r="AO460" s="753">
        <v>0</v>
      </c>
      <c r="AP460" s="506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06"/>
      <c r="BC460" s="506"/>
      <c r="BD460" s="506"/>
      <c r="BE460" s="506"/>
      <c r="BF460" s="506"/>
      <c r="BG460" s="506"/>
      <c r="BH460" s="506"/>
      <c r="BI460" s="506"/>
      <c r="BJ460" s="506"/>
    </row>
    <row r="461" spans="1:62" ht="15.75" customHeight="1">
      <c r="A461" s="494" t="s">
        <v>177</v>
      </c>
      <c r="B461" s="503"/>
      <c r="C461" s="733" t="s">
        <v>473</v>
      </c>
      <c r="D461" s="506"/>
      <c r="E461" s="506"/>
      <c r="F461" s="506"/>
      <c r="G461" s="506"/>
      <c r="H461" s="506"/>
      <c r="I461" s="506"/>
      <c r="J461" s="506"/>
      <c r="K461" s="506"/>
      <c r="L461" s="506"/>
      <c r="M461" s="506"/>
      <c r="N461" s="506"/>
      <c r="O461" s="506"/>
      <c r="P461" s="506"/>
      <c r="Q461" s="506"/>
      <c r="R461" s="506"/>
      <c r="S461" s="506"/>
      <c r="T461" s="506"/>
      <c r="U461" s="812"/>
      <c r="V461" s="596" t="s">
        <v>177</v>
      </c>
      <c r="W461" s="770" t="s">
        <v>178</v>
      </c>
      <c r="X461" s="763"/>
      <c r="Y461" s="771"/>
      <c r="Z461" s="764">
        <v>1000</v>
      </c>
      <c r="AA461" s="763"/>
      <c r="AB461" s="771"/>
      <c r="AC461" s="764"/>
      <c r="AD461" s="772"/>
      <c r="AE461" s="771"/>
      <c r="AF461" s="764">
        <v>1067.6300000000001</v>
      </c>
      <c r="AG461" s="765"/>
      <c r="AH461" s="766">
        <v>67.630000000000109</v>
      </c>
      <c r="AI461" s="813">
        <v>6.7630000000000107E-2</v>
      </c>
      <c r="AJ461" s="763"/>
      <c r="AK461" s="763"/>
      <c r="AL461" s="764">
        <v>0</v>
      </c>
      <c r="AM461" s="768"/>
      <c r="AN461" s="766">
        <v>1067.6300000000001</v>
      </c>
      <c r="AO461" s="774">
        <v>0</v>
      </c>
      <c r="AP461" s="506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06"/>
      <c r="BC461" s="506"/>
      <c r="BD461" s="506"/>
      <c r="BE461" s="506"/>
      <c r="BF461" s="506"/>
      <c r="BG461" s="506"/>
      <c r="BH461" s="506"/>
      <c r="BI461" s="506"/>
      <c r="BJ461" s="506"/>
    </row>
    <row r="462" spans="1:62" ht="15.75" customHeight="1">
      <c r="A462" s="494" t="s">
        <v>179</v>
      </c>
      <c r="B462" s="503"/>
      <c r="C462" s="733" t="s">
        <v>473</v>
      </c>
      <c r="D462" s="506"/>
      <c r="E462" s="506"/>
      <c r="F462" s="506"/>
      <c r="G462" s="506"/>
      <c r="H462" s="506"/>
      <c r="I462" s="506"/>
      <c r="J462" s="506"/>
      <c r="K462" s="506"/>
      <c r="L462" s="506"/>
      <c r="M462" s="506"/>
      <c r="N462" s="506"/>
      <c r="O462" s="506"/>
      <c r="P462" s="506"/>
      <c r="Q462" s="506"/>
      <c r="R462" s="506"/>
      <c r="S462" s="506"/>
      <c r="T462" s="506"/>
      <c r="U462" s="812"/>
      <c r="V462" s="596" t="s">
        <v>179</v>
      </c>
      <c r="W462" s="770" t="s">
        <v>180</v>
      </c>
      <c r="X462" s="763"/>
      <c r="Y462" s="771"/>
      <c r="Z462" s="764">
        <v>0</v>
      </c>
      <c r="AA462" s="763"/>
      <c r="AB462" s="771"/>
      <c r="AC462" s="764"/>
      <c r="AD462" s="772"/>
      <c r="AE462" s="771"/>
      <c r="AF462" s="764">
        <v>0</v>
      </c>
      <c r="AG462" s="765"/>
      <c r="AH462" s="766">
        <v>0</v>
      </c>
      <c r="AI462" s="790">
        <v>0</v>
      </c>
      <c r="AJ462" s="763"/>
      <c r="AK462" s="763"/>
      <c r="AL462" s="764">
        <v>0</v>
      </c>
      <c r="AM462" s="768"/>
      <c r="AN462" s="766">
        <v>0</v>
      </c>
      <c r="AO462" s="774">
        <v>0</v>
      </c>
      <c r="AP462" s="506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06"/>
      <c r="BC462" s="506"/>
      <c r="BD462" s="506"/>
      <c r="BE462" s="506"/>
      <c r="BF462" s="506"/>
      <c r="BG462" s="506"/>
      <c r="BH462" s="506"/>
      <c r="BI462" s="506"/>
      <c r="BJ462" s="506"/>
    </row>
    <row r="463" spans="1:62" ht="15.75" hidden="1" customHeight="1">
      <c r="A463" s="494" t="s">
        <v>20</v>
      </c>
      <c r="B463" s="503"/>
      <c r="C463" s="733" t="s">
        <v>473</v>
      </c>
      <c r="D463" s="506"/>
      <c r="E463" s="506"/>
      <c r="F463" s="506"/>
      <c r="G463" s="506"/>
      <c r="H463" s="506"/>
      <c r="I463" s="506"/>
      <c r="J463" s="506"/>
      <c r="K463" s="506"/>
      <c r="L463" s="506"/>
      <c r="M463" s="506"/>
      <c r="N463" s="506"/>
      <c r="O463" s="506"/>
      <c r="P463" s="506"/>
      <c r="Q463" s="506"/>
      <c r="R463" s="506"/>
      <c r="S463" s="506"/>
      <c r="T463" s="506"/>
      <c r="U463" s="812"/>
      <c r="V463" s="596" t="s">
        <v>20</v>
      </c>
      <c r="W463" s="770"/>
      <c r="X463" s="763"/>
      <c r="Y463" s="771"/>
      <c r="Z463" s="764">
        <v>0</v>
      </c>
      <c r="AA463" s="763"/>
      <c r="AB463" s="763"/>
      <c r="AC463" s="764"/>
      <c r="AD463" s="772"/>
      <c r="AE463" s="771"/>
      <c r="AF463" s="764">
        <v>0</v>
      </c>
      <c r="AG463" s="765"/>
      <c r="AH463" s="766">
        <v>0</v>
      </c>
      <c r="AI463" s="767">
        <v>0</v>
      </c>
      <c r="AJ463" s="772"/>
      <c r="AK463" s="763"/>
      <c r="AL463" s="764">
        <v>0</v>
      </c>
      <c r="AM463" s="768"/>
      <c r="AN463" s="766">
        <v>0</v>
      </c>
      <c r="AO463" s="774">
        <v>1</v>
      </c>
      <c r="AP463" s="506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06"/>
      <c r="BC463" s="506"/>
      <c r="BD463" s="506"/>
      <c r="BE463" s="506"/>
      <c r="BF463" s="506"/>
      <c r="BG463" s="506"/>
      <c r="BH463" s="506"/>
      <c r="BI463" s="506"/>
      <c r="BJ463" s="506"/>
    </row>
    <row r="464" spans="1:62" ht="15.75" hidden="1" customHeight="1">
      <c r="A464" s="494" t="s">
        <v>20</v>
      </c>
      <c r="B464" s="503"/>
      <c r="C464" s="733" t="s">
        <v>473</v>
      </c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6"/>
      <c r="Q464" s="506"/>
      <c r="R464" s="506"/>
      <c r="S464" s="506"/>
      <c r="T464" s="506"/>
      <c r="U464" s="812"/>
      <c r="V464" s="596" t="s">
        <v>20</v>
      </c>
      <c r="W464" s="770"/>
      <c r="X464" s="763"/>
      <c r="Y464" s="771"/>
      <c r="Z464" s="764">
        <v>0</v>
      </c>
      <c r="AA464" s="763"/>
      <c r="AB464" s="763"/>
      <c r="AC464" s="764"/>
      <c r="AD464" s="772"/>
      <c r="AE464" s="771"/>
      <c r="AF464" s="764">
        <v>0</v>
      </c>
      <c r="AG464" s="765"/>
      <c r="AH464" s="766">
        <v>0</v>
      </c>
      <c r="AI464" s="767">
        <v>0</v>
      </c>
      <c r="AJ464" s="772"/>
      <c r="AK464" s="763"/>
      <c r="AL464" s="764">
        <v>0</v>
      </c>
      <c r="AM464" s="768"/>
      <c r="AN464" s="766">
        <v>0</v>
      </c>
      <c r="AO464" s="774">
        <v>2</v>
      </c>
      <c r="AP464" s="506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06"/>
      <c r="BC464" s="506"/>
      <c r="BD464" s="506"/>
      <c r="BE464" s="506"/>
      <c r="BF464" s="506"/>
      <c r="BG464" s="506"/>
      <c r="BH464" s="506"/>
      <c r="BI464" s="506"/>
      <c r="BJ464" s="506"/>
    </row>
    <row r="465" spans="1:62" ht="15.75" hidden="1" customHeight="1">
      <c r="A465" s="494" t="s">
        <v>20</v>
      </c>
      <c r="B465" s="503"/>
      <c r="C465" s="733" t="s">
        <v>473</v>
      </c>
      <c r="D465" s="506"/>
      <c r="E465" s="506"/>
      <c r="F465" s="506"/>
      <c r="G465" s="506"/>
      <c r="H465" s="506"/>
      <c r="I465" s="506"/>
      <c r="J465" s="506"/>
      <c r="K465" s="506"/>
      <c r="L465" s="506"/>
      <c r="M465" s="506"/>
      <c r="N465" s="506"/>
      <c r="O465" s="506"/>
      <c r="P465" s="506"/>
      <c r="Q465" s="506"/>
      <c r="R465" s="506"/>
      <c r="S465" s="506"/>
      <c r="T465" s="506"/>
      <c r="U465" s="506"/>
      <c r="V465" s="596" t="s">
        <v>20</v>
      </c>
      <c r="W465" s="770"/>
      <c r="X465" s="763"/>
      <c r="Y465" s="771"/>
      <c r="Z465" s="764">
        <v>0</v>
      </c>
      <c r="AA465" s="763"/>
      <c r="AB465" s="763"/>
      <c r="AC465" s="764"/>
      <c r="AD465" s="772"/>
      <c r="AE465" s="771"/>
      <c r="AF465" s="764">
        <v>0</v>
      </c>
      <c r="AG465" s="765"/>
      <c r="AH465" s="766">
        <v>0</v>
      </c>
      <c r="AI465" s="767">
        <v>0</v>
      </c>
      <c r="AJ465" s="772"/>
      <c r="AK465" s="763"/>
      <c r="AL465" s="764">
        <v>0</v>
      </c>
      <c r="AM465" s="768"/>
      <c r="AN465" s="766">
        <v>0</v>
      </c>
      <c r="AO465" s="774">
        <v>3</v>
      </c>
      <c r="AP465" s="506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06"/>
      <c r="BC465" s="506"/>
      <c r="BD465" s="506"/>
      <c r="BE465" s="506"/>
      <c r="BF465" s="506"/>
      <c r="BG465" s="506"/>
      <c r="BH465" s="506"/>
      <c r="BI465" s="506"/>
      <c r="BJ465" s="506"/>
    </row>
    <row r="466" spans="1:62" ht="15.75" customHeight="1">
      <c r="A466" s="494" t="s">
        <v>181</v>
      </c>
      <c r="B466" s="503"/>
      <c r="C466" s="733" t="s">
        <v>473</v>
      </c>
      <c r="D466" s="506"/>
      <c r="E466" s="506"/>
      <c r="F466" s="506"/>
      <c r="G466" s="506"/>
      <c r="H466" s="506"/>
      <c r="I466" s="506"/>
      <c r="J466" s="506"/>
      <c r="K466" s="506"/>
      <c r="L466" s="506"/>
      <c r="M466" s="506"/>
      <c r="N466" s="506"/>
      <c r="O466" s="506"/>
      <c r="P466" s="506"/>
      <c r="Q466" s="506"/>
      <c r="R466" s="506"/>
      <c r="S466" s="506"/>
      <c r="T466" s="506"/>
      <c r="U466" s="506"/>
      <c r="V466" s="780" t="s">
        <v>181</v>
      </c>
      <c r="W466" s="781"/>
      <c r="X466" s="782">
        <v>7.9967854313997694E-2</v>
      </c>
      <c r="Y466" s="781"/>
      <c r="Z466" s="783">
        <v>61697.064489963894</v>
      </c>
      <c r="AA466" s="782"/>
      <c r="AB466" s="781"/>
      <c r="AC466" s="783"/>
      <c r="AD466" s="784">
        <v>0.12236314311191061</v>
      </c>
      <c r="AE466" s="781"/>
      <c r="AF466" s="783">
        <v>58620.439999999995</v>
      </c>
      <c r="AG466" s="806"/>
      <c r="AH466" s="807">
        <v>-3076.6244899638905</v>
      </c>
      <c r="AI466" s="782">
        <v>-4.986662680627791E-2</v>
      </c>
      <c r="AJ466" s="784">
        <v>6.5303650291250001E-2</v>
      </c>
      <c r="AK466" s="782"/>
      <c r="AL466" s="783">
        <v>44140.009999999995</v>
      </c>
      <c r="AM466" s="792"/>
      <c r="AN466" s="786">
        <v>14480.430000000008</v>
      </c>
      <c r="AO466" s="808">
        <v>0.32805679020009304</v>
      </c>
      <c r="AP466" s="506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06"/>
      <c r="BC466" s="506"/>
      <c r="BD466" s="506"/>
      <c r="BE466" s="506"/>
      <c r="BF466" s="506"/>
      <c r="BG466" s="506"/>
      <c r="BH466" s="506"/>
      <c r="BI466" s="506"/>
      <c r="BJ466" s="506"/>
    </row>
    <row r="467" spans="1:62" ht="15.75" customHeight="1">
      <c r="A467" s="494" t="s">
        <v>475</v>
      </c>
      <c r="B467" s="503"/>
      <c r="C467" s="733" t="s">
        <v>473</v>
      </c>
      <c r="D467" s="506"/>
      <c r="E467" s="506"/>
      <c r="F467" s="506"/>
      <c r="G467" s="506"/>
      <c r="H467" s="506"/>
      <c r="I467" s="506"/>
      <c r="J467" s="506"/>
      <c r="K467" s="506"/>
      <c r="L467" s="506"/>
      <c r="M467" s="506"/>
      <c r="N467" s="506"/>
      <c r="O467" s="506"/>
      <c r="P467" s="506"/>
      <c r="Q467" s="506"/>
      <c r="R467" s="506"/>
      <c r="S467" s="506"/>
      <c r="T467" s="506"/>
      <c r="U467" s="506"/>
      <c r="V467" s="596"/>
      <c r="W467" s="763"/>
      <c r="X467" s="763"/>
      <c r="Y467" s="763"/>
      <c r="Z467" s="814"/>
      <c r="AA467" s="763"/>
      <c r="AB467" s="763"/>
      <c r="AC467" s="814"/>
      <c r="AD467" s="772"/>
      <c r="AE467" s="763"/>
      <c r="AF467" s="814"/>
      <c r="AG467" s="772"/>
      <c r="AH467" s="766">
        <v>0</v>
      </c>
      <c r="AI467" s="767"/>
      <c r="AJ467" s="772"/>
      <c r="AK467" s="763"/>
      <c r="AL467" s="814"/>
      <c r="AM467" s="815"/>
      <c r="AN467" s="766">
        <v>0</v>
      </c>
      <c r="AO467" s="816">
        <v>0</v>
      </c>
      <c r="AP467" s="506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06"/>
      <c r="BC467" s="506"/>
      <c r="BD467" s="506"/>
      <c r="BE467" s="506"/>
      <c r="BF467" s="506"/>
      <c r="BG467" s="506"/>
      <c r="BH467" s="506"/>
      <c r="BI467" s="506"/>
      <c r="BJ467" s="506"/>
    </row>
    <row r="468" spans="1:62" ht="15.75" customHeight="1">
      <c r="A468" s="494" t="s">
        <v>65</v>
      </c>
      <c r="B468" s="503"/>
      <c r="C468" s="733" t="s">
        <v>473</v>
      </c>
      <c r="D468" s="506"/>
      <c r="E468" s="506"/>
      <c r="F468" s="506"/>
      <c r="G468" s="506"/>
      <c r="H468" s="506"/>
      <c r="I468" s="506"/>
      <c r="J468" s="506"/>
      <c r="K468" s="506"/>
      <c r="L468" s="506"/>
      <c r="M468" s="506"/>
      <c r="N468" s="506"/>
      <c r="O468" s="506"/>
      <c r="P468" s="506"/>
      <c r="Q468" s="506"/>
      <c r="R468" s="506"/>
      <c r="S468" s="506"/>
      <c r="T468" s="506"/>
      <c r="U468" s="506"/>
      <c r="V468" s="780" t="s">
        <v>65</v>
      </c>
      <c r="W468" s="781"/>
      <c r="X468" s="782">
        <v>0.87901929080527874</v>
      </c>
      <c r="Y468" s="781"/>
      <c r="Z468" s="783">
        <v>678183.88198572176</v>
      </c>
      <c r="AA468" s="782"/>
      <c r="AB468" s="781"/>
      <c r="AC468" s="783"/>
      <c r="AD468" s="784">
        <v>1.2409466669778257</v>
      </c>
      <c r="AE468" s="781"/>
      <c r="AF468" s="783">
        <v>594499.6</v>
      </c>
      <c r="AG468" s="806"/>
      <c r="AH468" s="807">
        <v>-83684.281985721784</v>
      </c>
      <c r="AI468" s="782">
        <v>-0.12339467835875764</v>
      </c>
      <c r="AJ468" s="784">
        <v>0.90930718686629519</v>
      </c>
      <c r="AK468" s="782"/>
      <c r="AL468" s="783">
        <v>614618.45000000007</v>
      </c>
      <c r="AM468" s="792"/>
      <c r="AN468" s="786">
        <v>-20118.850000000093</v>
      </c>
      <c r="AO468" s="761">
        <v>-3.2733885551271838E-2</v>
      </c>
      <c r="AP468" s="506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06"/>
      <c r="BC468" s="506"/>
      <c r="BD468" s="506"/>
      <c r="BE468" s="506"/>
      <c r="BF468" s="506"/>
      <c r="BG468" s="506"/>
      <c r="BH468" s="506"/>
      <c r="BI468" s="506"/>
      <c r="BJ468" s="506"/>
    </row>
    <row r="469" spans="1:62" ht="15.75" customHeight="1">
      <c r="A469" s="494" t="s">
        <v>182</v>
      </c>
      <c r="B469" s="503"/>
      <c r="C469" s="733" t="s">
        <v>473</v>
      </c>
      <c r="D469" s="506"/>
      <c r="E469" s="506"/>
      <c r="F469" s="506"/>
      <c r="G469" s="506"/>
      <c r="H469" s="506"/>
      <c r="I469" s="506"/>
      <c r="J469" s="506"/>
      <c r="K469" s="506"/>
      <c r="L469" s="506"/>
      <c r="M469" s="506"/>
      <c r="N469" s="506"/>
      <c r="O469" s="506"/>
      <c r="P469" s="506"/>
      <c r="Q469" s="506"/>
      <c r="R469" s="506"/>
      <c r="S469" s="506"/>
      <c r="T469" s="506"/>
      <c r="U469" s="506"/>
      <c r="V469" s="596" t="s">
        <v>182</v>
      </c>
      <c r="W469" s="810"/>
      <c r="X469" s="810"/>
      <c r="Y469" s="763"/>
      <c r="Z469" s="795">
        <v>22097.857499999998</v>
      </c>
      <c r="AA469" s="817"/>
      <c r="AB469" s="818"/>
      <c r="AC469" s="795"/>
      <c r="AD469" s="819"/>
      <c r="AE469" s="818"/>
      <c r="AF469" s="764">
        <v>22818.3</v>
      </c>
      <c r="AG469" s="820"/>
      <c r="AH469" s="766">
        <v>720.44250000000102</v>
      </c>
      <c r="AI469" s="813">
        <v>3.260236880430608E-2</v>
      </c>
      <c r="AJ469" s="819"/>
      <c r="AK469" s="817"/>
      <c r="AL469" s="821">
        <v>46212.49</v>
      </c>
      <c r="AM469" s="822"/>
      <c r="AN469" s="766">
        <v>-23394.19</v>
      </c>
      <c r="AO469" s="774">
        <v>-0.50623089125905141</v>
      </c>
      <c r="AP469" s="506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06"/>
      <c r="BC469" s="506"/>
      <c r="BD469" s="506"/>
      <c r="BE469" s="506"/>
      <c r="BF469" s="506"/>
      <c r="BG469" s="506"/>
      <c r="BH469" s="506"/>
      <c r="BI469" s="506"/>
      <c r="BJ469" s="506"/>
    </row>
    <row r="470" spans="1:62" ht="15.75" customHeight="1">
      <c r="A470" s="494" t="s">
        <v>69</v>
      </c>
      <c r="B470" s="503"/>
      <c r="C470" s="733" t="s">
        <v>473</v>
      </c>
      <c r="D470" s="506"/>
      <c r="E470" s="506"/>
      <c r="F470" s="506"/>
      <c r="G470" s="506"/>
      <c r="H470" s="506"/>
      <c r="I470" s="506"/>
      <c r="J470" s="506"/>
      <c r="K470" s="506"/>
      <c r="L470" s="506"/>
      <c r="M470" s="506"/>
      <c r="N470" s="506"/>
      <c r="O470" s="506"/>
      <c r="P470" s="506"/>
      <c r="Q470" s="506"/>
      <c r="R470" s="506"/>
      <c r="S470" s="506"/>
      <c r="T470" s="506"/>
      <c r="U470" s="506"/>
      <c r="V470" s="596" t="s">
        <v>69</v>
      </c>
      <c r="W470" s="763"/>
      <c r="X470" s="763"/>
      <c r="Y470" s="763"/>
      <c r="Z470" s="764">
        <v>82906.112798140894</v>
      </c>
      <c r="AA470" s="809"/>
      <c r="AB470" s="766"/>
      <c r="AC470" s="764"/>
      <c r="AD470" s="823"/>
      <c r="AE470" s="824"/>
      <c r="AF470" s="764">
        <v>55522</v>
      </c>
      <c r="AG470" s="825"/>
      <c r="AH470" s="766">
        <v>-27384.112798140894</v>
      </c>
      <c r="AI470" s="790">
        <v>-0.3303026987263955</v>
      </c>
      <c r="AJ470" s="826"/>
      <c r="AK470" s="809"/>
      <c r="AL470" s="827">
        <v>63469.55</v>
      </c>
      <c r="AM470" s="823"/>
      <c r="AN470" s="766">
        <v>-7947.5500000000029</v>
      </c>
      <c r="AO470" s="774">
        <v>-0.12521831334868458</v>
      </c>
      <c r="AP470" s="506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06"/>
      <c r="BC470" s="506"/>
      <c r="BD470" s="506"/>
      <c r="BE470" s="506"/>
      <c r="BF470" s="506"/>
      <c r="BG470" s="506"/>
      <c r="BH470" s="506"/>
      <c r="BI470" s="506"/>
      <c r="BJ470" s="506"/>
    </row>
    <row r="471" spans="1:62" ht="15.75" customHeight="1">
      <c r="A471" s="494" t="s">
        <v>197</v>
      </c>
      <c r="B471" s="503"/>
      <c r="C471" s="733" t="s">
        <v>473</v>
      </c>
      <c r="D471" s="506"/>
      <c r="E471" s="506"/>
      <c r="F471" s="506"/>
      <c r="G471" s="506"/>
      <c r="H471" s="506"/>
      <c r="I471" s="506"/>
      <c r="J471" s="506"/>
      <c r="K471" s="506"/>
      <c r="L471" s="506"/>
      <c r="M471" s="506"/>
      <c r="N471" s="506"/>
      <c r="O471" s="506"/>
      <c r="P471" s="506"/>
      <c r="Q471" s="506"/>
      <c r="R471" s="506"/>
      <c r="S471" s="506"/>
      <c r="T471" s="506"/>
      <c r="U471" s="506"/>
      <c r="V471" s="596" t="s">
        <v>197</v>
      </c>
      <c r="W471" s="763"/>
      <c r="X471" s="763"/>
      <c r="Y471" s="763"/>
      <c r="Z471" s="764">
        <v>20000</v>
      </c>
      <c r="AA471" s="809"/>
      <c r="AB471" s="810"/>
      <c r="AC471" s="764"/>
      <c r="AD471" s="826"/>
      <c r="AF471" s="764">
        <v>20000</v>
      </c>
      <c r="AG471" s="825"/>
      <c r="AH471" s="766">
        <v>0</v>
      </c>
      <c r="AI471" s="790">
        <v>0</v>
      </c>
      <c r="AJ471" s="826"/>
      <c r="AK471" s="809"/>
      <c r="AL471" s="827">
        <v>0</v>
      </c>
      <c r="AM471" s="823"/>
      <c r="AN471" s="766">
        <v>20000</v>
      </c>
      <c r="AO471" s="774">
        <v>0</v>
      </c>
      <c r="AP471" s="506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06"/>
      <c r="BC471" s="506"/>
      <c r="BD471" s="506"/>
      <c r="BE471" s="506"/>
      <c r="BF471" s="506"/>
      <c r="BG471" s="506"/>
      <c r="BH471" s="506"/>
      <c r="BI471" s="506"/>
      <c r="BJ471" s="506"/>
    </row>
    <row r="472" spans="1:62" ht="15.75" customHeight="1">
      <c r="A472" s="494" t="s">
        <v>194</v>
      </c>
      <c r="B472" s="503"/>
      <c r="C472" s="733" t="s">
        <v>473</v>
      </c>
      <c r="D472" s="506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  <c r="S472" s="506"/>
      <c r="T472" s="506"/>
      <c r="U472" s="506"/>
      <c r="V472" s="596" t="s">
        <v>194</v>
      </c>
      <c r="W472" s="763"/>
      <c r="X472" s="763"/>
      <c r="Y472" s="763"/>
      <c r="Z472" s="764">
        <v>0</v>
      </c>
      <c r="AA472" s="809"/>
      <c r="AB472" s="810"/>
      <c r="AC472" s="764"/>
      <c r="AD472" s="826"/>
      <c r="AE472" s="810"/>
      <c r="AF472" s="764">
        <v>0</v>
      </c>
      <c r="AG472" s="825"/>
      <c r="AH472" s="766">
        <v>0</v>
      </c>
      <c r="AI472" s="790">
        <v>0</v>
      </c>
      <c r="AJ472" s="826"/>
      <c r="AK472" s="809"/>
      <c r="AL472" s="827">
        <v>0</v>
      </c>
      <c r="AM472" s="823"/>
      <c r="AN472" s="766">
        <v>0</v>
      </c>
      <c r="AO472" s="774">
        <v>0</v>
      </c>
      <c r="AP472" s="506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06"/>
      <c r="BC472" s="506"/>
      <c r="BD472" s="506"/>
      <c r="BE472" s="506"/>
      <c r="BF472" s="506"/>
      <c r="BG472" s="506"/>
      <c r="BH472" s="506"/>
      <c r="BI472" s="506"/>
      <c r="BJ472" s="506"/>
    </row>
    <row r="473" spans="1:62" ht="15.75" customHeight="1">
      <c r="A473" s="494" t="s">
        <v>68</v>
      </c>
      <c r="B473" s="503"/>
      <c r="C473" s="733" t="s">
        <v>473</v>
      </c>
      <c r="D473" s="506"/>
      <c r="E473" s="506"/>
      <c r="F473" s="506"/>
      <c r="G473" s="506"/>
      <c r="H473" s="506"/>
      <c r="I473" s="506"/>
      <c r="J473" s="506"/>
      <c r="K473" s="506"/>
      <c r="L473" s="506"/>
      <c r="M473" s="506"/>
      <c r="N473" s="506"/>
      <c r="O473" s="506"/>
      <c r="P473" s="506"/>
      <c r="Q473" s="506"/>
      <c r="R473" s="506"/>
      <c r="S473" s="506"/>
      <c r="T473" s="506"/>
      <c r="U473" s="506"/>
      <c r="V473" s="596" t="s">
        <v>68</v>
      </c>
      <c r="W473" s="763"/>
      <c r="X473" s="763"/>
      <c r="Y473" s="763"/>
      <c r="Z473" s="764">
        <v>0</v>
      </c>
      <c r="AA473" s="809"/>
      <c r="AB473" s="810"/>
      <c r="AC473" s="764"/>
      <c r="AD473" s="826"/>
      <c r="AE473" s="810"/>
      <c r="AF473" s="764">
        <v>0</v>
      </c>
      <c r="AG473" s="825"/>
      <c r="AH473" s="766">
        <v>0</v>
      </c>
      <c r="AI473" s="790">
        <v>0</v>
      </c>
      <c r="AJ473" s="826"/>
      <c r="AK473" s="809"/>
      <c r="AL473" s="827">
        <v>0</v>
      </c>
      <c r="AM473" s="823"/>
      <c r="AN473" s="766">
        <v>0</v>
      </c>
      <c r="AO473" s="774">
        <v>0</v>
      </c>
      <c r="AP473" s="506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06"/>
      <c r="BC473" s="506"/>
      <c r="BD473" s="506"/>
      <c r="BE473" s="506"/>
      <c r="BF473" s="506"/>
      <c r="BG473" s="506"/>
      <c r="BH473" s="506"/>
      <c r="BI473" s="506"/>
      <c r="BJ473" s="506"/>
    </row>
    <row r="474" spans="1:62" ht="15.75" customHeight="1">
      <c r="A474" s="494" t="s">
        <v>331</v>
      </c>
      <c r="B474" s="503"/>
      <c r="C474" s="733" t="s">
        <v>473</v>
      </c>
      <c r="D474" s="506"/>
      <c r="E474" s="506"/>
      <c r="F474" s="506"/>
      <c r="G474" s="506"/>
      <c r="H474" s="506"/>
      <c r="I474" s="506"/>
      <c r="J474" s="506"/>
      <c r="K474" s="506"/>
      <c r="L474" s="506"/>
      <c r="M474" s="506"/>
      <c r="N474" s="506"/>
      <c r="O474" s="506"/>
      <c r="P474" s="506"/>
      <c r="Q474" s="506"/>
      <c r="R474" s="506"/>
      <c r="S474" s="506"/>
      <c r="T474" s="506"/>
      <c r="U474" s="506"/>
      <c r="V474" s="596" t="s">
        <v>331</v>
      </c>
      <c r="W474" s="763"/>
      <c r="X474" s="763"/>
      <c r="Y474" s="763"/>
      <c r="Z474" s="764">
        <v>0</v>
      </c>
      <c r="AA474" s="809"/>
      <c r="AB474" s="810"/>
      <c r="AC474" s="764"/>
      <c r="AD474" s="826"/>
      <c r="AE474" s="810"/>
      <c r="AF474" s="764">
        <v>0</v>
      </c>
      <c r="AG474" s="825"/>
      <c r="AH474" s="766">
        <v>0</v>
      </c>
      <c r="AI474" s="790">
        <v>0</v>
      </c>
      <c r="AJ474" s="826"/>
      <c r="AK474" s="809"/>
      <c r="AL474" s="827">
        <v>0</v>
      </c>
      <c r="AM474" s="823"/>
      <c r="AN474" s="766">
        <v>0</v>
      </c>
      <c r="AO474" s="774">
        <v>0</v>
      </c>
      <c r="AP474" s="506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06"/>
      <c r="BC474" s="506"/>
      <c r="BD474" s="506"/>
      <c r="BE474" s="506"/>
      <c r="BF474" s="506"/>
      <c r="BG474" s="506"/>
      <c r="BH474" s="506"/>
      <c r="BI474" s="506"/>
      <c r="BJ474" s="506"/>
    </row>
    <row r="475" spans="1:62" ht="15.75" customHeight="1">
      <c r="A475" s="494" t="s">
        <v>81</v>
      </c>
      <c r="B475" s="503"/>
      <c r="C475" s="733" t="s">
        <v>473</v>
      </c>
      <c r="D475" s="506"/>
      <c r="E475" s="506"/>
      <c r="F475" s="506"/>
      <c r="G475" s="506"/>
      <c r="H475" s="506"/>
      <c r="I475" s="506"/>
      <c r="J475" s="506"/>
      <c r="K475" s="506"/>
      <c r="L475" s="506"/>
      <c r="M475" s="506"/>
      <c r="N475" s="506"/>
      <c r="O475" s="506"/>
      <c r="P475" s="506"/>
      <c r="Q475" s="506"/>
      <c r="R475" s="506"/>
      <c r="S475" s="506"/>
      <c r="T475" s="506"/>
      <c r="U475" s="506"/>
      <c r="V475" s="596" t="s">
        <v>81</v>
      </c>
      <c r="W475" s="763"/>
      <c r="X475" s="763"/>
      <c r="Y475" s="763"/>
      <c r="Z475" s="764">
        <v>0</v>
      </c>
      <c r="AA475" s="809"/>
      <c r="AB475" s="810"/>
      <c r="AC475" s="764"/>
      <c r="AD475" s="826"/>
      <c r="AE475" s="810"/>
      <c r="AF475" s="764">
        <v>0</v>
      </c>
      <c r="AG475" s="825"/>
      <c r="AH475" s="766">
        <v>0</v>
      </c>
      <c r="AI475" s="790">
        <v>0</v>
      </c>
      <c r="AJ475" s="826"/>
      <c r="AK475" s="809"/>
      <c r="AL475" s="827">
        <v>0</v>
      </c>
      <c r="AM475" s="823"/>
      <c r="AN475" s="766">
        <v>0</v>
      </c>
      <c r="AO475" s="774">
        <v>0</v>
      </c>
      <c r="AP475" s="506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06"/>
      <c r="BC475" s="506"/>
      <c r="BD475" s="506"/>
      <c r="BE475" s="506"/>
      <c r="BF475" s="506"/>
      <c r="BG475" s="506"/>
      <c r="BH475" s="506"/>
      <c r="BI475" s="506"/>
      <c r="BJ475" s="506"/>
    </row>
    <row r="476" spans="1:62" ht="15.75" customHeight="1">
      <c r="A476" s="494" t="s">
        <v>82</v>
      </c>
      <c r="B476" s="503"/>
      <c r="C476" s="733" t="s">
        <v>473</v>
      </c>
      <c r="D476" s="506"/>
      <c r="E476" s="506"/>
      <c r="F476" s="506"/>
      <c r="G476" s="506"/>
      <c r="H476" s="506"/>
      <c r="I476" s="506"/>
      <c r="J476" s="506"/>
      <c r="K476" s="506"/>
      <c r="L476" s="506"/>
      <c r="M476" s="506"/>
      <c r="N476" s="506"/>
      <c r="O476" s="506"/>
      <c r="P476" s="506"/>
      <c r="Q476" s="506"/>
      <c r="R476" s="506"/>
      <c r="S476" s="506"/>
      <c r="T476" s="506"/>
      <c r="U476" s="506"/>
      <c r="V476" s="596" t="s">
        <v>82</v>
      </c>
      <c r="W476" s="763"/>
      <c r="X476" s="763"/>
      <c r="Y476" s="763"/>
      <c r="Z476" s="764">
        <v>0</v>
      </c>
      <c r="AA476" s="809"/>
      <c r="AB476" s="810"/>
      <c r="AC476" s="764"/>
      <c r="AD476" s="826"/>
      <c r="AE476" s="810"/>
      <c r="AF476" s="764">
        <v>0</v>
      </c>
      <c r="AG476" s="825"/>
      <c r="AH476" s="766">
        <v>0</v>
      </c>
      <c r="AI476" s="790">
        <v>0</v>
      </c>
      <c r="AJ476" s="826"/>
      <c r="AK476" s="809"/>
      <c r="AL476" s="827">
        <v>0</v>
      </c>
      <c r="AM476" s="823"/>
      <c r="AN476" s="766">
        <v>0</v>
      </c>
      <c r="AO476" s="774">
        <v>0</v>
      </c>
      <c r="AP476" s="506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06"/>
      <c r="BC476" s="506"/>
      <c r="BD476" s="506"/>
      <c r="BE476" s="506"/>
      <c r="BF476" s="506"/>
      <c r="BG476" s="506"/>
      <c r="BH476" s="506"/>
      <c r="BI476" s="506"/>
      <c r="BJ476" s="506"/>
    </row>
    <row r="477" spans="1:62" ht="15.75" hidden="1" customHeight="1">
      <c r="A477" s="494" t="s">
        <v>20</v>
      </c>
      <c r="B477" s="503"/>
      <c r="C477" s="733" t="s">
        <v>473</v>
      </c>
      <c r="D477" s="506"/>
      <c r="E477" s="506"/>
      <c r="F477" s="506"/>
      <c r="G477" s="506"/>
      <c r="H477" s="506"/>
      <c r="I477" s="506"/>
      <c r="J477" s="506"/>
      <c r="K477" s="506"/>
      <c r="L477" s="506"/>
      <c r="M477" s="506"/>
      <c r="N477" s="506"/>
      <c r="O477" s="506"/>
      <c r="P477" s="506"/>
      <c r="Q477" s="506"/>
      <c r="R477" s="506"/>
      <c r="S477" s="506"/>
      <c r="T477" s="506"/>
      <c r="U477" s="506"/>
      <c r="V477" s="596" t="s">
        <v>20</v>
      </c>
      <c r="W477" s="763"/>
      <c r="X477" s="763"/>
      <c r="Y477" s="763"/>
      <c r="Z477" s="764">
        <v>0</v>
      </c>
      <c r="AA477" s="763"/>
      <c r="AB477" s="763"/>
      <c r="AC477" s="764"/>
      <c r="AD477" s="772"/>
      <c r="AE477" s="771"/>
      <c r="AF477" s="764">
        <v>0</v>
      </c>
      <c r="AG477" s="765"/>
      <c r="AH477" s="766">
        <v>0</v>
      </c>
      <c r="AI477" s="767">
        <v>0</v>
      </c>
      <c r="AJ477" s="772"/>
      <c r="AK477" s="763"/>
      <c r="AL477" s="764">
        <v>0</v>
      </c>
      <c r="AM477" s="823"/>
      <c r="AN477" s="766">
        <v>0</v>
      </c>
      <c r="AO477" s="774">
        <v>0</v>
      </c>
      <c r="AP477" s="506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06"/>
      <c r="BC477" s="506"/>
      <c r="BD477" s="506"/>
      <c r="BE477" s="506"/>
      <c r="BF477" s="506"/>
      <c r="BG477" s="506"/>
      <c r="BH477" s="506"/>
      <c r="BI477" s="506"/>
      <c r="BJ477" s="506"/>
    </row>
    <row r="478" spans="1:62" ht="15.75" hidden="1" customHeight="1">
      <c r="A478" s="494" t="s">
        <v>20</v>
      </c>
      <c r="B478" s="503"/>
      <c r="C478" s="733" t="s">
        <v>473</v>
      </c>
      <c r="D478" s="506"/>
      <c r="E478" s="506"/>
      <c r="F478" s="506"/>
      <c r="G478" s="506"/>
      <c r="H478" s="506"/>
      <c r="I478" s="506"/>
      <c r="J478" s="506"/>
      <c r="K478" s="506"/>
      <c r="L478" s="506"/>
      <c r="M478" s="506"/>
      <c r="N478" s="506"/>
      <c r="O478" s="506"/>
      <c r="P478" s="506"/>
      <c r="Q478" s="506"/>
      <c r="R478" s="506"/>
      <c r="S478" s="506"/>
      <c r="T478" s="506"/>
      <c r="U478" s="506"/>
      <c r="V478" s="596" t="s">
        <v>20</v>
      </c>
      <c r="W478" s="763"/>
      <c r="X478" s="763"/>
      <c r="Y478" s="763"/>
      <c r="Z478" s="764">
        <v>0</v>
      </c>
      <c r="AA478" s="763"/>
      <c r="AB478" s="763"/>
      <c r="AC478" s="764"/>
      <c r="AD478" s="772"/>
      <c r="AE478" s="771"/>
      <c r="AF478" s="764">
        <v>0</v>
      </c>
      <c r="AG478" s="765"/>
      <c r="AH478" s="766">
        <v>0</v>
      </c>
      <c r="AI478" s="767">
        <v>0</v>
      </c>
      <c r="AJ478" s="772"/>
      <c r="AK478" s="763"/>
      <c r="AL478" s="764">
        <v>0</v>
      </c>
      <c r="AM478" s="823"/>
      <c r="AN478" s="766">
        <v>0</v>
      </c>
      <c r="AO478" s="774">
        <v>0</v>
      </c>
      <c r="AP478" s="506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06"/>
      <c r="BC478" s="506"/>
      <c r="BD478" s="506"/>
      <c r="BE478" s="506"/>
      <c r="BF478" s="506"/>
      <c r="BG478" s="506"/>
      <c r="BH478" s="506"/>
      <c r="BI478" s="506"/>
      <c r="BJ478" s="506"/>
    </row>
    <row r="479" spans="1:62" ht="15.75" hidden="1" customHeight="1">
      <c r="A479" s="494" t="s">
        <v>20</v>
      </c>
      <c r="B479" s="503"/>
      <c r="C479" s="733" t="s">
        <v>473</v>
      </c>
      <c r="D479" s="506"/>
      <c r="E479" s="506"/>
      <c r="F479" s="506"/>
      <c r="G479" s="506"/>
      <c r="H479" s="506"/>
      <c r="I479" s="506"/>
      <c r="J479" s="506"/>
      <c r="K479" s="506"/>
      <c r="L479" s="506"/>
      <c r="M479" s="506"/>
      <c r="N479" s="506"/>
      <c r="O479" s="506"/>
      <c r="P479" s="506"/>
      <c r="Q479" s="506"/>
      <c r="R479" s="506"/>
      <c r="S479" s="506"/>
      <c r="T479" s="506"/>
      <c r="U479" s="506"/>
      <c r="V479" s="596" t="s">
        <v>20</v>
      </c>
      <c r="W479" s="763"/>
      <c r="X479" s="763"/>
      <c r="Y479" s="763"/>
      <c r="Z479" s="764">
        <v>0</v>
      </c>
      <c r="AA479" s="763"/>
      <c r="AB479" s="763"/>
      <c r="AC479" s="764"/>
      <c r="AD479" s="772"/>
      <c r="AE479" s="771"/>
      <c r="AF479" s="764">
        <v>0</v>
      </c>
      <c r="AG479" s="765"/>
      <c r="AH479" s="766">
        <v>0</v>
      </c>
      <c r="AI479" s="767">
        <v>0</v>
      </c>
      <c r="AJ479" s="772"/>
      <c r="AK479" s="763"/>
      <c r="AL479" s="764">
        <v>0</v>
      </c>
      <c r="AM479" s="823"/>
      <c r="AN479" s="766">
        <v>0</v>
      </c>
      <c r="AO479" s="774">
        <v>0</v>
      </c>
      <c r="AP479" s="506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06"/>
      <c r="BC479" s="506"/>
      <c r="BD479" s="506"/>
      <c r="BE479" s="506"/>
      <c r="BF479" s="506"/>
      <c r="BG479" s="506"/>
      <c r="BH479" s="506"/>
      <c r="BI479" s="506"/>
      <c r="BJ479" s="506"/>
    </row>
    <row r="480" spans="1:62" ht="15.75" customHeight="1">
      <c r="A480" s="494" t="s">
        <v>70</v>
      </c>
      <c r="B480" s="503"/>
      <c r="C480" s="733" t="s">
        <v>473</v>
      </c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6"/>
      <c r="S480" s="506"/>
      <c r="T480" s="506"/>
      <c r="U480" s="506"/>
      <c r="V480" s="598" t="s">
        <v>70</v>
      </c>
      <c r="W480" s="763"/>
      <c r="X480" s="763"/>
      <c r="Y480" s="763"/>
      <c r="Z480" s="764">
        <v>46901.321874999994</v>
      </c>
      <c r="AA480" s="809"/>
      <c r="AB480" s="810"/>
      <c r="AC480" s="764"/>
      <c r="AD480" s="828">
        <v>66.131262525050104</v>
      </c>
      <c r="AE480" s="809">
        <v>1.1329522436227555</v>
      </c>
      <c r="AF480" s="764">
        <v>32999.5</v>
      </c>
      <c r="AG480" s="825"/>
      <c r="AH480" s="766">
        <v>-13901.821874999994</v>
      </c>
      <c r="AI480" s="790">
        <v>-0.2964057582865301</v>
      </c>
      <c r="AJ480" s="826"/>
      <c r="AK480" s="809"/>
      <c r="AL480" s="827">
        <v>34938</v>
      </c>
      <c r="AM480" s="823"/>
      <c r="AN480" s="766">
        <v>-1938.5</v>
      </c>
      <c r="AO480" s="774">
        <v>-5.5484000228977044E-2</v>
      </c>
      <c r="AP480" s="506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06"/>
      <c r="BC480" s="506"/>
      <c r="BD480" s="506"/>
      <c r="BE480" s="506"/>
      <c r="BF480" s="506"/>
      <c r="BG480" s="506"/>
      <c r="BH480" s="506"/>
      <c r="BI480" s="506"/>
      <c r="BJ480" s="506"/>
    </row>
    <row r="481" spans="1:62" ht="15.75" customHeight="1">
      <c r="A481" s="494" t="s">
        <v>183</v>
      </c>
      <c r="B481" s="503"/>
      <c r="C481" s="733" t="s">
        <v>473</v>
      </c>
      <c r="D481" s="506"/>
      <c r="E481" s="506"/>
      <c r="F481" s="506"/>
      <c r="G481" s="506"/>
      <c r="H481" s="506"/>
      <c r="I481" s="506"/>
      <c r="J481" s="506"/>
      <c r="K481" s="506"/>
      <c r="L481" s="506"/>
      <c r="M481" s="506"/>
      <c r="N481" s="506"/>
      <c r="O481" s="506"/>
      <c r="P481" s="506"/>
      <c r="Q481" s="506"/>
      <c r="R481" s="506"/>
      <c r="S481" s="506"/>
      <c r="T481" s="506"/>
      <c r="U481" s="506"/>
      <c r="V481" s="780" t="s">
        <v>183</v>
      </c>
      <c r="W481" s="781"/>
      <c r="X481" s="782">
        <v>0.22281282705991809</v>
      </c>
      <c r="Y481" s="805"/>
      <c r="Z481" s="783">
        <v>171905.29217314089</v>
      </c>
      <c r="AA481" s="782"/>
      <c r="AB481" s="805"/>
      <c r="AC481" s="783"/>
      <c r="AD481" s="782">
        <v>0.27415609203359304</v>
      </c>
      <c r="AE481" s="805"/>
      <c r="AF481" s="783">
        <v>131339.79999999999</v>
      </c>
      <c r="AG481" s="806"/>
      <c r="AH481" s="786">
        <v>-40565.492173140898</v>
      </c>
      <c r="AI481" s="782">
        <v>-0.23597581936153447</v>
      </c>
      <c r="AJ481" s="829"/>
      <c r="AK481" s="830"/>
      <c r="AL481" s="783">
        <v>144620.04</v>
      </c>
      <c r="AM481" s="831"/>
      <c r="AN481" s="786">
        <v>-13280.24000000002</v>
      </c>
      <c r="AO481" s="808">
        <v>-9.1828490712628899E-2</v>
      </c>
      <c r="AP481" s="506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06"/>
      <c r="BC481" s="506"/>
      <c r="BD481" s="506"/>
      <c r="BE481" s="506"/>
      <c r="BF481" s="506"/>
      <c r="BG481" s="506"/>
      <c r="BH481" s="506"/>
      <c r="BI481" s="506"/>
      <c r="BJ481" s="506"/>
    </row>
    <row r="482" spans="1:62" ht="6" customHeight="1" thickBot="1">
      <c r="A482" s="494" t="s">
        <v>475</v>
      </c>
      <c r="B482" s="503"/>
      <c r="C482" s="733" t="s">
        <v>473</v>
      </c>
      <c r="D482" s="506"/>
      <c r="E482" s="506"/>
      <c r="F482" s="506"/>
      <c r="G482" s="506"/>
      <c r="H482" s="506"/>
      <c r="I482" s="506"/>
      <c r="J482" s="506"/>
      <c r="K482" s="506"/>
      <c r="L482" s="506"/>
      <c r="M482" s="506"/>
      <c r="N482" s="506"/>
      <c r="O482" s="506"/>
      <c r="P482" s="506"/>
      <c r="Q482" s="506"/>
      <c r="R482" s="506"/>
      <c r="S482" s="506"/>
      <c r="T482" s="506"/>
      <c r="U482" s="506"/>
      <c r="V482" s="832"/>
      <c r="W482" s="833"/>
      <c r="X482" s="833"/>
      <c r="Y482" s="834"/>
      <c r="Z482" s="835"/>
      <c r="AA482" s="833"/>
      <c r="AB482" s="836"/>
      <c r="AC482" s="835"/>
      <c r="AD482" s="833"/>
      <c r="AE482" s="836"/>
      <c r="AF482" s="837"/>
      <c r="AG482" s="838"/>
      <c r="AH482" s="839"/>
      <c r="AI482" s="840"/>
      <c r="AJ482" s="841"/>
      <c r="AK482" s="842"/>
      <c r="AL482" s="837"/>
      <c r="AM482" s="843"/>
      <c r="AN482" s="839">
        <v>0</v>
      </c>
      <c r="AO482" s="844">
        <v>0</v>
      </c>
      <c r="AP482" s="506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06"/>
      <c r="BC482" s="506"/>
      <c r="BD482" s="506"/>
      <c r="BE482" s="506"/>
      <c r="BF482" s="506"/>
      <c r="BG482" s="506"/>
      <c r="BH482" s="506"/>
      <c r="BI482" s="506"/>
      <c r="BJ482" s="506"/>
    </row>
    <row r="483" spans="1:62" ht="15.75" customHeight="1" thickTop="1" thickBot="1">
      <c r="A483" s="494" t="s">
        <v>184</v>
      </c>
      <c r="B483" s="503"/>
      <c r="C483" s="733" t="s">
        <v>473</v>
      </c>
      <c r="D483" s="506"/>
      <c r="E483" s="506"/>
      <c r="F483" s="506"/>
      <c r="G483" s="506"/>
      <c r="H483" s="506"/>
      <c r="I483" s="506"/>
      <c r="J483" s="506"/>
      <c r="K483" s="506"/>
      <c r="L483" s="506"/>
      <c r="M483" s="506"/>
      <c r="N483" s="506"/>
      <c r="O483" s="506"/>
      <c r="P483" s="506"/>
      <c r="Q483" s="506"/>
      <c r="R483" s="506"/>
      <c r="S483" s="506"/>
      <c r="T483" s="506"/>
      <c r="U483" s="506"/>
      <c r="V483" s="845" t="s">
        <v>184</v>
      </c>
      <c r="W483" s="846"/>
      <c r="X483" s="847" t="s">
        <v>185</v>
      </c>
      <c r="Y483" s="848">
        <v>4.6267143809922813E-2</v>
      </c>
      <c r="Z483" s="849">
        <v>265244.73064200266</v>
      </c>
      <c r="AA483" s="847"/>
      <c r="AB483" s="848"/>
      <c r="AC483" s="849"/>
      <c r="AD483" s="847" t="s">
        <v>185</v>
      </c>
      <c r="AE483" s="848">
        <v>3.9738762376397086E-3</v>
      </c>
      <c r="AF483" s="850">
        <v>15909.619999999879</v>
      </c>
      <c r="AG483" s="851"/>
      <c r="AH483" s="851">
        <v>-249335.11064200278</v>
      </c>
      <c r="AI483" s="852">
        <v>-0.94001909119366112</v>
      </c>
      <c r="AJ483" s="853" t="s">
        <v>185</v>
      </c>
      <c r="AK483" s="848">
        <v>3.7297857634574008E-2</v>
      </c>
      <c r="AL483" s="850">
        <v>205921.079999999</v>
      </c>
      <c r="AM483" s="854"/>
      <c r="AN483" s="850">
        <v>-190011.45999999912</v>
      </c>
      <c r="AO483" s="855">
        <v>-0.92273923582762896</v>
      </c>
      <c r="AP483" s="506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06"/>
      <c r="BC483" s="506"/>
      <c r="BD483" s="506"/>
      <c r="BE483" s="506"/>
      <c r="BF483" s="506"/>
      <c r="BG483" s="506"/>
      <c r="BH483" s="506"/>
      <c r="BI483" s="506"/>
      <c r="BJ483" s="506"/>
    </row>
    <row r="484" spans="1:62" ht="8.25" customHeight="1" thickTop="1">
      <c r="A484" s="494" t="s">
        <v>475</v>
      </c>
      <c r="B484" s="503"/>
      <c r="C484" s="733" t="s">
        <v>473</v>
      </c>
      <c r="D484" s="506"/>
      <c r="E484" s="506"/>
      <c r="F484" s="506"/>
      <c r="G484" s="506"/>
      <c r="H484" s="506"/>
      <c r="I484" s="506"/>
      <c r="J484" s="506"/>
      <c r="K484" s="506"/>
      <c r="L484" s="506"/>
      <c r="M484" s="506"/>
      <c r="N484" s="506"/>
      <c r="O484" s="506"/>
      <c r="P484" s="506"/>
      <c r="Q484" s="506"/>
      <c r="R484" s="506"/>
      <c r="S484" s="506"/>
      <c r="T484" s="506"/>
      <c r="U484" s="506"/>
      <c r="V484" s="495"/>
      <c r="W484" s="495"/>
      <c r="X484" s="495"/>
      <c r="Y484" s="495"/>
      <c r="Z484" s="570"/>
      <c r="AA484" s="509"/>
      <c r="AB484" s="509"/>
      <c r="AC484" s="570"/>
      <c r="AD484" s="509"/>
      <c r="AE484" s="509"/>
      <c r="AF484" s="856"/>
      <c r="AG484" s="509"/>
      <c r="AH484" s="509"/>
      <c r="AI484" s="509"/>
      <c r="AJ484" s="509"/>
      <c r="AK484" s="509"/>
      <c r="AL484" s="570"/>
      <c r="AM484" s="509"/>
      <c r="AN484" s="509"/>
      <c r="AO484" s="509"/>
      <c r="AP484" s="506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06"/>
      <c r="BC484" s="506"/>
      <c r="BD484" s="506"/>
      <c r="BE484" s="506"/>
      <c r="BF484" s="506"/>
      <c r="BG484" s="506"/>
      <c r="BH484" s="506"/>
      <c r="BI484" s="506"/>
      <c r="BJ484" s="506"/>
    </row>
    <row r="485" spans="1:62" ht="18" customHeight="1">
      <c r="A485" s="494" t="s">
        <v>477</v>
      </c>
      <c r="B485" s="503"/>
      <c r="C485" s="733" t="s">
        <v>473</v>
      </c>
      <c r="D485" s="506"/>
      <c r="E485" s="506"/>
      <c r="F485" s="506"/>
      <c r="G485" s="506"/>
      <c r="H485" s="506"/>
      <c r="I485" s="506"/>
      <c r="J485" s="506"/>
      <c r="K485" s="506"/>
      <c r="L485" s="506"/>
      <c r="M485" s="506"/>
      <c r="N485" s="506"/>
      <c r="O485" s="506"/>
      <c r="P485" s="506"/>
      <c r="Q485" s="506"/>
      <c r="R485" s="506"/>
      <c r="S485" s="506"/>
      <c r="T485" s="506"/>
      <c r="U485" s="506"/>
      <c r="V485" s="857" t="s">
        <v>477</v>
      </c>
      <c r="W485" s="857"/>
      <c r="X485" s="857"/>
      <c r="Y485" s="857"/>
      <c r="Z485" s="857"/>
      <c r="AA485" s="857"/>
      <c r="AB485" s="857"/>
      <c r="AC485" s="857"/>
      <c r="AD485" s="857"/>
      <c r="AE485" s="858" t="s">
        <v>186</v>
      </c>
      <c r="AF485" s="857"/>
      <c r="AG485" s="857"/>
      <c r="AH485" s="857"/>
      <c r="AI485" s="857"/>
      <c r="AJ485" s="859"/>
      <c r="AK485" s="860"/>
      <c r="AL485" s="857"/>
      <c r="AM485" s="857"/>
      <c r="AN485" s="857"/>
      <c r="AO485" s="861" t="s">
        <v>485</v>
      </c>
      <c r="AP485" s="506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06"/>
      <c r="BC485" s="506"/>
      <c r="BD485" s="506"/>
      <c r="BE485" s="506"/>
      <c r="BF485" s="506"/>
      <c r="BG485" s="506"/>
      <c r="BH485" s="506"/>
      <c r="BI485" s="506"/>
      <c r="BJ485" s="506"/>
    </row>
    <row r="486" spans="1:62" ht="19.5" customHeight="1">
      <c r="A486" s="494" t="s">
        <v>475</v>
      </c>
      <c r="B486" s="503"/>
      <c r="C486" s="733" t="s">
        <v>473</v>
      </c>
      <c r="D486" s="506"/>
      <c r="E486" s="506"/>
      <c r="F486" s="506"/>
      <c r="G486" s="506"/>
      <c r="H486" s="506"/>
      <c r="I486" s="506"/>
      <c r="J486" s="506"/>
      <c r="K486" s="506"/>
      <c r="L486" s="506"/>
      <c r="M486" s="506"/>
      <c r="N486" s="506"/>
      <c r="O486" s="506"/>
      <c r="P486" s="506"/>
      <c r="Q486" s="506"/>
      <c r="R486" s="506"/>
      <c r="S486" s="506"/>
      <c r="T486" s="506"/>
      <c r="U486" s="506"/>
      <c r="V486" s="495"/>
      <c r="W486" s="495"/>
      <c r="X486" s="495"/>
      <c r="Y486" s="495"/>
      <c r="Z486" s="570"/>
      <c r="AA486" s="509"/>
      <c r="AB486" s="509"/>
      <c r="AC486" s="570"/>
      <c r="AD486" s="509"/>
      <c r="AE486" s="509"/>
      <c r="AF486" s="856"/>
      <c r="AG486" s="509"/>
      <c r="AH486" s="509"/>
      <c r="AI486" s="509"/>
      <c r="AJ486" s="509"/>
      <c r="AK486" s="509"/>
      <c r="AL486" s="570"/>
      <c r="AM486" s="509"/>
      <c r="AN486" s="509"/>
      <c r="AO486" s="509"/>
      <c r="AP486" s="506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06"/>
      <c r="BC486" s="506"/>
      <c r="BD486" s="506"/>
      <c r="BE486" s="506"/>
      <c r="BF486" s="506"/>
      <c r="BG486" s="506"/>
      <c r="BH486" s="506"/>
      <c r="BI486" s="506"/>
      <c r="BJ486" s="506"/>
    </row>
    <row r="487" spans="1:62" ht="19.5" customHeight="1" thickBot="1">
      <c r="A487" s="494" t="s">
        <v>475</v>
      </c>
      <c r="B487" s="503"/>
      <c r="C487" s="733" t="s">
        <v>473</v>
      </c>
      <c r="D487" s="506"/>
      <c r="E487" s="506"/>
      <c r="F487" s="506"/>
      <c r="G487" s="506"/>
      <c r="H487" s="506"/>
      <c r="I487" s="506"/>
      <c r="J487" s="506"/>
      <c r="K487" s="506"/>
      <c r="L487" s="506"/>
      <c r="M487" s="506"/>
      <c r="N487" s="506"/>
      <c r="O487" s="506"/>
      <c r="P487" s="506"/>
      <c r="Q487" s="506"/>
      <c r="R487" s="506"/>
      <c r="S487" s="506"/>
      <c r="T487" s="506"/>
      <c r="U487" s="506"/>
      <c r="V487" s="495"/>
      <c r="W487" s="495"/>
      <c r="X487" s="495"/>
      <c r="Y487" s="495"/>
      <c r="Z487" s="570"/>
      <c r="AA487" s="509"/>
      <c r="AB487" s="509"/>
      <c r="AC487" s="570"/>
      <c r="AD487" s="509"/>
      <c r="AE487" s="509"/>
      <c r="AF487" s="856"/>
      <c r="AG487" s="509"/>
      <c r="AH487" s="509"/>
      <c r="AI487" s="509"/>
      <c r="AJ487" s="509"/>
      <c r="AK487" s="509"/>
      <c r="AL487" s="570"/>
      <c r="AM487" s="509"/>
      <c r="AN487" s="509"/>
      <c r="AO487" s="509"/>
      <c r="AP487" s="506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06"/>
      <c r="BC487" s="506"/>
      <c r="BD487" s="506"/>
      <c r="BE487" s="506"/>
      <c r="BF487" s="506"/>
      <c r="BG487" s="506"/>
      <c r="BH487" s="506"/>
      <c r="BI487" s="506"/>
      <c r="BJ487" s="506"/>
    </row>
    <row r="488" spans="1:62" ht="19.5" customHeight="1" thickTop="1" thickBot="1">
      <c r="A488" s="494" t="s">
        <v>475</v>
      </c>
      <c r="B488" s="503"/>
      <c r="C488" s="733" t="s">
        <v>473</v>
      </c>
      <c r="D488" s="506"/>
      <c r="E488" s="506"/>
      <c r="F488" s="506"/>
      <c r="G488" s="506"/>
      <c r="H488" s="506"/>
      <c r="I488" s="506"/>
      <c r="J488" s="506"/>
      <c r="K488" s="506"/>
      <c r="L488" s="506"/>
      <c r="M488" s="506"/>
      <c r="N488" s="506"/>
      <c r="O488" s="506"/>
      <c r="P488" s="506"/>
      <c r="Q488" s="506"/>
      <c r="R488" s="506"/>
      <c r="S488" s="506"/>
      <c r="T488" s="506"/>
      <c r="U488" s="506"/>
      <c r="V488" s="845" t="s">
        <v>215</v>
      </c>
      <c r="W488" s="846"/>
      <c r="X488" s="847" t="s">
        <v>185</v>
      </c>
      <c r="Y488" s="848">
        <v>5.0524802655633583E-2</v>
      </c>
      <c r="Z488" s="850">
        <v>289653.44664867112</v>
      </c>
      <c r="AA488" s="847"/>
      <c r="AB488" s="848"/>
      <c r="AC488" s="849"/>
      <c r="AD488" s="847" t="s">
        <v>185</v>
      </c>
      <c r="AE488" s="848">
        <v>1.5766299683543983E-2</v>
      </c>
      <c r="AF488" s="850">
        <v>63121.199999999881</v>
      </c>
      <c r="AG488" s="851"/>
      <c r="AH488" s="851">
        <v>-226532.24664867122</v>
      </c>
      <c r="AI488" s="852">
        <v>-0.7820802730631361</v>
      </c>
      <c r="AJ488" s="847" t="s">
        <v>185</v>
      </c>
      <c r="AK488" s="848">
        <v>3.8438502805409142E-2</v>
      </c>
      <c r="AL488" s="850">
        <v>212218.56999999899</v>
      </c>
      <c r="AM488" s="854"/>
      <c r="AN488" s="850">
        <v>-149097.36999999912</v>
      </c>
      <c r="AO488" s="872">
        <v>-0.70256514309751417</v>
      </c>
      <c r="AP488" s="506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06"/>
      <c r="BC488" s="506"/>
      <c r="BD488" s="506"/>
      <c r="BE488" s="506"/>
      <c r="BF488" s="506"/>
      <c r="BG488" s="506"/>
      <c r="BH488" s="506"/>
      <c r="BI488" s="506"/>
      <c r="BJ488" s="506"/>
    </row>
    <row r="489" spans="1:62" ht="18.600000000000001" hidden="1" thickTop="1" thickBot="1">
      <c r="A489" s="494" t="s">
        <v>184</v>
      </c>
      <c r="B489" s="503"/>
      <c r="C489" s="733" t="s">
        <v>473</v>
      </c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6"/>
      <c r="Q489" s="506"/>
      <c r="R489" s="506"/>
      <c r="S489" s="506"/>
      <c r="T489" s="506"/>
      <c r="U489" s="506"/>
      <c r="V489" s="845" t="s">
        <v>184</v>
      </c>
      <c r="W489" s="846"/>
      <c r="X489" s="847" t="s">
        <v>185</v>
      </c>
      <c r="Y489" s="848">
        <v>4.6267143809922813E-2</v>
      </c>
      <c r="Z489" s="849">
        <v>265244.73064200266</v>
      </c>
      <c r="AA489" s="847"/>
      <c r="AB489" s="848"/>
      <c r="AC489" s="849"/>
      <c r="AD489" s="847" t="s">
        <v>185</v>
      </c>
      <c r="AE489" s="848">
        <v>3.9738762376397086E-3</v>
      </c>
      <c r="AF489" s="849">
        <v>15909.619999999879</v>
      </c>
      <c r="AG489" s="850"/>
      <c r="AH489" s="851">
        <v>-249335.11064200278</v>
      </c>
      <c r="AI489" s="852">
        <v>-0.94001909119366112</v>
      </c>
      <c r="AJ489" s="847" t="s">
        <v>185</v>
      </c>
      <c r="AK489" s="848">
        <v>3.7297857634574008E-2</v>
      </c>
      <c r="AL489" s="862">
        <v>205921.079999999</v>
      </c>
      <c r="AM489" s="863"/>
      <c r="AN489" s="864">
        <v>-190011.45999999912</v>
      </c>
      <c r="AO489" s="865">
        <v>-0.92273923582762896</v>
      </c>
      <c r="AP489" s="506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06"/>
      <c r="BC489" s="506"/>
      <c r="BD489" s="506"/>
      <c r="BE489" s="506"/>
      <c r="BF489" s="506"/>
      <c r="BG489" s="506"/>
      <c r="BH489" s="506"/>
      <c r="BI489" s="506"/>
      <c r="BJ489" s="506"/>
    </row>
    <row r="490" spans="1:62" ht="15.75" customHeight="1" thickTop="1">
      <c r="A490" s="494" t="s">
        <v>475</v>
      </c>
      <c r="B490" s="503"/>
      <c r="C490" s="733" t="s">
        <v>473</v>
      </c>
      <c r="D490" s="506"/>
      <c r="E490" s="506"/>
      <c r="F490" s="653"/>
      <c r="G490" s="506"/>
      <c r="H490" s="506"/>
      <c r="I490" s="653"/>
      <c r="J490" s="506"/>
      <c r="K490" s="506"/>
      <c r="L490" s="506"/>
      <c r="M490" s="653"/>
      <c r="N490" s="506"/>
      <c r="O490" s="506"/>
      <c r="P490" s="506"/>
      <c r="Q490" s="653"/>
      <c r="R490" s="653"/>
      <c r="S490" s="653"/>
      <c r="T490" s="812"/>
      <c r="U490" s="812"/>
      <c r="V490" s="866"/>
      <c r="W490" s="506"/>
      <c r="X490" s="506"/>
      <c r="Y490" s="506"/>
      <c r="Z490" s="867"/>
      <c r="AA490" s="506"/>
      <c r="AB490" s="506"/>
      <c r="AC490" s="868"/>
      <c r="AD490" s="506"/>
      <c r="AE490" s="506"/>
      <c r="AF490" s="868"/>
      <c r="AG490" s="506"/>
      <c r="AH490" s="506"/>
      <c r="AI490" s="868"/>
      <c r="AJ490" s="506"/>
      <c r="AK490" s="506"/>
      <c r="AL490" s="869"/>
      <c r="AM490" s="870"/>
      <c r="AN490" s="506"/>
      <c r="AO490" s="871"/>
      <c r="AP490" s="506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06"/>
      <c r="BC490" s="506"/>
      <c r="BD490" s="506"/>
      <c r="BE490" s="506"/>
      <c r="BF490" s="506"/>
      <c r="BG490" s="506"/>
      <c r="BH490" s="506"/>
      <c r="BI490" s="506"/>
      <c r="BJ490" s="506"/>
    </row>
    <row r="491" spans="1:62" ht="15.75" customHeight="1">
      <c r="A491" s="494" t="s">
        <v>187</v>
      </c>
      <c r="B491" s="503"/>
      <c r="C491" s="733" t="s">
        <v>473</v>
      </c>
      <c r="D491" s="506"/>
      <c r="E491" s="506"/>
      <c r="F491" s="506"/>
      <c r="G491" s="506"/>
      <c r="H491" s="506"/>
      <c r="I491" s="506"/>
      <c r="J491" s="506"/>
      <c r="K491" s="506"/>
      <c r="L491" s="506"/>
      <c r="M491" s="506"/>
      <c r="N491" s="506"/>
      <c r="O491" s="506"/>
      <c r="P491" s="506"/>
      <c r="Q491" s="506"/>
      <c r="R491" s="506"/>
      <c r="S491" s="506"/>
      <c r="T491" s="506"/>
      <c r="U491" s="506"/>
      <c r="V491" s="596" t="s">
        <v>187</v>
      </c>
      <c r="W491" s="770"/>
      <c r="X491" s="763"/>
      <c r="Y491" s="771"/>
      <c r="Z491" s="764">
        <v>6315</v>
      </c>
      <c r="AA491" s="763"/>
      <c r="AB491" s="771"/>
      <c r="AC491" s="764"/>
      <c r="AD491" s="763"/>
      <c r="AE491" s="771"/>
      <c r="AF491" s="764">
        <v>6315</v>
      </c>
      <c r="AG491" s="763"/>
      <c r="AH491" s="766">
        <v>0</v>
      </c>
      <c r="AI491" s="790">
        <v>0</v>
      </c>
      <c r="AJ491" s="763"/>
      <c r="AK491" s="763"/>
      <c r="AL491" s="764">
        <v>4314.5</v>
      </c>
      <c r="AM491" s="768"/>
      <c r="AN491" s="766">
        <v>2000.5</v>
      </c>
      <c r="AO491" s="774">
        <v>0.46366902306176844</v>
      </c>
      <c r="AP491" s="506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06"/>
      <c r="BC491" s="506"/>
      <c r="BD491" s="506"/>
      <c r="BE491" s="506"/>
      <c r="BF491" s="506"/>
      <c r="BG491" s="506"/>
      <c r="BH491" s="506"/>
      <c r="BI491" s="506"/>
      <c r="BJ491" s="506"/>
    </row>
    <row r="492" spans="1:62" ht="15.75" customHeight="1">
      <c r="A492" s="494" t="s">
        <v>188</v>
      </c>
      <c r="B492" s="503"/>
      <c r="C492" s="733" t="s">
        <v>473</v>
      </c>
      <c r="D492" s="506"/>
      <c r="E492" s="506"/>
      <c r="F492" s="653"/>
      <c r="G492" s="506"/>
      <c r="H492" s="506"/>
      <c r="I492" s="653"/>
      <c r="J492" s="506"/>
      <c r="K492" s="506"/>
      <c r="L492" s="506"/>
      <c r="M492" s="653"/>
      <c r="N492" s="506"/>
      <c r="O492" s="506"/>
      <c r="P492" s="506"/>
      <c r="Q492" s="653"/>
      <c r="R492" s="653"/>
      <c r="S492" s="653"/>
      <c r="T492" s="506"/>
      <c r="U492" s="506"/>
      <c r="V492" s="596" t="s">
        <v>188</v>
      </c>
      <c r="W492" s="506"/>
      <c r="X492" s="506"/>
      <c r="Y492" s="506"/>
      <c r="Z492" s="764">
        <v>0</v>
      </c>
      <c r="AA492" s="506"/>
      <c r="AB492" s="506"/>
      <c r="AC492" s="764"/>
      <c r="AD492" s="506"/>
      <c r="AE492" s="509"/>
      <c r="AF492" s="764">
        <v>0</v>
      </c>
      <c r="AG492" s="506"/>
      <c r="AH492" s="766">
        <v>0</v>
      </c>
      <c r="AI492" s="790">
        <v>0</v>
      </c>
      <c r="AJ492" s="506"/>
      <c r="AK492" s="506"/>
      <c r="AL492" s="764">
        <v>0</v>
      </c>
      <c r="AM492" s="870"/>
      <c r="AN492" s="766">
        <v>0</v>
      </c>
      <c r="AO492" s="774">
        <v>0</v>
      </c>
      <c r="AP492" s="506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06"/>
      <c r="BC492" s="506"/>
      <c r="BD492" s="506"/>
      <c r="BE492" s="506"/>
      <c r="BF492" s="506"/>
      <c r="BG492" s="506"/>
      <c r="BH492" s="506"/>
      <c r="BI492" s="506"/>
      <c r="BJ492" s="506"/>
    </row>
    <row r="493" spans="1:62" ht="15.75" customHeight="1">
      <c r="A493" s="494" t="s">
        <v>189</v>
      </c>
      <c r="B493" s="503"/>
      <c r="C493" s="733" t="s">
        <v>473</v>
      </c>
      <c r="D493" s="506"/>
      <c r="E493" s="506"/>
      <c r="F493" s="653"/>
      <c r="G493" s="506"/>
      <c r="H493" s="506"/>
      <c r="I493" s="653"/>
      <c r="J493" s="506"/>
      <c r="K493" s="506"/>
      <c r="L493" s="506"/>
      <c r="M493" s="653"/>
      <c r="N493" s="506"/>
      <c r="O493" s="506"/>
      <c r="P493" s="506"/>
      <c r="Q493" s="653"/>
      <c r="R493" s="653"/>
      <c r="S493" s="653"/>
      <c r="T493" s="506"/>
      <c r="U493" s="506"/>
      <c r="V493" s="596" t="s">
        <v>189</v>
      </c>
      <c r="W493" s="509"/>
      <c r="X493" s="509"/>
      <c r="Y493" s="509"/>
      <c r="Z493" s="764">
        <v>0</v>
      </c>
      <c r="AA493" s="506"/>
      <c r="AB493" s="506"/>
      <c r="AC493" s="764"/>
      <c r="AD493" s="506"/>
      <c r="AE493" s="509"/>
      <c r="AF493" s="764">
        <v>0</v>
      </c>
      <c r="AG493" s="506"/>
      <c r="AH493" s="766">
        <v>0</v>
      </c>
      <c r="AI493" s="790">
        <v>0</v>
      </c>
      <c r="AJ493" s="506"/>
      <c r="AK493" s="506"/>
      <c r="AL493" s="764">
        <v>0</v>
      </c>
      <c r="AM493" s="870"/>
      <c r="AN493" s="766">
        <v>0</v>
      </c>
      <c r="AO493" s="774">
        <v>0</v>
      </c>
      <c r="AP493" s="506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06"/>
      <c r="BC493" s="506"/>
      <c r="BD493" s="506"/>
      <c r="BE493" s="506"/>
      <c r="BF493" s="506"/>
      <c r="BG493" s="506"/>
      <c r="BH493" s="506"/>
      <c r="BI493" s="506"/>
      <c r="BJ493" s="506"/>
    </row>
    <row r="494" spans="1:62" ht="15.75" customHeight="1">
      <c r="A494" s="494" t="s">
        <v>190</v>
      </c>
      <c r="B494" s="503"/>
      <c r="C494" s="733" t="s">
        <v>473</v>
      </c>
      <c r="D494" s="506"/>
      <c r="E494" s="506"/>
      <c r="F494" s="653"/>
      <c r="G494" s="506"/>
      <c r="H494" s="506"/>
      <c r="I494" s="653"/>
      <c r="J494" s="506"/>
      <c r="K494" s="506"/>
      <c r="L494" s="506"/>
      <c r="M494" s="653"/>
      <c r="N494" s="506"/>
      <c r="O494" s="506"/>
      <c r="P494" s="506"/>
      <c r="Q494" s="653"/>
      <c r="R494" s="653"/>
      <c r="S494" s="653"/>
      <c r="T494" s="506"/>
      <c r="U494" s="506"/>
      <c r="V494" s="596" t="s">
        <v>190</v>
      </c>
      <c r="W494" s="509"/>
      <c r="X494" s="509"/>
      <c r="Y494" s="509"/>
      <c r="Z494" s="764">
        <v>0</v>
      </c>
      <c r="AA494" s="506"/>
      <c r="AB494" s="506"/>
      <c r="AC494" s="764"/>
      <c r="AD494" s="506"/>
      <c r="AE494" s="509"/>
      <c r="AF494" s="764">
        <v>0</v>
      </c>
      <c r="AG494" s="506"/>
      <c r="AH494" s="766">
        <v>0</v>
      </c>
      <c r="AI494" s="790">
        <v>0</v>
      </c>
      <c r="AJ494" s="506"/>
      <c r="AK494" s="506"/>
      <c r="AL494" s="764">
        <v>0</v>
      </c>
      <c r="AM494" s="870"/>
      <c r="AN494" s="766">
        <v>0</v>
      </c>
      <c r="AO494" s="774">
        <v>0</v>
      </c>
      <c r="AP494" s="506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06"/>
      <c r="BC494" s="506"/>
      <c r="BD494" s="506"/>
      <c r="BE494" s="506"/>
      <c r="BF494" s="506"/>
      <c r="BG494" s="506"/>
      <c r="BH494" s="506"/>
      <c r="BI494" s="506"/>
      <c r="BJ494" s="506"/>
    </row>
    <row r="495" spans="1:62" ht="15.75" hidden="1" customHeight="1">
      <c r="A495" s="494" t="s">
        <v>20</v>
      </c>
      <c r="B495" s="503"/>
      <c r="C495" s="733" t="s">
        <v>473</v>
      </c>
      <c r="D495" s="506"/>
      <c r="E495" s="506"/>
      <c r="F495" s="653"/>
      <c r="G495" s="506"/>
      <c r="H495" s="506"/>
      <c r="I495" s="653"/>
      <c r="J495" s="506"/>
      <c r="K495" s="506"/>
      <c r="L495" s="506"/>
      <c r="M495" s="653"/>
      <c r="N495" s="506"/>
      <c r="O495" s="506"/>
      <c r="P495" s="506"/>
      <c r="Q495" s="653"/>
      <c r="R495" s="653"/>
      <c r="S495" s="653"/>
      <c r="T495" s="506"/>
      <c r="U495" s="506"/>
      <c r="V495" s="596" t="s">
        <v>20</v>
      </c>
      <c r="W495" s="509"/>
      <c r="X495" s="509"/>
      <c r="Y495" s="509"/>
      <c r="Z495" s="764">
        <v>0</v>
      </c>
      <c r="AA495" s="763"/>
      <c r="AB495" s="763"/>
      <c r="AC495" s="764"/>
      <c r="AD495" s="772"/>
      <c r="AE495" s="771"/>
      <c r="AF495" s="764">
        <v>0</v>
      </c>
      <c r="AG495" s="765"/>
      <c r="AH495" s="766">
        <v>0</v>
      </c>
      <c r="AI495" s="767">
        <v>0</v>
      </c>
      <c r="AJ495" s="772"/>
      <c r="AK495" s="763"/>
      <c r="AL495" s="764">
        <v>0</v>
      </c>
      <c r="AM495" s="870"/>
      <c r="AN495" s="766">
        <v>0</v>
      </c>
      <c r="AO495" s="774">
        <v>0</v>
      </c>
      <c r="AP495" s="506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06"/>
      <c r="BC495" s="506"/>
      <c r="BD495" s="506"/>
      <c r="BE495" s="506"/>
      <c r="BF495" s="506"/>
      <c r="BG495" s="506"/>
      <c r="BH495" s="506"/>
      <c r="BI495" s="506"/>
      <c r="BJ495" s="506"/>
    </row>
    <row r="496" spans="1:62" ht="15.75" customHeight="1" thickBot="1">
      <c r="A496" s="596" t="s">
        <v>216</v>
      </c>
      <c r="B496" s="503"/>
      <c r="C496" s="733" t="s">
        <v>473</v>
      </c>
      <c r="D496" s="506"/>
      <c r="E496" s="506"/>
      <c r="F496" s="653"/>
      <c r="G496" s="506"/>
      <c r="H496" s="506"/>
      <c r="I496" s="653"/>
      <c r="J496" s="506"/>
      <c r="K496" s="506"/>
      <c r="L496" s="506"/>
      <c r="M496" s="653"/>
      <c r="N496" s="506"/>
      <c r="O496" s="506"/>
      <c r="P496" s="506"/>
      <c r="Q496" s="653"/>
      <c r="R496" s="653"/>
      <c r="S496" s="653"/>
      <c r="T496" s="506"/>
      <c r="U496" s="506"/>
      <c r="V496" s="596" t="s">
        <v>216</v>
      </c>
      <c r="W496" s="509"/>
      <c r="X496" s="509"/>
      <c r="Y496" s="509"/>
      <c r="Z496" s="764">
        <v>-4666.666666666667</v>
      </c>
      <c r="AA496" s="763"/>
      <c r="AB496" s="763"/>
      <c r="AC496" s="764"/>
      <c r="AD496" s="772"/>
      <c r="AE496" s="771"/>
      <c r="AF496" s="764">
        <v>-4255.74</v>
      </c>
      <c r="AG496" s="765"/>
      <c r="AH496" s="766">
        <v>410.92666666666719</v>
      </c>
      <c r="AI496" s="767">
        <v>-8.805571428571439E-2</v>
      </c>
      <c r="AJ496" s="772"/>
      <c r="AK496" s="763"/>
      <c r="AL496" s="764">
        <v>0</v>
      </c>
      <c r="AM496" s="870"/>
      <c r="AN496" s="766">
        <v>-4255.74</v>
      </c>
      <c r="AO496" s="774">
        <v>0</v>
      </c>
      <c r="AP496" s="506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06"/>
      <c r="BC496" s="506"/>
      <c r="BD496" s="506"/>
      <c r="BE496" s="506"/>
      <c r="BF496" s="506"/>
      <c r="BG496" s="506"/>
      <c r="BH496" s="506"/>
      <c r="BI496" s="506"/>
      <c r="BJ496" s="506"/>
    </row>
    <row r="497" spans="1:62" ht="15.75" hidden="1" customHeight="1">
      <c r="A497" s="494" t="s">
        <v>20</v>
      </c>
      <c r="B497" s="503"/>
      <c r="C497" s="733" t="s">
        <v>473</v>
      </c>
      <c r="D497" s="506"/>
      <c r="E497" s="506"/>
      <c r="F497" s="653"/>
      <c r="G497" s="506"/>
      <c r="H497" s="506"/>
      <c r="I497" s="653"/>
      <c r="J497" s="506"/>
      <c r="K497" s="506"/>
      <c r="L497" s="506"/>
      <c r="M497" s="653"/>
      <c r="N497" s="506"/>
      <c r="O497" s="506"/>
      <c r="P497" s="506"/>
      <c r="Q497" s="653"/>
      <c r="R497" s="653"/>
      <c r="S497" s="653"/>
      <c r="T497" s="506"/>
      <c r="U497" s="506"/>
      <c r="V497" s="596" t="s">
        <v>20</v>
      </c>
      <c r="W497" s="509"/>
      <c r="X497" s="506"/>
      <c r="Y497" s="509"/>
      <c r="Z497" s="764">
        <v>0</v>
      </c>
      <c r="AA497" s="763"/>
      <c r="AB497" s="763"/>
      <c r="AC497" s="764"/>
      <c r="AD497" s="772"/>
      <c r="AE497" s="771"/>
      <c r="AF497" s="764">
        <v>0</v>
      </c>
      <c r="AG497" s="765"/>
      <c r="AH497" s="766">
        <v>0</v>
      </c>
      <c r="AI497" s="767">
        <v>0</v>
      </c>
      <c r="AJ497" s="772"/>
      <c r="AK497" s="763"/>
      <c r="AL497" s="764">
        <v>0</v>
      </c>
      <c r="AM497" s="870"/>
      <c r="AN497" s="766">
        <v>0</v>
      </c>
      <c r="AO497" s="774">
        <v>0</v>
      </c>
      <c r="AP497" s="506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06"/>
      <c r="BC497" s="506"/>
      <c r="BD497" s="506"/>
      <c r="BE497" s="506"/>
      <c r="BF497" s="506"/>
      <c r="BG497" s="506"/>
      <c r="BH497" s="506"/>
      <c r="BI497" s="506"/>
      <c r="BJ497" s="506"/>
    </row>
    <row r="498" spans="1:62" ht="15.75" customHeight="1" thickTop="1" thickBot="1">
      <c r="A498" s="494" t="s">
        <v>191</v>
      </c>
      <c r="B498" s="503"/>
      <c r="C498" s="733" t="s">
        <v>473</v>
      </c>
      <c r="D498" s="506"/>
      <c r="E498" s="506"/>
      <c r="F498" s="653"/>
      <c r="G498" s="506"/>
      <c r="H498" s="506"/>
      <c r="I498" s="653"/>
      <c r="J498" s="506"/>
      <c r="K498" s="506"/>
      <c r="L498" s="506"/>
      <c r="M498" s="653"/>
      <c r="N498" s="506"/>
      <c r="O498" s="506"/>
      <c r="P498" s="506"/>
      <c r="Q498" s="653"/>
      <c r="R498" s="653"/>
      <c r="S498" s="653"/>
      <c r="T498" s="506"/>
      <c r="U498" s="506"/>
      <c r="V498" s="845" t="s">
        <v>191</v>
      </c>
      <c r="W498" s="846"/>
      <c r="X498" s="847" t="s">
        <v>185</v>
      </c>
      <c r="Y498" s="848">
        <v>4.5979621885564759E-2</v>
      </c>
      <c r="Z498" s="849">
        <v>263596.39730866934</v>
      </c>
      <c r="AA498" s="847"/>
      <c r="AB498" s="848"/>
      <c r="AC498" s="849"/>
      <c r="AD498" s="847" t="s">
        <v>185</v>
      </c>
      <c r="AE498" s="848">
        <v>3.4595179826265774E-3</v>
      </c>
      <c r="AF498" s="850">
        <v>13850.359999999879</v>
      </c>
      <c r="AG498" s="851"/>
      <c r="AH498" s="851">
        <v>-249746.03730866947</v>
      </c>
      <c r="AI498" s="852">
        <v>-0.94745618627032602</v>
      </c>
      <c r="AJ498" s="853" t="s">
        <v>185</v>
      </c>
      <c r="AK498" s="848">
        <v>3.651638539887881E-2</v>
      </c>
      <c r="AL498" s="850">
        <v>201606.579999999</v>
      </c>
      <c r="AM498" s="854"/>
      <c r="AN498" s="850">
        <v>-187756.21999999913</v>
      </c>
      <c r="AO498" s="872">
        <v>-0.93130005975003427</v>
      </c>
      <c r="AP498" s="506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06"/>
      <c r="BC498" s="506"/>
      <c r="BD498" s="506"/>
      <c r="BE498" s="506"/>
      <c r="BF498" s="506"/>
      <c r="BG498" s="506"/>
      <c r="BH498" s="506"/>
      <c r="BI498" s="506"/>
      <c r="BJ498" s="506"/>
    </row>
    <row r="499" spans="1:62" ht="15.75" customHeight="1" thickTop="1">
      <c r="A499" s="494" t="s">
        <v>475</v>
      </c>
      <c r="B499" s="503"/>
      <c r="C499" s="506"/>
      <c r="D499" s="506"/>
      <c r="E499" s="506"/>
      <c r="F499" s="653"/>
      <c r="G499" s="506"/>
      <c r="H499" s="506"/>
      <c r="I499" s="653"/>
      <c r="J499" s="506"/>
      <c r="K499" s="506"/>
      <c r="L499" s="506"/>
      <c r="M499" s="653"/>
      <c r="N499" s="506"/>
      <c r="O499" s="506"/>
      <c r="P499" s="506"/>
      <c r="Q499" s="653"/>
      <c r="R499" s="653"/>
      <c r="S499" s="653"/>
      <c r="T499" s="506"/>
      <c r="U499" s="506"/>
      <c r="AP499" s="506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06"/>
      <c r="BC499" s="506"/>
      <c r="BD499" s="506"/>
      <c r="BE499" s="506"/>
      <c r="BF499" s="506"/>
      <c r="BG499" s="506"/>
      <c r="BH499" s="506"/>
      <c r="BI499" s="506"/>
      <c r="BJ499" s="506"/>
    </row>
    <row r="500" spans="1:62" ht="15.75" customHeight="1">
      <c r="B500" s="503"/>
      <c r="T500" s="506"/>
      <c r="U500" s="506"/>
      <c r="V500" s="506"/>
      <c r="W500" s="506"/>
      <c r="X500" s="506"/>
      <c r="Y500" s="506"/>
      <c r="Z500" s="653"/>
      <c r="AA500" s="506"/>
      <c r="AB500" s="506"/>
      <c r="AC500" s="653"/>
      <c r="AE500" s="506" t="s">
        <v>478</v>
      </c>
      <c r="AF500" s="766"/>
      <c r="AG500" s="506"/>
      <c r="AH500" s="506"/>
      <c r="AI500" s="506"/>
      <c r="AJ500" s="875"/>
      <c r="AK500" s="876"/>
      <c r="AL500" s="877"/>
      <c r="AM500" s="506"/>
      <c r="AN500" s="506"/>
      <c r="AO500" s="506"/>
      <c r="AP500" s="506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06"/>
      <c r="BC500" s="506"/>
      <c r="BD500" s="506"/>
      <c r="BE500" s="506"/>
      <c r="BF500" s="506"/>
      <c r="BG500" s="506"/>
      <c r="BH500" s="506"/>
      <c r="BI500" s="506"/>
      <c r="BJ500" s="506"/>
    </row>
    <row r="501" spans="1:62" ht="15.75" customHeight="1">
      <c r="B501" s="503"/>
      <c r="C501" s="506"/>
      <c r="S501" s="653"/>
      <c r="W501" s="506"/>
      <c r="X501" s="506"/>
      <c r="Y501" s="506"/>
      <c r="Z501" s="653"/>
      <c r="AA501" s="506"/>
      <c r="AB501" s="506"/>
      <c r="AC501" s="653"/>
      <c r="AD501" s="506"/>
      <c r="AE501" s="506"/>
      <c r="AF501" s="878"/>
      <c r="AG501" s="506"/>
      <c r="AH501" s="506"/>
      <c r="AI501" s="506"/>
      <c r="AJ501" s="506"/>
      <c r="AL501" s="877"/>
      <c r="AM501" s="506"/>
      <c r="AN501" s="506"/>
      <c r="AO501" s="506"/>
      <c r="AP501" s="506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06"/>
      <c r="BC501" s="506"/>
      <c r="BD501" s="506"/>
      <c r="BE501" s="506"/>
      <c r="BF501" s="506"/>
      <c r="BG501" s="506"/>
      <c r="BH501" s="506"/>
      <c r="BI501" s="506"/>
      <c r="BJ501" s="506"/>
    </row>
    <row r="502" spans="1:62" ht="15.75" customHeight="1">
      <c r="B502" s="503"/>
      <c r="C502" s="763"/>
      <c r="W502" s="506"/>
      <c r="X502" s="506"/>
      <c r="Y502" s="506"/>
      <c r="AE502" s="506"/>
      <c r="AF502" s="878"/>
      <c r="AM502" s="506"/>
      <c r="AN502" s="506"/>
      <c r="AO502" s="506"/>
      <c r="AP502" s="506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06"/>
      <c r="BC502" s="506"/>
      <c r="BD502" s="506"/>
      <c r="BE502" s="506"/>
      <c r="BF502" s="506"/>
      <c r="BG502" s="506"/>
      <c r="BH502" s="506"/>
      <c r="BI502" s="506"/>
      <c r="BJ502" s="506"/>
    </row>
    <row r="503" spans="1:62" ht="15.75" customHeight="1">
      <c r="B503" s="503"/>
      <c r="C503" s="763"/>
      <c r="W503" s="506"/>
      <c r="X503" s="506"/>
      <c r="Y503" s="506"/>
      <c r="Z503" s="506"/>
      <c r="AA503" s="506"/>
      <c r="AB503" s="506"/>
      <c r="AC503" s="506"/>
      <c r="AD503" s="506"/>
      <c r="AE503" s="653"/>
      <c r="AF503" s="878"/>
      <c r="AG503" s="506"/>
      <c r="AH503" s="506"/>
      <c r="AI503" s="506"/>
      <c r="AJ503" s="879"/>
      <c r="AK503" s="876"/>
      <c r="AL503" s="877"/>
      <c r="AM503" s="506"/>
      <c r="AN503" s="506"/>
      <c r="AO503" s="506"/>
      <c r="AP503" s="506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06"/>
      <c r="BC503" s="506"/>
      <c r="BD503" s="506"/>
      <c r="BE503" s="506"/>
      <c r="BF503" s="506"/>
      <c r="BG503" s="506"/>
      <c r="BH503" s="506"/>
      <c r="BI503" s="506"/>
      <c r="BJ503" s="506"/>
    </row>
    <row r="504" spans="1:62" ht="15.75" customHeight="1">
      <c r="B504" s="503"/>
      <c r="C504" s="763"/>
      <c r="W504" s="506"/>
      <c r="X504" s="506"/>
      <c r="Y504" s="506"/>
      <c r="Z504" s="506"/>
      <c r="AA504" s="506"/>
      <c r="AB504" s="506"/>
      <c r="AC504" s="506"/>
      <c r="AD504" s="506"/>
      <c r="AE504" s="506"/>
      <c r="AF504" s="878"/>
      <c r="AG504" s="506"/>
      <c r="AH504" s="506"/>
      <c r="AI504" s="506"/>
      <c r="AJ504" s="506"/>
      <c r="AK504" s="506"/>
      <c r="AL504" s="506"/>
      <c r="AM504" s="506"/>
      <c r="AN504" s="506"/>
      <c r="AO504" s="506"/>
      <c r="AP504" s="506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06"/>
      <c r="BC504" s="506"/>
      <c r="BD504" s="506"/>
      <c r="BE504" s="506"/>
      <c r="BF504" s="506"/>
      <c r="BG504" s="506"/>
      <c r="BH504" s="506"/>
      <c r="BI504" s="506"/>
      <c r="BJ504" s="506"/>
    </row>
    <row r="505" spans="1:62" ht="15.75" customHeight="1">
      <c r="B505" s="503"/>
      <c r="C505" s="763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878"/>
      <c r="AG505" s="506"/>
      <c r="AH505" s="506"/>
      <c r="AI505" s="506"/>
      <c r="AJ505" s="506"/>
      <c r="AK505" s="506"/>
      <c r="AL505" s="506"/>
      <c r="AM505" s="506"/>
      <c r="AN505" s="506"/>
      <c r="AO505" s="506"/>
      <c r="AP505" s="506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06"/>
      <c r="BC505" s="506"/>
      <c r="BD505" s="506"/>
      <c r="BE505" s="506"/>
      <c r="BF505" s="506"/>
      <c r="BG505" s="506"/>
      <c r="BH505" s="506"/>
      <c r="BI505" s="506"/>
      <c r="BJ505" s="506"/>
    </row>
    <row r="506" spans="1:62" ht="15.75" customHeight="1">
      <c r="B506" s="503"/>
      <c r="C506" s="763"/>
      <c r="W506" s="506"/>
      <c r="X506" s="506"/>
      <c r="Y506" s="506"/>
      <c r="Z506" s="506"/>
      <c r="AA506" s="506"/>
      <c r="AB506" s="506"/>
      <c r="AC506" s="506"/>
      <c r="AD506" s="506"/>
      <c r="AE506" s="506"/>
      <c r="AF506" s="878"/>
      <c r="AG506" s="506"/>
      <c r="AH506" s="506"/>
      <c r="AI506" s="506"/>
      <c r="AJ506" s="506"/>
      <c r="AK506" s="506"/>
      <c r="AL506" s="506"/>
      <c r="AM506" s="506"/>
      <c r="AN506" s="506"/>
      <c r="AO506" s="506"/>
      <c r="AP506" s="506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06"/>
      <c r="BC506" s="506"/>
      <c r="BD506" s="506"/>
      <c r="BE506" s="506"/>
      <c r="BF506" s="506"/>
      <c r="BG506" s="506"/>
      <c r="BH506" s="506"/>
      <c r="BI506" s="506"/>
      <c r="BJ506" s="506"/>
    </row>
    <row r="507" spans="1:62" ht="15.75" customHeight="1">
      <c r="B507" s="503"/>
      <c r="C507" s="763"/>
      <c r="W507" s="506"/>
      <c r="X507" s="506"/>
      <c r="Y507" s="506"/>
      <c r="Z507" s="506"/>
      <c r="AA507" s="506"/>
      <c r="AB507" s="506"/>
      <c r="AC507" s="506"/>
      <c r="AD507" s="506"/>
      <c r="AE507" s="506"/>
      <c r="AF507" s="878"/>
      <c r="AG507" s="506"/>
      <c r="AH507" s="506"/>
      <c r="AI507" s="506"/>
      <c r="AJ507" s="506"/>
      <c r="AK507" s="506"/>
      <c r="AL507" s="506"/>
      <c r="AM507" s="506"/>
      <c r="AN507" s="506"/>
      <c r="AO507" s="506"/>
      <c r="AP507" s="506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06"/>
      <c r="BC507" s="506"/>
      <c r="BD507" s="506"/>
      <c r="BE507" s="506"/>
      <c r="BF507" s="506"/>
      <c r="BG507" s="506"/>
      <c r="BH507" s="506"/>
      <c r="BI507" s="506"/>
      <c r="BJ507" s="506"/>
    </row>
    <row r="508" spans="1:62" ht="15.75" customHeight="1">
      <c r="B508" s="503"/>
      <c r="C508" s="763"/>
      <c r="W508" s="506"/>
      <c r="X508" s="506"/>
      <c r="Y508" s="506"/>
      <c r="Z508" s="506"/>
      <c r="AA508" s="506"/>
      <c r="AB508" s="506"/>
      <c r="AC508" s="506"/>
      <c r="AD508" s="506"/>
      <c r="AE508" s="506"/>
      <c r="AF508" s="653"/>
      <c r="AG508" s="506"/>
      <c r="AH508" s="506"/>
      <c r="AI508" s="506"/>
      <c r="AJ508" s="506"/>
      <c r="AK508" s="506"/>
      <c r="AL508" s="506"/>
      <c r="AM508" s="506"/>
      <c r="AN508" s="506"/>
      <c r="AO508" s="506"/>
      <c r="AP508" s="506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06"/>
      <c r="BC508" s="506"/>
      <c r="BD508" s="506"/>
      <c r="BE508" s="506"/>
      <c r="BF508" s="506"/>
      <c r="BG508" s="506"/>
      <c r="BH508" s="506"/>
      <c r="BI508" s="506"/>
      <c r="BJ508" s="506"/>
    </row>
    <row r="509" spans="1:62" ht="15.75" customHeight="1">
      <c r="B509" s="503"/>
      <c r="C509" s="763"/>
      <c r="W509" s="506"/>
      <c r="X509" s="506"/>
      <c r="Y509" s="506"/>
      <c r="Z509" s="506"/>
      <c r="AA509" s="506"/>
      <c r="AB509" s="506"/>
      <c r="AC509" s="506"/>
      <c r="AD509" s="506"/>
      <c r="AE509" s="506"/>
      <c r="AF509" s="878"/>
      <c r="AG509" s="506"/>
      <c r="AH509" s="506"/>
      <c r="AI509" s="506"/>
      <c r="AJ509" s="506"/>
      <c r="AK509" s="506"/>
      <c r="AL509" s="506"/>
      <c r="AM509" s="506"/>
      <c r="AN509" s="506"/>
      <c r="AO509" s="506"/>
      <c r="AP509" s="506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06"/>
      <c r="BC509" s="506"/>
      <c r="BD509" s="506"/>
      <c r="BE509" s="506"/>
      <c r="BF509" s="506"/>
      <c r="BG509" s="506"/>
      <c r="BH509" s="506"/>
      <c r="BI509" s="506"/>
      <c r="BJ509" s="506"/>
    </row>
    <row r="510" spans="1:62" ht="15.75" customHeight="1">
      <c r="B510" s="503"/>
      <c r="C510" s="763"/>
      <c r="W510" s="506"/>
      <c r="X510" s="506"/>
      <c r="Y510" s="506"/>
      <c r="Z510" s="506"/>
      <c r="AA510" s="506"/>
      <c r="AB510" s="506"/>
      <c r="AC510" s="506"/>
      <c r="AD510" s="506"/>
      <c r="AE510" s="506"/>
      <c r="AF510" s="880"/>
      <c r="AG510" s="506"/>
      <c r="AH510" s="506"/>
      <c r="AI510" s="506"/>
      <c r="AJ510" s="506"/>
      <c r="AK510" s="506"/>
      <c r="AL510" s="506"/>
      <c r="AM510" s="506"/>
      <c r="AN510" s="506"/>
      <c r="AO510" s="506"/>
      <c r="AP510" s="506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06"/>
      <c r="BC510" s="506"/>
      <c r="BD510" s="506"/>
      <c r="BE510" s="506"/>
      <c r="BF510" s="506"/>
      <c r="BG510" s="506"/>
      <c r="BH510" s="506"/>
      <c r="BI510" s="506"/>
      <c r="BJ510" s="506"/>
    </row>
    <row r="511" spans="1:62" ht="15.75" customHeight="1">
      <c r="B511" s="503"/>
      <c r="C511" s="763"/>
      <c r="W511" s="506"/>
      <c r="X511" s="506"/>
      <c r="Y511" s="506"/>
      <c r="Z511" s="506"/>
      <c r="AA511" s="506"/>
      <c r="AB511" s="506"/>
      <c r="AC511" s="506"/>
      <c r="AD511" s="506"/>
      <c r="AE511" s="506"/>
      <c r="AF511" s="878"/>
      <c r="AG511" s="506"/>
      <c r="AH511" s="506"/>
      <c r="AI511" s="506"/>
      <c r="AJ511" s="506"/>
      <c r="AK511" s="506"/>
      <c r="AL511" s="506"/>
      <c r="AM511" s="506"/>
      <c r="AN511" s="506"/>
      <c r="AO511" s="506"/>
      <c r="AP511" s="506"/>
      <c r="AQ511" s="506"/>
      <c r="AR511" s="506"/>
      <c r="AS511" s="506"/>
      <c r="AT511" s="506"/>
      <c r="AU511" s="506"/>
      <c r="AV511" s="506"/>
      <c r="AW511" s="506"/>
      <c r="AX511" s="506"/>
      <c r="AY511" s="506"/>
      <c r="AZ511" s="506"/>
      <c r="BA511" s="506"/>
      <c r="BB511" s="506"/>
      <c r="BC511" s="506"/>
      <c r="BD511" s="506"/>
      <c r="BE511" s="506"/>
      <c r="BF511" s="506"/>
      <c r="BG511" s="506"/>
      <c r="BH511" s="506"/>
      <c r="BI511" s="506"/>
      <c r="BJ511" s="506"/>
    </row>
    <row r="512" spans="1:62" ht="15.75" customHeight="1">
      <c r="B512" s="503"/>
      <c r="C512" s="763"/>
      <c r="W512" s="506"/>
      <c r="X512" s="506"/>
      <c r="Y512" s="506"/>
      <c r="Z512" s="506"/>
      <c r="AA512" s="506"/>
      <c r="AB512" s="506"/>
      <c r="AC512" s="506"/>
      <c r="AD512" s="506"/>
      <c r="AE512" s="506"/>
      <c r="AF512" s="506"/>
      <c r="AG512" s="506"/>
      <c r="AH512" s="506"/>
      <c r="AI512" s="506"/>
      <c r="AJ512" s="506"/>
      <c r="AK512" s="506"/>
      <c r="AL512" s="506"/>
      <c r="AM512" s="506"/>
      <c r="AN512" s="506"/>
      <c r="AO512" s="506"/>
      <c r="AP512" s="506"/>
      <c r="AQ512" s="506"/>
      <c r="AR512" s="506"/>
      <c r="AS512" s="506"/>
      <c r="AT512" s="506"/>
      <c r="AU512" s="506"/>
      <c r="AV512" s="506"/>
      <c r="AW512" s="506"/>
      <c r="AX512" s="506"/>
      <c r="AY512" s="506"/>
      <c r="AZ512" s="506"/>
      <c r="BA512" s="506"/>
      <c r="BB512" s="506"/>
      <c r="BC512" s="506"/>
      <c r="BD512" s="506"/>
      <c r="BE512" s="506"/>
      <c r="BF512" s="506"/>
      <c r="BG512" s="506"/>
      <c r="BH512" s="506"/>
      <c r="BI512" s="506"/>
      <c r="BJ512" s="506"/>
    </row>
    <row r="513" spans="2:62" ht="15.75" customHeight="1">
      <c r="B513" s="503"/>
      <c r="C513" s="763"/>
      <c r="W513" s="506"/>
      <c r="X513" s="506"/>
      <c r="Y513" s="506"/>
      <c r="Z513" s="506"/>
      <c r="AA513" s="506"/>
      <c r="AB513" s="506"/>
      <c r="AC513" s="506"/>
      <c r="AD513" s="506"/>
      <c r="AE513" s="506"/>
      <c r="AF513" s="880"/>
      <c r="AG513" s="506"/>
      <c r="AH513" s="506"/>
      <c r="AI513" s="506"/>
      <c r="AJ513" s="506"/>
      <c r="AK513" s="506"/>
      <c r="AL513" s="506"/>
      <c r="AM513" s="506"/>
      <c r="AN513" s="506"/>
      <c r="AO513" s="506"/>
      <c r="AP513" s="506"/>
      <c r="AQ513" s="506"/>
      <c r="AR513" s="506"/>
      <c r="AS513" s="506"/>
      <c r="AT513" s="506"/>
      <c r="AU513" s="506"/>
      <c r="AV513" s="506"/>
      <c r="AW513" s="506"/>
      <c r="AX513" s="506"/>
      <c r="AY513" s="506"/>
      <c r="AZ513" s="506"/>
      <c r="BA513" s="506"/>
      <c r="BB513" s="506"/>
      <c r="BC513" s="506"/>
      <c r="BD513" s="506"/>
      <c r="BE513" s="506"/>
      <c r="BF513" s="506"/>
      <c r="BG513" s="506"/>
      <c r="BH513" s="506"/>
      <c r="BI513" s="506"/>
      <c r="BJ513" s="506"/>
    </row>
    <row r="514" spans="2:62" ht="15.75" customHeight="1">
      <c r="B514" s="503"/>
      <c r="C514" s="763"/>
      <c r="W514" s="506"/>
      <c r="X514" s="506"/>
      <c r="Y514" s="506"/>
      <c r="Z514" s="506"/>
      <c r="AA514" s="506"/>
      <c r="AB514" s="506"/>
      <c r="AC514" s="506"/>
      <c r="AD514" s="506"/>
      <c r="AE514" s="506"/>
      <c r="AF514" s="506"/>
      <c r="AG514" s="506"/>
      <c r="AH514" s="506"/>
      <c r="AI514" s="506"/>
      <c r="AJ514" s="506"/>
      <c r="AK514" s="506"/>
      <c r="AL514" s="506"/>
      <c r="AM514" s="506"/>
      <c r="AN514" s="506"/>
      <c r="AO514" s="506"/>
      <c r="AP514" s="506"/>
      <c r="AQ514" s="506"/>
      <c r="AR514" s="506"/>
      <c r="AS514" s="506"/>
      <c r="AT514" s="506"/>
      <c r="AU514" s="506"/>
      <c r="AV514" s="506"/>
      <c r="AW514" s="506"/>
      <c r="AX514" s="506"/>
      <c r="AY514" s="506"/>
      <c r="AZ514" s="506"/>
      <c r="BA514" s="506"/>
      <c r="BB514" s="506"/>
      <c r="BC514" s="506"/>
      <c r="BD514" s="506"/>
      <c r="BE514" s="506"/>
      <c r="BF514" s="506"/>
      <c r="BG514" s="506"/>
      <c r="BH514" s="506"/>
      <c r="BI514" s="506"/>
      <c r="BJ514" s="506"/>
    </row>
    <row r="515" spans="2:62" ht="15.75" customHeight="1">
      <c r="B515" s="503"/>
      <c r="C515" s="763"/>
      <c r="W515" s="506"/>
      <c r="X515" s="506"/>
      <c r="Y515" s="506"/>
      <c r="Z515" s="506"/>
      <c r="AA515" s="506"/>
      <c r="AB515" s="506"/>
      <c r="AC515" s="506"/>
      <c r="AD515" s="506"/>
      <c r="AE515" s="506"/>
      <c r="AF515" s="506"/>
      <c r="AG515" s="506"/>
      <c r="AH515" s="506"/>
      <c r="AI515" s="506"/>
      <c r="AJ515" s="506"/>
      <c r="AK515" s="506"/>
      <c r="AL515" s="506"/>
      <c r="AM515" s="506"/>
      <c r="AN515" s="506"/>
      <c r="AO515" s="506"/>
      <c r="AP515" s="506"/>
      <c r="AQ515" s="506"/>
      <c r="AR515" s="506"/>
      <c r="AS515" s="506"/>
      <c r="AT515" s="506"/>
      <c r="AU515" s="506"/>
      <c r="AV515" s="506"/>
      <c r="AW515" s="506"/>
      <c r="AX515" s="506"/>
      <c r="AY515" s="506"/>
      <c r="AZ515" s="506"/>
      <c r="BA515" s="506"/>
      <c r="BB515" s="506"/>
      <c r="BC515" s="506"/>
      <c r="BD515" s="506"/>
      <c r="BE515" s="506"/>
      <c r="BF515" s="506"/>
      <c r="BG515" s="506"/>
      <c r="BH515" s="506"/>
      <c r="BI515" s="506"/>
      <c r="BJ515" s="506"/>
    </row>
    <row r="516" spans="2:62" ht="15.75" customHeight="1">
      <c r="B516" s="503"/>
      <c r="W516" s="506"/>
      <c r="X516" s="506"/>
      <c r="Y516" s="506"/>
      <c r="Z516" s="506"/>
      <c r="AA516" s="506"/>
      <c r="AB516" s="506"/>
      <c r="AC516" s="506"/>
      <c r="AD516" s="506"/>
      <c r="AE516" s="506"/>
      <c r="AF516" s="506"/>
      <c r="AG516" s="506"/>
      <c r="AH516" s="506"/>
      <c r="AI516" s="506"/>
      <c r="AJ516" s="506"/>
      <c r="AK516" s="506"/>
      <c r="AL516" s="506"/>
      <c r="AM516" s="506"/>
      <c r="AN516" s="506"/>
      <c r="AO516" s="506"/>
      <c r="AP516" s="506"/>
      <c r="AQ516" s="506"/>
      <c r="AR516" s="506"/>
      <c r="AS516" s="506"/>
      <c r="AT516" s="506"/>
      <c r="AU516" s="506"/>
      <c r="AV516" s="506"/>
      <c r="AW516" s="506"/>
      <c r="AX516" s="506"/>
      <c r="AY516" s="506"/>
      <c r="AZ516" s="506"/>
      <c r="BA516" s="506"/>
      <c r="BB516" s="506"/>
      <c r="BC516" s="506"/>
      <c r="BD516" s="506"/>
      <c r="BE516" s="506"/>
      <c r="BF516" s="506"/>
      <c r="BG516" s="506"/>
      <c r="BH516" s="506"/>
      <c r="BI516" s="506"/>
      <c r="BJ516" s="506"/>
    </row>
    <row r="517" spans="2:62" ht="15.75" customHeight="1">
      <c r="B517" s="503"/>
      <c r="W517" s="506"/>
      <c r="X517" s="506"/>
      <c r="Y517" s="506"/>
      <c r="Z517" s="506"/>
      <c r="AA517" s="506"/>
      <c r="AB517" s="506"/>
      <c r="AC517" s="506"/>
      <c r="AD517" s="506"/>
      <c r="AE517" s="506"/>
      <c r="AF517" s="506"/>
      <c r="AG517" s="506"/>
      <c r="AH517" s="506"/>
      <c r="AI517" s="506"/>
      <c r="AJ517" s="506"/>
      <c r="AK517" s="506"/>
      <c r="AL517" s="506"/>
      <c r="AM517" s="506"/>
      <c r="AN517" s="506"/>
      <c r="AO517" s="506"/>
      <c r="AP517" s="506"/>
      <c r="AQ517" s="506"/>
      <c r="AR517" s="506"/>
      <c r="AS517" s="506"/>
      <c r="AT517" s="506"/>
      <c r="AU517" s="506"/>
      <c r="AV517" s="506"/>
      <c r="AW517" s="506"/>
      <c r="AX517" s="506"/>
      <c r="AY517" s="506"/>
      <c r="AZ517" s="506"/>
      <c r="BA517" s="506"/>
      <c r="BB517" s="506"/>
      <c r="BC517" s="506"/>
      <c r="BD517" s="506"/>
      <c r="BE517" s="506"/>
      <c r="BF517" s="506"/>
      <c r="BG517" s="506"/>
      <c r="BH517" s="506"/>
      <c r="BI517" s="506"/>
      <c r="BJ517" s="506"/>
    </row>
    <row r="518" spans="2:62" ht="15.75" customHeight="1">
      <c r="B518" s="503"/>
      <c r="W518" s="506"/>
      <c r="X518" s="506"/>
      <c r="Y518" s="506"/>
      <c r="Z518" s="506"/>
      <c r="AA518" s="506"/>
      <c r="AB518" s="506"/>
      <c r="AC518" s="506"/>
      <c r="AD518" s="506"/>
      <c r="AE518" s="506"/>
      <c r="AF518" s="506"/>
      <c r="AG518" s="506"/>
      <c r="AH518" s="506"/>
      <c r="AI518" s="506"/>
      <c r="AJ518" s="506"/>
      <c r="AK518" s="506"/>
      <c r="AL518" s="506"/>
      <c r="AM518" s="506"/>
      <c r="AN518" s="506"/>
      <c r="AO518" s="506"/>
      <c r="AP518" s="506"/>
      <c r="AQ518" s="506"/>
      <c r="AR518" s="506"/>
      <c r="AS518" s="506"/>
      <c r="AT518" s="506"/>
      <c r="AU518" s="506"/>
      <c r="AV518" s="506"/>
      <c r="AW518" s="506"/>
      <c r="AX518" s="506"/>
      <c r="AY518" s="506"/>
      <c r="AZ518" s="506"/>
      <c r="BA518" s="506"/>
      <c r="BB518" s="506"/>
      <c r="BC518" s="506"/>
      <c r="BD518" s="506"/>
      <c r="BE518" s="506"/>
      <c r="BF518" s="506"/>
      <c r="BG518" s="506"/>
      <c r="BH518" s="506"/>
      <c r="BI518" s="506"/>
      <c r="BJ518" s="506"/>
    </row>
    <row r="519" spans="2:62" ht="15.75" customHeight="1">
      <c r="B519" s="503"/>
      <c r="W519" s="506"/>
      <c r="X519" s="506"/>
      <c r="Y519" s="506"/>
      <c r="Z519" s="506"/>
      <c r="AA519" s="506"/>
      <c r="AB519" s="506"/>
      <c r="AC519" s="506"/>
      <c r="AD519" s="506"/>
      <c r="AE519" s="506"/>
      <c r="AF519" s="506"/>
      <c r="AG519" s="506"/>
      <c r="AH519" s="506"/>
      <c r="AI519" s="506"/>
      <c r="AJ519" s="506"/>
      <c r="AK519" s="506"/>
      <c r="AL519" s="506"/>
      <c r="AM519" s="506"/>
      <c r="AN519" s="506"/>
      <c r="AO519" s="506"/>
      <c r="AP519" s="506"/>
      <c r="AQ519" s="506"/>
      <c r="AR519" s="506"/>
      <c r="AS519" s="506"/>
      <c r="AT519" s="506"/>
      <c r="AU519" s="506"/>
      <c r="AV519" s="506"/>
      <c r="AW519" s="506"/>
      <c r="AX519" s="506"/>
      <c r="AY519" s="506"/>
      <c r="AZ519" s="506"/>
      <c r="BA519" s="506"/>
      <c r="BB519" s="506"/>
      <c r="BC519" s="506"/>
      <c r="BD519" s="506"/>
      <c r="BE519" s="506"/>
      <c r="BF519" s="506"/>
      <c r="BG519" s="506"/>
      <c r="BH519" s="506"/>
      <c r="BI519" s="506"/>
      <c r="BJ519" s="506"/>
    </row>
    <row r="520" spans="2:62" ht="15.75" customHeight="1">
      <c r="B520" s="503"/>
      <c r="W520" s="506"/>
      <c r="X520" s="506"/>
      <c r="Y520" s="506"/>
      <c r="Z520" s="506"/>
      <c r="AA520" s="506"/>
      <c r="AB520" s="506"/>
      <c r="AC520" s="506"/>
      <c r="AD520" s="506"/>
      <c r="AE520" s="506"/>
      <c r="AF520" s="506"/>
      <c r="AG520" s="506"/>
      <c r="AH520" s="506"/>
      <c r="AI520" s="506"/>
      <c r="AJ520" s="506"/>
      <c r="AK520" s="506"/>
      <c r="AL520" s="506"/>
      <c r="AM520" s="506"/>
      <c r="AN520" s="506"/>
      <c r="AO520" s="506"/>
      <c r="AP520" s="506"/>
      <c r="AQ520" s="506"/>
      <c r="AR520" s="506"/>
      <c r="AS520" s="506"/>
      <c r="AT520" s="506"/>
      <c r="AU520" s="506"/>
      <c r="AV520" s="506"/>
      <c r="AW520" s="506"/>
      <c r="AX520" s="506"/>
      <c r="AY520" s="506"/>
      <c r="AZ520" s="506"/>
      <c r="BA520" s="506"/>
      <c r="BB520" s="506"/>
      <c r="BC520" s="506"/>
      <c r="BD520" s="506"/>
      <c r="BE520" s="506"/>
      <c r="BF520" s="506"/>
      <c r="BG520" s="506"/>
      <c r="BH520" s="506"/>
      <c r="BI520" s="506"/>
      <c r="BJ520" s="506"/>
    </row>
    <row r="521" spans="2:62" ht="15.75" customHeight="1">
      <c r="B521" s="503"/>
      <c r="W521" s="506"/>
      <c r="X521" s="506"/>
      <c r="Y521" s="506"/>
      <c r="Z521" s="506"/>
      <c r="AA521" s="506"/>
      <c r="AB521" s="506"/>
      <c r="AC521" s="506"/>
      <c r="AD521" s="506"/>
      <c r="AE521" s="506"/>
      <c r="AF521" s="506"/>
      <c r="AG521" s="506"/>
      <c r="AH521" s="506"/>
      <c r="AI521" s="506"/>
      <c r="AJ521" s="506"/>
      <c r="AK521" s="506"/>
      <c r="AL521" s="506"/>
      <c r="AM521" s="506"/>
      <c r="AN521" s="506"/>
      <c r="AO521" s="506"/>
      <c r="AP521" s="506"/>
      <c r="AQ521" s="506"/>
      <c r="AR521" s="506"/>
      <c r="AS521" s="506"/>
      <c r="AT521" s="506"/>
      <c r="AU521" s="506"/>
      <c r="AV521" s="506"/>
      <c r="AW521" s="506"/>
      <c r="AX521" s="506"/>
      <c r="AY521" s="506"/>
      <c r="AZ521" s="506"/>
      <c r="BA521" s="506"/>
      <c r="BB521" s="506"/>
      <c r="BC521" s="506"/>
      <c r="BD521" s="506"/>
      <c r="BE521" s="506"/>
      <c r="BF521" s="506"/>
      <c r="BG521" s="506"/>
      <c r="BH521" s="506"/>
      <c r="BI521" s="506"/>
      <c r="BJ521" s="506"/>
    </row>
    <row r="522" spans="2:62" ht="15.75" customHeight="1">
      <c r="B522" s="503"/>
      <c r="W522" s="506"/>
      <c r="X522" s="506"/>
      <c r="Y522" s="506"/>
      <c r="Z522" s="506"/>
      <c r="AA522" s="506"/>
      <c r="AB522" s="506"/>
      <c r="AC522" s="506"/>
      <c r="AD522" s="506"/>
      <c r="AE522" s="506"/>
      <c r="AF522" s="506"/>
      <c r="AG522" s="506"/>
      <c r="AH522" s="506"/>
      <c r="AI522" s="506"/>
      <c r="AJ522" s="506"/>
      <c r="AK522" s="506"/>
      <c r="AL522" s="506"/>
      <c r="AM522" s="506"/>
      <c r="AN522" s="506"/>
      <c r="AO522" s="506"/>
      <c r="AP522" s="506"/>
      <c r="AQ522" s="506"/>
      <c r="AR522" s="506"/>
      <c r="AS522" s="506"/>
      <c r="AT522" s="506"/>
      <c r="AU522" s="506"/>
      <c r="AV522" s="506"/>
      <c r="AW522" s="506"/>
      <c r="AX522" s="506"/>
      <c r="AY522" s="506"/>
      <c r="AZ522" s="506"/>
      <c r="BA522" s="506"/>
      <c r="BB522" s="506"/>
      <c r="BC522" s="506"/>
      <c r="BD522" s="506"/>
      <c r="BE522" s="506"/>
      <c r="BF522" s="506"/>
      <c r="BG522" s="506"/>
      <c r="BH522" s="506"/>
      <c r="BI522" s="506"/>
      <c r="BJ522" s="506"/>
    </row>
    <row r="523" spans="2:62" ht="15.75" customHeight="1">
      <c r="B523" s="503"/>
      <c r="W523" s="506"/>
      <c r="X523" s="506"/>
      <c r="Y523" s="506"/>
      <c r="Z523" s="506"/>
      <c r="AA523" s="506"/>
      <c r="AB523" s="506"/>
      <c r="AC523" s="506"/>
      <c r="AD523" s="506"/>
      <c r="AE523" s="506"/>
      <c r="AF523" s="506"/>
      <c r="AG523" s="506"/>
      <c r="AH523" s="506"/>
      <c r="AI523" s="506"/>
      <c r="AJ523" s="506"/>
      <c r="AK523" s="506"/>
      <c r="AL523" s="506"/>
      <c r="AM523" s="506"/>
      <c r="AN523" s="506"/>
      <c r="AO523" s="506"/>
      <c r="AP523" s="506"/>
      <c r="AQ523" s="506"/>
      <c r="AR523" s="506"/>
      <c r="AS523" s="506"/>
      <c r="AT523" s="506"/>
      <c r="AU523" s="506"/>
      <c r="AV523" s="506"/>
      <c r="AW523" s="506"/>
      <c r="AX523" s="506"/>
      <c r="AY523" s="506"/>
      <c r="AZ523" s="506"/>
      <c r="BA523" s="506"/>
      <c r="BB523" s="506"/>
      <c r="BC523" s="506"/>
      <c r="BD523" s="506"/>
      <c r="BE523" s="506"/>
      <c r="BF523" s="506"/>
      <c r="BG523" s="506"/>
      <c r="BH523" s="506"/>
      <c r="BI523" s="506"/>
      <c r="BJ523" s="506"/>
    </row>
    <row r="524" spans="2:62" ht="15.75" customHeight="1">
      <c r="B524" s="503"/>
      <c r="W524" s="506"/>
      <c r="X524" s="506"/>
      <c r="Y524" s="506"/>
      <c r="Z524" s="506"/>
      <c r="AA524" s="506"/>
      <c r="AB524" s="506"/>
      <c r="AC524" s="506"/>
      <c r="AD524" s="506"/>
      <c r="AE524" s="506"/>
      <c r="AF524" s="506"/>
      <c r="AG524" s="506"/>
      <c r="AH524" s="506"/>
      <c r="AI524" s="506"/>
      <c r="AJ524" s="506"/>
      <c r="AK524" s="506"/>
      <c r="AL524" s="506"/>
      <c r="AM524" s="506"/>
      <c r="AN524" s="506"/>
      <c r="AO524" s="506"/>
      <c r="AP524" s="506"/>
      <c r="AQ524" s="506"/>
      <c r="AR524" s="506"/>
      <c r="AS524" s="506"/>
      <c r="AT524" s="506"/>
      <c r="AU524" s="506"/>
      <c r="AV524" s="506"/>
      <c r="AW524" s="506"/>
      <c r="AX524" s="506"/>
      <c r="AY524" s="506"/>
      <c r="AZ524" s="506"/>
      <c r="BA524" s="506"/>
      <c r="BB524" s="506"/>
      <c r="BC524" s="506"/>
      <c r="BD524" s="506"/>
      <c r="BE524" s="506"/>
      <c r="BF524" s="506"/>
      <c r="BG524" s="506"/>
      <c r="BH524" s="506"/>
      <c r="BI524" s="506"/>
      <c r="BJ524" s="506"/>
    </row>
    <row r="525" spans="2:62" ht="15.75" customHeight="1">
      <c r="B525" s="503"/>
      <c r="C525" s="763"/>
      <c r="W525" s="506"/>
      <c r="X525" s="506"/>
      <c r="Y525" s="506"/>
      <c r="Z525" s="506"/>
      <c r="AA525" s="506"/>
      <c r="AB525" s="506"/>
      <c r="AC525" s="506"/>
      <c r="AD525" s="506"/>
      <c r="AE525" s="506"/>
      <c r="AF525" s="506"/>
      <c r="AG525" s="506"/>
      <c r="AH525" s="506"/>
      <c r="AI525" s="506"/>
      <c r="AJ525" s="506"/>
      <c r="AK525" s="506"/>
      <c r="AL525" s="506"/>
      <c r="AM525" s="506"/>
      <c r="AN525" s="506"/>
      <c r="AO525" s="506"/>
      <c r="AP525" s="506"/>
      <c r="AQ525" s="506"/>
      <c r="AR525" s="506"/>
      <c r="AS525" s="506"/>
      <c r="AT525" s="506"/>
      <c r="AU525" s="506"/>
      <c r="AV525" s="506"/>
      <c r="AW525" s="506"/>
      <c r="AX525" s="506"/>
      <c r="AY525" s="506"/>
      <c r="AZ525" s="506"/>
      <c r="BA525" s="506"/>
      <c r="BB525" s="506"/>
      <c r="BC525" s="506"/>
      <c r="BD525" s="506"/>
      <c r="BE525" s="506"/>
      <c r="BF525" s="506"/>
      <c r="BG525" s="506"/>
      <c r="BH525" s="506"/>
      <c r="BI525" s="506"/>
      <c r="BJ525" s="506"/>
    </row>
    <row r="526" spans="2:62" ht="15.75" customHeight="1">
      <c r="B526" s="503"/>
      <c r="C526" s="763"/>
      <c r="W526" s="506"/>
      <c r="X526" s="506"/>
      <c r="Y526" s="506"/>
      <c r="Z526" s="506"/>
      <c r="AA526" s="506"/>
      <c r="AB526" s="506"/>
      <c r="AC526" s="506"/>
      <c r="AD526" s="506"/>
      <c r="AE526" s="506"/>
      <c r="AF526" s="506"/>
      <c r="AG526" s="506"/>
      <c r="AH526" s="506"/>
      <c r="AI526" s="506"/>
      <c r="AJ526" s="506"/>
      <c r="AK526" s="506"/>
      <c r="AL526" s="506"/>
      <c r="AM526" s="506"/>
      <c r="AN526" s="506"/>
      <c r="AO526" s="506"/>
      <c r="AP526" s="506"/>
      <c r="AQ526" s="506"/>
      <c r="AR526" s="506"/>
      <c r="AS526" s="506"/>
      <c r="AT526" s="506"/>
      <c r="AU526" s="506"/>
      <c r="AV526" s="506"/>
      <c r="AW526" s="506"/>
      <c r="AX526" s="506"/>
      <c r="AY526" s="506"/>
      <c r="AZ526" s="506"/>
      <c r="BA526" s="506"/>
      <c r="BB526" s="506"/>
      <c r="BC526" s="506"/>
      <c r="BD526" s="506"/>
      <c r="BE526" s="506"/>
      <c r="BF526" s="506"/>
      <c r="BG526" s="506"/>
      <c r="BH526" s="506"/>
      <c r="BI526" s="506"/>
      <c r="BJ526" s="506"/>
    </row>
    <row r="527" spans="2:62" ht="15.75" customHeight="1">
      <c r="B527" s="503"/>
      <c r="C527" s="763"/>
      <c r="W527" s="506"/>
      <c r="X527" s="506"/>
      <c r="Y527" s="506"/>
      <c r="Z527" s="506"/>
      <c r="AA527" s="506"/>
      <c r="AB527" s="506"/>
      <c r="AC527" s="506"/>
      <c r="AD527" s="506"/>
      <c r="AE527" s="506"/>
      <c r="AF527" s="506"/>
      <c r="AG527" s="506"/>
      <c r="AH527" s="506"/>
      <c r="AI527" s="506"/>
      <c r="AJ527" s="506"/>
      <c r="AK527" s="506"/>
      <c r="AL527" s="506"/>
      <c r="AM527" s="506"/>
      <c r="AN527" s="506"/>
      <c r="AO527" s="506"/>
      <c r="AP527" s="506"/>
      <c r="AQ527" s="506"/>
      <c r="AR527" s="506"/>
      <c r="AS527" s="506"/>
      <c r="AT527" s="506"/>
      <c r="AU527" s="506"/>
      <c r="AV527" s="506"/>
      <c r="AW527" s="506"/>
      <c r="AX527" s="506"/>
      <c r="AY527" s="506"/>
      <c r="AZ527" s="506"/>
      <c r="BA527" s="506"/>
      <c r="BB527" s="506"/>
      <c r="BC527" s="506"/>
      <c r="BD527" s="506"/>
      <c r="BE527" s="506"/>
      <c r="BF527" s="506"/>
      <c r="BG527" s="506"/>
      <c r="BH527" s="506"/>
      <c r="BI527" s="506"/>
      <c r="BJ527" s="506"/>
    </row>
    <row r="528" spans="2:62" ht="15.75" customHeight="1">
      <c r="B528" s="503"/>
      <c r="C528" s="763"/>
      <c r="W528" s="506"/>
      <c r="X528" s="506"/>
      <c r="Y528" s="506"/>
      <c r="Z528" s="506"/>
      <c r="AA528" s="506"/>
      <c r="AB528" s="506"/>
      <c r="AC528" s="506"/>
      <c r="AD528" s="506"/>
      <c r="AE528" s="506"/>
      <c r="AF528" s="506"/>
      <c r="AG528" s="506"/>
      <c r="AH528" s="506"/>
      <c r="AI528" s="506"/>
      <c r="AJ528" s="506"/>
      <c r="AK528" s="506"/>
      <c r="AL528" s="506"/>
      <c r="AM528" s="506"/>
      <c r="AN528" s="506"/>
      <c r="AO528" s="506"/>
      <c r="AP528" s="506"/>
      <c r="AQ528" s="506"/>
      <c r="AR528" s="506"/>
      <c r="AS528" s="506"/>
      <c r="AT528" s="506"/>
      <c r="AU528" s="506"/>
      <c r="AV528" s="506"/>
      <c r="AW528" s="506"/>
      <c r="AX528" s="506"/>
      <c r="AY528" s="506"/>
      <c r="AZ528" s="506"/>
      <c r="BA528" s="506"/>
      <c r="BB528" s="506"/>
      <c r="BC528" s="506"/>
      <c r="BD528" s="506"/>
      <c r="BE528" s="506"/>
      <c r="BF528" s="506"/>
      <c r="BG528" s="506"/>
      <c r="BH528" s="506"/>
      <c r="BI528" s="506"/>
      <c r="BJ528" s="506"/>
    </row>
    <row r="529" spans="2:62" ht="15.75" customHeight="1">
      <c r="B529" s="503"/>
      <c r="C529" s="763"/>
      <c r="W529" s="506"/>
      <c r="X529" s="506"/>
      <c r="Y529" s="506"/>
      <c r="Z529" s="506"/>
      <c r="AA529" s="506"/>
      <c r="AB529" s="506"/>
      <c r="AC529" s="506"/>
      <c r="AD529" s="506"/>
      <c r="AE529" s="506"/>
      <c r="AF529" s="506"/>
      <c r="AG529" s="506"/>
      <c r="AH529" s="506"/>
      <c r="AI529" s="506"/>
      <c r="AJ529" s="506"/>
      <c r="AK529" s="506"/>
      <c r="AL529" s="506"/>
      <c r="AM529" s="506"/>
      <c r="AN529" s="506"/>
      <c r="AO529" s="506"/>
      <c r="AP529" s="506"/>
      <c r="AQ529" s="506"/>
      <c r="AR529" s="506"/>
      <c r="AS529" s="506"/>
      <c r="AT529" s="506"/>
      <c r="AU529" s="506"/>
      <c r="AV529" s="506"/>
      <c r="AW529" s="506"/>
      <c r="AX529" s="506"/>
      <c r="AY529" s="506"/>
      <c r="AZ529" s="506"/>
      <c r="BA529" s="506"/>
      <c r="BB529" s="506"/>
      <c r="BC529" s="506"/>
      <c r="BD529" s="506"/>
      <c r="BE529" s="506"/>
      <c r="BF529" s="506"/>
      <c r="BG529" s="506"/>
      <c r="BH529" s="506"/>
      <c r="BI529" s="506"/>
      <c r="BJ529" s="506"/>
    </row>
    <row r="530" spans="2:62" ht="15.75" customHeight="1">
      <c r="B530" s="503"/>
      <c r="C530" s="763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06"/>
      <c r="AG530" s="506"/>
      <c r="AH530" s="506"/>
      <c r="AI530" s="506"/>
      <c r="AJ530" s="506"/>
      <c r="AK530" s="506"/>
      <c r="AL530" s="506"/>
      <c r="AM530" s="506"/>
      <c r="AN530" s="506"/>
      <c r="AO530" s="506"/>
      <c r="AP530" s="506"/>
      <c r="AQ530" s="506"/>
      <c r="AR530" s="506"/>
      <c r="AS530" s="506"/>
      <c r="AT530" s="506"/>
      <c r="AU530" s="506"/>
      <c r="AV530" s="506"/>
      <c r="AW530" s="506"/>
      <c r="AX530" s="506"/>
      <c r="AY530" s="506"/>
      <c r="AZ530" s="506"/>
      <c r="BA530" s="506"/>
      <c r="BB530" s="506"/>
      <c r="BC530" s="506"/>
      <c r="BD530" s="506"/>
      <c r="BE530" s="506"/>
      <c r="BF530" s="506"/>
      <c r="BG530" s="506"/>
      <c r="BH530" s="506"/>
      <c r="BI530" s="506"/>
      <c r="BJ530" s="506"/>
    </row>
    <row r="531" spans="2:62" ht="15.75" customHeight="1">
      <c r="B531" s="503"/>
      <c r="C531" s="763"/>
      <c r="W531" s="506"/>
      <c r="X531" s="506"/>
      <c r="Y531" s="506"/>
      <c r="Z531" s="506"/>
      <c r="AA531" s="506"/>
      <c r="AB531" s="506"/>
      <c r="AC531" s="506"/>
      <c r="AD531" s="506"/>
      <c r="AE531" s="506"/>
      <c r="AF531" s="506"/>
      <c r="AG531" s="506"/>
      <c r="AH531" s="506"/>
      <c r="AI531" s="506"/>
      <c r="AJ531" s="506"/>
      <c r="AK531" s="506"/>
      <c r="AL531" s="506"/>
      <c r="AM531" s="506"/>
      <c r="AN531" s="506"/>
      <c r="AO531" s="506"/>
      <c r="AP531" s="506"/>
      <c r="AQ531" s="506"/>
      <c r="AR531" s="506"/>
      <c r="AS531" s="506"/>
      <c r="AT531" s="506"/>
      <c r="AU531" s="506"/>
      <c r="AV531" s="506"/>
      <c r="AW531" s="506"/>
      <c r="AX531" s="506"/>
      <c r="AY531" s="506"/>
      <c r="AZ531" s="506"/>
      <c r="BA531" s="506"/>
      <c r="BB531" s="506"/>
      <c r="BC531" s="506"/>
      <c r="BD531" s="506"/>
      <c r="BE531" s="506"/>
      <c r="BF531" s="506"/>
      <c r="BG531" s="506"/>
      <c r="BH531" s="506"/>
      <c r="BI531" s="506"/>
      <c r="BJ531" s="506"/>
    </row>
    <row r="532" spans="2:62" ht="15.75" customHeight="1">
      <c r="B532" s="503"/>
      <c r="C532" s="763"/>
      <c r="W532" s="506"/>
      <c r="X532" s="506"/>
      <c r="Y532" s="506"/>
      <c r="Z532" s="506"/>
      <c r="AA532" s="506"/>
      <c r="AB532" s="506"/>
      <c r="AC532" s="506"/>
      <c r="AD532" s="506"/>
      <c r="AE532" s="506"/>
      <c r="AF532" s="506"/>
      <c r="AG532" s="506"/>
      <c r="AH532" s="506"/>
      <c r="AI532" s="506"/>
      <c r="AJ532" s="506"/>
      <c r="AK532" s="506"/>
      <c r="AL532" s="506"/>
      <c r="AM532" s="506"/>
      <c r="AN532" s="506"/>
      <c r="AO532" s="506"/>
      <c r="AP532" s="506"/>
      <c r="AQ532" s="506"/>
      <c r="AR532" s="506"/>
      <c r="AS532" s="506"/>
      <c r="AT532" s="506"/>
      <c r="AU532" s="506"/>
      <c r="AV532" s="506"/>
      <c r="AW532" s="506"/>
      <c r="AX532" s="506"/>
      <c r="AY532" s="506"/>
      <c r="AZ532" s="506"/>
      <c r="BA532" s="506"/>
      <c r="BB532" s="506"/>
      <c r="BC532" s="506"/>
      <c r="BD532" s="506"/>
      <c r="BE532" s="506"/>
      <c r="BF532" s="506"/>
      <c r="BG532" s="506"/>
      <c r="BH532" s="506"/>
      <c r="BI532" s="506"/>
      <c r="BJ532" s="506"/>
    </row>
    <row r="533" spans="2:62" ht="15.75" customHeight="1">
      <c r="B533" s="503"/>
      <c r="C533" s="763"/>
      <c r="W533" s="506"/>
      <c r="X533" s="506"/>
      <c r="Y533" s="506"/>
      <c r="Z533" s="506"/>
      <c r="AA533" s="506"/>
      <c r="AB533" s="506"/>
      <c r="AC533" s="506"/>
      <c r="AD533" s="506"/>
      <c r="AE533" s="506"/>
      <c r="AF533" s="506"/>
      <c r="AG533" s="506"/>
      <c r="AH533" s="506"/>
      <c r="AI533" s="506"/>
      <c r="AJ533" s="506"/>
      <c r="AK533" s="506"/>
      <c r="AL533" s="506"/>
      <c r="AM533" s="506"/>
      <c r="AN533" s="506"/>
      <c r="AO533" s="506"/>
      <c r="AP533" s="506"/>
      <c r="AQ533" s="506"/>
      <c r="AR533" s="506"/>
      <c r="AS533" s="506"/>
      <c r="AT533" s="506"/>
      <c r="AU533" s="506"/>
      <c r="AV533" s="506"/>
      <c r="AW533" s="506"/>
      <c r="AX533" s="506"/>
      <c r="AY533" s="506"/>
      <c r="AZ533" s="506"/>
      <c r="BA533" s="506"/>
      <c r="BB533" s="506"/>
      <c r="BC533" s="506"/>
      <c r="BD533" s="506"/>
      <c r="BE533" s="506"/>
      <c r="BF533" s="506"/>
      <c r="BG533" s="506"/>
      <c r="BH533" s="506"/>
      <c r="BI533" s="506"/>
      <c r="BJ533" s="506"/>
    </row>
    <row r="534" spans="2:62" ht="15.75" customHeight="1">
      <c r="B534" s="503"/>
      <c r="C534" s="763"/>
      <c r="W534" s="506"/>
      <c r="X534" s="506"/>
      <c r="Y534" s="506"/>
      <c r="Z534" s="506"/>
      <c r="AA534" s="506"/>
      <c r="AB534" s="506"/>
      <c r="AC534" s="506"/>
      <c r="AD534" s="506"/>
      <c r="AE534" s="506"/>
      <c r="AF534" s="506"/>
      <c r="AG534" s="506"/>
      <c r="AH534" s="506"/>
      <c r="AI534" s="506"/>
      <c r="AJ534" s="506"/>
      <c r="AK534" s="506"/>
      <c r="AL534" s="506"/>
      <c r="AM534" s="506"/>
      <c r="AN534" s="506"/>
      <c r="AO534" s="506"/>
      <c r="AP534" s="506"/>
      <c r="AQ534" s="506"/>
      <c r="AR534" s="506"/>
      <c r="AS534" s="506"/>
      <c r="AT534" s="506"/>
      <c r="AU534" s="506"/>
      <c r="AV534" s="506"/>
      <c r="AW534" s="506"/>
      <c r="AX534" s="506"/>
      <c r="AY534" s="506"/>
      <c r="AZ534" s="506"/>
      <c r="BA534" s="506"/>
      <c r="BB534" s="506"/>
      <c r="BC534" s="506"/>
      <c r="BD534" s="506"/>
      <c r="BE534" s="506"/>
      <c r="BF534" s="506"/>
      <c r="BG534" s="506"/>
      <c r="BH534" s="506"/>
      <c r="BI534" s="506"/>
      <c r="BJ534" s="506"/>
    </row>
    <row r="535" spans="2:62" ht="15.75" customHeight="1">
      <c r="B535" s="503"/>
      <c r="W535" s="506"/>
      <c r="X535" s="506"/>
      <c r="Y535" s="506"/>
      <c r="Z535" s="506"/>
      <c r="AA535" s="506"/>
      <c r="AB535" s="506"/>
      <c r="AC535" s="506"/>
      <c r="AD535" s="506"/>
      <c r="AE535" s="506"/>
      <c r="AF535" s="506"/>
      <c r="AG535" s="506"/>
      <c r="AH535" s="506"/>
      <c r="AI535" s="506"/>
      <c r="AJ535" s="506"/>
      <c r="AK535" s="506"/>
      <c r="AL535" s="506"/>
      <c r="AM535" s="506"/>
      <c r="AN535" s="506"/>
      <c r="AO535" s="506"/>
      <c r="AP535" s="506"/>
      <c r="AQ535" s="506"/>
      <c r="AR535" s="506"/>
      <c r="AS535" s="506"/>
      <c r="AT535" s="506"/>
      <c r="AU535" s="506"/>
      <c r="AV535" s="506"/>
      <c r="AW535" s="506"/>
      <c r="AX535" s="506"/>
      <c r="AY535" s="506"/>
      <c r="AZ535" s="506"/>
      <c r="BA535" s="506"/>
      <c r="BB535" s="506"/>
      <c r="BC535" s="506"/>
      <c r="BD535" s="506"/>
      <c r="BE535" s="506"/>
      <c r="BF535" s="506"/>
      <c r="BG535" s="506"/>
      <c r="BH535" s="506"/>
      <c r="BI535" s="506"/>
      <c r="BJ535" s="506"/>
    </row>
    <row r="536" spans="2:62" ht="15.75" customHeight="1">
      <c r="B536" s="503"/>
      <c r="W536" s="506"/>
      <c r="X536" s="506"/>
      <c r="Y536" s="506"/>
      <c r="Z536" s="506"/>
      <c r="AA536" s="506"/>
      <c r="AB536" s="506"/>
      <c r="AC536" s="506"/>
      <c r="AD536" s="506"/>
      <c r="AE536" s="506"/>
      <c r="AF536" s="506"/>
      <c r="AG536" s="506"/>
      <c r="AH536" s="506"/>
      <c r="AI536" s="506"/>
      <c r="AJ536" s="506"/>
      <c r="AK536" s="506"/>
      <c r="AL536" s="506"/>
      <c r="AM536" s="506"/>
      <c r="AN536" s="506"/>
      <c r="AO536" s="506"/>
      <c r="AP536" s="506"/>
      <c r="AQ536" s="506"/>
      <c r="AR536" s="506"/>
      <c r="AS536" s="506"/>
      <c r="AT536" s="506"/>
      <c r="AU536" s="506"/>
      <c r="AV536" s="506"/>
      <c r="AW536" s="506"/>
      <c r="AX536" s="506"/>
      <c r="AY536" s="506"/>
      <c r="AZ536" s="506"/>
      <c r="BA536" s="506"/>
      <c r="BB536" s="506"/>
      <c r="BC536" s="506"/>
      <c r="BD536" s="506"/>
      <c r="BE536" s="506"/>
      <c r="BF536" s="506"/>
      <c r="BG536" s="506"/>
      <c r="BH536" s="506"/>
      <c r="BI536" s="506"/>
      <c r="BJ536" s="506"/>
    </row>
    <row r="537" spans="2:62" ht="15.75" customHeight="1">
      <c r="B537" s="503"/>
      <c r="W537" s="506"/>
      <c r="X537" s="506"/>
      <c r="Y537" s="506"/>
      <c r="Z537" s="506"/>
      <c r="AA537" s="506"/>
      <c r="AB537" s="506"/>
      <c r="AC537" s="506"/>
      <c r="AD537" s="506"/>
      <c r="AE537" s="506"/>
      <c r="AF537" s="506"/>
      <c r="AG537" s="506"/>
      <c r="AH537" s="506"/>
      <c r="AI537" s="506"/>
      <c r="AJ537" s="506"/>
      <c r="AK537" s="506"/>
      <c r="AL537" s="506"/>
      <c r="AM537" s="506"/>
      <c r="AN537" s="506"/>
      <c r="AO537" s="506"/>
      <c r="AP537" s="506"/>
      <c r="AQ537" s="506"/>
      <c r="AR537" s="506"/>
      <c r="AS537" s="506"/>
      <c r="AT537" s="506"/>
      <c r="AU537" s="506"/>
      <c r="AV537" s="506"/>
      <c r="AW537" s="506"/>
      <c r="AX537" s="506"/>
      <c r="AY537" s="506"/>
      <c r="AZ537" s="506"/>
      <c r="BA537" s="506"/>
      <c r="BB537" s="506"/>
      <c r="BC537" s="506"/>
      <c r="BD537" s="506"/>
      <c r="BE537" s="506"/>
      <c r="BF537" s="506"/>
      <c r="BG537" s="506"/>
      <c r="BH537" s="506"/>
      <c r="BI537" s="506"/>
      <c r="BJ537" s="506"/>
    </row>
    <row r="538" spans="2:62" ht="15.75" customHeight="1">
      <c r="B538" s="503"/>
      <c r="W538" s="506"/>
      <c r="X538" s="506"/>
      <c r="Y538" s="506"/>
      <c r="Z538" s="506"/>
      <c r="AA538" s="506"/>
      <c r="AB538" s="506"/>
      <c r="AC538" s="506"/>
      <c r="AD538" s="506"/>
      <c r="AE538" s="506"/>
      <c r="AF538" s="506"/>
      <c r="AG538" s="506"/>
      <c r="AH538" s="506"/>
      <c r="AI538" s="506"/>
      <c r="AJ538" s="506"/>
      <c r="AK538" s="506"/>
      <c r="AL538" s="506"/>
      <c r="AM538" s="506"/>
      <c r="AN538" s="506"/>
      <c r="AO538" s="506"/>
      <c r="AP538" s="506"/>
      <c r="AQ538" s="506"/>
      <c r="AR538" s="506"/>
      <c r="AS538" s="506"/>
      <c r="AT538" s="506"/>
      <c r="AU538" s="506"/>
      <c r="AV538" s="506"/>
      <c r="AW538" s="506"/>
      <c r="AX538" s="506"/>
      <c r="AY538" s="506"/>
      <c r="AZ538" s="506"/>
      <c r="BA538" s="506"/>
      <c r="BB538" s="506"/>
      <c r="BC538" s="506"/>
      <c r="BD538" s="506"/>
      <c r="BE538" s="506"/>
      <c r="BF538" s="506"/>
      <c r="BG538" s="506"/>
      <c r="BH538" s="506"/>
      <c r="BI538" s="506"/>
      <c r="BJ538" s="506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:D113">
    <cfRule type="expression" dxfId="61" priority="62" stopIfTrue="1">
      <formula>"esterreur(reference)"</formula>
    </cfRule>
  </conditionalFormatting>
  <conditionalFormatting sqref="D172:D181">
    <cfRule type="expression" dxfId="60" priority="59" stopIfTrue="1">
      <formula>"esterreur(reference)"</formula>
    </cfRule>
  </conditionalFormatting>
  <conditionalFormatting sqref="D400">
    <cfRule type="expression" dxfId="59" priority="3" stopIfTrue="1">
      <formula>"esterreur(reference)"</formula>
    </cfRule>
  </conditionalFormatting>
  <conditionalFormatting sqref="E186">
    <cfRule type="expression" dxfId="58" priority="60" stopIfTrue="1">
      <formula>"esterreur(reference)"</formula>
    </cfRule>
  </conditionalFormatting>
  <conditionalFormatting sqref="F5">
    <cfRule type="expression" dxfId="57" priority="57" stopIfTrue="1">
      <formula>"esterreur(reference)"</formula>
    </cfRule>
  </conditionalFormatting>
  <conditionalFormatting sqref="F83:F85">
    <cfRule type="expression" dxfId="56" priority="56" stopIfTrue="1">
      <formula>"esterreur(reference)"</formula>
    </cfRule>
  </conditionalFormatting>
  <conditionalFormatting sqref="F101">
    <cfRule type="expression" dxfId="55" priority="61" stopIfTrue="1">
      <formula>"esterreur(reference)"</formula>
    </cfRule>
  </conditionalFormatting>
  <conditionalFormatting sqref="F184">
    <cfRule type="expression" dxfId="54" priority="25" stopIfTrue="1">
      <formula>"esterreur(reference)"</formula>
    </cfRule>
  </conditionalFormatting>
  <conditionalFormatting sqref="G31:G32">
    <cfRule type="expression" dxfId="53" priority="54" stopIfTrue="1">
      <formula>"esterreur(reference)"</formula>
    </cfRule>
  </conditionalFormatting>
  <conditionalFormatting sqref="G112:G113">
    <cfRule type="expression" dxfId="52" priority="51" stopIfTrue="1">
      <formula>"esterreur(reference)"</formula>
    </cfRule>
  </conditionalFormatting>
  <conditionalFormatting sqref="G172:G181">
    <cfRule type="expression" dxfId="51" priority="58" stopIfTrue="1">
      <formula>"esterreur(reference)"</formula>
    </cfRule>
  </conditionalFormatting>
  <conditionalFormatting sqref="H25:H26 H28:H72">
    <cfRule type="expression" dxfId="50" priority="53" stopIfTrue="1">
      <formula>"esterreur(reference)"</formula>
    </cfRule>
  </conditionalFormatting>
  <conditionalFormatting sqref="H360 J360:L360">
    <cfRule type="expression" dxfId="49" priority="13" stopIfTrue="1">
      <formula>"esterreur(reference)"</formula>
    </cfRule>
  </conditionalFormatting>
  <conditionalFormatting sqref="H197:L197">
    <cfRule type="expression" dxfId="48" priority="15" stopIfTrue="1">
      <formula>"esterreur(reference)"</formula>
    </cfRule>
  </conditionalFormatting>
  <conditionalFormatting sqref="H396:L399">
    <cfRule type="expression" dxfId="47" priority="11" stopIfTrue="1">
      <formula>"esterreur(reference)"</formula>
    </cfRule>
  </conditionalFormatting>
  <conditionalFormatting sqref="I16:I18 I20 I24:I30">
    <cfRule type="expression" dxfId="46" priority="55" stopIfTrue="1">
      <formula>"esterreur(reference)"</formula>
    </cfRule>
  </conditionalFormatting>
  <conditionalFormatting sqref="I377:L377 J378:L394 H378:H395">
    <cfRule type="expression" dxfId="45" priority="12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44" priority="4" stopIfTrue="1">
      <formula>"esterreur(reference)"</formula>
    </cfRule>
  </conditionalFormatting>
  <conditionalFormatting sqref="K395">
    <cfRule type="expression" dxfId="43" priority="14" stopIfTrue="1">
      <formula>"esterreur(reference)"</formula>
    </cfRule>
  </conditionalFormatting>
  <conditionalFormatting sqref="K5:L5">
    <cfRule type="expression" dxfId="42" priority="24" stopIfTrue="1">
      <formula>"esterreur(reference)"</formula>
    </cfRule>
  </conditionalFormatting>
  <conditionalFormatting sqref="K244:L244">
    <cfRule type="expression" dxfId="41" priority="21" stopIfTrue="1">
      <formula>"esterreur(reference)"</formula>
    </cfRule>
  </conditionalFormatting>
  <conditionalFormatting sqref="K247:L247">
    <cfRule type="expression" dxfId="40" priority="22" stopIfTrue="1">
      <formula>"esterreur(reference)"</formula>
    </cfRule>
  </conditionalFormatting>
  <conditionalFormatting sqref="L42:L48">
    <cfRule type="expression" dxfId="39" priority="17" stopIfTrue="1">
      <formula>"esterreur(reference)"</formula>
    </cfRule>
  </conditionalFormatting>
  <conditionalFormatting sqref="L75:L82">
    <cfRule type="expression" dxfId="38" priority="6" stopIfTrue="1">
      <formula>"esterreur(reference)"</formula>
    </cfRule>
  </conditionalFormatting>
  <conditionalFormatting sqref="L156:L162">
    <cfRule type="expression" dxfId="37" priority="20" stopIfTrue="1">
      <formula>"esterreur(reference)"</formula>
    </cfRule>
  </conditionalFormatting>
  <conditionalFormatting sqref="L198:L209">
    <cfRule type="expression" dxfId="36" priority="18" stopIfTrue="1">
      <formula>"esterreur(reference)"</formula>
    </cfRule>
  </conditionalFormatting>
  <conditionalFormatting sqref="L211:L228">
    <cfRule type="expression" dxfId="35" priority="19" stopIfTrue="1">
      <formula>"esterreur(reference)"</formula>
    </cfRule>
  </conditionalFormatting>
  <conditionalFormatting sqref="L254:L265">
    <cfRule type="expression" dxfId="34" priority="23" stopIfTrue="1">
      <formula>"esterreur(reference)"</formula>
    </cfRule>
  </conditionalFormatting>
  <conditionalFormatting sqref="L331:L348">
    <cfRule type="expression" dxfId="33" priority="16" stopIfTrue="1">
      <formula>"esterreur(reference)"</formula>
    </cfRule>
  </conditionalFormatting>
  <conditionalFormatting sqref="L356:L357 H357:I357 K357 J357:J358 H359:L359">
    <cfRule type="expression" dxfId="32" priority="10" stopIfTrue="1">
      <formula>"esterreur(reference)"</formula>
    </cfRule>
  </conditionalFormatting>
  <conditionalFormatting sqref="M95:M97">
    <cfRule type="expression" dxfId="31" priority="5" stopIfTrue="1">
      <formula>"esterreur(reference)"</formula>
    </cfRule>
  </conditionalFormatting>
  <conditionalFormatting sqref="N197:N209">
    <cfRule type="expression" dxfId="30" priority="1" stopIfTrue="1">
      <formula>"esterreur(reference)"</formula>
    </cfRule>
  </conditionalFormatting>
  <conditionalFormatting sqref="N318:N328">
    <cfRule type="expression" dxfId="29" priority="2" stopIfTrue="1">
      <formula>"esterreur(reference)"</formula>
    </cfRule>
  </conditionalFormatting>
  <conditionalFormatting sqref="O295:P303 O304:Q306 O307:P308 O309:Q317 Q318:Q329 O318:P348 O349:Q349 O352:Q352 O353:P353">
    <cfRule type="expression" dxfId="28" priority="46" stopIfTrue="1">
      <formula>"esterreur(reference)"</formula>
    </cfRule>
  </conditionalFormatting>
  <conditionalFormatting sqref="O197:Q197">
    <cfRule type="expression" dxfId="27" priority="35" stopIfTrue="1">
      <formula>"esterreur(reference)"</formula>
    </cfRule>
  </conditionalFormatting>
  <conditionalFormatting sqref="O243:Q243 O252:Q253 O254:P284 Q282:Q285 O285 O288:Q288 O289:P289">
    <cfRule type="expression" dxfId="26" priority="41" stopIfTrue="1">
      <formula>"esterreur(reference)"</formula>
    </cfRule>
  </conditionalFormatting>
  <conditionalFormatting sqref="O359:Q394">
    <cfRule type="expression" dxfId="25" priority="48" stopIfTrue="1">
      <formula>"esterreur(reference)"</formula>
    </cfRule>
  </conditionalFormatting>
  <conditionalFormatting sqref="O396:Q399">
    <cfRule type="expression" dxfId="24" priority="49" stopIfTrue="1">
      <formula>"esterreur(reference)"</formula>
    </cfRule>
  </conditionalFormatting>
  <conditionalFormatting sqref="P5">
    <cfRule type="expression" dxfId="23" priority="29" stopIfTrue="1">
      <formula>"esterreur(reference)"</formula>
    </cfRule>
  </conditionalFormatting>
  <conditionalFormatting sqref="P175">
    <cfRule type="expression" dxfId="22" priority="38" stopIfTrue="1">
      <formula>"esterreur(reference)"</formula>
    </cfRule>
  </conditionalFormatting>
  <conditionalFormatting sqref="P178">
    <cfRule type="expression" dxfId="21" priority="39" stopIfTrue="1">
      <formula>"esterreur(reference)"</formula>
    </cfRule>
  </conditionalFormatting>
  <conditionalFormatting sqref="P181">
    <cfRule type="expression" dxfId="20" priority="40" stopIfTrue="1">
      <formula>"esterreur(reference)"</formula>
    </cfRule>
  </conditionalFormatting>
  <conditionalFormatting sqref="P395">
    <cfRule type="expression" dxfId="19" priority="50" stopIfTrue="1">
      <formula>"esterreur(reference)"</formula>
    </cfRule>
  </conditionalFormatting>
  <conditionalFormatting sqref="P93:Q96 O97:Q98 O156:P157 O164:Q164 O165:P165">
    <cfRule type="expression" dxfId="18" priority="32" stopIfTrue="1">
      <formula>"esterreur(reference)"</formula>
    </cfRule>
  </conditionalFormatting>
  <conditionalFormatting sqref="P99:Q100">
    <cfRule type="expression" dxfId="17" priority="31" stopIfTrue="1">
      <formula>"esterreur(reference)"</formula>
    </cfRule>
  </conditionalFormatting>
  <conditionalFormatting sqref="P172:Q173 O172:O196 Q174:Q175 P176:Q176 Q177:Q178 P179:Q179 Q180:Q181 P182:Q196 O198:P229 O232:Q232 O233:P233">
    <cfRule type="expression" dxfId="16" priority="34" stopIfTrue="1">
      <formula>"esterreur(reference)"</formula>
    </cfRule>
  </conditionalFormatting>
  <conditionalFormatting sqref="P241:Q241">
    <cfRule type="expression" dxfId="15" priority="45" stopIfTrue="1">
      <formula>"esterreur(reference)"</formula>
    </cfRule>
  </conditionalFormatting>
  <conditionalFormatting sqref="P244:Q244">
    <cfRule type="expression" dxfId="14" priority="42" stopIfTrue="1">
      <formula>"esterreur(reference)"</formula>
    </cfRule>
  </conditionalFormatting>
  <conditionalFormatting sqref="P247:Q247">
    <cfRule type="expression" dxfId="13" priority="43" stopIfTrue="1">
      <formula>"esterreur(reference)"</formula>
    </cfRule>
  </conditionalFormatting>
  <conditionalFormatting sqref="Q5:Q14 O13:O14 O16 Q16:Q24 O18:O24 O25:Q26 O27 Q27 O28:Q72 O83:Q85">
    <cfRule type="expression" dxfId="12" priority="28" stopIfTrue="1">
      <formula>"esterreur(reference)"</formula>
    </cfRule>
  </conditionalFormatting>
  <conditionalFormatting sqref="Q75:Q82">
    <cfRule type="expression" dxfId="11" priority="30" stopIfTrue="1">
      <formula>"esterreur(reference)"</formula>
    </cfRule>
  </conditionalFormatting>
  <conditionalFormatting sqref="Q156:Q162">
    <cfRule type="expression" dxfId="10" priority="33" stopIfTrue="1">
      <formula>"esterreur(reference)"</formula>
    </cfRule>
  </conditionalFormatting>
  <conditionalFormatting sqref="Q198:Q209">
    <cfRule type="expression" dxfId="9" priority="36" stopIfTrue="1">
      <formula>"esterreur(reference)"</formula>
    </cfRule>
  </conditionalFormatting>
  <conditionalFormatting sqref="Q211:Q228">
    <cfRule type="expression" dxfId="8" priority="37" stopIfTrue="1">
      <formula>"esterreur(reference)"</formula>
    </cfRule>
  </conditionalFormatting>
  <conditionalFormatting sqref="Q254:Q265">
    <cfRule type="expression" dxfId="7" priority="44" stopIfTrue="1">
      <formula>"esterreur(reference)"</formula>
    </cfRule>
  </conditionalFormatting>
  <conditionalFormatting sqref="Q331:Q348">
    <cfRule type="expression" dxfId="6" priority="47" stopIfTrue="1">
      <formula>"esterreur(reference)"</formula>
    </cfRule>
  </conditionalFormatting>
  <conditionalFormatting sqref="R312">
    <cfRule type="expression" dxfId="5" priority="7" stopIfTrue="1">
      <formula>"esterreur(reference)"</formula>
    </cfRule>
  </conditionalFormatting>
  <conditionalFormatting sqref="S186">
    <cfRule type="expression" dxfId="4" priority="26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8" operator="greaterThan">
      <formula>0</formula>
    </cfRule>
  </conditionalFormatting>
  <conditionalFormatting sqref="AH469:AI476 AH480:AI480">
    <cfRule type="cellIs" dxfId="2" priority="9" operator="lessThan">
      <formula>0</formula>
    </cfRule>
  </conditionalFormatting>
  <conditionalFormatting sqref="AH477:AI479">
    <cfRule type="cellIs" dxfId="1" priority="52" operator="greaterThan">
      <formula>0</formula>
    </cfRule>
  </conditionalFormatting>
  <conditionalFormatting sqref="AO409:AO418">
    <cfRule type="cellIs" dxfId="0" priority="27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defaultColWidth="11.19921875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Avril 2024</vt:lpstr>
      <vt:lpstr>Mai 2024</vt:lpstr>
      <vt:lpstr>Juin 2024</vt:lpstr>
      <vt:lpstr>END</vt:lpstr>
      <vt:lpstr>'Avril 2024'!Print_Area</vt:lpstr>
      <vt:lpstr>Conso!Print_Area</vt:lpstr>
      <vt:lpstr>'Juin 2024'!Print_Area</vt:lpstr>
      <vt:lpstr>'Mai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2024-07-15T19:03:17Z</dcterms:modified>
</cp:coreProperties>
</file>