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Shared drives\Volkswagen PA - Contrôleurs\1- Dossier de fin de mois\a) BV ; ÉF réalisé\2025\"/>
    </mc:Choice>
  </mc:AlternateContent>
  <xr:revisionPtr revIDLastSave="0" documentId="13_ncr:1_{09585C0C-1873-490F-9B1A-2FF74611C519}" xr6:coauthVersionLast="47" xr6:coauthVersionMax="47" xr10:uidLastSave="{00000000-0000-0000-0000-000000000000}"/>
  <bookViews>
    <workbookView xWindow="-120" yWindow="-120" windowWidth="29040" windowHeight="15720" activeTab="5" xr2:uid="{508BF4A0-C9FC-49F5-A5A9-A2907877ABE5}"/>
  </bookViews>
  <sheets>
    <sheet name="Paramètre" sheetId="2" r:id="rId1"/>
    <sheet name="Conso" sheetId="1" r:id="rId2"/>
    <sheet name="START" sheetId="3" r:id="rId3"/>
    <sheet name="Juillet 2025" sheetId="29" r:id="rId4"/>
    <sheet name="Aout 2025" sheetId="27" r:id="rId5"/>
    <sheet name="Septembre 2025" sheetId="30" r:id="rId6"/>
    <sheet name="END" sheetId="4" r:id="rId7"/>
  </sheets>
  <externalReferences>
    <externalReference r:id="rId8"/>
    <externalReference r:id="rId9"/>
    <externalReference r:id="rId10"/>
    <externalReference r:id="rId11"/>
    <externalReference r:id="rId12"/>
  </externalReferences>
  <definedNames>
    <definedName name="_Dates_Conc">[1]Dealers!$BF$37:$KA$63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hidden="1">{"finana",#N/A,FALSE,"Fin"}</definedName>
    <definedName name="limcount" hidden="1">1</definedName>
    <definedName name="lkhkhj" hidden="1">{"sub1",#N/A,FALSE,"Subs";"pac1",#N/A,FALSE,"Packages";"rev1",#N/A,FALSE,"2. Revenues"}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localSheetId="4">#REF!</definedName>
    <definedName name="Ticker" localSheetId="3">#REF!</definedName>
    <definedName name="Ticker" localSheetId="5">#REF!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hidden="1">{#N/A,#N/A,FALSE,"amendement"}</definedName>
    <definedName name="wrn.amendement.." hidden="1">{#N/A,#N/A,FALSE,"amendement"}</definedName>
    <definedName name="wrn.COMPCO." hidden="1">{"Page1",#N/A,FALSE,"CompCo";"Page2",#N/A,FALSE,"CompCo"}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execsum." hidden="1">{"execsum",#N/A,FALSE,"ExecSum";"finstatement",#N/A,FALSE,"Fin_St"}</definedName>
    <definedName name="wrn.Finanalysis." hidden="1">{"finana",#N/A,FALSE,"Fin"}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hidden="1">{"sub1",#N/A,FALSE,"Subs";"pac1",#N/A,FALSE,"Packages";"rev1",#N/A,FALSE,"2. Revenues"}</definedName>
    <definedName name="wrn.persrep." hidden="1">{"volu1",#N/A,FALSE,"Volumes";"headcount",#N/A,FALSE,"Headcount";"emprpt",#N/A,FALSE,"Output"}</definedName>
    <definedName name="wrn.PrintAll." hidden="1">{"PA1",#N/A,FALSE,"BORDMW";"pa2",#N/A,FALSE,"BORDMW";"PA3",#N/A,FALSE,"BORDMW";"PA4",#N/A,FALSE,"BORDMW"}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hidden="1">{"sales",#N/A,FALSE,"Sales";"sales existing",#N/A,FALSE,"Sales";"sales rd1",#N/A,FALSE,"Sales";"sales rd2",#N/A,FALSE,"Sales"}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4">'Aout 2025'!$C$1:$S$353,'Aout 2025'!$V$402:$AO$498</definedName>
    <definedName name="_xlnm.Print_Area" localSheetId="1">Conso!$C$1:$S$398,Conso!$V$401:$AO$497</definedName>
    <definedName name="_xlnm.Print_Area" localSheetId="3">'Juillet 2025'!$C$1:$S$353,'Juillet 2025'!$V$402:$AO$498</definedName>
    <definedName name="_xlnm.Print_Area" localSheetId="5">'Septembre 2025'!$C$1:$S$353,'Septembre 2025'!$V$402:$AO$498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6" i="1" l="1"/>
  <c r="L6" i="1" l="1"/>
  <c r="L75" i="1"/>
  <c r="AH500" i="1"/>
  <c r="AL461" i="1"/>
  <c r="AF461" i="1"/>
  <c r="AN500" i="1"/>
  <c r="AL500" i="1"/>
  <c r="AF500" i="1"/>
  <c r="Z500" i="1"/>
  <c r="AF420" i="1" l="1"/>
  <c r="AN461" i="1"/>
  <c r="Q144" i="1"/>
  <c r="F144" i="1"/>
  <c r="Q158" i="1"/>
  <c r="AL453" i="1"/>
  <c r="AL493" i="1"/>
  <c r="AL492" i="1"/>
  <c r="AL491" i="1"/>
  <c r="AO491" i="1" s="1"/>
  <c r="AL490" i="1"/>
  <c r="AL489" i="1"/>
  <c r="AO489" i="1" s="1"/>
  <c r="AL468" i="1"/>
  <c r="AL456" i="1"/>
  <c r="AL419" i="1"/>
  <c r="Q347" i="1"/>
  <c r="L347" i="1"/>
  <c r="I347" i="1"/>
  <c r="F347" i="1"/>
  <c r="L346" i="1"/>
  <c r="I346" i="1"/>
  <c r="F346" i="1"/>
  <c r="Q345" i="1"/>
  <c r="L345" i="1"/>
  <c r="I345" i="1"/>
  <c r="F345" i="1"/>
  <c r="Q284" i="1"/>
  <c r="L284" i="1"/>
  <c r="I284" i="1"/>
  <c r="F284" i="1"/>
  <c r="Q283" i="1"/>
  <c r="L283" i="1"/>
  <c r="I283" i="1"/>
  <c r="F283" i="1"/>
  <c r="Q282" i="1"/>
  <c r="L282" i="1"/>
  <c r="I282" i="1"/>
  <c r="F282" i="1"/>
  <c r="Q228" i="1"/>
  <c r="L228" i="1"/>
  <c r="I228" i="1"/>
  <c r="F228" i="1"/>
  <c r="Q227" i="1"/>
  <c r="L227" i="1"/>
  <c r="I227" i="1"/>
  <c r="F227" i="1"/>
  <c r="Q226" i="1"/>
  <c r="L226" i="1"/>
  <c r="I226" i="1"/>
  <c r="F226" i="1"/>
  <c r="Q209" i="1"/>
  <c r="L209" i="1"/>
  <c r="I209" i="1"/>
  <c r="F209" i="1"/>
  <c r="Q162" i="1"/>
  <c r="L162" i="1"/>
  <c r="I162" i="1"/>
  <c r="F162" i="1"/>
  <c r="L161" i="1"/>
  <c r="I161" i="1"/>
  <c r="Q160" i="1"/>
  <c r="L160" i="1"/>
  <c r="I160" i="1"/>
  <c r="F160" i="1"/>
  <c r="Q159" i="1"/>
  <c r="L159" i="1"/>
  <c r="I159" i="1"/>
  <c r="F159" i="1"/>
  <c r="L158" i="1"/>
  <c r="I158" i="1"/>
  <c r="F158" i="1"/>
  <c r="Q157" i="1"/>
  <c r="L157" i="1"/>
  <c r="I157" i="1"/>
  <c r="Q156" i="1"/>
  <c r="L156" i="1"/>
  <c r="I156" i="1"/>
  <c r="F156" i="1"/>
  <c r="Q152" i="1"/>
  <c r="L152" i="1"/>
  <c r="I152" i="1"/>
  <c r="F152" i="1"/>
  <c r="Q151" i="1"/>
  <c r="L151" i="1"/>
  <c r="I151" i="1"/>
  <c r="F151" i="1"/>
  <c r="Q150" i="1"/>
  <c r="L150" i="1"/>
  <c r="I150" i="1"/>
  <c r="F150" i="1"/>
  <c r="L149" i="1"/>
  <c r="I149" i="1"/>
  <c r="F149" i="1"/>
  <c r="Q148" i="1"/>
  <c r="L148" i="1"/>
  <c r="I148" i="1"/>
  <c r="F148" i="1"/>
  <c r="Q147" i="1"/>
  <c r="L147" i="1"/>
  <c r="I147" i="1"/>
  <c r="F147" i="1"/>
  <c r="L146" i="1"/>
  <c r="I146" i="1"/>
  <c r="F146" i="1"/>
  <c r="Q145" i="1"/>
  <c r="L145" i="1"/>
  <c r="I145" i="1"/>
  <c r="F145" i="1"/>
  <c r="L144" i="1"/>
  <c r="I144" i="1"/>
  <c r="Q143" i="1"/>
  <c r="L143" i="1"/>
  <c r="I143" i="1"/>
  <c r="F143" i="1"/>
  <c r="Q142" i="1"/>
  <c r="L142" i="1"/>
  <c r="I142" i="1"/>
  <c r="F142" i="1"/>
  <c r="Q141" i="1"/>
  <c r="L141" i="1"/>
  <c r="I141" i="1"/>
  <c r="F141" i="1"/>
  <c r="Q140" i="1"/>
  <c r="L140" i="1"/>
  <c r="I140" i="1"/>
  <c r="F140" i="1"/>
  <c r="L139" i="1"/>
  <c r="I139" i="1"/>
  <c r="F139" i="1"/>
  <c r="Q138" i="1"/>
  <c r="L138" i="1"/>
  <c r="I138" i="1"/>
  <c r="Q137" i="1"/>
  <c r="L137" i="1"/>
  <c r="I137" i="1"/>
  <c r="Q136" i="1"/>
  <c r="L136" i="1"/>
  <c r="I136" i="1"/>
  <c r="Q121" i="1"/>
  <c r="L121" i="1"/>
  <c r="I121" i="1"/>
  <c r="F121" i="1"/>
  <c r="L120" i="1"/>
  <c r="I120" i="1"/>
  <c r="F120" i="1"/>
  <c r="Q119" i="1"/>
  <c r="L119" i="1"/>
  <c r="I119" i="1"/>
  <c r="F119" i="1"/>
  <c r="Q134" i="1"/>
  <c r="L134" i="1"/>
  <c r="I134" i="1"/>
  <c r="F134" i="1"/>
  <c r="Q133" i="1"/>
  <c r="L133" i="1"/>
  <c r="I133" i="1"/>
  <c r="F133" i="1"/>
  <c r="Q132" i="1"/>
  <c r="L132" i="1"/>
  <c r="I132" i="1"/>
  <c r="F132" i="1"/>
  <c r="Q131" i="1"/>
  <c r="L131" i="1"/>
  <c r="I131" i="1"/>
  <c r="F131" i="1"/>
  <c r="Q130" i="1"/>
  <c r="L130" i="1"/>
  <c r="I130" i="1"/>
  <c r="F130" i="1"/>
  <c r="Q129" i="1"/>
  <c r="L129" i="1"/>
  <c r="I129" i="1"/>
  <c r="F129" i="1"/>
  <c r="Q128" i="1"/>
  <c r="L128" i="1"/>
  <c r="I128" i="1"/>
  <c r="F128" i="1"/>
  <c r="Q127" i="1"/>
  <c r="L127" i="1"/>
  <c r="I127" i="1"/>
  <c r="F127" i="1"/>
  <c r="Q126" i="1"/>
  <c r="L126" i="1"/>
  <c r="I126" i="1"/>
  <c r="F126" i="1"/>
  <c r="Q125" i="1"/>
  <c r="L125" i="1"/>
  <c r="I125" i="1"/>
  <c r="Q124" i="1"/>
  <c r="L124" i="1"/>
  <c r="I124" i="1"/>
  <c r="F124" i="1"/>
  <c r="L123" i="1"/>
  <c r="I123" i="1"/>
  <c r="F123" i="1"/>
  <c r="Q118" i="1"/>
  <c r="L118" i="1"/>
  <c r="I118" i="1"/>
  <c r="F118" i="1"/>
  <c r="Q117" i="1"/>
  <c r="L117" i="1"/>
  <c r="I117" i="1"/>
  <c r="F117" i="1"/>
  <c r="Q116" i="1"/>
  <c r="L116" i="1"/>
  <c r="I116" i="1"/>
  <c r="F116" i="1"/>
  <c r="Q115" i="1"/>
  <c r="L115" i="1"/>
  <c r="I115" i="1"/>
  <c r="F115" i="1"/>
  <c r="Q114" i="1"/>
  <c r="L114" i="1"/>
  <c r="I114" i="1"/>
  <c r="F114" i="1"/>
  <c r="Q113" i="1"/>
  <c r="L113" i="1"/>
  <c r="I113" i="1"/>
  <c r="F113" i="1"/>
  <c r="Q112" i="1"/>
  <c r="L112" i="1"/>
  <c r="I112" i="1"/>
  <c r="F112" i="1"/>
  <c r="AC479" i="1"/>
  <c r="AC478" i="1"/>
  <c r="AC477" i="1"/>
  <c r="AC431" i="1"/>
  <c r="AC430" i="1"/>
  <c r="AC417" i="1"/>
  <c r="AC416" i="1"/>
  <c r="AB416" i="1" s="1"/>
  <c r="AC415" i="1"/>
  <c r="AB415" i="1" s="1"/>
  <c r="AC496" i="1"/>
  <c r="AC495" i="1"/>
  <c r="AB495" i="1" s="1"/>
  <c r="AF494" i="1"/>
  <c r="AC494" i="1"/>
  <c r="AB494" i="1" s="1"/>
  <c r="AF493" i="1"/>
  <c r="AC493" i="1"/>
  <c r="AF492" i="1"/>
  <c r="AC492" i="1"/>
  <c r="AF491" i="1"/>
  <c r="AC491" i="1"/>
  <c r="AB491" i="1" s="1"/>
  <c r="AF490" i="1"/>
  <c r="AC490" i="1"/>
  <c r="AB490" i="1" s="1"/>
  <c r="AF489" i="1"/>
  <c r="AC489" i="1"/>
  <c r="Z489" i="1"/>
  <c r="AI489" i="1" s="1"/>
  <c r="AF463" i="1" l="1"/>
  <c r="AL464" i="1"/>
  <c r="AL463" i="1"/>
  <c r="AF464" i="1"/>
  <c r="AF462" i="1"/>
  <c r="N143" i="1"/>
  <c r="N156" i="1"/>
  <c r="N149" i="1"/>
  <c r="N124" i="1"/>
  <c r="N145" i="1"/>
  <c r="N114" i="1"/>
  <c r="N158" i="1"/>
  <c r="N132" i="1"/>
  <c r="N147" i="1"/>
  <c r="S118" i="1"/>
  <c r="N144" i="1"/>
  <c r="AH489" i="1"/>
  <c r="N126" i="1"/>
  <c r="S282" i="1"/>
  <c r="N129" i="1"/>
  <c r="N140" i="1"/>
  <c r="N117" i="1"/>
  <c r="S121" i="1"/>
  <c r="S116" i="1"/>
  <c r="N116" i="1"/>
  <c r="S113" i="1"/>
  <c r="N113" i="1"/>
  <c r="N141" i="1"/>
  <c r="N123" i="1"/>
  <c r="N127" i="1"/>
  <c r="N130" i="1"/>
  <c r="N133" i="1"/>
  <c r="N148" i="1"/>
  <c r="N142" i="1"/>
  <c r="S283" i="1"/>
  <c r="N128" i="1"/>
  <c r="N139" i="1"/>
  <c r="N146" i="1"/>
  <c r="N159" i="1"/>
  <c r="N131" i="1"/>
  <c r="N112" i="1"/>
  <c r="N115" i="1"/>
  <c r="N118" i="1"/>
  <c r="AB417" i="1"/>
  <c r="N227" i="1"/>
  <c r="N346" i="1"/>
  <c r="N347" i="1"/>
  <c r="S117" i="1"/>
  <c r="Q139" i="1"/>
  <c r="Q161" i="1"/>
  <c r="AL457" i="1"/>
  <c r="AL459" i="1"/>
  <c r="Q146" i="1"/>
  <c r="N150" i="1"/>
  <c r="S227" i="1"/>
  <c r="Q346" i="1"/>
  <c r="S346" i="1" s="1"/>
  <c r="Q120" i="1"/>
  <c r="S120" i="1" s="1"/>
  <c r="F157" i="1"/>
  <c r="N157" i="1" s="1"/>
  <c r="S284" i="1"/>
  <c r="AL452" i="1"/>
  <c r="Q123" i="1"/>
  <c r="S345" i="1"/>
  <c r="F137" i="1"/>
  <c r="N137" i="1" s="1"/>
  <c r="F161" i="1"/>
  <c r="AL460" i="1"/>
  <c r="N152" i="1"/>
  <c r="N161" i="1"/>
  <c r="F125" i="1"/>
  <c r="N125" i="1" s="1"/>
  <c r="N134" i="1"/>
  <c r="N121" i="1"/>
  <c r="AL454" i="1"/>
  <c r="F138" i="1"/>
  <c r="N138" i="1" s="1"/>
  <c r="AL455" i="1"/>
  <c r="F136" i="1"/>
  <c r="N136" i="1" s="1"/>
  <c r="N151" i="1"/>
  <c r="S209" i="1"/>
  <c r="S228" i="1"/>
  <c r="AL458" i="1"/>
  <c r="AB477" i="1"/>
  <c r="AB493" i="1"/>
  <c r="AB496" i="1"/>
  <c r="AB478" i="1"/>
  <c r="AB492" i="1"/>
  <c r="AB431" i="1"/>
  <c r="AB479" i="1"/>
  <c r="N119" i="1"/>
  <c r="N160" i="1"/>
  <c r="N162" i="1"/>
  <c r="N226" i="1"/>
  <c r="S347" i="1"/>
  <c r="J113" i="1"/>
  <c r="N345" i="1"/>
  <c r="S226" i="1"/>
  <c r="N228" i="1"/>
  <c r="N120" i="1"/>
  <c r="S119" i="1"/>
  <c r="S115" i="1"/>
  <c r="G113" i="1"/>
  <c r="S114" i="1"/>
  <c r="AB430" i="1"/>
  <c r="AN491" i="1"/>
  <c r="AN490" i="1"/>
  <c r="AO490" i="1" s="1"/>
  <c r="AN493" i="1"/>
  <c r="AO493" i="1"/>
  <c r="AN489" i="1"/>
  <c r="AB489" i="1"/>
  <c r="AN492" i="1"/>
  <c r="AO492" i="1" s="1"/>
  <c r="AC476" i="1"/>
  <c r="AC475" i="1"/>
  <c r="AC474" i="1"/>
  <c r="AB474" i="1" s="1"/>
  <c r="AC473" i="1"/>
  <c r="AB473" i="1" s="1"/>
  <c r="AC472" i="1"/>
  <c r="AC471" i="1"/>
  <c r="AC470" i="1"/>
  <c r="AB470" i="1" s="1"/>
  <c r="AC469" i="1"/>
  <c r="AF468" i="1"/>
  <c r="AC468" i="1"/>
  <c r="AO461" i="1"/>
  <c r="AC461" i="1"/>
  <c r="Z461" i="1"/>
  <c r="AF460" i="1"/>
  <c r="AC460" i="1"/>
  <c r="AB460" i="1" s="1"/>
  <c r="AF459" i="1"/>
  <c r="AC459" i="1"/>
  <c r="AB459" i="1" s="1"/>
  <c r="AF458" i="1"/>
  <c r="AC458" i="1"/>
  <c r="AF457" i="1"/>
  <c r="AC457" i="1"/>
  <c r="AF456" i="1"/>
  <c r="AC456" i="1"/>
  <c r="AB456" i="1" s="1"/>
  <c r="AF455" i="1"/>
  <c r="AC455" i="1"/>
  <c r="AB455" i="1" s="1"/>
  <c r="AF454" i="1"/>
  <c r="AC454" i="1"/>
  <c r="AF453" i="1"/>
  <c r="AC453" i="1"/>
  <c r="AB453" i="1" s="1"/>
  <c r="AF452" i="1"/>
  <c r="AC452" i="1"/>
  <c r="AC450" i="1"/>
  <c r="AC449" i="1"/>
  <c r="AB449" i="1" s="1"/>
  <c r="AC448" i="1"/>
  <c r="AC447" i="1"/>
  <c r="AC446" i="1"/>
  <c r="AB446" i="1" s="1"/>
  <c r="AC445" i="1"/>
  <c r="AB445" i="1" s="1"/>
  <c r="AC444" i="1"/>
  <c r="AB444" i="1" s="1"/>
  <c r="AC443" i="1"/>
  <c r="AC442" i="1"/>
  <c r="AB442" i="1" s="1"/>
  <c r="AC441" i="1"/>
  <c r="AB441" i="1" s="1"/>
  <c r="AC440" i="1"/>
  <c r="AC439" i="1"/>
  <c r="AC438" i="1"/>
  <c r="AC437" i="1"/>
  <c r="AB437" i="1" s="1"/>
  <c r="AC436" i="1"/>
  <c r="AB436" i="1" s="1"/>
  <c r="AC435" i="1"/>
  <c r="AC434" i="1"/>
  <c r="AB434" i="1" s="1"/>
  <c r="AC433" i="1"/>
  <c r="AB433" i="1" s="1"/>
  <c r="AC429" i="1"/>
  <c r="AB429" i="1" s="1"/>
  <c r="AC428" i="1"/>
  <c r="AC427" i="1"/>
  <c r="AB427" i="1" s="1"/>
  <c r="AC426" i="1"/>
  <c r="AC425" i="1"/>
  <c r="AB425" i="1" s="1"/>
  <c r="AC424" i="1"/>
  <c r="AB424" i="1" s="1"/>
  <c r="AC423" i="1"/>
  <c r="AC422" i="1"/>
  <c r="AC421" i="1"/>
  <c r="AB421" i="1" s="1"/>
  <c r="AC420" i="1"/>
  <c r="AB420" i="1" s="1"/>
  <c r="AF419" i="1"/>
  <c r="AC419" i="1"/>
  <c r="AC414" i="1"/>
  <c r="AC413" i="1"/>
  <c r="AC412" i="1"/>
  <c r="AC411" i="1"/>
  <c r="AB411" i="1" s="1"/>
  <c r="AC410" i="1"/>
  <c r="AC409" i="1"/>
  <c r="AC408" i="1"/>
  <c r="Q104" i="1"/>
  <c r="O104" i="1"/>
  <c r="P104" i="1" s="1"/>
  <c r="L104" i="1"/>
  <c r="J104" i="1"/>
  <c r="K104" i="1" s="1"/>
  <c r="I104" i="1"/>
  <c r="G104" i="1"/>
  <c r="H104" i="1" s="1"/>
  <c r="F104" i="1"/>
  <c r="D104" i="1"/>
  <c r="E104" i="1" s="1"/>
  <c r="Q103" i="1"/>
  <c r="O103" i="1"/>
  <c r="P103" i="1" s="1"/>
  <c r="L103" i="1"/>
  <c r="J103" i="1"/>
  <c r="K103" i="1" s="1"/>
  <c r="I103" i="1"/>
  <c r="G103" i="1"/>
  <c r="H103" i="1" s="1"/>
  <c r="F103" i="1"/>
  <c r="D103" i="1"/>
  <c r="E103" i="1" s="1"/>
  <c r="Q102" i="1"/>
  <c r="O102" i="1"/>
  <c r="P102" i="1" s="1"/>
  <c r="L102" i="1"/>
  <c r="J102" i="1"/>
  <c r="K102" i="1" s="1"/>
  <c r="I102" i="1"/>
  <c r="G102" i="1"/>
  <c r="H102" i="1" s="1"/>
  <c r="F102" i="1"/>
  <c r="D102" i="1"/>
  <c r="E102" i="1" s="1"/>
  <c r="Q100" i="1"/>
  <c r="O100" i="1"/>
  <c r="L100" i="1"/>
  <c r="J100" i="1"/>
  <c r="I100" i="1"/>
  <c r="G100" i="1"/>
  <c r="F100" i="1"/>
  <c r="D100" i="1"/>
  <c r="Q99" i="1"/>
  <c r="O99" i="1"/>
  <c r="L99" i="1"/>
  <c r="J99" i="1"/>
  <c r="I99" i="1"/>
  <c r="G99" i="1"/>
  <c r="F99" i="1"/>
  <c r="D99" i="1"/>
  <c r="Q184" i="1"/>
  <c r="L184" i="1"/>
  <c r="I184" i="1"/>
  <c r="F184" i="1"/>
  <c r="Q359" i="1"/>
  <c r="O359" i="1"/>
  <c r="L359" i="1"/>
  <c r="J359" i="1"/>
  <c r="I359" i="1"/>
  <c r="G359" i="1"/>
  <c r="F359" i="1"/>
  <c r="D359" i="1"/>
  <c r="M359" i="1" s="1"/>
  <c r="L344" i="1"/>
  <c r="I344" i="1"/>
  <c r="F344" i="1"/>
  <c r="Q343" i="1"/>
  <c r="L343" i="1"/>
  <c r="I343" i="1"/>
  <c r="F343" i="1"/>
  <c r="Q342" i="1"/>
  <c r="L342" i="1"/>
  <c r="I342" i="1"/>
  <c r="F342" i="1"/>
  <c r="Q341" i="1"/>
  <c r="L341" i="1"/>
  <c r="I341" i="1"/>
  <c r="F341" i="1"/>
  <c r="Q340" i="1"/>
  <c r="L340" i="1"/>
  <c r="I340" i="1"/>
  <c r="F340" i="1"/>
  <c r="Q339" i="1"/>
  <c r="L339" i="1"/>
  <c r="I339" i="1"/>
  <c r="F339" i="1"/>
  <c r="Q338" i="1"/>
  <c r="L338" i="1"/>
  <c r="I338" i="1"/>
  <c r="F338" i="1"/>
  <c r="Q337" i="1"/>
  <c r="L337" i="1"/>
  <c r="I337" i="1"/>
  <c r="F337" i="1"/>
  <c r="Q336" i="1"/>
  <c r="L336" i="1"/>
  <c r="I336" i="1"/>
  <c r="F336" i="1"/>
  <c r="Q335" i="1"/>
  <c r="L335" i="1"/>
  <c r="I335" i="1"/>
  <c r="F335" i="1"/>
  <c r="Q334" i="1"/>
  <c r="L334" i="1"/>
  <c r="I334" i="1"/>
  <c r="F334" i="1"/>
  <c r="Q333" i="1"/>
  <c r="L333" i="1"/>
  <c r="I333" i="1"/>
  <c r="F333" i="1"/>
  <c r="Q332" i="1"/>
  <c r="L332" i="1"/>
  <c r="I332" i="1"/>
  <c r="F332" i="1"/>
  <c r="Q331" i="1"/>
  <c r="L331" i="1"/>
  <c r="I331" i="1"/>
  <c r="F331" i="1"/>
  <c r="Q330" i="1"/>
  <c r="L330" i="1"/>
  <c r="I330" i="1"/>
  <c r="F330" i="1"/>
  <c r="Q328" i="1"/>
  <c r="L328" i="1"/>
  <c r="I328" i="1"/>
  <c r="F328" i="1"/>
  <c r="Q327" i="1"/>
  <c r="L327" i="1"/>
  <c r="I327" i="1"/>
  <c r="F327" i="1"/>
  <c r="Q326" i="1"/>
  <c r="L326" i="1"/>
  <c r="I326" i="1"/>
  <c r="F326" i="1"/>
  <c r="Q325" i="1"/>
  <c r="L325" i="1"/>
  <c r="I325" i="1"/>
  <c r="F325" i="1"/>
  <c r="Q324" i="1"/>
  <c r="L324" i="1"/>
  <c r="I324" i="1"/>
  <c r="F324" i="1"/>
  <c r="Q323" i="1"/>
  <c r="L323" i="1"/>
  <c r="I323" i="1"/>
  <c r="F323" i="1"/>
  <c r="Q322" i="1"/>
  <c r="L322" i="1"/>
  <c r="I322" i="1"/>
  <c r="F322" i="1"/>
  <c r="Q321" i="1"/>
  <c r="L321" i="1"/>
  <c r="I321" i="1"/>
  <c r="F321" i="1"/>
  <c r="Q320" i="1"/>
  <c r="L320" i="1"/>
  <c r="I320" i="1"/>
  <c r="F320" i="1"/>
  <c r="Q319" i="1"/>
  <c r="L319" i="1"/>
  <c r="I319" i="1"/>
  <c r="F319" i="1"/>
  <c r="Q318" i="1"/>
  <c r="L318" i="1"/>
  <c r="I318" i="1"/>
  <c r="F318" i="1"/>
  <c r="Q312" i="1"/>
  <c r="O312" i="1"/>
  <c r="R312" i="1" s="1"/>
  <c r="L312" i="1"/>
  <c r="J312" i="1"/>
  <c r="I312" i="1"/>
  <c r="G312" i="1"/>
  <c r="H312" i="1" s="1"/>
  <c r="F312" i="1"/>
  <c r="D312" i="1"/>
  <c r="E312" i="1" s="1"/>
  <c r="Q311" i="1"/>
  <c r="O311" i="1"/>
  <c r="R311" i="1" s="1"/>
  <c r="L311" i="1"/>
  <c r="J311" i="1"/>
  <c r="I311" i="1"/>
  <c r="G311" i="1"/>
  <c r="H311" i="1" s="1"/>
  <c r="F311" i="1"/>
  <c r="D311" i="1"/>
  <c r="E311" i="1" s="1"/>
  <c r="Q308" i="1"/>
  <c r="O308" i="1"/>
  <c r="L308" i="1"/>
  <c r="J308" i="1"/>
  <c r="I308" i="1"/>
  <c r="G308" i="1"/>
  <c r="H308" i="1" s="1"/>
  <c r="F308" i="1"/>
  <c r="D308" i="1"/>
  <c r="Q307" i="1"/>
  <c r="O307" i="1"/>
  <c r="L307" i="1"/>
  <c r="J307" i="1"/>
  <c r="I307" i="1"/>
  <c r="G307" i="1"/>
  <c r="H307" i="1" s="1"/>
  <c r="F307" i="1"/>
  <c r="D307" i="1"/>
  <c r="Q303" i="1"/>
  <c r="O303" i="1"/>
  <c r="P303" i="1" s="1"/>
  <c r="L303" i="1"/>
  <c r="J303" i="1"/>
  <c r="I303" i="1"/>
  <c r="G303" i="1"/>
  <c r="H303" i="1" s="1"/>
  <c r="F303" i="1"/>
  <c r="D303" i="1"/>
  <c r="E303" i="1" s="1"/>
  <c r="Q302" i="1"/>
  <c r="O302" i="1"/>
  <c r="R302" i="1" s="1"/>
  <c r="L302" i="1"/>
  <c r="J302" i="1"/>
  <c r="I302" i="1"/>
  <c r="G302" i="1"/>
  <c r="H302" i="1" s="1"/>
  <c r="F302" i="1"/>
  <c r="D302" i="1"/>
  <c r="E302" i="1" s="1"/>
  <c r="Q301" i="1"/>
  <c r="O301" i="1"/>
  <c r="R301" i="1" s="1"/>
  <c r="L301" i="1"/>
  <c r="J301" i="1"/>
  <c r="I301" i="1"/>
  <c r="G301" i="1"/>
  <c r="H301" i="1" s="1"/>
  <c r="F301" i="1"/>
  <c r="D301" i="1"/>
  <c r="E301" i="1" s="1"/>
  <c r="Q300" i="1"/>
  <c r="O300" i="1"/>
  <c r="L300" i="1"/>
  <c r="J300" i="1"/>
  <c r="I300" i="1"/>
  <c r="G300" i="1"/>
  <c r="H300" i="1" s="1"/>
  <c r="F300" i="1"/>
  <c r="D300" i="1"/>
  <c r="Q299" i="1"/>
  <c r="O299" i="1"/>
  <c r="L299" i="1"/>
  <c r="J299" i="1"/>
  <c r="I299" i="1"/>
  <c r="G299" i="1"/>
  <c r="H299" i="1" s="1"/>
  <c r="F299" i="1"/>
  <c r="D299" i="1"/>
  <c r="Q298" i="1"/>
  <c r="O298" i="1"/>
  <c r="L298" i="1"/>
  <c r="J298" i="1"/>
  <c r="I298" i="1"/>
  <c r="G298" i="1"/>
  <c r="H298" i="1" s="1"/>
  <c r="F298" i="1"/>
  <c r="D298" i="1"/>
  <c r="Q297" i="1"/>
  <c r="O297" i="1"/>
  <c r="L297" i="1"/>
  <c r="J297" i="1"/>
  <c r="I297" i="1"/>
  <c r="G297" i="1"/>
  <c r="H297" i="1" s="1"/>
  <c r="F297" i="1"/>
  <c r="D297" i="1"/>
  <c r="Q296" i="1"/>
  <c r="O296" i="1"/>
  <c r="L296" i="1"/>
  <c r="J296" i="1"/>
  <c r="I296" i="1"/>
  <c r="G296" i="1"/>
  <c r="H296" i="1" s="1"/>
  <c r="F296" i="1"/>
  <c r="D296" i="1"/>
  <c r="Q295" i="1"/>
  <c r="O295" i="1"/>
  <c r="L295" i="1"/>
  <c r="J295" i="1"/>
  <c r="I295" i="1"/>
  <c r="G295" i="1"/>
  <c r="F295" i="1"/>
  <c r="D295" i="1"/>
  <c r="L281" i="1"/>
  <c r="I281" i="1"/>
  <c r="F281" i="1"/>
  <c r="Q280" i="1"/>
  <c r="L280" i="1"/>
  <c r="I280" i="1"/>
  <c r="F280" i="1"/>
  <c r="Q279" i="1"/>
  <c r="L279" i="1"/>
  <c r="I279" i="1"/>
  <c r="F279" i="1"/>
  <c r="Q278" i="1"/>
  <c r="L278" i="1"/>
  <c r="I278" i="1"/>
  <c r="F278" i="1"/>
  <c r="Q277" i="1"/>
  <c r="L277" i="1"/>
  <c r="I277" i="1"/>
  <c r="F277" i="1"/>
  <c r="Q276" i="1"/>
  <c r="L276" i="1"/>
  <c r="I276" i="1"/>
  <c r="F276" i="1"/>
  <c r="Q275" i="1"/>
  <c r="L275" i="1"/>
  <c r="I275" i="1"/>
  <c r="F275" i="1"/>
  <c r="Q274" i="1"/>
  <c r="L274" i="1"/>
  <c r="I274" i="1"/>
  <c r="F274" i="1"/>
  <c r="Q273" i="1"/>
  <c r="L273" i="1"/>
  <c r="I273" i="1"/>
  <c r="F273" i="1"/>
  <c r="Q272" i="1"/>
  <c r="L272" i="1"/>
  <c r="I272" i="1"/>
  <c r="F272" i="1"/>
  <c r="Q271" i="1"/>
  <c r="L271" i="1"/>
  <c r="I271" i="1"/>
  <c r="F271" i="1"/>
  <c r="Q270" i="1"/>
  <c r="L270" i="1"/>
  <c r="I270" i="1"/>
  <c r="F270" i="1"/>
  <c r="Q269" i="1"/>
  <c r="L269" i="1"/>
  <c r="I269" i="1"/>
  <c r="F269" i="1"/>
  <c r="Q268" i="1"/>
  <c r="L268" i="1"/>
  <c r="I268" i="1"/>
  <c r="F268" i="1"/>
  <c r="Q267" i="1"/>
  <c r="L267" i="1"/>
  <c r="I267" i="1"/>
  <c r="F267" i="1"/>
  <c r="Q264" i="1"/>
  <c r="L264" i="1"/>
  <c r="I264" i="1"/>
  <c r="F264" i="1"/>
  <c r="Q263" i="1"/>
  <c r="L263" i="1"/>
  <c r="I263" i="1"/>
  <c r="F263" i="1"/>
  <c r="Q262" i="1"/>
  <c r="L262" i="1"/>
  <c r="I262" i="1"/>
  <c r="F262" i="1"/>
  <c r="Q261" i="1"/>
  <c r="L261" i="1"/>
  <c r="I261" i="1"/>
  <c r="F261" i="1"/>
  <c r="Q260" i="1"/>
  <c r="L260" i="1"/>
  <c r="I260" i="1"/>
  <c r="F260" i="1"/>
  <c r="Q259" i="1"/>
  <c r="L259" i="1"/>
  <c r="I259" i="1"/>
  <c r="F259" i="1"/>
  <c r="Q258" i="1"/>
  <c r="L258" i="1"/>
  <c r="I258" i="1"/>
  <c r="F258" i="1"/>
  <c r="Q257" i="1"/>
  <c r="L257" i="1"/>
  <c r="I257" i="1"/>
  <c r="F257" i="1"/>
  <c r="Q256" i="1"/>
  <c r="L256" i="1"/>
  <c r="I256" i="1"/>
  <c r="F256" i="1"/>
  <c r="Q255" i="1"/>
  <c r="L255" i="1"/>
  <c r="I255" i="1"/>
  <c r="F255" i="1"/>
  <c r="Q254" i="1"/>
  <c r="L254" i="1"/>
  <c r="I254" i="1"/>
  <c r="F254" i="1"/>
  <c r="Q247" i="1"/>
  <c r="P247" i="1"/>
  <c r="O247" i="1"/>
  <c r="R247" i="1" s="1"/>
  <c r="L247" i="1"/>
  <c r="K247" i="1"/>
  <c r="J247" i="1"/>
  <c r="I247" i="1"/>
  <c r="H247" i="1"/>
  <c r="G247" i="1"/>
  <c r="F247" i="1"/>
  <c r="E247" i="1"/>
  <c r="D247" i="1"/>
  <c r="Q244" i="1"/>
  <c r="P244" i="1"/>
  <c r="O244" i="1"/>
  <c r="R244" i="1" s="1"/>
  <c r="L244" i="1"/>
  <c r="K244" i="1"/>
  <c r="J244" i="1"/>
  <c r="I244" i="1"/>
  <c r="H244" i="1"/>
  <c r="G244" i="1"/>
  <c r="F244" i="1"/>
  <c r="E244" i="1"/>
  <c r="D244" i="1"/>
  <c r="Q241" i="1"/>
  <c r="P241" i="1"/>
  <c r="O241" i="1"/>
  <c r="L241" i="1"/>
  <c r="K241" i="1"/>
  <c r="J241" i="1"/>
  <c r="I241" i="1"/>
  <c r="H241" i="1"/>
  <c r="G241" i="1"/>
  <c r="F241" i="1"/>
  <c r="E241" i="1"/>
  <c r="D241" i="1"/>
  <c r="L225" i="1"/>
  <c r="I225" i="1"/>
  <c r="F225" i="1"/>
  <c r="Q224" i="1"/>
  <c r="L224" i="1"/>
  <c r="I224" i="1"/>
  <c r="F224" i="1"/>
  <c r="Q223" i="1"/>
  <c r="L223" i="1"/>
  <c r="I223" i="1"/>
  <c r="F223" i="1"/>
  <c r="Q222" i="1"/>
  <c r="L222" i="1"/>
  <c r="I222" i="1"/>
  <c r="F222" i="1"/>
  <c r="Q221" i="1"/>
  <c r="L221" i="1"/>
  <c r="I221" i="1"/>
  <c r="F221" i="1"/>
  <c r="Q220" i="1"/>
  <c r="L220" i="1"/>
  <c r="I220" i="1"/>
  <c r="F220" i="1"/>
  <c r="Q219" i="1"/>
  <c r="L219" i="1"/>
  <c r="I219" i="1"/>
  <c r="F219" i="1"/>
  <c r="Q218" i="1"/>
  <c r="L218" i="1"/>
  <c r="I218" i="1"/>
  <c r="F218" i="1"/>
  <c r="Q217" i="1"/>
  <c r="L217" i="1"/>
  <c r="I217" i="1"/>
  <c r="F217" i="1"/>
  <c r="Q216" i="1"/>
  <c r="L216" i="1"/>
  <c r="I216" i="1"/>
  <c r="F216" i="1"/>
  <c r="Q215" i="1"/>
  <c r="L215" i="1"/>
  <c r="I215" i="1"/>
  <c r="F215" i="1"/>
  <c r="Q214" i="1"/>
  <c r="L214" i="1"/>
  <c r="I214" i="1"/>
  <c r="F214" i="1"/>
  <c r="Q213" i="1"/>
  <c r="L213" i="1"/>
  <c r="I213" i="1"/>
  <c r="F213" i="1"/>
  <c r="Q212" i="1"/>
  <c r="L212" i="1"/>
  <c r="I212" i="1"/>
  <c r="F212" i="1"/>
  <c r="Q211" i="1"/>
  <c r="L211" i="1"/>
  <c r="I211" i="1"/>
  <c r="F211" i="1"/>
  <c r="Q208" i="1"/>
  <c r="L208" i="1"/>
  <c r="I208" i="1"/>
  <c r="F208" i="1"/>
  <c r="Q207" i="1"/>
  <c r="L207" i="1"/>
  <c r="I207" i="1"/>
  <c r="F207" i="1"/>
  <c r="Q206" i="1"/>
  <c r="L206" i="1"/>
  <c r="I206" i="1"/>
  <c r="F206" i="1"/>
  <c r="Q205" i="1"/>
  <c r="L205" i="1"/>
  <c r="I205" i="1"/>
  <c r="F205" i="1"/>
  <c r="Q204" i="1"/>
  <c r="L204" i="1"/>
  <c r="I204" i="1"/>
  <c r="F204" i="1"/>
  <c r="Q203" i="1"/>
  <c r="L203" i="1"/>
  <c r="I203" i="1"/>
  <c r="F203" i="1"/>
  <c r="Q202" i="1"/>
  <c r="L202" i="1"/>
  <c r="I202" i="1"/>
  <c r="F202" i="1"/>
  <c r="Q201" i="1"/>
  <c r="L201" i="1"/>
  <c r="I201" i="1"/>
  <c r="F201" i="1"/>
  <c r="Q200" i="1"/>
  <c r="L200" i="1"/>
  <c r="I200" i="1"/>
  <c r="F200" i="1"/>
  <c r="Q199" i="1"/>
  <c r="L199" i="1"/>
  <c r="I199" i="1"/>
  <c r="F199" i="1"/>
  <c r="Q198" i="1"/>
  <c r="L198" i="1"/>
  <c r="I198" i="1"/>
  <c r="F198" i="1"/>
  <c r="Q191" i="1"/>
  <c r="P191" i="1"/>
  <c r="L191" i="1"/>
  <c r="K191" i="1"/>
  <c r="I191" i="1"/>
  <c r="H191" i="1"/>
  <c r="F191" i="1"/>
  <c r="E191" i="1"/>
  <c r="Q188" i="1"/>
  <c r="P188" i="1"/>
  <c r="L188" i="1"/>
  <c r="K188" i="1"/>
  <c r="I188" i="1"/>
  <c r="H188" i="1"/>
  <c r="F188" i="1"/>
  <c r="E188" i="1"/>
  <c r="Q181" i="1"/>
  <c r="P181" i="1"/>
  <c r="O181" i="1"/>
  <c r="L181" i="1"/>
  <c r="K181" i="1"/>
  <c r="J181" i="1"/>
  <c r="I181" i="1"/>
  <c r="H181" i="1"/>
  <c r="G181" i="1"/>
  <c r="F181" i="1"/>
  <c r="E181" i="1"/>
  <c r="D181" i="1"/>
  <c r="Q178" i="1"/>
  <c r="P178" i="1"/>
  <c r="O178" i="1"/>
  <c r="L178" i="1"/>
  <c r="K178" i="1"/>
  <c r="J178" i="1"/>
  <c r="I178" i="1"/>
  <c r="H178" i="1"/>
  <c r="G178" i="1"/>
  <c r="F178" i="1"/>
  <c r="E178" i="1"/>
  <c r="D178" i="1"/>
  <c r="D175" i="1"/>
  <c r="Q175" i="1"/>
  <c r="P175" i="1"/>
  <c r="O175" i="1"/>
  <c r="L175" i="1"/>
  <c r="K175" i="1"/>
  <c r="J175" i="1"/>
  <c r="I175" i="1"/>
  <c r="H175" i="1"/>
  <c r="G175" i="1"/>
  <c r="F175" i="1"/>
  <c r="E175" i="1"/>
  <c r="Q172" i="1"/>
  <c r="P172" i="1"/>
  <c r="O172" i="1"/>
  <c r="L172" i="1"/>
  <c r="K172" i="1"/>
  <c r="J172" i="1"/>
  <c r="I172" i="1"/>
  <c r="H172" i="1"/>
  <c r="G172" i="1"/>
  <c r="D172" i="1"/>
  <c r="F172" i="1"/>
  <c r="E172" i="1"/>
  <c r="N256" i="1" l="1"/>
  <c r="N259" i="1"/>
  <c r="N262" i="1"/>
  <c r="N267" i="1"/>
  <c r="N270" i="1"/>
  <c r="N273" i="1"/>
  <c r="N276" i="1"/>
  <c r="N191" i="1"/>
  <c r="N255" i="1"/>
  <c r="N258" i="1"/>
  <c r="N261" i="1"/>
  <c r="N264" i="1"/>
  <c r="N269" i="1"/>
  <c r="N272" i="1"/>
  <c r="N275" i="1"/>
  <c r="N278" i="1"/>
  <c r="N281" i="1"/>
  <c r="N279" i="1"/>
  <c r="N254" i="1"/>
  <c r="N257" i="1"/>
  <c r="N260" i="1"/>
  <c r="N263" i="1"/>
  <c r="N268" i="1"/>
  <c r="N271" i="1"/>
  <c r="N274" i="1"/>
  <c r="N277" i="1"/>
  <c r="N280" i="1"/>
  <c r="AL462" i="1"/>
  <c r="AN462" i="1" s="1"/>
  <c r="Z463" i="1"/>
  <c r="AN463" i="1"/>
  <c r="N175" i="1"/>
  <c r="AN464" i="1"/>
  <c r="Z464" i="1"/>
  <c r="Z462" i="1"/>
  <c r="P296" i="1"/>
  <c r="M175" i="1"/>
  <c r="E296" i="1"/>
  <c r="R297" i="1"/>
  <c r="N203" i="1"/>
  <c r="K301" i="1"/>
  <c r="M301" i="1"/>
  <c r="M247" i="1"/>
  <c r="M299" i="1"/>
  <c r="N200" i="1"/>
  <c r="N244" i="1"/>
  <c r="N245" i="1" s="1"/>
  <c r="N220" i="1"/>
  <c r="K303" i="1"/>
  <c r="M303" i="1"/>
  <c r="M297" i="1"/>
  <c r="K312" i="1"/>
  <c r="M312" i="1"/>
  <c r="M244" i="1"/>
  <c r="AH461" i="1"/>
  <c r="AI461" i="1"/>
  <c r="N211" i="1"/>
  <c r="N223" i="1"/>
  <c r="M241" i="1"/>
  <c r="K296" i="1"/>
  <c r="M296" i="1"/>
  <c r="M298" i="1"/>
  <c r="M300" i="1"/>
  <c r="K302" i="1"/>
  <c r="M302" i="1"/>
  <c r="M307" i="1"/>
  <c r="M295" i="1"/>
  <c r="M308" i="1"/>
  <c r="M172" i="1"/>
  <c r="M178" i="1"/>
  <c r="N241" i="1"/>
  <c r="N302" i="1"/>
  <c r="K311" i="1"/>
  <c r="M311" i="1"/>
  <c r="N320" i="1"/>
  <c r="N323" i="1"/>
  <c r="N326" i="1"/>
  <c r="N330" i="1"/>
  <c r="N333" i="1"/>
  <c r="N336" i="1"/>
  <c r="N339" i="1"/>
  <c r="N342" i="1"/>
  <c r="N303" i="1"/>
  <c r="N247" i="1"/>
  <c r="N178" i="1"/>
  <c r="N311" i="1"/>
  <c r="N188" i="1"/>
  <c r="N163" i="1"/>
  <c r="N122" i="1"/>
  <c r="N184" i="1"/>
  <c r="N319" i="1"/>
  <c r="N322" i="1"/>
  <c r="N325" i="1"/>
  <c r="N328" i="1"/>
  <c r="N332" i="1"/>
  <c r="N335" i="1"/>
  <c r="N338" i="1"/>
  <c r="N344" i="1"/>
  <c r="N172" i="1"/>
  <c r="N199" i="1"/>
  <c r="N202" i="1"/>
  <c r="N208" i="1"/>
  <c r="N213" i="1"/>
  <c r="N216" i="1"/>
  <c r="N219" i="1"/>
  <c r="N222" i="1"/>
  <c r="N225" i="1"/>
  <c r="M100" i="1"/>
  <c r="N295" i="1"/>
  <c r="N298" i="1"/>
  <c r="N301" i="1"/>
  <c r="K297" i="1"/>
  <c r="E299" i="1"/>
  <c r="N359" i="1"/>
  <c r="N361" i="1" s="1"/>
  <c r="N99" i="1"/>
  <c r="N103" i="1"/>
  <c r="N153" i="1"/>
  <c r="S205" i="1"/>
  <c r="N205" i="1"/>
  <c r="E297" i="1"/>
  <c r="K298" i="1"/>
  <c r="S341" i="1"/>
  <c r="N341" i="1"/>
  <c r="N135" i="1"/>
  <c r="N307" i="1"/>
  <c r="N100" i="1"/>
  <c r="N104" i="1"/>
  <c r="P301" i="1"/>
  <c r="N312" i="1"/>
  <c r="S206" i="1"/>
  <c r="N206" i="1"/>
  <c r="S214" i="1"/>
  <c r="N214" i="1"/>
  <c r="S217" i="1"/>
  <c r="N217" i="1"/>
  <c r="N297" i="1"/>
  <c r="N300" i="1"/>
  <c r="M99" i="1"/>
  <c r="AB450" i="1"/>
  <c r="N198" i="1"/>
  <c r="S201" i="1"/>
  <c r="N201" i="1"/>
  <c r="N204" i="1"/>
  <c r="N207" i="1"/>
  <c r="N212" i="1"/>
  <c r="N215" i="1"/>
  <c r="S218" i="1"/>
  <c r="N218" i="1"/>
  <c r="N221" i="1"/>
  <c r="N224" i="1"/>
  <c r="N318" i="1"/>
  <c r="S321" i="1"/>
  <c r="N321" i="1"/>
  <c r="S324" i="1"/>
  <c r="N324" i="1"/>
  <c r="N327" i="1"/>
  <c r="N331" i="1"/>
  <c r="N334" i="1"/>
  <c r="N337" i="1"/>
  <c r="S340" i="1"/>
  <c r="N340" i="1"/>
  <c r="N343" i="1"/>
  <c r="N296" i="1"/>
  <c r="N299" i="1"/>
  <c r="E307" i="1"/>
  <c r="AB471" i="1"/>
  <c r="N181" i="1"/>
  <c r="P299" i="1"/>
  <c r="N308" i="1"/>
  <c r="L105" i="1"/>
  <c r="N102" i="1"/>
  <c r="K308" i="1"/>
  <c r="K307" i="1"/>
  <c r="S332" i="1"/>
  <c r="S297" i="1"/>
  <c r="K300" i="1"/>
  <c r="S320" i="1"/>
  <c r="S326" i="1"/>
  <c r="S336" i="1"/>
  <c r="AB475" i="1"/>
  <c r="S255" i="1"/>
  <c r="S261" i="1"/>
  <c r="S272" i="1"/>
  <c r="S275" i="1"/>
  <c r="S278" i="1"/>
  <c r="P300" i="1"/>
  <c r="P297" i="1"/>
  <c r="S300" i="1"/>
  <c r="R303" i="1"/>
  <c r="S276" i="1"/>
  <c r="S219" i="1"/>
  <c r="S298" i="1"/>
  <c r="E300" i="1"/>
  <c r="S343" i="1"/>
  <c r="S279" i="1"/>
  <c r="F185" i="1"/>
  <c r="P298" i="1"/>
  <c r="S301" i="1"/>
  <c r="P308" i="1"/>
  <c r="S203" i="1"/>
  <c r="S257" i="1"/>
  <c r="S263" i="1"/>
  <c r="S271" i="1"/>
  <c r="S277" i="1"/>
  <c r="AB414" i="1"/>
  <c r="P302" i="1"/>
  <c r="S260" i="1"/>
  <c r="S223" i="1"/>
  <c r="S268" i="1"/>
  <c r="S339" i="1"/>
  <c r="S104" i="1"/>
  <c r="AB461" i="1"/>
  <c r="S215" i="1"/>
  <c r="S247" i="1"/>
  <c r="S103" i="1"/>
  <c r="S337" i="1"/>
  <c r="AB447" i="1"/>
  <c r="P312" i="1"/>
  <c r="S244" i="1"/>
  <c r="S199" i="1"/>
  <c r="E298" i="1"/>
  <c r="K299" i="1"/>
  <c r="P307" i="1"/>
  <c r="S322" i="1"/>
  <c r="S325" i="1"/>
  <c r="S328" i="1"/>
  <c r="S208" i="1"/>
  <c r="S222" i="1"/>
  <c r="S259" i="1"/>
  <c r="S296" i="1"/>
  <c r="S303" i="1"/>
  <c r="AB439" i="1"/>
  <c r="AB448" i="1"/>
  <c r="AL447" i="1"/>
  <c r="S270" i="1"/>
  <c r="S273" i="1"/>
  <c r="E308" i="1"/>
  <c r="S312" i="1"/>
  <c r="S102" i="1"/>
  <c r="AB409" i="1"/>
  <c r="AB428" i="1"/>
  <c r="AB458" i="1"/>
  <c r="AB468" i="1"/>
  <c r="AB412" i="1"/>
  <c r="AB452" i="1"/>
  <c r="AB454" i="1"/>
  <c r="AB476" i="1"/>
  <c r="AB419" i="1"/>
  <c r="AB422" i="1"/>
  <c r="AB440" i="1"/>
  <c r="AB410" i="1"/>
  <c r="AB426" i="1"/>
  <c r="AB413" i="1"/>
  <c r="AB469" i="1"/>
  <c r="AB423" i="1"/>
  <c r="AB438" i="1"/>
  <c r="AB457" i="1"/>
  <c r="S200" i="1"/>
  <c r="S202" i="1"/>
  <c r="S204" i="1"/>
  <c r="S274" i="1"/>
  <c r="P311" i="1"/>
  <c r="S331" i="1"/>
  <c r="S267" i="1"/>
  <c r="S269" i="1"/>
  <c r="S280" i="1"/>
  <c r="S307" i="1"/>
  <c r="S207" i="1"/>
  <c r="S213" i="1"/>
  <c r="S221" i="1"/>
  <c r="S302" i="1"/>
  <c r="S308" i="1"/>
  <c r="S330" i="1"/>
  <c r="S333" i="1"/>
  <c r="S335" i="1"/>
  <c r="S256" i="1"/>
  <c r="S258" i="1"/>
  <c r="S262" i="1"/>
  <c r="S299" i="1"/>
  <c r="S342" i="1"/>
  <c r="S264" i="1"/>
  <c r="S311" i="1"/>
  <c r="AN455" i="1"/>
  <c r="AO455" i="1"/>
  <c r="AN453" i="1"/>
  <c r="AO453" i="1" s="1"/>
  <c r="AN460" i="1"/>
  <c r="AO460" i="1" s="1"/>
  <c r="AN456" i="1"/>
  <c r="AO456" i="1" s="1"/>
  <c r="AN459" i="1"/>
  <c r="AO459" i="1" s="1"/>
  <c r="AN468" i="1"/>
  <c r="AO468" i="1" s="1"/>
  <c r="AN458" i="1"/>
  <c r="AO458" i="1" s="1"/>
  <c r="AN419" i="1"/>
  <c r="AO419" i="1" s="1"/>
  <c r="AB472" i="1"/>
  <c r="AN452" i="1"/>
  <c r="AO452" i="1" s="1"/>
  <c r="AN457" i="1"/>
  <c r="AO457" i="1" s="1"/>
  <c r="AN454" i="1"/>
  <c r="AO454" i="1" s="1"/>
  <c r="AB435" i="1"/>
  <c r="AB443" i="1"/>
  <c r="M102" i="1"/>
  <c r="M103" i="1"/>
  <c r="M104" i="1"/>
  <c r="R102" i="1"/>
  <c r="R103" i="1"/>
  <c r="R104" i="1"/>
  <c r="S334" i="1"/>
  <c r="S338" i="1"/>
  <c r="S319" i="1"/>
  <c r="S323" i="1"/>
  <c r="S327" i="1"/>
  <c r="R300" i="1"/>
  <c r="R307" i="1"/>
  <c r="R308" i="1"/>
  <c r="R296" i="1"/>
  <c r="R298" i="1"/>
  <c r="R299" i="1"/>
  <c r="S212" i="1"/>
  <c r="S216" i="1"/>
  <c r="S220" i="1"/>
  <c r="S224" i="1"/>
  <c r="N285" i="1" l="1"/>
  <c r="N250" i="1"/>
  <c r="N248" i="1"/>
  <c r="N185" i="1"/>
  <c r="N194" i="1" s="1"/>
  <c r="N304" i="1"/>
  <c r="N348" i="1"/>
  <c r="N155" i="1"/>
  <c r="N229" i="1"/>
  <c r="N210" i="1"/>
  <c r="N105" i="1"/>
  <c r="N231" i="1" l="1"/>
  <c r="N233" i="1" s="1"/>
  <c r="N234" i="1" s="1"/>
  <c r="N309" i="1"/>
  <c r="D96" i="1"/>
  <c r="F96" i="1"/>
  <c r="G96" i="1"/>
  <c r="H96" i="1" s="1"/>
  <c r="I96" i="1"/>
  <c r="J96" i="1"/>
  <c r="L96" i="1"/>
  <c r="A96" i="1"/>
  <c r="N314" i="1" l="1"/>
  <c r="M96" i="1"/>
  <c r="N96" i="1"/>
  <c r="K96" i="1"/>
  <c r="E96" i="1"/>
  <c r="Z491" i="1"/>
  <c r="Z490" i="1"/>
  <c r="Z468" i="1"/>
  <c r="Z460" i="1"/>
  <c r="Z457" i="1"/>
  <c r="AH468" i="1" l="1"/>
  <c r="AI468" i="1" s="1"/>
  <c r="AH491" i="1"/>
  <c r="AI491" i="1"/>
  <c r="AH457" i="1"/>
  <c r="AI457" i="1" s="1"/>
  <c r="AH460" i="1"/>
  <c r="AI460" i="1" s="1"/>
  <c r="AH490" i="1"/>
  <c r="AI490" i="1" s="1"/>
  <c r="Z419" i="1"/>
  <c r="Z459" i="1"/>
  <c r="Z452" i="1"/>
  <c r="Z453" i="1"/>
  <c r="Z454" i="1"/>
  <c r="Z455" i="1"/>
  <c r="Z456" i="1"/>
  <c r="Z492" i="1"/>
  <c r="Z458" i="1"/>
  <c r="AH454" i="1" l="1"/>
  <c r="AI454" i="1" s="1"/>
  <c r="AH452" i="1"/>
  <c r="AI452" i="1" s="1"/>
  <c r="AH459" i="1"/>
  <c r="AI459" i="1" s="1"/>
  <c r="AH456" i="1"/>
  <c r="AI456" i="1" s="1"/>
  <c r="AH453" i="1"/>
  <c r="AI453" i="1" s="1"/>
  <c r="AH419" i="1"/>
  <c r="AI419" i="1" s="1"/>
  <c r="AH458" i="1"/>
  <c r="AI458" i="1" s="1"/>
  <c r="AH492" i="1"/>
  <c r="AI492" i="1"/>
  <c r="AH455" i="1"/>
  <c r="AI455" i="1"/>
  <c r="Z465" i="1"/>
  <c r="O96" i="1"/>
  <c r="Q96" i="1"/>
  <c r="S96" i="1" s="1"/>
  <c r="P96" i="1" l="1"/>
  <c r="R96" i="1"/>
  <c r="Q281" i="1" l="1"/>
  <c r="S281" i="1" s="1"/>
  <c r="Q225" i="1"/>
  <c r="S225" i="1" s="1"/>
  <c r="Q344" i="1" l="1"/>
  <c r="S344" i="1" s="1"/>
  <c r="Q149" i="1"/>
  <c r="Z494" i="1" l="1"/>
  <c r="Z493" i="1"/>
  <c r="AF495" i="1"/>
  <c r="AF423" i="1"/>
  <c r="AF422" i="1"/>
  <c r="AF447" i="1"/>
  <c r="AF472" i="1"/>
  <c r="AF470" i="1"/>
  <c r="Z475" i="1"/>
  <c r="AI475" i="1" s="1"/>
  <c r="AF417" i="1"/>
  <c r="AF429" i="1"/>
  <c r="AF448" i="1"/>
  <c r="Z410" i="1"/>
  <c r="AF431" i="1"/>
  <c r="AF474" i="1"/>
  <c r="AF435" i="1"/>
  <c r="AF426" i="1"/>
  <c r="AF434" i="1"/>
  <c r="AF433" i="1"/>
  <c r="AF424" i="1"/>
  <c r="AF408" i="1"/>
  <c r="AF441" i="1"/>
  <c r="AF469" i="1"/>
  <c r="AF409" i="1"/>
  <c r="AL469" i="1"/>
  <c r="AF445" i="1"/>
  <c r="Z411" i="1"/>
  <c r="Z423" i="1"/>
  <c r="AF473" i="1"/>
  <c r="Z435" i="1"/>
  <c r="AF411" i="1"/>
  <c r="AH411" i="1" s="1"/>
  <c r="AF416" i="1"/>
  <c r="Z438" i="1"/>
  <c r="Z446" i="1"/>
  <c r="AF438" i="1"/>
  <c r="AF477" i="1"/>
  <c r="AF413" i="1"/>
  <c r="Z473" i="1"/>
  <c r="AI473" i="1" s="1"/>
  <c r="AF425" i="1"/>
  <c r="AF444" i="1"/>
  <c r="AF436" i="1"/>
  <c r="Z443" i="1"/>
  <c r="AH438" i="1" l="1"/>
  <c r="AI411" i="1"/>
  <c r="AI438" i="1"/>
  <c r="AH493" i="1"/>
  <c r="AI493" i="1"/>
  <c r="AH494" i="1"/>
  <c r="AI494" i="1"/>
  <c r="AH473" i="1"/>
  <c r="AH435" i="1"/>
  <c r="AI435" i="1" s="1"/>
  <c r="AH423" i="1"/>
  <c r="AI423" i="1" s="1"/>
  <c r="AF440" i="1"/>
  <c r="AF439" i="1"/>
  <c r="Z412" i="1"/>
  <c r="AF475" i="1"/>
  <c r="AH475" i="1" s="1"/>
  <c r="Z436" i="1"/>
  <c r="Z444" i="1"/>
  <c r="Z408" i="1"/>
  <c r="Z427" i="1"/>
  <c r="Z434" i="1"/>
  <c r="Z414" i="1"/>
  <c r="AF443" i="1"/>
  <c r="AH443" i="1" s="1"/>
  <c r="AI443" i="1" s="1"/>
  <c r="AF476" i="1"/>
  <c r="Z429" i="1"/>
  <c r="Z479" i="1"/>
  <c r="AF421" i="1"/>
  <c r="AF437" i="1"/>
  <c r="AF412" i="1"/>
  <c r="Z440" i="1"/>
  <c r="Z496" i="1"/>
  <c r="AI496" i="1" s="1"/>
  <c r="Z430" i="1"/>
  <c r="Z441" i="1"/>
  <c r="AF428" i="1"/>
  <c r="AF471" i="1"/>
  <c r="Z413" i="1"/>
  <c r="Z409" i="1"/>
  <c r="AF415" i="1"/>
  <c r="AE415" i="1" s="1"/>
  <c r="AF449" i="1"/>
  <c r="AN449" i="1" s="1"/>
  <c r="AO449" i="1" s="1"/>
  <c r="Z433" i="1"/>
  <c r="Z495" i="1"/>
  <c r="AF410" i="1"/>
  <c r="AH410" i="1" s="1"/>
  <c r="AI410" i="1" s="1"/>
  <c r="AF427" i="1"/>
  <c r="AF430" i="1"/>
  <c r="Z421" i="1"/>
  <c r="AF414" i="1"/>
  <c r="Z437" i="1"/>
  <c r="Z420" i="1"/>
  <c r="AF446" i="1"/>
  <c r="AH446" i="1" s="1"/>
  <c r="AI446" i="1" s="1"/>
  <c r="AF479" i="1"/>
  <c r="Z445" i="1"/>
  <c r="Z474" i="1"/>
  <c r="AF442" i="1"/>
  <c r="Z469" i="1"/>
  <c r="Z428" i="1"/>
  <c r="Z471" i="1"/>
  <c r="Z442" i="1"/>
  <c r="Z447" i="1"/>
  <c r="AF496" i="1"/>
  <c r="AN426" i="1"/>
  <c r="AO426" i="1" s="1"/>
  <c r="AF450" i="1"/>
  <c r="AE416" i="1"/>
  <c r="AH416" i="1"/>
  <c r="AN416" i="1"/>
  <c r="AO416" i="1" s="1"/>
  <c r="AH431" i="1"/>
  <c r="AN431" i="1"/>
  <c r="AO431" i="1" s="1"/>
  <c r="AF478" i="1"/>
  <c r="AN425" i="1"/>
  <c r="AO425" i="1" s="1"/>
  <c r="AN424" i="1"/>
  <c r="AO424" i="1" s="1"/>
  <c r="AE417" i="1"/>
  <c r="AN417" i="1"/>
  <c r="AO417" i="1" s="1"/>
  <c r="AH417" i="1"/>
  <c r="Z470" i="1"/>
  <c r="Z422" i="1"/>
  <c r="Z472" i="1"/>
  <c r="Z439" i="1"/>
  <c r="AL470" i="1"/>
  <c r="AN470" i="1" s="1"/>
  <c r="AO470" i="1" s="1"/>
  <c r="AL496" i="1"/>
  <c r="AL495" i="1"/>
  <c r="AL494" i="1"/>
  <c r="AL478" i="1"/>
  <c r="AL471" i="1"/>
  <c r="AL476" i="1"/>
  <c r="AL474" i="1"/>
  <c r="AN469" i="1"/>
  <c r="AO469" i="1" s="1"/>
  <c r="AL473" i="1"/>
  <c r="AL472" i="1"/>
  <c r="AL475" i="1"/>
  <c r="AL477" i="1"/>
  <c r="Z450" i="1"/>
  <c r="AI450" i="1" s="1"/>
  <c r="Z416" i="1"/>
  <c r="AI416" i="1" s="1"/>
  <c r="Z476" i="1"/>
  <c r="AI476" i="1" s="1"/>
  <c r="AH479" i="1" l="1"/>
  <c r="AI479" i="1" s="1"/>
  <c r="AH441" i="1"/>
  <c r="AI441" i="1" s="1"/>
  <c r="AH474" i="1"/>
  <c r="AI474" i="1" s="1"/>
  <c r="AH445" i="1"/>
  <c r="AI445" i="1" s="1"/>
  <c r="AH422" i="1"/>
  <c r="AI422" i="1"/>
  <c r="AH495" i="1"/>
  <c r="AI495" i="1" s="1"/>
  <c r="AH429" i="1"/>
  <c r="AI429" i="1" s="1"/>
  <c r="AH413" i="1"/>
  <c r="AI413" i="1" s="1"/>
  <c r="AH408" i="1"/>
  <c r="AI408" i="1" s="1"/>
  <c r="AH433" i="1"/>
  <c r="AI433" i="1" s="1"/>
  <c r="AH444" i="1"/>
  <c r="AI444" i="1" s="1"/>
  <c r="AG416" i="1"/>
  <c r="AH447" i="1"/>
  <c r="AI447" i="1" s="1"/>
  <c r="AH470" i="1"/>
  <c r="AI470" i="1" s="1"/>
  <c r="AG417" i="1"/>
  <c r="AH469" i="1"/>
  <c r="AI469" i="1" s="1"/>
  <c r="AG415" i="1"/>
  <c r="AH436" i="1"/>
  <c r="AI436" i="1" s="1"/>
  <c r="AH472" i="1"/>
  <c r="AI472" i="1"/>
  <c r="AH409" i="1"/>
  <c r="AI409" i="1" s="1"/>
  <c r="AH434" i="1"/>
  <c r="AI434" i="1" s="1"/>
  <c r="AH430" i="1"/>
  <c r="AI430" i="1" s="1"/>
  <c r="AH427" i="1"/>
  <c r="AI427" i="1" s="1"/>
  <c r="AH414" i="1"/>
  <c r="AI414" i="1" s="1"/>
  <c r="AN496" i="1"/>
  <c r="AO496" i="1" s="1"/>
  <c r="AH471" i="1"/>
  <c r="AI471" i="1" s="1"/>
  <c r="AH420" i="1"/>
  <c r="AI420" i="1" s="1"/>
  <c r="AH412" i="1"/>
  <c r="AI412" i="1" s="1"/>
  <c r="AH428" i="1"/>
  <c r="AI428" i="1" s="1"/>
  <c r="AH442" i="1"/>
  <c r="AI442" i="1" s="1"/>
  <c r="AH437" i="1"/>
  <c r="AI437" i="1" s="1"/>
  <c r="AH421" i="1"/>
  <c r="AI421" i="1" s="1"/>
  <c r="AH439" i="1"/>
  <c r="AI439" i="1" s="1"/>
  <c r="AH476" i="1"/>
  <c r="AH440" i="1"/>
  <c r="AI440" i="1" s="1"/>
  <c r="AH449" i="1"/>
  <c r="AN478" i="1"/>
  <c r="AL465" i="1"/>
  <c r="AN415" i="1"/>
  <c r="AO415" i="1" s="1"/>
  <c r="AH415" i="1"/>
  <c r="AE496" i="1"/>
  <c r="AH496" i="1"/>
  <c r="AO478" i="1"/>
  <c r="AH450" i="1"/>
  <c r="AN450" i="1"/>
  <c r="AO450" i="1" s="1"/>
  <c r="Z478" i="1"/>
  <c r="Z425" i="1"/>
  <c r="Z415" i="1"/>
  <c r="AI415" i="1" s="1"/>
  <c r="Z417" i="1"/>
  <c r="AI417" i="1" s="1"/>
  <c r="Z426" i="1"/>
  <c r="Z448" i="1"/>
  <c r="Z477" i="1"/>
  <c r="Z449" i="1"/>
  <c r="AI449" i="1" s="1"/>
  <c r="Z424" i="1"/>
  <c r="Z431" i="1"/>
  <c r="AI431" i="1" s="1"/>
  <c r="AN494" i="1"/>
  <c r="AO494" i="1"/>
  <c r="AN495" i="1"/>
  <c r="AO495" i="1" s="1"/>
  <c r="AN474" i="1"/>
  <c r="AO474" i="1" s="1"/>
  <c r="AN477" i="1"/>
  <c r="AO477" i="1" s="1"/>
  <c r="AN473" i="1"/>
  <c r="AO473" i="1" s="1"/>
  <c r="AO475" i="1"/>
  <c r="AN475" i="1"/>
  <c r="AO476" i="1"/>
  <c r="AN476" i="1"/>
  <c r="AO472" i="1"/>
  <c r="AN472" i="1"/>
  <c r="AN471" i="1"/>
  <c r="AO471" i="1" s="1"/>
  <c r="AH477" i="1" l="1"/>
  <c r="AI477" i="1"/>
  <c r="AH448" i="1"/>
  <c r="AH451" i="1" s="1"/>
  <c r="AI448" i="1"/>
  <c r="AH424" i="1"/>
  <c r="AI424" i="1"/>
  <c r="AH426" i="1"/>
  <c r="AI426" i="1"/>
  <c r="AH425" i="1"/>
  <c r="AI425" i="1"/>
  <c r="AH478" i="1"/>
  <c r="AI478" i="1"/>
  <c r="AH418" i="1"/>
  <c r="AG496" i="1"/>
  <c r="Z451" i="1"/>
  <c r="Z432" i="1"/>
  <c r="AL479" i="1"/>
  <c r="AL480" i="1" s="1"/>
  <c r="AI451" i="1" l="1"/>
  <c r="AH432" i="1"/>
  <c r="AI432" i="1" s="1"/>
  <c r="AH480" i="1"/>
  <c r="AN479" i="1"/>
  <c r="AO479" i="1" s="1"/>
  <c r="AC451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AC464" i="1" l="1"/>
  <c r="AH464" i="1" s="1"/>
  <c r="AC463" i="1"/>
  <c r="AH463" i="1" s="1"/>
  <c r="AC462" i="1"/>
  <c r="AH462" i="1" s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O361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J361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1" i="1"/>
  <c r="G361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Q265" i="1"/>
  <c r="L265" i="1"/>
  <c r="I265" i="1"/>
  <c r="F265" i="1"/>
  <c r="F93" i="1"/>
  <c r="N366" i="1" l="1"/>
  <c r="N379" i="1"/>
  <c r="AH465" i="1"/>
  <c r="N367" i="1"/>
  <c r="N380" i="1"/>
  <c r="N368" i="1"/>
  <c r="N381" i="1"/>
  <c r="N369" i="1"/>
  <c r="N382" i="1"/>
  <c r="N370" i="1"/>
  <c r="N383" i="1"/>
  <c r="N371" i="1"/>
  <c r="N384" i="1"/>
  <c r="N372" i="1"/>
  <c r="N385" i="1"/>
  <c r="N373" i="1"/>
  <c r="N386" i="1"/>
  <c r="N374" i="1"/>
  <c r="N387" i="1"/>
  <c r="N388" i="1"/>
  <c r="N364" i="1"/>
  <c r="N377" i="1"/>
  <c r="N389" i="1"/>
  <c r="N365" i="1"/>
  <c r="N378" i="1"/>
  <c r="N390" i="1"/>
  <c r="Q176" i="1"/>
  <c r="I248" i="1"/>
  <c r="L176" i="1"/>
  <c r="Q242" i="1"/>
  <c r="Q179" i="1"/>
  <c r="Q192" i="1"/>
  <c r="I189" i="1"/>
  <c r="H361" i="1"/>
  <c r="Q248" i="1"/>
  <c r="I182" i="1"/>
  <c r="L179" i="1"/>
  <c r="L192" i="1"/>
  <c r="P174" i="1"/>
  <c r="I304" i="1"/>
  <c r="I309" i="1" s="1"/>
  <c r="I314" i="1" s="1"/>
  <c r="Q182" i="1"/>
  <c r="I176" i="1"/>
  <c r="I242" i="1"/>
  <c r="Q173" i="1"/>
  <c r="I245" i="1"/>
  <c r="I329" i="1"/>
  <c r="I348" i="1"/>
  <c r="Q329" i="1"/>
  <c r="H250" i="1"/>
  <c r="Q189" i="1"/>
  <c r="F210" i="1"/>
  <c r="P250" i="1"/>
  <c r="Q304" i="1"/>
  <c r="Q309" i="1" s="1"/>
  <c r="Q314" i="1" s="1"/>
  <c r="H295" i="1"/>
  <c r="I179" i="1"/>
  <c r="I192" i="1"/>
  <c r="K174" i="1"/>
  <c r="L210" i="1"/>
  <c r="Q210" i="1"/>
  <c r="Q285" i="1"/>
  <c r="L329" i="1"/>
  <c r="P359" i="1"/>
  <c r="H174" i="1"/>
  <c r="I210" i="1"/>
  <c r="L185" i="1"/>
  <c r="L194" i="1" s="1"/>
  <c r="L182" i="1"/>
  <c r="Q266" i="1"/>
  <c r="P266" i="1" s="1"/>
  <c r="L304" i="1"/>
  <c r="L309" i="1" s="1"/>
  <c r="L314" i="1" s="1"/>
  <c r="H359" i="1"/>
  <c r="I394" i="1"/>
  <c r="H394" i="1" s="1"/>
  <c r="K359" i="1"/>
  <c r="Q376" i="1"/>
  <c r="P376" i="1" s="1"/>
  <c r="I185" i="1"/>
  <c r="I194" i="1" s="1"/>
  <c r="L376" i="1"/>
  <c r="Q250" i="1"/>
  <c r="I376" i="1"/>
  <c r="L189" i="1"/>
  <c r="J304" i="1"/>
  <c r="Q394" i="1"/>
  <c r="P394" i="1" s="1"/>
  <c r="I266" i="1"/>
  <c r="I285" i="1"/>
  <c r="P295" i="1"/>
  <c r="Q348" i="1"/>
  <c r="L394" i="1"/>
  <c r="K394" i="1" s="1"/>
  <c r="Q361" i="1"/>
  <c r="L361" i="1"/>
  <c r="K361" i="1" s="1"/>
  <c r="O304" i="1"/>
  <c r="K295" i="1"/>
  <c r="G304" i="1"/>
  <c r="Q245" i="1"/>
  <c r="I250" i="1"/>
  <c r="P185" i="1"/>
  <c r="P194" i="1" s="1"/>
  <c r="Q185" i="1"/>
  <c r="K185" i="1"/>
  <c r="L173" i="1"/>
  <c r="H185" i="1"/>
  <c r="H194" i="1" s="1"/>
  <c r="I173" i="1"/>
  <c r="Q95" i="1"/>
  <c r="O95" i="1"/>
  <c r="Q94" i="1"/>
  <c r="O94" i="1"/>
  <c r="L95" i="1"/>
  <c r="J95" i="1"/>
  <c r="L94" i="1"/>
  <c r="J94" i="1"/>
  <c r="I95" i="1"/>
  <c r="G95" i="1"/>
  <c r="I94" i="1"/>
  <c r="G94" i="1"/>
  <c r="F95" i="1"/>
  <c r="F94" i="1"/>
  <c r="D95" i="1"/>
  <c r="D94" i="1"/>
  <c r="Q93" i="1"/>
  <c r="L93" i="1"/>
  <c r="I93" i="1"/>
  <c r="Q82" i="1"/>
  <c r="Q81" i="1"/>
  <c r="Q80" i="1"/>
  <c r="Q79" i="1"/>
  <c r="Q78" i="1"/>
  <c r="Q77" i="1"/>
  <c r="Q76" i="1"/>
  <c r="Q75" i="1"/>
  <c r="L81" i="1"/>
  <c r="L80" i="1"/>
  <c r="L79" i="1"/>
  <c r="L78" i="1"/>
  <c r="L77" i="1"/>
  <c r="L76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AH467" i="1" l="1"/>
  <c r="AI465" i="1"/>
  <c r="K194" i="1"/>
  <c r="L195" i="1" s="1"/>
  <c r="I97" i="1"/>
  <c r="N75" i="1"/>
  <c r="M94" i="1"/>
  <c r="N76" i="1"/>
  <c r="N77" i="1"/>
  <c r="N78" i="1"/>
  <c r="L97" i="1"/>
  <c r="N94" i="1"/>
  <c r="N79" i="1"/>
  <c r="M95" i="1"/>
  <c r="N80" i="1"/>
  <c r="N95" i="1"/>
  <c r="N81" i="1"/>
  <c r="D97" i="1"/>
  <c r="G97" i="1"/>
  <c r="H119" i="1" s="1"/>
  <c r="F97" i="1"/>
  <c r="J97" i="1"/>
  <c r="Q97" i="1"/>
  <c r="O97" i="1"/>
  <c r="H99" i="1"/>
  <c r="E99" i="1"/>
  <c r="P99" i="1"/>
  <c r="K99" i="1"/>
  <c r="I396" i="1"/>
  <c r="H396" i="1" s="1"/>
  <c r="H94" i="1"/>
  <c r="P94" i="1"/>
  <c r="H329" i="1"/>
  <c r="H348" i="1"/>
  <c r="I287" i="1"/>
  <c r="I289" i="1" s="1"/>
  <c r="P348" i="1"/>
  <c r="H95" i="1"/>
  <c r="P95" i="1"/>
  <c r="P100" i="1"/>
  <c r="P329" i="1"/>
  <c r="K95" i="1"/>
  <c r="Q396" i="1"/>
  <c r="P396" i="1" s="1"/>
  <c r="Q350" i="1"/>
  <c r="P350" i="1" s="1"/>
  <c r="H266" i="1"/>
  <c r="H100" i="1"/>
  <c r="Q287" i="1"/>
  <c r="Q289" i="1" s="1"/>
  <c r="Q290" i="1" s="1"/>
  <c r="K304" i="1"/>
  <c r="L396" i="1"/>
  <c r="K396" i="1" s="1"/>
  <c r="K100" i="1"/>
  <c r="H376" i="1"/>
  <c r="Q83" i="1"/>
  <c r="J309" i="1"/>
  <c r="K94" i="1"/>
  <c r="K329" i="1"/>
  <c r="P285" i="1"/>
  <c r="E100" i="1"/>
  <c r="I195" i="1"/>
  <c r="K376" i="1"/>
  <c r="Q251" i="1"/>
  <c r="P361" i="1"/>
  <c r="O309" i="1"/>
  <c r="O314" i="1" s="1"/>
  <c r="P304" i="1"/>
  <c r="G309" i="1"/>
  <c r="G314" i="1" s="1"/>
  <c r="H304" i="1"/>
  <c r="I251" i="1"/>
  <c r="H285" i="1"/>
  <c r="Q194" i="1"/>
  <c r="Q186" i="1"/>
  <c r="L186" i="1"/>
  <c r="K210" i="1"/>
  <c r="H210" i="1"/>
  <c r="I186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71" i="1"/>
  <c r="L70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L53" i="1"/>
  <c r="I53" i="1"/>
  <c r="F53" i="1"/>
  <c r="L52" i="1"/>
  <c r="I52" i="1"/>
  <c r="F52" i="1"/>
  <c r="L51" i="1"/>
  <c r="I51" i="1"/>
  <c r="F51" i="1"/>
  <c r="L50" i="1"/>
  <c r="I50" i="1"/>
  <c r="F50" i="1"/>
  <c r="L49" i="1"/>
  <c r="I49" i="1"/>
  <c r="F49" i="1"/>
  <c r="L48" i="1"/>
  <c r="I48" i="1"/>
  <c r="F48" i="1"/>
  <c r="L47" i="1"/>
  <c r="I47" i="1"/>
  <c r="F47" i="1"/>
  <c r="L46" i="1"/>
  <c r="I46" i="1"/>
  <c r="F46" i="1"/>
  <c r="L45" i="1"/>
  <c r="I45" i="1"/>
  <c r="F45" i="1"/>
  <c r="L44" i="1"/>
  <c r="I44" i="1"/>
  <c r="F44" i="1"/>
  <c r="L43" i="1"/>
  <c r="I43" i="1"/>
  <c r="F43" i="1"/>
  <c r="L42" i="1"/>
  <c r="I42" i="1"/>
  <c r="F42" i="1"/>
  <c r="Q40" i="1"/>
  <c r="Q39" i="1"/>
  <c r="Q38" i="1"/>
  <c r="Q37" i="1"/>
  <c r="Q36" i="1"/>
  <c r="Q35" i="1"/>
  <c r="Q34" i="1"/>
  <c r="Q33" i="1"/>
  <c r="Q32" i="1"/>
  <c r="Q31" i="1"/>
  <c r="L40" i="1"/>
  <c r="L39" i="1"/>
  <c r="L38" i="1"/>
  <c r="L37" i="1"/>
  <c r="L35" i="1"/>
  <c r="L34" i="1"/>
  <c r="L33" i="1"/>
  <c r="L32" i="1"/>
  <c r="L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L23" i="1"/>
  <c r="L22" i="1"/>
  <c r="L21" i="1"/>
  <c r="I23" i="1"/>
  <c r="I22" i="1"/>
  <c r="I21" i="1"/>
  <c r="F23" i="1"/>
  <c r="F22" i="1"/>
  <c r="F21" i="1"/>
  <c r="Q19" i="1"/>
  <c r="L19" i="1"/>
  <c r="I19" i="1"/>
  <c r="F19" i="1"/>
  <c r="Q17" i="1"/>
  <c r="O17" i="1"/>
  <c r="L17" i="1"/>
  <c r="J17" i="1"/>
  <c r="I17" i="1"/>
  <c r="G17" i="1"/>
  <c r="F17" i="1"/>
  <c r="D17" i="1"/>
  <c r="Q15" i="1"/>
  <c r="O15" i="1"/>
  <c r="L15" i="1"/>
  <c r="J15" i="1"/>
  <c r="M15" i="1" s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L12" i="1"/>
  <c r="L11" i="1"/>
  <c r="L10" i="1"/>
  <c r="L9" i="1"/>
  <c r="L8" i="1"/>
  <c r="L7" i="1"/>
  <c r="J12" i="1"/>
  <c r="J11" i="1"/>
  <c r="J10" i="1"/>
  <c r="J9" i="1"/>
  <c r="J8" i="1"/>
  <c r="J7" i="1"/>
  <c r="J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L5" i="1"/>
  <c r="I5" i="1"/>
  <c r="F5" i="1"/>
  <c r="N15" i="1" l="1"/>
  <c r="H113" i="1"/>
  <c r="M97" i="1"/>
  <c r="H120" i="1"/>
  <c r="N48" i="1"/>
  <c r="H115" i="1"/>
  <c r="E114" i="1"/>
  <c r="M98" i="1"/>
  <c r="J314" i="1"/>
  <c r="M6" i="1"/>
  <c r="N44" i="1"/>
  <c r="H121" i="1"/>
  <c r="H116" i="1"/>
  <c r="H117" i="1"/>
  <c r="H114" i="1"/>
  <c r="H118" i="1"/>
  <c r="N22" i="1"/>
  <c r="H97" i="1"/>
  <c r="M7" i="1"/>
  <c r="N7" i="1"/>
  <c r="N6" i="1"/>
  <c r="N34" i="1"/>
  <c r="E121" i="1"/>
  <c r="N52" i="1"/>
  <c r="N36" i="1"/>
  <c r="M8" i="1"/>
  <c r="N67" i="1"/>
  <c r="N35" i="1"/>
  <c r="E113" i="1"/>
  <c r="N66" i="1"/>
  <c r="E120" i="1"/>
  <c r="E115" i="1"/>
  <c r="E117" i="1"/>
  <c r="E116" i="1"/>
  <c r="E119" i="1"/>
  <c r="N21" i="1"/>
  <c r="N46" i="1"/>
  <c r="N50" i="1"/>
  <c r="E118" i="1"/>
  <c r="N60" i="1"/>
  <c r="N61" i="1"/>
  <c r="M9" i="1"/>
  <c r="N45" i="1"/>
  <c r="N49" i="1"/>
  <c r="N56" i="1"/>
  <c r="M108" i="1"/>
  <c r="M105" i="1"/>
  <c r="M17" i="1"/>
  <c r="N57" i="1"/>
  <c r="N37" i="1"/>
  <c r="N55" i="1"/>
  <c r="N17" i="1"/>
  <c r="N58" i="1"/>
  <c r="N97" i="1"/>
  <c r="L54" i="1"/>
  <c r="N42" i="1"/>
  <c r="N59" i="1"/>
  <c r="N8" i="1"/>
  <c r="N32" i="1"/>
  <c r="N43" i="1"/>
  <c r="N47" i="1"/>
  <c r="N51" i="1"/>
  <c r="N62" i="1"/>
  <c r="N23" i="1"/>
  <c r="N31" i="1"/>
  <c r="N9" i="1"/>
  <c r="N19" i="1"/>
  <c r="N33" i="1"/>
  <c r="N63" i="1"/>
  <c r="N64" i="1"/>
  <c r="N65" i="1"/>
  <c r="K117" i="1"/>
  <c r="P121" i="1"/>
  <c r="K120" i="1"/>
  <c r="P120" i="1"/>
  <c r="K116" i="1"/>
  <c r="P119" i="1"/>
  <c r="P118" i="1"/>
  <c r="P114" i="1"/>
  <c r="K113" i="1"/>
  <c r="P117" i="1"/>
  <c r="K118" i="1"/>
  <c r="P115" i="1"/>
  <c r="P113" i="1"/>
  <c r="K114" i="1"/>
  <c r="K121" i="1"/>
  <c r="K119" i="1"/>
  <c r="P116" i="1"/>
  <c r="K115" i="1"/>
  <c r="K97" i="1"/>
  <c r="AN447" i="1"/>
  <c r="AO447" i="1" s="1"/>
  <c r="L398" i="1"/>
  <c r="L399" i="1" s="1"/>
  <c r="I398" i="1"/>
  <c r="H287" i="1"/>
  <c r="P287" i="1"/>
  <c r="K309" i="1"/>
  <c r="Q398" i="1"/>
  <c r="Q399" i="1" s="1"/>
  <c r="Q352" i="1"/>
  <c r="Q353" i="1" s="1"/>
  <c r="P314" i="1"/>
  <c r="P309" i="1"/>
  <c r="H314" i="1"/>
  <c r="H309" i="1"/>
  <c r="Q195" i="1"/>
  <c r="R194" i="1" s="1"/>
  <c r="P210" i="1"/>
  <c r="N108" i="1" l="1"/>
  <c r="N98" i="1"/>
  <c r="K314" i="1"/>
  <c r="N24" i="1"/>
  <c r="O13" i="2"/>
  <c r="N165" i="1" l="1"/>
  <c r="O10" i="2"/>
  <c r="N13" i="2"/>
  <c r="J13" i="2"/>
  <c r="J10" i="2" l="1"/>
  <c r="N10" i="2"/>
  <c r="K13" i="2"/>
  <c r="C13" i="2"/>
  <c r="F13" i="2"/>
  <c r="L13" i="2"/>
  <c r="G13" i="2"/>
  <c r="B13" i="2"/>
  <c r="B10" i="2" s="1"/>
  <c r="F10" i="2" l="1"/>
  <c r="G10" i="2"/>
  <c r="K10" i="2"/>
  <c r="P13" i="2"/>
  <c r="P10" i="2" l="1"/>
  <c r="D13" i="2"/>
  <c r="H13" i="2"/>
  <c r="Q13" i="2"/>
  <c r="M13" i="2"/>
  <c r="H10" i="2" l="1"/>
  <c r="Q10" i="2"/>
  <c r="I13" i="2"/>
  <c r="E13" i="2"/>
  <c r="S1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3" i="1"/>
  <c r="A482" i="1"/>
  <c r="AO481" i="1"/>
  <c r="AN481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O466" i="1"/>
  <c r="AN466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393" i="1"/>
  <c r="S392" i="1"/>
  <c r="A392" i="1"/>
  <c r="S391" i="1"/>
  <c r="A391" i="1"/>
  <c r="N391" i="1" s="1"/>
  <c r="S390" i="1"/>
  <c r="A390" i="1"/>
  <c r="S389" i="1"/>
  <c r="A389" i="1"/>
  <c r="S388" i="1"/>
  <c r="A388" i="1"/>
  <c r="S387" i="1"/>
  <c r="A387" i="1"/>
  <c r="S386" i="1"/>
  <c r="A386" i="1"/>
  <c r="A385" i="1"/>
  <c r="S384" i="1"/>
  <c r="A384" i="1"/>
  <c r="S383" i="1"/>
  <c r="A383" i="1"/>
  <c r="A382" i="1"/>
  <c r="S381" i="1"/>
  <c r="A381" i="1"/>
  <c r="S380" i="1"/>
  <c r="A380" i="1"/>
  <c r="S379" i="1"/>
  <c r="A379" i="1"/>
  <c r="S378" i="1"/>
  <c r="A378" i="1"/>
  <c r="A377" i="1"/>
  <c r="A376" i="1"/>
  <c r="S375" i="1"/>
  <c r="A375" i="1"/>
  <c r="A374" i="1"/>
  <c r="S373" i="1"/>
  <c r="A373" i="1"/>
  <c r="S372" i="1"/>
  <c r="A372" i="1"/>
  <c r="S371" i="1"/>
  <c r="A371" i="1"/>
  <c r="S370" i="1"/>
  <c r="A370" i="1"/>
  <c r="S369" i="1"/>
  <c r="A369" i="1"/>
  <c r="S368" i="1"/>
  <c r="A368" i="1"/>
  <c r="S367" i="1"/>
  <c r="A367" i="1"/>
  <c r="A366" i="1"/>
  <c r="S365" i="1"/>
  <c r="A365" i="1"/>
  <c r="S364" i="1"/>
  <c r="A364" i="1"/>
  <c r="A363" i="1"/>
  <c r="A362" i="1"/>
  <c r="R361" i="1"/>
  <c r="A361" i="1"/>
  <c r="A360" i="1"/>
  <c r="R359" i="1"/>
  <c r="F361" i="1"/>
  <c r="D361" i="1"/>
  <c r="A359" i="1"/>
  <c r="A35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N329" i="1"/>
  <c r="N350" i="1" s="1"/>
  <c r="N352" i="1" s="1"/>
  <c r="N353" i="1" s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N265" i="1"/>
  <c r="A265" i="1"/>
  <c r="A264" i="1"/>
  <c r="A263" i="1"/>
  <c r="A262" i="1"/>
  <c r="A261" i="1"/>
  <c r="A260" i="1"/>
  <c r="A259" i="1"/>
  <c r="A258" i="1"/>
  <c r="A257" i="1"/>
  <c r="A256" i="1"/>
  <c r="A255" i="1"/>
  <c r="L266" i="1"/>
  <c r="A254" i="1"/>
  <c r="A253" i="1"/>
  <c r="A252" i="1"/>
  <c r="A251" i="1"/>
  <c r="A250" i="1"/>
  <c r="A249" i="1"/>
  <c r="F248" i="1"/>
  <c r="A248" i="1"/>
  <c r="L248" i="1"/>
  <c r="A247" i="1"/>
  <c r="A246" i="1"/>
  <c r="A245" i="1"/>
  <c r="K250" i="1"/>
  <c r="A244" i="1"/>
  <c r="A243" i="1"/>
  <c r="A242" i="1"/>
  <c r="R241" i="1"/>
  <c r="A241" i="1"/>
  <c r="A240" i="1"/>
  <c r="A239" i="1"/>
  <c r="A228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S211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S198" i="1"/>
  <c r="A198" i="1"/>
  <c r="A197" i="1"/>
  <c r="A196" i="1"/>
  <c r="A195" i="1"/>
  <c r="A194" i="1"/>
  <c r="A193" i="1"/>
  <c r="A192" i="1"/>
  <c r="F192" i="1"/>
  <c r="A191" i="1"/>
  <c r="A190" i="1"/>
  <c r="A189" i="1"/>
  <c r="R188" i="1"/>
  <c r="A188" i="1"/>
  <c r="A187" i="1"/>
  <c r="A186" i="1"/>
  <c r="A185" i="1"/>
  <c r="S184" i="1"/>
  <c r="A184" i="1"/>
  <c r="A183" i="1"/>
  <c r="M182" i="1"/>
  <c r="A182" i="1"/>
  <c r="R181" i="1"/>
  <c r="A181" i="1"/>
  <c r="A180" i="1"/>
  <c r="R179" i="1"/>
  <c r="A179" i="1"/>
  <c r="R178" i="1"/>
  <c r="F179" i="1"/>
  <c r="N179" i="1" s="1"/>
  <c r="A178" i="1"/>
  <c r="A177" i="1"/>
  <c r="A176" i="1"/>
  <c r="R175" i="1"/>
  <c r="A175" i="1"/>
  <c r="E174" i="1"/>
  <c r="A174" i="1"/>
  <c r="A173" i="1"/>
  <c r="R172" i="1"/>
  <c r="A172" i="1"/>
  <c r="A171" i="1"/>
  <c r="L163" i="1"/>
  <c r="A162" i="1"/>
  <c r="A161" i="1"/>
  <c r="A160" i="1"/>
  <c r="A159" i="1"/>
  <c r="A158" i="1"/>
  <c r="A157" i="1"/>
  <c r="Q163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Q153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Q122" i="1"/>
  <c r="A112" i="1"/>
  <c r="A111" i="1"/>
  <c r="A110" i="1"/>
  <c r="A109" i="1"/>
  <c r="A108" i="1"/>
  <c r="A107" i="1"/>
  <c r="A106" i="1"/>
  <c r="A105" i="1"/>
  <c r="A104" i="1"/>
  <c r="A103" i="1"/>
  <c r="F105" i="1"/>
  <c r="A102" i="1"/>
  <c r="A101" i="1"/>
  <c r="S100" i="1"/>
  <c r="R100" i="1"/>
  <c r="A100" i="1"/>
  <c r="A99" i="1"/>
  <c r="H98" i="1"/>
  <c r="E98" i="1"/>
  <c r="A98" i="1"/>
  <c r="O108" i="1"/>
  <c r="J108" i="1"/>
  <c r="A97" i="1"/>
  <c r="S95" i="1"/>
  <c r="R95" i="1"/>
  <c r="A95" i="1"/>
  <c r="S94" i="1"/>
  <c r="R94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N71" i="1"/>
  <c r="B71" i="1"/>
  <c r="A71" i="1" s="1"/>
  <c r="N70" i="1"/>
  <c r="B70" i="1"/>
  <c r="A70" i="1" s="1"/>
  <c r="S69" i="1"/>
  <c r="B69" i="1"/>
  <c r="A69" i="1" s="1"/>
  <c r="B68" i="1"/>
  <c r="A68" i="1" s="1"/>
  <c r="B67" i="1"/>
  <c r="A67" i="1" s="1"/>
  <c r="S66" i="1"/>
  <c r="B66" i="1"/>
  <c r="A66" i="1" s="1"/>
  <c r="S65" i="1"/>
  <c r="B65" i="1"/>
  <c r="A65" i="1" s="1"/>
  <c r="B64" i="1"/>
  <c r="A64" i="1" s="1"/>
  <c r="B63" i="1"/>
  <c r="A63" i="1" s="1"/>
  <c r="S62" i="1"/>
  <c r="B62" i="1"/>
  <c r="A62" i="1" s="1"/>
  <c r="S61" i="1"/>
  <c r="B61" i="1"/>
  <c r="A61" i="1" s="1"/>
  <c r="B60" i="1"/>
  <c r="A60" i="1" s="1"/>
  <c r="B59" i="1"/>
  <c r="A59" i="1" s="1"/>
  <c r="S58" i="1"/>
  <c r="B58" i="1"/>
  <c r="A58" i="1" s="1"/>
  <c r="S57" i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K40" i="1"/>
  <c r="N40" i="1"/>
  <c r="B40" i="1"/>
  <c r="A40" i="1" s="1"/>
  <c r="K39" i="1"/>
  <c r="B39" i="1"/>
  <c r="S38" i="1"/>
  <c r="B38" i="1"/>
  <c r="A38" i="1" s="1"/>
  <c r="B37" i="1"/>
  <c r="A37" i="1" s="1"/>
  <c r="B36" i="1"/>
  <c r="A36" i="1" s="1"/>
  <c r="B35" i="1"/>
  <c r="S34" i="1"/>
  <c r="B34" i="1"/>
  <c r="A34" i="1" s="1"/>
  <c r="B33" i="1"/>
  <c r="S33" i="1" s="1"/>
  <c r="B32" i="1"/>
  <c r="S31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S23" i="1" s="1"/>
  <c r="B22" i="1"/>
  <c r="A22" i="1" s="1"/>
  <c r="E22" i="1" s="1"/>
  <c r="H21" i="1"/>
  <c r="B21" i="1"/>
  <c r="B20" i="1"/>
  <c r="A20" i="1" s="1"/>
  <c r="R19" i="1"/>
  <c r="B19" i="1"/>
  <c r="B18" i="1"/>
  <c r="A18" i="1" s="1"/>
  <c r="R17" i="1"/>
  <c r="P17" i="1"/>
  <c r="K17" i="1"/>
  <c r="E17" i="1"/>
  <c r="B17" i="1"/>
  <c r="A17" i="1" s="1"/>
  <c r="B16" i="1"/>
  <c r="A16" i="1" s="1"/>
  <c r="R15" i="1"/>
  <c r="K15" i="1"/>
  <c r="B15" i="1"/>
  <c r="P15" i="1" s="1"/>
  <c r="B14" i="1"/>
  <c r="A14" i="1" s="1"/>
  <c r="O13" i="1"/>
  <c r="J13" i="1"/>
  <c r="B13" i="1"/>
  <c r="A13" i="1" s="1"/>
  <c r="R12" i="1"/>
  <c r="P12" i="1"/>
  <c r="S12" i="1"/>
  <c r="K12" i="1"/>
  <c r="B12" i="1"/>
  <c r="A12" i="1" s="1"/>
  <c r="R11" i="1"/>
  <c r="P11" i="1"/>
  <c r="K11" i="1"/>
  <c r="B11" i="1"/>
  <c r="R10" i="1"/>
  <c r="P10" i="1"/>
  <c r="K10" i="1"/>
  <c r="B10" i="1"/>
  <c r="A10" i="1" s="1"/>
  <c r="R9" i="1"/>
  <c r="P9" i="1"/>
  <c r="S9" i="1"/>
  <c r="K9" i="1"/>
  <c r="B9" i="1"/>
  <c r="R8" i="1"/>
  <c r="P8" i="1"/>
  <c r="K8" i="1"/>
  <c r="B8" i="1"/>
  <c r="A8" i="1" s="1"/>
  <c r="R7" i="1"/>
  <c r="K7" i="1"/>
  <c r="B7" i="1"/>
  <c r="P7" i="1" s="1"/>
  <c r="R6" i="1"/>
  <c r="K6" i="1"/>
  <c r="B6" i="1"/>
  <c r="A6" i="1" s="1"/>
  <c r="B5" i="1"/>
  <c r="A5" i="1" s="1"/>
  <c r="F108" i="1" l="1"/>
  <c r="N109" i="1" s="1"/>
  <c r="N106" i="1"/>
  <c r="R97" i="1"/>
  <c r="R98" i="1" s="1"/>
  <c r="AK417" i="1"/>
  <c r="AM417" i="1" s="1"/>
  <c r="AK493" i="1"/>
  <c r="AK492" i="1"/>
  <c r="AK416" i="1"/>
  <c r="AM416" i="1" s="1"/>
  <c r="AK489" i="1"/>
  <c r="AK490" i="1"/>
  <c r="AK415" i="1"/>
  <c r="AM415" i="1" s="1"/>
  <c r="AK491" i="1"/>
  <c r="AK496" i="1"/>
  <c r="AM496" i="1" s="1"/>
  <c r="AK494" i="1"/>
  <c r="AK495" i="1"/>
  <c r="AE413" i="1"/>
  <c r="AE414" i="1"/>
  <c r="AE409" i="1"/>
  <c r="AE412" i="1"/>
  <c r="AE411" i="1"/>
  <c r="AE410" i="1"/>
  <c r="S97" i="1"/>
  <c r="S98" i="1" s="1"/>
  <c r="A7" i="1"/>
  <c r="I10" i="2"/>
  <c r="L108" i="1"/>
  <c r="A21" i="1"/>
  <c r="J112" i="1"/>
  <c r="K22" i="1"/>
  <c r="R22" i="1" s="1"/>
  <c r="A23" i="1"/>
  <c r="O24" i="1"/>
  <c r="A33" i="1"/>
  <c r="A15" i="1"/>
  <c r="E361" i="1"/>
  <c r="K23" i="1"/>
  <c r="R23" i="1" s="1"/>
  <c r="K21" i="1"/>
  <c r="R21" i="1" s="1"/>
  <c r="R13" i="1"/>
  <c r="R14" i="1" s="1"/>
  <c r="P6" i="1"/>
  <c r="N10" i="1"/>
  <c r="S15" i="1"/>
  <c r="G105" i="1"/>
  <c r="G108" i="1"/>
  <c r="S7" i="1"/>
  <c r="H6" i="1"/>
  <c r="S8" i="1"/>
  <c r="H22" i="1"/>
  <c r="A32" i="1"/>
  <c r="S37" i="1"/>
  <c r="N38" i="1"/>
  <c r="A44" i="1"/>
  <c r="S45" i="1"/>
  <c r="A52" i="1"/>
  <c r="S53" i="1"/>
  <c r="N53" i="1"/>
  <c r="N54" i="1" s="1"/>
  <c r="A76" i="1"/>
  <c r="E95" i="1"/>
  <c r="V484" i="1"/>
  <c r="A484" i="1" s="1"/>
  <c r="V401" i="1"/>
  <c r="C291" i="1"/>
  <c r="C355" i="1" s="1"/>
  <c r="C236" i="1"/>
  <c r="C168" i="1"/>
  <c r="C89" i="1"/>
  <c r="A81" i="1"/>
  <c r="S112" i="1"/>
  <c r="P21" i="1"/>
  <c r="A9" i="1"/>
  <c r="H17" i="1"/>
  <c r="S17" i="1"/>
  <c r="E21" i="1"/>
  <c r="I24" i="1"/>
  <c r="E23" i="1"/>
  <c r="J24" i="1"/>
  <c r="A39" i="1"/>
  <c r="P39" i="1"/>
  <c r="S40" i="1"/>
  <c r="Q54" i="1"/>
  <c r="A46" i="1"/>
  <c r="F72" i="1"/>
  <c r="N69" i="1"/>
  <c r="S78" i="1"/>
  <c r="A78" i="1"/>
  <c r="O105" i="1"/>
  <c r="P97" i="1"/>
  <c r="I122" i="1"/>
  <c r="G112" i="1"/>
  <c r="E12" i="1"/>
  <c r="N12" i="1"/>
  <c r="S60" i="1"/>
  <c r="S64" i="1"/>
  <c r="S48" i="1"/>
  <c r="AO484" i="1"/>
  <c r="AO401" i="1"/>
  <c r="S355" i="1"/>
  <c r="S236" i="1"/>
  <c r="S168" i="1"/>
  <c r="S291" i="1"/>
  <c r="S56" i="1"/>
  <c r="A11" i="1"/>
  <c r="A19" i="1"/>
  <c r="F24" i="1"/>
  <c r="S21" i="1"/>
  <c r="H23" i="1"/>
  <c r="J27" i="1"/>
  <c r="L41" i="1"/>
  <c r="A35" i="1"/>
  <c r="S36" i="1"/>
  <c r="S49" i="1"/>
  <c r="S80" i="1"/>
  <c r="A80" i="1"/>
  <c r="E94" i="1"/>
  <c r="Q105" i="1"/>
  <c r="Q108" i="1" s="1"/>
  <c r="P108" i="1" s="1"/>
  <c r="J105" i="1"/>
  <c r="H112" i="1"/>
  <c r="S59" i="1"/>
  <c r="S63" i="1"/>
  <c r="S67" i="1"/>
  <c r="S71" i="1"/>
  <c r="A77" i="1"/>
  <c r="Q24" i="1"/>
  <c r="S46" i="1"/>
  <c r="S55" i="1"/>
  <c r="K38" i="1"/>
  <c r="A42" i="1"/>
  <c r="S43" i="1"/>
  <c r="S51" i="1"/>
  <c r="A82" i="1"/>
  <c r="S89" i="1"/>
  <c r="L122" i="1"/>
  <c r="E10" i="1"/>
  <c r="O27" i="1"/>
  <c r="P23" i="1"/>
  <c r="S70" i="1"/>
  <c r="S79" i="1"/>
  <c r="A79" i="1"/>
  <c r="K112" i="1"/>
  <c r="P112" i="1"/>
  <c r="L135" i="1"/>
  <c r="S175" i="1"/>
  <c r="E185" i="1"/>
  <c r="M181" i="1"/>
  <c r="S241" i="1"/>
  <c r="S242" i="1" s="1"/>
  <c r="L242" i="1"/>
  <c r="Q135" i="1"/>
  <c r="I153" i="1"/>
  <c r="F173" i="1"/>
  <c r="S181" i="1"/>
  <c r="M188" i="1"/>
  <c r="S188" i="1"/>
  <c r="F135" i="1"/>
  <c r="F250" i="1"/>
  <c r="N251" i="1" s="1"/>
  <c r="F245" i="1"/>
  <c r="S172" i="1"/>
  <c r="Q229" i="1"/>
  <c r="F229" i="1"/>
  <c r="R185" i="1"/>
  <c r="S186" i="1" s="1"/>
  <c r="S254" i="1"/>
  <c r="S248" i="1"/>
  <c r="S265" i="1"/>
  <c r="M361" i="1"/>
  <c r="F176" i="1"/>
  <c r="E250" i="1"/>
  <c r="S295" i="1"/>
  <c r="S329" i="1"/>
  <c r="S359" i="1"/>
  <c r="F266" i="1"/>
  <c r="N266" i="1" s="1"/>
  <c r="N287" i="1" s="1"/>
  <c r="N289" i="1" s="1"/>
  <c r="N290" i="1" s="1"/>
  <c r="F163" i="1"/>
  <c r="S393" i="1"/>
  <c r="N393" i="1"/>
  <c r="AF465" i="1"/>
  <c r="F348" i="1"/>
  <c r="E359" i="1"/>
  <c r="S366" i="1"/>
  <c r="S374" i="1"/>
  <c r="N375" i="1"/>
  <c r="N376" i="1" s="1"/>
  <c r="F376" i="1"/>
  <c r="S318" i="1"/>
  <c r="F394" i="1"/>
  <c r="E394" i="1" s="1"/>
  <c r="R295" i="1"/>
  <c r="F329" i="1"/>
  <c r="S382" i="1"/>
  <c r="S385" i="1"/>
  <c r="S377" i="1"/>
  <c r="AC465" i="1"/>
  <c r="N392" i="1"/>
  <c r="N394" i="1" l="1"/>
  <c r="E194" i="1"/>
  <c r="M185" i="1"/>
  <c r="N396" i="1"/>
  <c r="N398" i="1" s="1"/>
  <c r="N399" i="1" s="1"/>
  <c r="AL448" i="1"/>
  <c r="AL439" i="1"/>
  <c r="AL429" i="1"/>
  <c r="AN429" i="1" s="1"/>
  <c r="AO429" i="1" s="1"/>
  <c r="AL408" i="1"/>
  <c r="AL412" i="1"/>
  <c r="AL420" i="1"/>
  <c r="AL440" i="1"/>
  <c r="AN440" i="1" s="1"/>
  <c r="AO440" i="1" s="1"/>
  <c r="AL441" i="1"/>
  <c r="AN441" i="1" s="1"/>
  <c r="AO441" i="1" s="1"/>
  <c r="AL411" i="1"/>
  <c r="AL430" i="1"/>
  <c r="AN430" i="1" s="1"/>
  <c r="AO430" i="1" s="1"/>
  <c r="AL444" i="1"/>
  <c r="AN444" i="1" s="1"/>
  <c r="AO444" i="1" s="1"/>
  <c r="AL437" i="1"/>
  <c r="AN437" i="1" s="1"/>
  <c r="AO437" i="1" s="1"/>
  <c r="AL428" i="1"/>
  <c r="AN428" i="1" s="1"/>
  <c r="AO428" i="1" s="1"/>
  <c r="AL422" i="1"/>
  <c r="AN422" i="1" s="1"/>
  <c r="AO422" i="1" s="1"/>
  <c r="AL435" i="1"/>
  <c r="AN435" i="1" s="1"/>
  <c r="AO435" i="1" s="1"/>
  <c r="AL413" i="1"/>
  <c r="AL433" i="1"/>
  <c r="AL427" i="1"/>
  <c r="AN427" i="1" s="1"/>
  <c r="AO427" i="1" s="1"/>
  <c r="AL446" i="1"/>
  <c r="AN446" i="1" s="1"/>
  <c r="AO446" i="1" s="1"/>
  <c r="AL436" i="1"/>
  <c r="AN436" i="1" s="1"/>
  <c r="AO436" i="1" s="1"/>
  <c r="AL443" i="1"/>
  <c r="AN443" i="1" s="1"/>
  <c r="AO443" i="1" s="1"/>
  <c r="AL409" i="1"/>
  <c r="AL438" i="1"/>
  <c r="AN438" i="1" s="1"/>
  <c r="AO438" i="1" s="1"/>
  <c r="AL421" i="1"/>
  <c r="AN421" i="1" s="1"/>
  <c r="AO421" i="1" s="1"/>
  <c r="AL423" i="1"/>
  <c r="AN423" i="1" s="1"/>
  <c r="AO423" i="1" s="1"/>
  <c r="AL434" i="1"/>
  <c r="AN434" i="1" s="1"/>
  <c r="AO434" i="1" s="1"/>
  <c r="AL414" i="1"/>
  <c r="AL442" i="1"/>
  <c r="AN442" i="1" s="1"/>
  <c r="AO442" i="1" s="1"/>
  <c r="AL445" i="1"/>
  <c r="AN445" i="1" s="1"/>
  <c r="AO445" i="1" s="1"/>
  <c r="AL410" i="1"/>
  <c r="P38" i="1"/>
  <c r="P40" i="1"/>
  <c r="P32" i="1"/>
  <c r="P35" i="1"/>
  <c r="P33" i="1"/>
  <c r="P36" i="1"/>
  <c r="P34" i="1"/>
  <c r="P31" i="1"/>
  <c r="P37" i="1"/>
  <c r="K31" i="1"/>
  <c r="K35" i="1"/>
  <c r="AN465" i="1"/>
  <c r="AO465" i="1" s="1"/>
  <c r="E135" i="1"/>
  <c r="P153" i="1"/>
  <c r="P122" i="1"/>
  <c r="F350" i="1"/>
  <c r="F396" i="1"/>
  <c r="E376" i="1"/>
  <c r="F231" i="1"/>
  <c r="E266" i="1"/>
  <c r="S361" i="1"/>
  <c r="S362" i="1" s="1"/>
  <c r="P135" i="1"/>
  <c r="S35" i="1"/>
  <c r="L245" i="1"/>
  <c r="K266" i="1"/>
  <c r="L250" i="1"/>
  <c r="S245" i="1"/>
  <c r="F251" i="1"/>
  <c r="S178" i="1"/>
  <c r="M12" i="1"/>
  <c r="H12" i="1"/>
  <c r="H15" i="1"/>
  <c r="E112" i="1"/>
  <c r="F122" i="1"/>
  <c r="S52" i="1"/>
  <c r="I13" i="1"/>
  <c r="S19" i="1"/>
  <c r="F242" i="1"/>
  <c r="N242" i="1" s="1"/>
  <c r="R27" i="1"/>
  <c r="R28" i="1" s="1"/>
  <c r="E11" i="1"/>
  <c r="Q231" i="1"/>
  <c r="K135" i="1"/>
  <c r="S135" i="1"/>
  <c r="K33" i="1"/>
  <c r="K36" i="1"/>
  <c r="S376" i="1"/>
  <c r="S77" i="1"/>
  <c r="I135" i="1"/>
  <c r="H7" i="1"/>
  <c r="S44" i="1"/>
  <c r="S50" i="1"/>
  <c r="H8" i="1"/>
  <c r="Q155" i="1"/>
  <c r="P155" i="1" s="1"/>
  <c r="S39" i="1"/>
  <c r="K37" i="1"/>
  <c r="F285" i="1"/>
  <c r="E285" i="1" s="1"/>
  <c r="R304" i="1"/>
  <c r="I229" i="1"/>
  <c r="F189" i="1"/>
  <c r="P22" i="1"/>
  <c r="L13" i="1"/>
  <c r="S6" i="1"/>
  <c r="E7" i="1"/>
  <c r="S76" i="1"/>
  <c r="I105" i="1"/>
  <c r="H105" i="1" s="1"/>
  <c r="K34" i="1"/>
  <c r="E15" i="1"/>
  <c r="P24" i="1"/>
  <c r="S10" i="1"/>
  <c r="E6" i="1"/>
  <c r="F304" i="1"/>
  <c r="S210" i="1"/>
  <c r="I350" i="1"/>
  <c r="H350" i="1" s="1"/>
  <c r="R309" i="1"/>
  <c r="AL405" i="1"/>
  <c r="K105" i="1"/>
  <c r="S81" i="1"/>
  <c r="S22" i="1"/>
  <c r="K32" i="1"/>
  <c r="E9" i="1"/>
  <c r="G13" i="1"/>
  <c r="E295" i="1"/>
  <c r="D304" i="1"/>
  <c r="M304" i="1" s="1"/>
  <c r="F182" i="1"/>
  <c r="E8" i="1"/>
  <c r="S105" i="1"/>
  <c r="S106" i="1" s="1"/>
  <c r="N11" i="1"/>
  <c r="S11" i="1"/>
  <c r="P105" i="1"/>
  <c r="S47" i="1"/>
  <c r="M10" i="1"/>
  <c r="H10" i="1"/>
  <c r="L24" i="1"/>
  <c r="K24" i="1" s="1"/>
  <c r="S108" i="1"/>
  <c r="S109" i="1" s="1"/>
  <c r="D108" i="1"/>
  <c r="M109" i="1" s="1"/>
  <c r="E97" i="1"/>
  <c r="D105" i="1"/>
  <c r="F41" i="1"/>
  <c r="Q41" i="1"/>
  <c r="Q13" i="1"/>
  <c r="S304" i="1"/>
  <c r="S122" i="1"/>
  <c r="K122" i="1"/>
  <c r="S163" i="1"/>
  <c r="S394" i="1"/>
  <c r="F153" i="1"/>
  <c r="E153" i="1" s="1"/>
  <c r="I163" i="1"/>
  <c r="S266" i="1"/>
  <c r="R108" i="1"/>
  <c r="R109" i="1" s="1"/>
  <c r="K108" i="1"/>
  <c r="F13" i="1"/>
  <c r="S32" i="1"/>
  <c r="F309" i="1" l="1"/>
  <c r="N310" i="1" s="1"/>
  <c r="N305" i="1"/>
  <c r="AN409" i="1"/>
  <c r="AO409" i="1" s="1"/>
  <c r="AK409" i="1"/>
  <c r="AM409" i="1" s="1"/>
  <c r="AN411" i="1"/>
  <c r="AO411" i="1" s="1"/>
  <c r="AK411" i="1"/>
  <c r="AM411" i="1" s="1"/>
  <c r="AN410" i="1"/>
  <c r="AO410" i="1" s="1"/>
  <c r="AK410" i="1"/>
  <c r="AM410" i="1" s="1"/>
  <c r="AN420" i="1"/>
  <c r="AO420" i="1" s="1"/>
  <c r="AL432" i="1"/>
  <c r="AL451" i="1"/>
  <c r="AN433" i="1"/>
  <c r="AO433" i="1" s="1"/>
  <c r="AN412" i="1"/>
  <c r="AO412" i="1" s="1"/>
  <c r="AK412" i="1"/>
  <c r="AM412" i="1" s="1"/>
  <c r="AN413" i="1"/>
  <c r="AO413" i="1" s="1"/>
  <c r="AK413" i="1"/>
  <c r="AM413" i="1" s="1"/>
  <c r="AL418" i="1"/>
  <c r="AN414" i="1"/>
  <c r="AO414" i="1" s="1"/>
  <c r="AK414" i="1"/>
  <c r="AM414" i="1" s="1"/>
  <c r="AN439" i="1"/>
  <c r="AO439" i="1" s="1"/>
  <c r="AO448" i="1"/>
  <c r="AN448" i="1"/>
  <c r="N9" i="2"/>
  <c r="N8" i="2" s="1"/>
  <c r="F27" i="1"/>
  <c r="E41" i="1" s="1"/>
  <c r="K13" i="1"/>
  <c r="E108" i="1"/>
  <c r="E105" i="1"/>
  <c r="S54" i="1"/>
  <c r="S398" i="1"/>
  <c r="S399" i="1" s="1"/>
  <c r="G27" i="1"/>
  <c r="H13" i="1"/>
  <c r="AB408" i="1"/>
  <c r="G24" i="1"/>
  <c r="H39" i="1" s="1"/>
  <c r="Q165" i="1"/>
  <c r="Q166" i="1" s="1"/>
  <c r="I54" i="1"/>
  <c r="I108" i="1"/>
  <c r="H135" i="1" s="1"/>
  <c r="F194" i="1"/>
  <c r="N195" i="1" s="1"/>
  <c r="F186" i="1"/>
  <c r="P231" i="1"/>
  <c r="I27" i="1"/>
  <c r="F54" i="1"/>
  <c r="S24" i="1"/>
  <c r="S25" i="1" s="1"/>
  <c r="J32" i="1"/>
  <c r="D13" i="1"/>
  <c r="S13" i="1"/>
  <c r="S14" i="1" s="1"/>
  <c r="M11" i="1"/>
  <c r="M13" i="1" s="1"/>
  <c r="H11" i="1"/>
  <c r="Q27" i="1"/>
  <c r="P13" i="1"/>
  <c r="N13" i="1"/>
  <c r="N14" i="1" s="1"/>
  <c r="H229" i="1"/>
  <c r="S250" i="1"/>
  <c r="L251" i="1"/>
  <c r="M250" i="1" s="1"/>
  <c r="Q74" i="1"/>
  <c r="R314" i="1"/>
  <c r="AF432" i="1"/>
  <c r="L27" i="1"/>
  <c r="AF406" i="1" s="1"/>
  <c r="J31" i="1"/>
  <c r="F155" i="1"/>
  <c r="E122" i="1"/>
  <c r="H9" i="1"/>
  <c r="I83" i="1"/>
  <c r="AN408" i="1"/>
  <c r="AO408" i="1" s="1"/>
  <c r="AE408" i="1"/>
  <c r="AF418" i="1"/>
  <c r="Z418" i="1"/>
  <c r="E304" i="1"/>
  <c r="D309" i="1"/>
  <c r="AK408" i="1"/>
  <c r="AM408" i="1" s="1"/>
  <c r="S185" i="1"/>
  <c r="S396" i="1"/>
  <c r="S309" i="1"/>
  <c r="S305" i="1"/>
  <c r="I352" i="1"/>
  <c r="F287" i="1"/>
  <c r="E287" i="1" s="1"/>
  <c r="Z480" i="1"/>
  <c r="AI480" i="1" s="1"/>
  <c r="F83" i="1"/>
  <c r="I41" i="1"/>
  <c r="S41" i="1"/>
  <c r="N39" i="1"/>
  <c r="N41" i="1" s="1"/>
  <c r="I155" i="1"/>
  <c r="I231" i="1"/>
  <c r="H231" i="1" s="1"/>
  <c r="E396" i="1"/>
  <c r="F398" i="1"/>
  <c r="F399" i="1" s="1"/>
  <c r="F314" i="1" l="1"/>
  <c r="AI418" i="1"/>
  <c r="D314" i="1"/>
  <c r="M309" i="1"/>
  <c r="F352" i="1"/>
  <c r="F353" i="1" s="1"/>
  <c r="N315" i="1"/>
  <c r="AF400" i="1"/>
  <c r="M27" i="1"/>
  <c r="M24" i="1"/>
  <c r="N27" i="1"/>
  <c r="N28" i="1" s="1"/>
  <c r="AL467" i="1"/>
  <c r="Z406" i="1"/>
  <c r="X418" i="1" s="1"/>
  <c r="P41" i="1"/>
  <c r="AL406" i="1"/>
  <c r="Y413" i="1"/>
  <c r="Y411" i="1"/>
  <c r="Y409" i="1"/>
  <c r="Y410" i="1"/>
  <c r="Y412" i="1"/>
  <c r="Y414" i="1"/>
  <c r="Y416" i="1"/>
  <c r="Y415" i="1"/>
  <c r="Y417" i="1"/>
  <c r="E54" i="1"/>
  <c r="E72" i="1"/>
  <c r="H35" i="1"/>
  <c r="K27" i="1"/>
  <c r="H155" i="1"/>
  <c r="H32" i="1"/>
  <c r="E350" i="1"/>
  <c r="E348" i="1"/>
  <c r="Y408" i="1"/>
  <c r="E329" i="1"/>
  <c r="E231" i="1"/>
  <c r="P74" i="1"/>
  <c r="H54" i="1"/>
  <c r="K54" i="1"/>
  <c r="S310" i="1"/>
  <c r="AN418" i="1"/>
  <c r="AO418" i="1" s="1"/>
  <c r="AN432" i="1"/>
  <c r="AO432" i="1" s="1"/>
  <c r="Q85" i="1"/>
  <c r="Q86" i="1" s="1"/>
  <c r="P72" i="1"/>
  <c r="P27" i="1"/>
  <c r="P54" i="1"/>
  <c r="I74" i="1"/>
  <c r="I85" i="1" s="1"/>
  <c r="H41" i="1"/>
  <c r="E155" i="1"/>
  <c r="F165" i="1"/>
  <c r="F166" i="1" s="1"/>
  <c r="I233" i="1"/>
  <c r="AC406" i="1"/>
  <c r="G9" i="2" s="1"/>
  <c r="G8" i="2" s="1"/>
  <c r="H72" i="1"/>
  <c r="F233" i="1"/>
  <c r="F234" i="1" s="1"/>
  <c r="F195" i="1"/>
  <c r="M194" i="1" s="1"/>
  <c r="E229" i="1"/>
  <c r="E210" i="1"/>
  <c r="H33" i="1"/>
  <c r="H40" i="1"/>
  <c r="H24" i="1"/>
  <c r="H37" i="1"/>
  <c r="H38" i="1"/>
  <c r="H34" i="1"/>
  <c r="H31" i="1"/>
  <c r="H36" i="1"/>
  <c r="F74" i="1"/>
  <c r="AC418" i="1"/>
  <c r="S194" i="1"/>
  <c r="S195" i="1" s="1"/>
  <c r="R250" i="1"/>
  <c r="S251" i="1" s="1"/>
  <c r="Q233" i="1"/>
  <c r="Q234" i="1" s="1"/>
  <c r="P229" i="1"/>
  <c r="S27" i="1"/>
  <c r="K41" i="1"/>
  <c r="D27" i="1"/>
  <c r="E13" i="1"/>
  <c r="D24" i="1"/>
  <c r="AC480" i="1"/>
  <c r="E309" i="1"/>
  <c r="AF405" i="1"/>
  <c r="I165" i="1"/>
  <c r="H122" i="1"/>
  <c r="H153" i="1"/>
  <c r="H108" i="1"/>
  <c r="F289" i="1"/>
  <c r="F290" i="1" s="1"/>
  <c r="AC432" i="1"/>
  <c r="H27" i="1"/>
  <c r="Z400" i="1" l="1"/>
  <c r="X432" i="1"/>
  <c r="M28" i="1"/>
  <c r="Z405" i="1"/>
  <c r="M314" i="1"/>
  <c r="AG408" i="1"/>
  <c r="AG413" i="1"/>
  <c r="AL482" i="1"/>
  <c r="AL400" i="1"/>
  <c r="AG411" i="1"/>
  <c r="AG414" i="1"/>
  <c r="AG412" i="1"/>
  <c r="AG410" i="1"/>
  <c r="AG409" i="1"/>
  <c r="AH406" i="1"/>
  <c r="AI406" i="1" s="1"/>
  <c r="C9" i="2"/>
  <c r="J9" i="2"/>
  <c r="J8" i="2" s="1"/>
  <c r="O9" i="2"/>
  <c r="O8" i="2" s="1"/>
  <c r="E27" i="1"/>
  <c r="X451" i="1"/>
  <c r="X480" i="1"/>
  <c r="K9" i="2"/>
  <c r="K8" i="2" s="1"/>
  <c r="C10" i="2"/>
  <c r="AA432" i="1"/>
  <c r="AA480" i="1"/>
  <c r="AA451" i="1"/>
  <c r="S28" i="1"/>
  <c r="AJ467" i="1"/>
  <c r="AJ465" i="1"/>
  <c r="AJ418" i="1"/>
  <c r="AJ432" i="1"/>
  <c r="AJ451" i="1"/>
  <c r="E74" i="1"/>
  <c r="F85" i="1"/>
  <c r="F86" i="1" s="1"/>
  <c r="E314" i="1"/>
  <c r="AA465" i="1"/>
  <c r="S314" i="1"/>
  <c r="S315" i="1" s="1"/>
  <c r="E40" i="1"/>
  <c r="E24" i="1"/>
  <c r="E34" i="1"/>
  <c r="E36" i="1"/>
  <c r="E38" i="1"/>
  <c r="E37" i="1"/>
  <c r="E31" i="1"/>
  <c r="E33" i="1"/>
  <c r="E35" i="1"/>
  <c r="E32" i="1"/>
  <c r="E39" i="1"/>
  <c r="AC405" i="1"/>
  <c r="F9" i="2" s="1"/>
  <c r="F8" i="2" s="1"/>
  <c r="H74" i="1"/>
  <c r="AC467" i="1"/>
  <c r="AA467" i="1" s="1"/>
  <c r="AA418" i="1"/>
  <c r="AN406" i="1"/>
  <c r="AO406" i="1" s="1"/>
  <c r="AD465" i="1"/>
  <c r="AH400" i="1" l="1"/>
  <c r="AH482" i="1"/>
  <c r="C8" i="2"/>
  <c r="P9" i="2"/>
  <c r="P8" i="2" s="1"/>
  <c r="B9" i="2"/>
  <c r="AC482" i="1"/>
  <c r="AL488" i="1"/>
  <c r="AK482" i="1"/>
  <c r="AL487" i="1" l="1"/>
  <c r="AK487" i="1" s="1"/>
  <c r="AL497" i="1"/>
  <c r="AL501" i="1" s="1"/>
  <c r="H9" i="2"/>
  <c r="H8" i="2" s="1"/>
  <c r="B8" i="2"/>
  <c r="AK488" i="1"/>
  <c r="AC488" i="1"/>
  <c r="AB482" i="1"/>
  <c r="Q9" i="2" l="1"/>
  <c r="D10" i="2"/>
  <c r="AB488" i="1"/>
  <c r="AC497" i="1"/>
  <c r="AK497" i="1"/>
  <c r="AB497" i="1" l="1"/>
  <c r="I9" i="2"/>
  <c r="I8" i="2" s="1"/>
  <c r="Q8" i="2"/>
  <c r="E10" i="2" l="1"/>
  <c r="AF480" i="1"/>
  <c r="L82" i="1"/>
  <c r="N82" i="1" s="1"/>
  <c r="N83" i="1" s="1"/>
  <c r="AD432" i="1" l="1"/>
  <c r="AD418" i="1"/>
  <c r="S82" i="1"/>
  <c r="S83" i="1" s="1"/>
  <c r="L83" i="1"/>
  <c r="AN480" i="1"/>
  <c r="AO480" i="1" s="1"/>
  <c r="AD480" i="1"/>
  <c r="L229" i="1" l="1"/>
  <c r="L68" i="1"/>
  <c r="N68" i="1" l="1"/>
  <c r="N72" i="1" s="1"/>
  <c r="N74" i="1" s="1"/>
  <c r="N85" i="1" s="1"/>
  <c r="N86" i="1" s="1"/>
  <c r="L72" i="1"/>
  <c r="L74" i="1" s="1"/>
  <c r="S68" i="1"/>
  <c r="S72" i="1" s="1"/>
  <c r="S85" i="1" s="1"/>
  <c r="S86" i="1" s="1"/>
  <c r="K229" i="1"/>
  <c r="S229" i="1"/>
  <c r="L231" i="1"/>
  <c r="L348" i="1"/>
  <c r="S348" i="1"/>
  <c r="L11" i="2"/>
  <c r="L285" i="1"/>
  <c r="L153" i="1"/>
  <c r="L10" i="2" l="1"/>
  <c r="K72" i="1"/>
  <c r="L233" i="1"/>
  <c r="L234" i="1" s="1"/>
  <c r="S231" i="1"/>
  <c r="K231" i="1"/>
  <c r="K285" i="1"/>
  <c r="S285" i="1"/>
  <c r="L287" i="1"/>
  <c r="L350" i="1"/>
  <c r="K348" i="1"/>
  <c r="S153" i="1"/>
  <c r="L155" i="1"/>
  <c r="K153" i="1"/>
  <c r="AF451" i="1"/>
  <c r="K155" i="1" l="1"/>
  <c r="S155" i="1"/>
  <c r="L165" i="1"/>
  <c r="L166" i="1" s="1"/>
  <c r="S233" i="1"/>
  <c r="S234" i="1" s="1"/>
  <c r="M11" i="2"/>
  <c r="K287" i="1"/>
  <c r="S287" i="1"/>
  <c r="L289" i="1"/>
  <c r="L290" i="1" s="1"/>
  <c r="K350" i="1"/>
  <c r="L352" i="1"/>
  <c r="L353" i="1" s="1"/>
  <c r="S350" i="1"/>
  <c r="AN451" i="1"/>
  <c r="AO451" i="1" s="1"/>
  <c r="AF467" i="1"/>
  <c r="AD451" i="1"/>
  <c r="L85" i="1"/>
  <c r="L86" i="1" s="1"/>
  <c r="K74" i="1"/>
  <c r="S74" i="1"/>
  <c r="M10" i="2" l="1"/>
  <c r="S352" i="1"/>
  <c r="S353" i="1" s="1"/>
  <c r="S165" i="1"/>
  <c r="S166" i="1" s="1"/>
  <c r="N166" i="1"/>
  <c r="AF482" i="1"/>
  <c r="AN467" i="1"/>
  <c r="AO467" i="1" s="1"/>
  <c r="AD467" i="1"/>
  <c r="S289" i="1"/>
  <c r="S290" i="1" s="1"/>
  <c r="AN482" i="1" l="1"/>
  <c r="AO482" i="1" s="1"/>
  <c r="AE482" i="1"/>
  <c r="L9" i="2"/>
  <c r="L8" i="2" s="1"/>
  <c r="AF488" i="1"/>
  <c r="AF487" i="1" l="1"/>
  <c r="AF497" i="1"/>
  <c r="AF501" i="1" s="1"/>
  <c r="AN488" i="1"/>
  <c r="AE488" i="1"/>
  <c r="AN497" i="1" l="1"/>
  <c r="AN501" i="1" s="1"/>
  <c r="AN487" i="1"/>
  <c r="AO487" i="1" s="1"/>
  <c r="AE487" i="1"/>
  <c r="AO488" i="1"/>
  <c r="AE497" i="1"/>
  <c r="M9" i="2"/>
  <c r="M8" i="2" s="1"/>
  <c r="AO497" i="1" l="1"/>
  <c r="Z467" i="1"/>
  <c r="X465" i="1"/>
  <c r="Z482" i="1" l="1"/>
  <c r="AI482" i="1" s="1"/>
  <c r="AI467" i="1"/>
  <c r="X467" i="1"/>
  <c r="Z488" i="1" l="1"/>
  <c r="AH488" i="1" s="1"/>
  <c r="AI488" i="1" s="1"/>
  <c r="Y482" i="1"/>
  <c r="D9" i="2"/>
  <c r="D8" i="2" s="1"/>
  <c r="Y488" i="1"/>
  <c r="Z497" i="1"/>
  <c r="Z487" i="1" l="1"/>
  <c r="AH487" i="1" s="1"/>
  <c r="AH497" i="1"/>
  <c r="AI497" i="1" s="1"/>
  <c r="E9" i="2"/>
  <c r="E8" i="2" s="1"/>
  <c r="Y497" i="1"/>
  <c r="Z501" i="1"/>
  <c r="Y487" i="1"/>
  <c r="AI487" i="1"/>
  <c r="AH501" i="1" l="1"/>
</calcChain>
</file>

<file path=xl/sharedStrings.xml><?xml version="1.0" encoding="utf-8"?>
<sst xmlns="http://schemas.openxmlformats.org/spreadsheetml/2006/main" count="5680" uniqueCount="483">
  <si>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</si>
  <si>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</si>
  <si>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</si>
  <si>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</si>
  <si>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</si>
  <si>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</si>
  <si>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</si>
  <si>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</si>
  <si>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</si>
  <si>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</si>
  <si>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</si>
  <si>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</si>
  <si>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</si>
  <si>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</si>
  <si>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</si>
  <si>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</si>
  <si>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</si>
  <si>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</si>
  <si>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</si>
  <si>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</si>
  <si>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</si>
  <si>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</si>
  <si>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</si>
  <si>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</si>
  <si>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</si>
  <si>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</si>
  <si>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</si>
  <si>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</si>
  <si>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</si>
  <si>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</si>
  <si>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</si>
  <si>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</si>
  <si>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</si>
  <si>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</si>
  <si>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</si>
  <si>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</si>
  <si>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</si>
  <si>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</si>
  <si>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</si>
  <si>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</si>
  <si>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</si>
  <si>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</si>
  <si>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</si>
  <si>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</si>
  <si>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</si>
  <si>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</si>
  <si>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</si>
  <si>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</si>
  <si>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</si>
  <si>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</si>
  <si>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</si>
  <si>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</si>
  <si>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</si>
  <si>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</si>
  <si>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</si>
  <si>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</si>
  <si>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</si>
  <si>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</si>
  <si>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</si>
  <si>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</si>
  <si>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</si>
  <si>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</si>
  <si>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</si>
  <si>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</si>
  <si>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</si>
  <si>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</si>
  <si>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Variable Margin Program</t>
  </si>
  <si>
    <t>Floorplan assistance 1%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</si>
  <si>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</si>
  <si>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</si>
  <si>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</si>
  <si>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</si>
  <si>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</si>
  <si>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</si>
  <si>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</si>
  <si>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</si>
  <si>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</si>
  <si>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</si>
  <si>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</si>
  <si>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</si>
  <si>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Remarketing Bonus</t>
  </si>
  <si>
    <t>Programme used 2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</si>
  <si>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</si>
  <si>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</si>
  <si>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</si>
  <si>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</si>
  <si>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</si>
  <si>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</si>
  <si>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</si>
  <si>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</si>
  <si>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</si>
  <si>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</si>
  <si>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</si>
  <si>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</si>
  <si>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</si>
  <si>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</si>
  <si>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</si>
  <si>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</si>
  <si>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</si>
  <si>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</si>
  <si>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</si>
  <si>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</si>
  <si>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</si>
  <si>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</si>
  <si>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</si>
  <si>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</si>
  <si>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</si>
  <si>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</si>
  <si>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</si>
  <si>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</si>
  <si>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</si>
  <si>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</si>
  <si>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</si>
  <si>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</si>
  <si>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</si>
  <si>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</si>
  <si>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</si>
  <si>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</si>
  <si>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</si>
  <si>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</si>
  <si>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</si>
  <si>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</si>
  <si>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</si>
  <si>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</si>
  <si>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</si>
  <si>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</si>
  <si>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</si>
  <si>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</si>
  <si>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</si>
  <si>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</si>
  <si>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</si>
  <si>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</si>
  <si>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</si>
  <si>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</si>
  <si>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</si>
  <si>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</si>
  <si>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</si>
  <si>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</si>
  <si>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</si>
  <si>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</si>
  <si>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</si>
  <si>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</si>
  <si>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</si>
  <si>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</si>
  <si>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</si>
  <si>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</si>
  <si>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</si>
  <si>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</si>
  <si>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</si>
  <si>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</si>
  <si>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</si>
  <si>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</si>
  <si>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</si>
  <si>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</si>
  <si>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</si>
  <si>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</si>
  <si>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</si>
  <si>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</si>
  <si>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</si>
  <si>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</si>
  <si>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</si>
  <si>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</si>
  <si>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</si>
  <si>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</si>
  <si>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</si>
  <si>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</si>
  <si>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</si>
  <si>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</si>
  <si>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</si>
  <si>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</si>
  <si>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</si>
  <si>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</si>
  <si>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</si>
  <si>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</si>
  <si>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</si>
  <si>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</si>
  <si>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</si>
  <si>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</si>
  <si>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</si>
  <si>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</si>
  <si>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</si>
  <si>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</si>
  <si>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</si>
  <si>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</si>
  <si>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</si>
  <si>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</si>
  <si>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</si>
  <si>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</si>
  <si>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</si>
  <si>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</si>
  <si>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</si>
  <si>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</si>
  <si>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Conso</t>
  </si>
  <si>
    <t>US</t>
  </si>
  <si>
    <t>Programme neuf 2</t>
  </si>
  <si>
    <t>Facility Fund</t>
  </si>
  <si>
    <t>Pièces recond. MCPA</t>
  </si>
  <si>
    <t>Programme neuf 1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</si>
  <si>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</si>
  <si>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</si>
  <si>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</si>
  <si>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</si>
  <si>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</si>
  <si>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</si>
  <si>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</si>
  <si>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</si>
  <si>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</si>
  <si>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</si>
  <si>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</si>
  <si>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</si>
  <si>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</si>
  <si>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</si>
  <si>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</si>
  <si>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</si>
  <si>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</si>
  <si>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BAIIA Corpo</t>
  </si>
  <si>
    <t>Revenus d'intérêts floor plan</t>
  </si>
  <si>
    <t>ÉCART réel / année précédente</t>
  </si>
  <si>
    <t>NB</t>
  </si>
  <si>
    <t>$</t>
  </si>
  <si>
    <t>ÉCART réel / Budget</t>
  </si>
  <si>
    <t>ECART (réel/ Ann.Préc.)</t>
  </si>
  <si>
    <t>SERVICE</t>
  </si>
  <si>
    <t>$PROFFTS</t>
  </si>
  <si>
    <t>Autres Marques</t>
  </si>
  <si>
    <t>Programme used 1</t>
  </si>
  <si>
    <t>$Ventes</t>
  </si>
  <si>
    <t>Protégé pour sommaire - &gt;&gt;</t>
  </si>
  <si>
    <t>Véhicules neufsVentes nettes</t>
  </si>
  <si>
    <t>Véhicules neufsAutos détail</t>
  </si>
  <si>
    <t>Véhicules neufsCamions détail</t>
  </si>
  <si>
    <t>Véhicules neufsSprinter</t>
  </si>
  <si>
    <t>Véhicules neufsMoto détail</t>
  </si>
  <si>
    <t>Véhicules neufs[...]</t>
  </si>
  <si>
    <t>Véhicules neufsTotal Neufs</t>
  </si>
  <si>
    <t>Véhicules neufsEx-Démos et courtoisies</t>
  </si>
  <si>
    <t>Véhicules neufsFlottes</t>
  </si>
  <si>
    <t>Véhicules neufsRachat bail</t>
  </si>
  <si>
    <t>Véhicules neufsRev. Finances</t>
  </si>
  <si>
    <t>Véhicules neufsRev. Protections</t>
  </si>
  <si>
    <t>Véhicules neufsRev. Autres</t>
  </si>
  <si>
    <t>Véhicules neufsTotal F&amp;I</t>
  </si>
  <si>
    <t>Véhicules neufsTotal Dépt. Neufs</t>
  </si>
  <si>
    <t>Véhicules neufsDEPENSES</t>
  </si>
  <si>
    <t>Véhicules neufsComm. vendeurs</t>
  </si>
  <si>
    <t>Véhicules neufsComm. F&amp;I</t>
  </si>
  <si>
    <t>Véhicules neufsFrais de livraison</t>
  </si>
  <si>
    <t>Véhicules neufsService gratuit 1</t>
  </si>
  <si>
    <t>Véhicules neufsEntretien stock</t>
  </si>
  <si>
    <t>Véhicules neufsPublicité 1</t>
  </si>
  <si>
    <t>Véhicules neufsIntérêt de gros</t>
  </si>
  <si>
    <t>Véhicules neufsTOTAL VARIABLES</t>
  </si>
  <si>
    <t>Véhicules neufsSalaires cadres</t>
  </si>
  <si>
    <t>Véhicules neufsSalaires commis</t>
  </si>
  <si>
    <t>Véhicules neufsSalaires autres</t>
  </si>
  <si>
    <t>Véhicules neufsSalaires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</si>
  <si>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</si>
  <si>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</si>
  <si>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</si>
  <si>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</si>
  <si>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</si>
  <si>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Véhicules neufsPublicité 2</t>
  </si>
  <si>
    <t>Véhicules neufsService gratuit 2</t>
  </si>
  <si>
    <t>Véhicules neufsFrais véhicules de cie</t>
  </si>
  <si>
    <t>Véhicules neufsInformatique</t>
  </si>
  <si>
    <t>Véhicules neufsFrais de déplacement</t>
  </si>
  <si>
    <t>Véhicules neufsServices extérieurs</t>
  </si>
  <si>
    <t>Véhicules neufsFournitures autres</t>
  </si>
  <si>
    <t>Véhicules neufsUniformes</t>
  </si>
  <si>
    <t>Véhicules neufsPapeterie</t>
  </si>
  <si>
    <t>Véhicules neufsTéléphone</t>
  </si>
  <si>
    <t>Véhicules neufsFrais postaux</t>
  </si>
  <si>
    <t>Véhicules neufsDivers</t>
  </si>
  <si>
    <t>Véhicules neufsFormation</t>
  </si>
  <si>
    <t>Véhicules neufsFrais bancaires</t>
  </si>
  <si>
    <t>Véhicules neufsTOTAL SEMI-FIXES</t>
  </si>
  <si>
    <t>Véhicules neufsTOTAL DES DÉPENSES</t>
  </si>
  <si>
    <t>Véhicules neufsProgramme neuf 1</t>
  </si>
  <si>
    <t>Véhicules neufsProgramme neuf 2</t>
  </si>
  <si>
    <t>Véhicules neufsProgramme neuf 3</t>
  </si>
  <si>
    <t>Véhicules neufsHoldbacks</t>
  </si>
  <si>
    <t>Véhicules neufsFrais administration</t>
  </si>
  <si>
    <t>Véhicules neufsAUTRES REVENUS</t>
  </si>
  <si>
    <t>Véhicules neufsPROFIT DÉPARTEMENTAL</t>
  </si>
  <si>
    <t>Véhicules usagésVentes nettes</t>
  </si>
  <si>
    <t>Véhicules usagésCertifié</t>
  </si>
  <si>
    <t>Véhicules usagésNon Certifié</t>
  </si>
  <si>
    <t>Véhicules usagésAutres Marques</t>
  </si>
  <si>
    <t>Véhicules usagésTotal Usagés</t>
  </si>
  <si>
    <t>Véhicules usagésVentes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</si>
  <si>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</si>
  <si>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</si>
  <si>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</si>
  <si>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</si>
  <si>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</si>
  <si>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</si>
  <si>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</si>
  <si>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</si>
  <si>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</si>
  <si>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</si>
  <si>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</si>
  <si>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</si>
  <si>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</si>
  <si>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</si>
  <si>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</si>
  <si>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</si>
  <si>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</si>
  <si>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</si>
  <si>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</si>
  <si>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</si>
  <si>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</si>
  <si>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</si>
  <si>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</si>
  <si>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</si>
  <si>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</si>
  <si>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</si>
  <si>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</si>
  <si>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</si>
  <si>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</si>
  <si>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</si>
  <si>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</si>
  <si>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</si>
  <si>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</si>
  <si>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</si>
  <si>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</si>
  <si>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</si>
  <si>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</si>
  <si>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</si>
  <si>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</si>
  <si>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</si>
  <si>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</si>
  <si>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Véhicules usagésProgramme used 2</t>
  </si>
  <si>
    <t>Véhicules usagésProgramme used 3</t>
  </si>
  <si>
    <t>Véhicules usagésFrais administration</t>
  </si>
  <si>
    <t>ServiceM/O Client</t>
  </si>
  <si>
    <t>Service% profit / ventes</t>
  </si>
  <si>
    <t>ServiceM/O Garantie</t>
  </si>
  <si>
    <t>ServiceM/O Interne</t>
  </si>
  <si>
    <t>ServiceM/O Esthétique</t>
  </si>
  <si>
    <t>ServiceAjustement M/O</t>
  </si>
  <si>
    <t>ServiceSous-total M/O</t>
  </si>
  <si>
    <t>Service% protit / ventes</t>
  </si>
  <si>
    <t>ServiceSous-traitement</t>
  </si>
  <si>
    <t>ServiceM.O. Recond. MCPA</t>
  </si>
  <si>
    <t>ServiceTotal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</si>
  <si>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</si>
  <si>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</si>
  <si>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</si>
  <si>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</si>
  <si>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</si>
  <si>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</si>
  <si>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</si>
  <si>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</si>
  <si>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</si>
  <si>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</si>
  <si>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</si>
  <si>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</si>
  <si>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</si>
  <si>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</si>
  <si>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</si>
  <si>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</si>
  <si>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</si>
  <si>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</si>
  <si>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</si>
  <si>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</si>
  <si>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</si>
  <si>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</si>
  <si>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</si>
  <si>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</si>
  <si>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</si>
  <si>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</si>
  <si>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CarrosserieM/O Sous-traitement</t>
  </si>
  <si>
    <t>Carrosserie% profit / ventes</t>
  </si>
  <si>
    <t>CarrosserieM/O Carrosserie</t>
  </si>
  <si>
    <t>CarrosserieM/O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</si>
  <si>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</si>
  <si>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</si>
  <si>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</si>
  <si>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</si>
  <si>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</si>
  <si>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</si>
  <si>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</si>
  <si>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</si>
  <si>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</si>
  <si>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</si>
  <si>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</si>
  <si>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</si>
  <si>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</si>
  <si>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</si>
  <si>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</si>
  <si>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</si>
  <si>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</si>
  <si>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</si>
  <si>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</si>
  <si>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</si>
  <si>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</si>
  <si>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</si>
  <si>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</si>
  <si>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</si>
  <si>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</si>
  <si>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</si>
  <si>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</si>
  <si>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PiècesPièces Ro Clients</t>
  </si>
  <si>
    <t>PiècesPièces Ro Carrosserie</t>
  </si>
  <si>
    <t>PiècesP/A Garantie</t>
  </si>
  <si>
    <t>PiècesVentes Internes</t>
  </si>
  <si>
    <t>PiècesVentes Détails</t>
  </si>
  <si>
    <t>PiècesVentes de Gros</t>
  </si>
  <si>
    <t>Pièces[...]</t>
  </si>
  <si>
    <t>PiècesEscomptes</t>
  </si>
  <si>
    <t>PiècesRectif. Inventaire</t>
  </si>
  <si>
    <t>PiècesSous-total Pièces</t>
  </si>
  <si>
    <t>PiècesVentes Pneus</t>
  </si>
  <si>
    <t>PiècesHuiles et Graisse</t>
  </si>
  <si>
    <t>PiècesSous-total Pièces et Acc.</t>
  </si>
  <si>
    <t>PiècesAutostock</t>
  </si>
  <si>
    <t>PiècesTotal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</si>
  <si>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</si>
  <si>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</si>
  <si>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</si>
  <si>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</si>
  <si>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</si>
  <si>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</si>
  <si>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</si>
  <si>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</si>
  <si>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</si>
  <si>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</si>
  <si>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</si>
  <si>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</si>
  <si>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</si>
  <si>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</si>
  <si>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</si>
  <si>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</si>
  <si>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</si>
  <si>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</si>
  <si>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</si>
  <si>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</si>
  <si>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</si>
  <si>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</si>
  <si>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</si>
  <si>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</si>
  <si>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</si>
  <si>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BoutiqueBoutique</t>
  </si>
  <si>
    <t>BoutiqueTotal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</si>
  <si>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</si>
  <si>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</si>
  <si>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</si>
  <si>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</si>
  <si>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</si>
  <si>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</si>
  <si>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</si>
  <si>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</si>
  <si>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</si>
  <si>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</si>
  <si>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</si>
  <si>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</si>
  <si>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</si>
  <si>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</si>
  <si>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</si>
  <si>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</si>
  <si>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</si>
  <si>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</si>
  <si>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</si>
  <si>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</si>
  <si>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</si>
  <si>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</si>
  <si>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</si>
  <si>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</si>
  <si>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</si>
  <si>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/>
  </si>
  <si>
    <t>Revenus d'intérêts Floor plan</t>
  </si>
  <si>
    <t>*** NE PAS EFFACER / Pour An Précédente ***</t>
  </si>
  <si>
    <t>NEUF</t>
  </si>
  <si>
    <t>UNITÉS</t>
  </si>
  <si>
    <t>USAGE</t>
  </si>
  <si>
    <t>CARROSSERIE</t>
  </si>
  <si>
    <t>PIECES</t>
  </si>
  <si>
    <t>TOTAL DES REVENUS ET DÉPENSES</t>
  </si>
  <si>
    <t>Volks</t>
  </si>
  <si>
    <t>Pacing du 30</t>
  </si>
  <si>
    <t>Réalisé, Juillet 2025</t>
  </si>
  <si>
    <t>Réalisé, Août 2025</t>
  </si>
  <si>
    <t>Réalisé, Septembre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</si>
</sst>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dd\/mm\/yy_)"/>
    <numFmt numFmtId="166" formatCode="0.0%"/>
    <numFmt numFmtId="167" formatCode="0_)"/>
    <numFmt numFmtId="168" formatCode="_(* #,##0_);_(* \(#,##0\);_(* &quot;-&quot;??_);_(@_)"/>
    <numFmt numFmtId="169" formatCode="&quot;$&quot;#,##0"/>
    <numFmt numFmtId="170" formatCode="_-* #,##0.00\ _$_-;_-* #,##0.00\ _$\-;_-* &quot;-&quot;??\ _$_-;_-@_-"/>
    <numFmt numFmtId="171" formatCode="_-* #,##0.00\ &quot;$&quot;_-;_-* #,##0.00\ &quot;$&quot;\-;_-* &quot;-&quot;??\ &quot;$&quot;_-;_-@_-"/>
    <numFmt numFmtId="172" formatCode="d/m/yyyy"/>
  </numFmts>
  <fonts count="4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Times New Roman"/>
      <family val="1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b/>
      <sz val="14"/>
      <color theme="1"/>
      <name val="Arial mt"/>
    </font>
    <font>
      <sz val="14"/>
      <color theme="1"/>
      <name val="Calibri"/>
      <family val="2"/>
    </font>
    <font>
      <sz val="14"/>
      <color theme="1"/>
      <name val="Arial mt"/>
    </font>
    <font>
      <b/>
      <sz val="14"/>
      <color rgb="FFFF0000"/>
      <name val="Arial mt"/>
    </font>
    <font>
      <sz val="14"/>
      <color rgb="FFFF0000"/>
      <name val="Arial"/>
      <family val="2"/>
    </font>
    <font>
      <b/>
      <sz val="14"/>
      <name val="Arial"/>
      <family val="2"/>
    </font>
    <font>
      <b/>
      <i/>
      <sz val="14"/>
      <color theme="1"/>
      <name val="Arial mt"/>
    </font>
    <font>
      <sz val="14"/>
      <color theme="1"/>
      <name val="Times New Roman"/>
      <family val="1"/>
    </font>
    <font>
      <sz val="14"/>
      <color rgb="FF0000FF"/>
      <name val="Arial mt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8"/>
      <color theme="1"/>
      <name val="Arial"/>
      <family val="2"/>
    </font>
    <font>
      <b/>
      <sz val="28"/>
      <color theme="0"/>
      <name val="Arial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0"/>
      <color rgb="FFFFFFFF"/>
      <name val="Calibri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1"/>
        <bgColor rgb="FFFFC000"/>
      </patternFill>
    </fill>
    <fill>
      <patternFill patternType="solid">
        <fgColor rgb="FFFFC000"/>
        <bgColor rgb="FFFFC000"/>
      </patternFill>
    </fill>
    <fill>
      <patternFill patternType="solid">
        <fgColor theme="1"/>
        <bgColor theme="1"/>
      </patternFill>
    </fill>
  </fills>
  <borders count="1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thick">
        <color rgb="FF000000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32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44" fontId="16" fillId="0" borderId="0" applyFont="0" applyFill="0" applyBorder="0" applyAlignment="0" applyProtection="0"/>
    <xf numFmtId="0" fontId="9" fillId="0" borderId="0"/>
    <xf numFmtId="0" fontId="25" fillId="0" borderId="0"/>
    <xf numFmtId="17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16" fillId="0" borderId="0"/>
    <xf numFmtId="0" fontId="8" fillId="0" borderId="0"/>
    <xf numFmtId="0" fontId="25" fillId="0" borderId="0"/>
    <xf numFmtId="43" fontId="27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7" fillId="0" borderId="0"/>
    <xf numFmtId="0" fontId="39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71">
    <xf numFmtId="0" fontId="0" fillId="0" borderId="0" xfId="0"/>
    <xf numFmtId="0" fontId="17" fillId="0" borderId="18" xfId="0" applyFont="1" applyBorder="1"/>
    <xf numFmtId="0" fontId="17" fillId="0" borderId="22" xfId="0" applyFont="1" applyBorder="1"/>
    <xf numFmtId="0" fontId="17" fillId="0" borderId="6" xfId="0" applyFont="1" applyBorder="1"/>
    <xf numFmtId="0" fontId="17" fillId="0" borderId="48" xfId="0" applyFont="1" applyBorder="1"/>
    <xf numFmtId="0" fontId="17" fillId="0" borderId="11" xfId="0" applyFont="1" applyBorder="1"/>
    <xf numFmtId="0" fontId="19" fillId="0" borderId="0" xfId="0" applyFont="1" applyAlignment="1">
      <alignment horizontal="center" vertical="center"/>
    </xf>
    <xf numFmtId="0" fontId="17" fillId="0" borderId="12" xfId="0" applyFont="1" applyBorder="1"/>
    <xf numFmtId="37" fontId="17" fillId="0" borderId="67" xfId="0" applyNumberFormat="1" applyFont="1" applyBorder="1"/>
    <xf numFmtId="37" fontId="17" fillId="0" borderId="68" xfId="0" applyNumberFormat="1" applyFont="1" applyBorder="1"/>
    <xf numFmtId="37" fontId="17" fillId="0" borderId="12" xfId="0" applyNumberFormat="1" applyFont="1" applyBorder="1"/>
    <xf numFmtId="166" fontId="17" fillId="0" borderId="12" xfId="0" applyNumberFormat="1" applyFont="1" applyBorder="1"/>
    <xf numFmtId="37" fontId="17" fillId="0" borderId="69" xfId="0" applyNumberFormat="1" applyFont="1" applyBorder="1"/>
    <xf numFmtId="166" fontId="17" fillId="0" borderId="17" xfId="0" applyNumberFormat="1" applyFont="1" applyBorder="1"/>
    <xf numFmtId="0" fontId="19" fillId="2" borderId="22" xfId="0" applyFont="1" applyFill="1" applyBorder="1"/>
    <xf numFmtId="0" fontId="19" fillId="2" borderId="12" xfId="0" applyFont="1" applyFill="1" applyBorder="1"/>
    <xf numFmtId="37" fontId="19" fillId="2" borderId="67" xfId="0" applyNumberFormat="1" applyFont="1" applyFill="1" applyBorder="1"/>
    <xf numFmtId="37" fontId="19" fillId="2" borderId="68" xfId="0" applyNumberFormat="1" applyFont="1" applyFill="1" applyBorder="1"/>
    <xf numFmtId="37" fontId="19" fillId="2" borderId="12" xfId="0" applyNumberFormat="1" applyFont="1" applyFill="1" applyBorder="1"/>
    <xf numFmtId="166" fontId="19" fillId="2" borderId="12" xfId="0" applyNumberFormat="1" applyFont="1" applyFill="1" applyBorder="1"/>
    <xf numFmtId="37" fontId="19" fillId="2" borderId="69" xfId="0" applyNumberFormat="1" applyFont="1" applyFill="1" applyBorder="1"/>
    <xf numFmtId="166" fontId="19" fillId="2" borderId="17" xfId="0" applyNumberFormat="1" applyFont="1" applyFill="1" applyBorder="1"/>
    <xf numFmtId="0" fontId="19" fillId="0" borderId="18" xfId="0" applyFont="1" applyBorder="1"/>
    <xf numFmtId="0" fontId="17" fillId="0" borderId="0" xfId="0" applyFont="1"/>
    <xf numFmtId="37" fontId="17" fillId="0" borderId="70" xfId="0" applyNumberFormat="1" applyFont="1" applyBorder="1"/>
    <xf numFmtId="37" fontId="17" fillId="0" borderId="71" xfId="0" applyNumberFormat="1" applyFont="1" applyBorder="1"/>
    <xf numFmtId="37" fontId="17" fillId="0" borderId="0" xfId="0" applyNumberFormat="1" applyFont="1"/>
    <xf numFmtId="166" fontId="17" fillId="0" borderId="0" xfId="0" applyNumberFormat="1" applyFont="1"/>
    <xf numFmtId="37" fontId="17" fillId="0" borderId="72" xfId="0" applyNumberFormat="1" applyFont="1" applyBorder="1"/>
    <xf numFmtId="166" fontId="17" fillId="0" borderId="21" xfId="0" applyNumberFormat="1" applyFont="1" applyBorder="1"/>
    <xf numFmtId="0" fontId="17" fillId="0" borderId="0" xfId="0" applyFont="1" applyAlignment="1">
      <alignment horizontal="right"/>
    </xf>
    <xf numFmtId="167" fontId="17" fillId="0" borderId="0" xfId="0" applyNumberFormat="1" applyFont="1"/>
    <xf numFmtId="0" fontId="17" fillId="0" borderId="71" xfId="0" applyFont="1" applyBorder="1"/>
    <xf numFmtId="166" fontId="17" fillId="0" borderId="10" xfId="0" applyNumberFormat="1" applyFont="1" applyBorder="1"/>
    <xf numFmtId="0" fontId="17" fillId="0" borderId="12" xfId="0" applyFont="1" applyBorder="1" applyAlignment="1">
      <alignment horizontal="right"/>
    </xf>
    <xf numFmtId="167" fontId="17" fillId="0" borderId="12" xfId="0" applyNumberFormat="1" applyFont="1" applyBorder="1"/>
    <xf numFmtId="0" fontId="17" fillId="0" borderId="68" xfId="0" applyFont="1" applyBorder="1"/>
    <xf numFmtId="166" fontId="17" fillId="0" borderId="67" xfId="0" applyNumberFormat="1" applyFont="1" applyBorder="1"/>
    <xf numFmtId="166" fontId="17" fillId="0" borderId="73" xfId="0" applyNumberFormat="1" applyFont="1" applyBorder="1"/>
    <xf numFmtId="166" fontId="20" fillId="0" borderId="10" xfId="0" applyNumberFormat="1" applyFont="1" applyBorder="1"/>
    <xf numFmtId="0" fontId="19" fillId="2" borderId="34" xfId="0" applyFont="1" applyFill="1" applyBorder="1"/>
    <xf numFmtId="0" fontId="19" fillId="2" borderId="35" xfId="0" applyFont="1" applyFill="1" applyBorder="1"/>
    <xf numFmtId="166" fontId="19" fillId="2" borderId="35" xfId="0" applyNumberFormat="1" applyFont="1" applyFill="1" applyBorder="1"/>
    <xf numFmtId="37" fontId="19" fillId="2" borderId="74" xfId="0" applyNumberFormat="1" applyFont="1" applyFill="1" applyBorder="1"/>
    <xf numFmtId="166" fontId="19" fillId="2" borderId="38" xfId="0" applyNumberFormat="1" applyFont="1" applyFill="1" applyBorder="1"/>
    <xf numFmtId="0" fontId="19" fillId="2" borderId="38" xfId="0" applyFont="1" applyFill="1" applyBorder="1"/>
    <xf numFmtId="37" fontId="19" fillId="2" borderId="35" xfId="0" applyNumberFormat="1" applyFont="1" applyFill="1" applyBorder="1"/>
    <xf numFmtId="0" fontId="19" fillId="2" borderId="75" xfId="0" applyFont="1" applyFill="1" applyBorder="1"/>
    <xf numFmtId="166" fontId="17" fillId="0" borderId="70" xfId="0" applyNumberFormat="1" applyFont="1" applyBorder="1"/>
    <xf numFmtId="167" fontId="19" fillId="2" borderId="35" xfId="0" applyNumberFormat="1" applyFont="1" applyFill="1" applyBorder="1"/>
    <xf numFmtId="37" fontId="19" fillId="2" borderId="38" xfId="0" applyNumberFormat="1" applyFont="1" applyFill="1" applyBorder="1"/>
    <xf numFmtId="37" fontId="19" fillId="2" borderId="75" xfId="0" applyNumberFormat="1" applyFont="1" applyFill="1" applyBorder="1"/>
    <xf numFmtId="0" fontId="17" fillId="0" borderId="7" xfId="0" applyFont="1" applyBorder="1" applyAlignment="1">
      <alignment horizontal="right"/>
    </xf>
    <xf numFmtId="0" fontId="17" fillId="0" borderId="7" xfId="0" applyFont="1" applyBorder="1"/>
    <xf numFmtId="37" fontId="17" fillId="0" borderId="76" xfId="0" applyNumberFormat="1" applyFont="1" applyBorder="1"/>
    <xf numFmtId="0" fontId="17" fillId="0" borderId="77" xfId="0" applyFont="1" applyBorder="1"/>
    <xf numFmtId="167" fontId="17" fillId="0" borderId="7" xfId="0" applyNumberFormat="1" applyFont="1" applyBorder="1"/>
    <xf numFmtId="37" fontId="17" fillId="0" borderId="7" xfId="0" applyNumberFormat="1" applyFont="1" applyBorder="1"/>
    <xf numFmtId="166" fontId="17" fillId="0" borderId="7" xfId="0" applyNumberFormat="1" applyFont="1" applyBorder="1"/>
    <xf numFmtId="37" fontId="17" fillId="0" borderId="78" xfId="0" applyNumberFormat="1" applyFont="1" applyBorder="1"/>
    <xf numFmtId="0" fontId="17" fillId="0" borderId="47" xfId="0" applyFont="1" applyBorder="1" applyAlignment="1">
      <alignment horizontal="right"/>
    </xf>
    <xf numFmtId="0" fontId="17" fillId="0" borderId="47" xfId="0" applyFont="1" applyBorder="1"/>
    <xf numFmtId="37" fontId="17" fillId="0" borderId="79" xfId="0" applyNumberFormat="1" applyFont="1" applyBorder="1"/>
    <xf numFmtId="0" fontId="17" fillId="0" borderId="80" xfId="0" applyFont="1" applyBorder="1"/>
    <xf numFmtId="167" fontId="17" fillId="0" borderId="47" xfId="0" applyNumberFormat="1" applyFont="1" applyBorder="1"/>
    <xf numFmtId="37" fontId="17" fillId="0" borderId="80" xfId="0" applyNumberFormat="1" applyFont="1" applyBorder="1"/>
    <xf numFmtId="37" fontId="17" fillId="0" borderId="47" xfId="0" applyNumberFormat="1" applyFont="1" applyBorder="1"/>
    <xf numFmtId="166" fontId="17" fillId="0" borderId="47" xfId="0" applyNumberFormat="1" applyFont="1" applyBorder="1"/>
    <xf numFmtId="37" fontId="17" fillId="0" borderId="81" xfId="0" applyNumberFormat="1" applyFont="1" applyBorder="1"/>
    <xf numFmtId="166" fontId="17" fillId="0" borderId="82" xfId="0" applyNumberFormat="1" applyFont="1" applyBorder="1"/>
    <xf numFmtId="0" fontId="17" fillId="2" borderId="35" xfId="0" applyFont="1" applyFill="1" applyBorder="1"/>
    <xf numFmtId="166" fontId="19" fillId="2" borderId="39" xfId="0" applyNumberFormat="1" applyFont="1" applyFill="1" applyBorder="1"/>
    <xf numFmtId="166" fontId="19" fillId="0" borderId="0" xfId="0" applyNumberFormat="1" applyFont="1"/>
    <xf numFmtId="0" fontId="19" fillId="0" borderId="0" xfId="0" applyFont="1"/>
    <xf numFmtId="166" fontId="17" fillId="0" borderId="76" xfId="0" applyNumberFormat="1" applyFont="1" applyBorder="1"/>
    <xf numFmtId="0" fontId="17" fillId="0" borderId="70" xfId="0" applyFont="1" applyBorder="1"/>
    <xf numFmtId="0" fontId="17" fillId="0" borderId="72" xfId="0" applyFont="1" applyBorder="1"/>
    <xf numFmtId="166" fontId="17" fillId="0" borderId="83" xfId="0" applyNumberFormat="1" applyFont="1" applyBorder="1"/>
    <xf numFmtId="166" fontId="19" fillId="0" borderId="7" xfId="0" applyNumberFormat="1" applyFont="1" applyBorder="1"/>
    <xf numFmtId="0" fontId="19" fillId="0" borderId="7" xfId="0" applyFont="1" applyBorder="1"/>
    <xf numFmtId="166" fontId="19" fillId="0" borderId="77" xfId="0" applyNumberFormat="1" applyFont="1" applyBorder="1"/>
    <xf numFmtId="37" fontId="19" fillId="0" borderId="77" xfId="0" applyNumberFormat="1" applyFont="1" applyBorder="1"/>
    <xf numFmtId="37" fontId="17" fillId="0" borderId="84" xfId="0" applyNumberFormat="1" applyFont="1" applyBorder="1"/>
    <xf numFmtId="37" fontId="19" fillId="0" borderId="7" xfId="0" applyNumberFormat="1" applyFont="1" applyBorder="1"/>
    <xf numFmtId="166" fontId="19" fillId="0" borderId="71" xfId="0" applyNumberFormat="1" applyFont="1" applyBorder="1"/>
    <xf numFmtId="37" fontId="19" fillId="0" borderId="71" xfId="0" applyNumberFormat="1" applyFont="1" applyBorder="1"/>
    <xf numFmtId="37" fontId="17" fillId="0" borderId="85" xfId="0" applyNumberFormat="1" applyFont="1" applyBorder="1"/>
    <xf numFmtId="37" fontId="19" fillId="0" borderId="0" xfId="0" applyNumberFormat="1" applyFont="1"/>
    <xf numFmtId="166" fontId="17" fillId="2" borderId="38" xfId="0" applyNumberFormat="1" applyFont="1" applyFill="1" applyBorder="1"/>
    <xf numFmtId="166" fontId="17" fillId="2" borderId="35" xfId="0" applyNumberFormat="1" applyFont="1" applyFill="1" applyBorder="1"/>
    <xf numFmtId="37" fontId="17" fillId="2" borderId="75" xfId="0" applyNumberFormat="1" applyFont="1" applyFill="1" applyBorder="1"/>
    <xf numFmtId="0" fontId="19" fillId="3" borderId="6" xfId="0" applyFont="1" applyFill="1" applyBorder="1"/>
    <xf numFmtId="0" fontId="19" fillId="3" borderId="7" xfId="0" applyFont="1" applyFill="1" applyBorder="1"/>
    <xf numFmtId="37" fontId="19" fillId="3" borderId="7" xfId="0" applyNumberFormat="1" applyFont="1" applyFill="1" applyBorder="1"/>
    <xf numFmtId="37" fontId="17" fillId="3" borderId="76" xfId="0" applyNumberFormat="1" applyFont="1" applyFill="1" applyBorder="1"/>
    <xf numFmtId="0" fontId="17" fillId="3" borderId="7" xfId="0" applyFont="1" applyFill="1" applyBorder="1"/>
    <xf numFmtId="37" fontId="17" fillId="3" borderId="7" xfId="0" applyNumberFormat="1" applyFont="1" applyFill="1" applyBorder="1"/>
    <xf numFmtId="37" fontId="17" fillId="3" borderId="77" xfId="0" applyNumberFormat="1" applyFont="1" applyFill="1" applyBorder="1"/>
    <xf numFmtId="37" fontId="17" fillId="3" borderId="0" xfId="0" applyNumberFormat="1" applyFont="1" applyFill="1"/>
    <xf numFmtId="166" fontId="17" fillId="3" borderId="0" xfId="0" applyNumberFormat="1" applyFont="1" applyFill="1"/>
    <xf numFmtId="166" fontId="17" fillId="3" borderId="77" xfId="0" applyNumberFormat="1" applyFont="1" applyFill="1" applyBorder="1"/>
    <xf numFmtId="166" fontId="17" fillId="3" borderId="7" xfId="0" applyNumberFormat="1" applyFont="1" applyFill="1" applyBorder="1"/>
    <xf numFmtId="37" fontId="17" fillId="3" borderId="78" xfId="0" applyNumberFormat="1" applyFont="1" applyFill="1" applyBorder="1"/>
    <xf numFmtId="166" fontId="17" fillId="0" borderId="45" xfId="0" applyNumberFormat="1" applyFont="1" applyBorder="1"/>
    <xf numFmtId="0" fontId="19" fillId="2" borderId="57" xfId="0" applyFont="1" applyFill="1" applyBorder="1"/>
    <xf numFmtId="0" fontId="19" fillId="2" borderId="58" xfId="0" applyFont="1" applyFill="1" applyBorder="1"/>
    <xf numFmtId="0" fontId="19" fillId="2" borderId="58" xfId="0" applyFont="1" applyFill="1" applyBorder="1" applyAlignment="1">
      <alignment horizontal="center"/>
    </xf>
    <xf numFmtId="166" fontId="19" fillId="2" borderId="58" xfId="0" applyNumberFormat="1" applyFont="1" applyFill="1" applyBorder="1"/>
    <xf numFmtId="37" fontId="19" fillId="2" borderId="86" xfId="0" applyNumberFormat="1" applyFont="1" applyFill="1" applyBorder="1"/>
    <xf numFmtId="37" fontId="19" fillId="2" borderId="58" xfId="0" applyNumberFormat="1" applyFont="1" applyFill="1" applyBorder="1"/>
    <xf numFmtId="37" fontId="19" fillId="2" borderId="87" xfId="0" applyNumberFormat="1" applyFont="1" applyFill="1" applyBorder="1"/>
    <xf numFmtId="166" fontId="19" fillId="2" borderId="88" xfId="0" applyNumberFormat="1" applyFont="1" applyFill="1" applyBorder="1"/>
    <xf numFmtId="0" fontId="19" fillId="2" borderId="87" xfId="0" applyFont="1" applyFill="1" applyBorder="1" applyAlignment="1">
      <alignment horizontal="center"/>
    </xf>
    <xf numFmtId="37" fontId="19" fillId="2" borderId="89" xfId="0" applyNumberFormat="1" applyFont="1" applyFill="1" applyBorder="1"/>
    <xf numFmtId="166" fontId="19" fillId="2" borderId="46" xfId="0" applyNumberFormat="1" applyFont="1" applyFill="1" applyBorder="1"/>
    <xf numFmtId="39" fontId="17" fillId="0" borderId="0" xfId="0" applyNumberFormat="1" applyFont="1"/>
    <xf numFmtId="0" fontId="19" fillId="2" borderId="90" xfId="0" applyFont="1" applyFill="1" applyBorder="1"/>
    <xf numFmtId="0" fontId="19" fillId="2" borderId="91" xfId="0" applyFont="1" applyFill="1" applyBorder="1"/>
    <xf numFmtId="0" fontId="19" fillId="2" borderId="91" xfId="0" applyFont="1" applyFill="1" applyBorder="1" applyAlignment="1">
      <alignment horizontal="center"/>
    </xf>
    <xf numFmtId="166" fontId="19" fillId="2" borderId="91" xfId="0" applyNumberFormat="1" applyFont="1" applyFill="1" applyBorder="1"/>
    <xf numFmtId="37" fontId="19" fillId="2" borderId="92" xfId="0" applyNumberFormat="1" applyFont="1" applyFill="1" applyBorder="1"/>
    <xf numFmtId="37" fontId="19" fillId="2" borderId="91" xfId="0" applyNumberFormat="1" applyFont="1" applyFill="1" applyBorder="1"/>
    <xf numFmtId="37" fontId="19" fillId="2" borderId="93" xfId="0" applyNumberFormat="1" applyFont="1" applyFill="1" applyBorder="1"/>
    <xf numFmtId="37" fontId="19" fillId="2" borderId="94" xfId="0" applyNumberFormat="1" applyFont="1" applyFill="1" applyBorder="1"/>
    <xf numFmtId="37" fontId="19" fillId="2" borderId="63" xfId="0" applyNumberFormat="1" applyFont="1" applyFill="1" applyBorder="1"/>
    <xf numFmtId="166" fontId="19" fillId="2" borderId="66" xfId="0" applyNumberFormat="1" applyFont="1" applyFill="1" applyBorder="1"/>
    <xf numFmtId="166" fontId="19" fillId="2" borderId="61" xfId="0" applyNumberFormat="1" applyFont="1" applyFill="1" applyBorder="1"/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/>
    </xf>
    <xf numFmtId="0" fontId="23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24" fillId="0" borderId="96" xfId="0" applyFont="1" applyBorder="1" applyAlignment="1">
      <alignment vertical="center"/>
    </xf>
    <xf numFmtId="0" fontId="24" fillId="0" borderId="97" xfId="0" applyFont="1" applyBorder="1" applyAlignment="1">
      <alignment vertical="center"/>
    </xf>
    <xf numFmtId="37" fontId="24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24" fillId="7" borderId="95" xfId="0" applyFont="1" applyFill="1" applyBorder="1" applyAlignment="1">
      <alignment horizontal="center"/>
    </xf>
    <xf numFmtId="0" fontId="24" fillId="8" borderId="95" xfId="0" applyFont="1" applyFill="1" applyBorder="1" applyAlignment="1">
      <alignment horizontal="center"/>
    </xf>
    <xf numFmtId="0" fontId="24" fillId="5" borderId="95" xfId="0" applyFont="1" applyFill="1" applyBorder="1" applyAlignment="1">
      <alignment horizontal="center"/>
    </xf>
    <xf numFmtId="3" fontId="23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24" fillId="0" borderId="100" xfId="0" applyNumberFormat="1" applyFont="1" applyBorder="1" applyAlignment="1">
      <alignment horizontal="center" vertical="center"/>
    </xf>
    <xf numFmtId="3" fontId="23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24" fillId="6" borderId="95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17" fillId="0" borderId="9" xfId="0" applyFont="1" applyBorder="1"/>
    <xf numFmtId="0" fontId="17" fillId="0" borderId="14" xfId="0" applyFont="1" applyBorder="1"/>
    <xf numFmtId="0" fontId="17" fillId="0" borderId="20" xfId="0" applyFont="1" applyBorder="1"/>
    <xf numFmtId="166" fontId="17" fillId="0" borderId="16" xfId="0" applyNumberFormat="1" applyFont="1" applyBorder="1"/>
    <xf numFmtId="0" fontId="19" fillId="0" borderId="9" xfId="0" applyFont="1" applyBorder="1"/>
    <xf numFmtId="166" fontId="17" fillId="0" borderId="8" xfId="0" applyNumberFormat="1" applyFont="1" applyBorder="1"/>
    <xf numFmtId="0" fontId="19" fillId="2" borderId="37" xfId="0" applyFont="1" applyFill="1" applyBorder="1"/>
    <xf numFmtId="0" fontId="19" fillId="2" borderId="103" xfId="0" applyFont="1" applyFill="1" applyBorder="1"/>
    <xf numFmtId="0" fontId="19" fillId="2" borderId="104" xfId="0" applyFont="1" applyFill="1" applyBorder="1"/>
    <xf numFmtId="0" fontId="19" fillId="2" borderId="104" xfId="0" applyFont="1" applyFill="1" applyBorder="1" applyAlignment="1">
      <alignment horizontal="center"/>
    </xf>
    <xf numFmtId="166" fontId="19" fillId="2" borderId="104" xfId="0" applyNumberFormat="1" applyFont="1" applyFill="1" applyBorder="1"/>
    <xf numFmtId="37" fontId="19" fillId="2" borderId="105" xfId="0" applyNumberFormat="1" applyFont="1" applyFill="1" applyBorder="1"/>
    <xf numFmtId="37" fontId="19" fillId="2" borderId="104" xfId="0" applyNumberFormat="1" applyFont="1" applyFill="1" applyBorder="1"/>
    <xf numFmtId="166" fontId="19" fillId="2" borderId="106" xfId="0" applyNumberFormat="1" applyFont="1" applyFill="1" applyBorder="1"/>
    <xf numFmtId="166" fontId="19" fillId="2" borderId="31" xfId="0" applyNumberFormat="1" applyFont="1" applyFill="1" applyBorder="1"/>
    <xf numFmtId="37" fontId="19" fillId="2" borderId="107" xfId="0" applyNumberFormat="1" applyFont="1" applyFill="1" applyBorder="1"/>
    <xf numFmtId="37" fontId="19" fillId="2" borderId="101" xfId="0" applyNumberFormat="1" applyFont="1" applyFill="1" applyBorder="1"/>
    <xf numFmtId="166" fontId="19" fillId="2" borderId="102" xfId="0" applyNumberFormat="1" applyFont="1" applyFill="1" applyBorder="1"/>
    <xf numFmtId="166" fontId="19" fillId="0" borderId="9" xfId="0" applyNumberFormat="1" applyFont="1" applyBorder="1"/>
    <xf numFmtId="166" fontId="19" fillId="0" borderId="8" xfId="0" applyNumberFormat="1" applyFont="1" applyBorder="1"/>
    <xf numFmtId="9" fontId="19" fillId="0" borderId="7" xfId="0" applyNumberFormat="1" applyFont="1" applyBorder="1"/>
    <xf numFmtId="9" fontId="19" fillId="0" borderId="0" xfId="0" applyNumberFormat="1" applyFont="1"/>
    <xf numFmtId="1" fontId="17" fillId="0" borderId="0" xfId="0" applyNumberFormat="1" applyFont="1"/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/>
    </xf>
    <xf numFmtId="3" fontId="30" fillId="0" borderId="0" xfId="0" applyNumberFormat="1" applyFont="1"/>
    <xf numFmtId="0" fontId="30" fillId="0" borderId="0" xfId="0" applyFont="1" applyAlignment="1">
      <alignment horizontal="right"/>
    </xf>
    <xf numFmtId="0" fontId="31" fillId="0" borderId="0" xfId="0" applyFont="1"/>
    <xf numFmtId="165" fontId="17" fillId="0" borderId="0" xfId="0" applyNumberFormat="1" applyFont="1" applyAlignment="1">
      <alignment horizontal="left"/>
    </xf>
    <xf numFmtId="3" fontId="17" fillId="0" borderId="0" xfId="0" applyNumberFormat="1" applyFont="1" applyAlignment="1">
      <alignment horizontal="center"/>
    </xf>
    <xf numFmtId="0" fontId="32" fillId="0" borderId="0" xfId="0" applyFont="1"/>
    <xf numFmtId="0" fontId="17" fillId="0" borderId="1" xfId="0" applyFont="1" applyBorder="1"/>
    <xf numFmtId="3" fontId="17" fillId="0" borderId="7" xfId="0" applyNumberFormat="1" applyFont="1" applyBorder="1" applyAlignment="1">
      <alignment horizontal="center"/>
    </xf>
    <xf numFmtId="3" fontId="17" fillId="0" borderId="8" xfId="0" applyNumberFormat="1" applyFont="1" applyBorder="1" applyAlignment="1">
      <alignment horizontal="center"/>
    </xf>
    <xf numFmtId="3" fontId="17" fillId="0" borderId="9" xfId="0" applyNumberFormat="1" applyFont="1" applyBorder="1" applyAlignment="1">
      <alignment horizontal="center"/>
    </xf>
    <xf numFmtId="3" fontId="17" fillId="0" borderId="10" xfId="0" applyNumberFormat="1" applyFont="1" applyBorder="1" applyAlignment="1">
      <alignment horizontal="center"/>
    </xf>
    <xf numFmtId="1" fontId="33" fillId="0" borderId="0" xfId="0" applyNumberFormat="1" applyFont="1"/>
    <xf numFmtId="0" fontId="33" fillId="0" borderId="0" xfId="0" applyFont="1"/>
    <xf numFmtId="3" fontId="17" fillId="0" borderId="12" xfId="0" applyNumberFormat="1" applyFont="1" applyBorder="1" applyAlignment="1">
      <alignment horizontal="center"/>
    </xf>
    <xf numFmtId="3" fontId="17" fillId="0" borderId="13" xfId="0" applyNumberFormat="1" applyFont="1" applyBorder="1"/>
    <xf numFmtId="3" fontId="17" fillId="0" borderId="15" xfId="0" applyNumberFormat="1" applyFont="1" applyBorder="1"/>
    <xf numFmtId="3" fontId="17" fillId="0" borderId="14" xfId="0" applyNumberFormat="1" applyFont="1" applyBorder="1" applyAlignment="1">
      <alignment horizontal="center"/>
    </xf>
    <xf numFmtId="3" fontId="17" fillId="0" borderId="16" xfId="0" applyNumberFormat="1" applyFont="1" applyBorder="1" applyAlignment="1">
      <alignment horizontal="center"/>
    </xf>
    <xf numFmtId="3" fontId="17" fillId="0" borderId="17" xfId="0" applyNumberFormat="1" applyFont="1" applyBorder="1" applyAlignment="1">
      <alignment horizontal="center"/>
    </xf>
    <xf numFmtId="3" fontId="17" fillId="0" borderId="0" xfId="0" applyNumberFormat="1" applyFont="1"/>
    <xf numFmtId="3" fontId="17" fillId="0" borderId="9" xfId="0" applyNumberFormat="1" applyFont="1" applyBorder="1"/>
    <xf numFmtId="3" fontId="20" fillId="0" borderId="8" xfId="0" applyNumberFormat="1" applyFont="1" applyBorder="1"/>
    <xf numFmtId="3" fontId="17" fillId="0" borderId="8" xfId="0" applyNumberFormat="1" applyFont="1" applyBorder="1"/>
    <xf numFmtId="3" fontId="17" fillId="0" borderId="10" xfId="0" applyNumberFormat="1" applyFont="1" applyBorder="1"/>
    <xf numFmtId="0" fontId="19" fillId="0" borderId="6" xfId="0" applyFont="1" applyBorder="1"/>
    <xf numFmtId="3" fontId="19" fillId="0" borderId="7" xfId="0" applyNumberFormat="1" applyFont="1" applyBorder="1"/>
    <xf numFmtId="3" fontId="19" fillId="0" borderId="19" xfId="0" applyNumberFormat="1" applyFont="1" applyBorder="1"/>
    <xf numFmtId="3" fontId="19" fillId="0" borderId="20" xfId="0" applyNumberFormat="1" applyFont="1" applyBorder="1"/>
    <xf numFmtId="3" fontId="19" fillId="0" borderId="21" xfId="0" applyNumberFormat="1" applyFont="1" applyBorder="1"/>
    <xf numFmtId="0" fontId="17" fillId="0" borderId="8" xfId="0" applyFont="1" applyBorder="1"/>
    <xf numFmtId="166" fontId="19" fillId="0" borderId="10" xfId="0" applyNumberFormat="1" applyFont="1" applyBorder="1"/>
    <xf numFmtId="0" fontId="19" fillId="0" borderId="22" xfId="0" applyFont="1" applyBorder="1"/>
    <xf numFmtId="3" fontId="17" fillId="0" borderId="23" xfId="0" applyNumberFormat="1" applyFont="1" applyBorder="1"/>
    <xf numFmtId="3" fontId="17" fillId="0" borderId="12" xfId="0" applyNumberFormat="1" applyFont="1" applyBorder="1"/>
    <xf numFmtId="3" fontId="17" fillId="0" borderId="16" xfId="0" applyNumberFormat="1" applyFont="1" applyBorder="1"/>
    <xf numFmtId="3" fontId="19" fillId="0" borderId="14" xfId="0" applyNumberFormat="1" applyFont="1" applyBorder="1"/>
    <xf numFmtId="3" fontId="19" fillId="0" borderId="12" xfId="0" applyNumberFormat="1" applyFont="1" applyBorder="1"/>
    <xf numFmtId="3" fontId="17" fillId="0" borderId="14" xfId="0" applyNumberFormat="1" applyFont="1" applyBorder="1"/>
    <xf numFmtId="3" fontId="17" fillId="0" borderId="17" xfId="0" applyNumberFormat="1" applyFont="1" applyBorder="1"/>
    <xf numFmtId="3" fontId="17" fillId="0" borderId="7" xfId="0" applyNumberFormat="1" applyFont="1" applyBorder="1"/>
    <xf numFmtId="3" fontId="17" fillId="0" borderId="19" xfId="0" applyNumberFormat="1" applyFont="1" applyBorder="1"/>
    <xf numFmtId="3" fontId="17" fillId="0" borderId="20" xfId="0" applyNumberFormat="1" applyFont="1" applyBorder="1"/>
    <xf numFmtId="3" fontId="17" fillId="0" borderId="21" xfId="0" applyNumberFormat="1" applyFont="1" applyBorder="1"/>
    <xf numFmtId="37" fontId="17" fillId="0" borderId="8" xfId="0" applyNumberFormat="1" applyFont="1" applyBorder="1"/>
    <xf numFmtId="37" fontId="17" fillId="0" borderId="9" xfId="0" applyNumberFormat="1" applyFont="1" applyBorder="1"/>
    <xf numFmtId="0" fontId="17" fillId="0" borderId="10" xfId="0" applyFont="1" applyBorder="1"/>
    <xf numFmtId="0" fontId="19" fillId="2" borderId="24" xfId="0" applyFont="1" applyFill="1" applyBorder="1"/>
    <xf numFmtId="37" fontId="19" fillId="2" borderId="25" xfId="0" applyNumberFormat="1" applyFont="1" applyFill="1" applyBorder="1"/>
    <xf numFmtId="3" fontId="19" fillId="2" borderId="25" xfId="0" applyNumberFormat="1" applyFont="1" applyFill="1" applyBorder="1"/>
    <xf numFmtId="37" fontId="19" fillId="2" borderId="26" xfId="0" applyNumberFormat="1" applyFont="1" applyFill="1" applyBorder="1"/>
    <xf numFmtId="37" fontId="19" fillId="2" borderId="27" xfId="0" applyNumberFormat="1" applyFont="1" applyFill="1" applyBorder="1"/>
    <xf numFmtId="167" fontId="19" fillId="2" borderId="25" xfId="0" applyNumberFormat="1" applyFont="1" applyFill="1" applyBorder="1"/>
    <xf numFmtId="37" fontId="19" fillId="2" borderId="28" xfId="0" applyNumberFormat="1" applyFont="1" applyFill="1" applyBorder="1"/>
    <xf numFmtId="0" fontId="19" fillId="2" borderId="29" xfId="0" applyFont="1" applyFill="1" applyBorder="1"/>
    <xf numFmtId="0" fontId="19" fillId="2" borderId="30" xfId="0" applyFont="1" applyFill="1" applyBorder="1"/>
    <xf numFmtId="0" fontId="19" fillId="2" borderId="31" xfId="0" applyFont="1" applyFill="1" applyBorder="1"/>
    <xf numFmtId="0" fontId="19" fillId="2" borderId="32" xfId="0" applyFont="1" applyFill="1" applyBorder="1"/>
    <xf numFmtId="166" fontId="19" fillId="2" borderId="32" xfId="0" applyNumberFormat="1" applyFont="1" applyFill="1" applyBorder="1"/>
    <xf numFmtId="166" fontId="19" fillId="2" borderId="33" xfId="0" applyNumberFormat="1" applyFont="1" applyFill="1" applyBorder="1"/>
    <xf numFmtId="0" fontId="19" fillId="0" borderId="8" xfId="0" applyFont="1" applyBorder="1"/>
    <xf numFmtId="0" fontId="19" fillId="0" borderId="18" xfId="0" applyFont="1" applyBorder="1" applyAlignment="1">
      <alignment horizontal="left"/>
    </xf>
    <xf numFmtId="0" fontId="17" fillId="0" borderId="9" xfId="0" applyFont="1" applyBorder="1" applyAlignment="1">
      <alignment horizontal="right"/>
    </xf>
    <xf numFmtId="166" fontId="17" fillId="0" borderId="9" xfId="2" applyNumberFormat="1" applyFont="1" applyFill="1" applyBorder="1"/>
    <xf numFmtId="37" fontId="17" fillId="0" borderId="10" xfId="0" applyNumberFormat="1" applyFont="1" applyBorder="1"/>
    <xf numFmtId="3" fontId="32" fillId="0" borderId="0" xfId="0" applyNumberFormat="1" applyFont="1"/>
    <xf numFmtId="0" fontId="17" fillId="0" borderId="14" xfId="0" applyFont="1" applyBorder="1" applyAlignment="1">
      <alignment horizontal="right"/>
    </xf>
    <xf numFmtId="37" fontId="17" fillId="0" borderId="15" xfId="0" applyNumberFormat="1" applyFont="1" applyBorder="1"/>
    <xf numFmtId="166" fontId="17" fillId="0" borderId="14" xfId="2" applyNumberFormat="1" applyFont="1" applyBorder="1"/>
    <xf numFmtId="37" fontId="17" fillId="0" borderId="16" xfId="0" applyNumberFormat="1" applyFont="1" applyBorder="1"/>
    <xf numFmtId="37" fontId="17" fillId="0" borderId="17" xfId="0" applyNumberFormat="1" applyFont="1" applyBorder="1"/>
    <xf numFmtId="3" fontId="17" fillId="0" borderId="82" xfId="0" applyNumberFormat="1" applyFont="1" applyBorder="1"/>
    <xf numFmtId="0" fontId="19" fillId="2" borderId="35" xfId="0" applyFont="1" applyFill="1" applyBorder="1" applyAlignment="1">
      <alignment horizontal="center"/>
    </xf>
    <xf numFmtId="37" fontId="19" fillId="2" borderId="36" xfId="0" applyNumberFormat="1" applyFont="1" applyFill="1" applyBorder="1"/>
    <xf numFmtId="0" fontId="19" fillId="2" borderId="37" xfId="0" applyFont="1" applyFill="1" applyBorder="1" applyAlignment="1">
      <alignment horizontal="center"/>
    </xf>
    <xf numFmtId="0" fontId="17" fillId="2" borderId="38" xfId="0" applyFont="1" applyFill="1" applyBorder="1"/>
    <xf numFmtId="0" fontId="17" fillId="2" borderId="37" xfId="0" applyFont="1" applyFill="1" applyBorder="1"/>
    <xf numFmtId="37" fontId="19" fillId="2" borderId="39" xfId="0" applyNumberFormat="1" applyFont="1" applyFill="1" applyBorder="1"/>
    <xf numFmtId="0" fontId="17" fillId="0" borderId="20" xfId="0" applyFont="1" applyBorder="1" applyAlignment="1">
      <alignment horizontal="right"/>
    </xf>
    <xf numFmtId="3" fontId="17" fillId="0" borderId="40" xfId="0" applyNumberFormat="1" applyFont="1" applyBorder="1"/>
    <xf numFmtId="37" fontId="17" fillId="0" borderId="19" xfId="0" applyNumberFormat="1" applyFont="1" applyBorder="1"/>
    <xf numFmtId="37" fontId="17" fillId="0" borderId="21" xfId="0" applyNumberFormat="1" applyFont="1" applyBorder="1"/>
    <xf numFmtId="37" fontId="19" fillId="2" borderId="17" xfId="0" applyNumberFormat="1" applyFont="1" applyFill="1" applyBorder="1"/>
    <xf numFmtId="0" fontId="19" fillId="3" borderId="18" xfId="0" applyFont="1" applyFill="1" applyBorder="1"/>
    <xf numFmtId="0" fontId="17" fillId="3" borderId="0" xfId="0" applyFont="1" applyFill="1"/>
    <xf numFmtId="0" fontId="19" fillId="3" borderId="0" xfId="0" applyFont="1" applyFill="1"/>
    <xf numFmtId="37" fontId="19" fillId="3" borderId="8" xfId="0" applyNumberFormat="1" applyFont="1" applyFill="1" applyBorder="1"/>
    <xf numFmtId="0" fontId="17" fillId="3" borderId="9" xfId="0" applyFont="1" applyFill="1" applyBorder="1"/>
    <xf numFmtId="0" fontId="17" fillId="3" borderId="14" xfId="0" applyFont="1" applyFill="1" applyBorder="1"/>
    <xf numFmtId="0" fontId="17" fillId="3" borderId="12" xfId="0" applyFont="1" applyFill="1" applyBorder="1"/>
    <xf numFmtId="37" fontId="19" fillId="3" borderId="16" xfId="0" applyNumberFormat="1" applyFont="1" applyFill="1" applyBorder="1"/>
    <xf numFmtId="37" fontId="19" fillId="3" borderId="17" xfId="0" applyNumberFormat="1" applyFont="1" applyFill="1" applyBorder="1"/>
    <xf numFmtId="0" fontId="19" fillId="2" borderId="41" xfId="0" applyFont="1" applyFill="1" applyBorder="1"/>
    <xf numFmtId="0" fontId="17" fillId="2" borderId="42" xfId="0" applyFont="1" applyFill="1" applyBorder="1"/>
    <xf numFmtId="0" fontId="19" fillId="2" borderId="42" xfId="0" applyFont="1" applyFill="1" applyBorder="1"/>
    <xf numFmtId="37" fontId="19" fillId="2" borderId="43" xfId="0" applyNumberFormat="1" applyFont="1" applyFill="1" applyBorder="1"/>
    <xf numFmtId="0" fontId="17" fillId="2" borderId="44" xfId="0" applyFont="1" applyFill="1" applyBorder="1"/>
    <xf numFmtId="37" fontId="19" fillId="2" borderId="45" xfId="0" applyNumberFormat="1" applyFont="1" applyFill="1" applyBorder="1"/>
    <xf numFmtId="0" fontId="17" fillId="0" borderId="7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34" fillId="0" borderId="0" xfId="0" applyFont="1"/>
    <xf numFmtId="1" fontId="17" fillId="0" borderId="9" xfId="0" applyNumberFormat="1" applyFont="1" applyBorder="1"/>
    <xf numFmtId="3" fontId="19" fillId="0" borderId="16" xfId="0" applyNumberFormat="1" applyFont="1" applyBorder="1"/>
    <xf numFmtId="3" fontId="19" fillId="0" borderId="17" xfId="0" applyNumberFormat="1" applyFont="1" applyBorder="1"/>
    <xf numFmtId="166" fontId="35" fillId="4" borderId="46" xfId="0" applyNumberFormat="1" applyFont="1" applyFill="1" applyBorder="1"/>
    <xf numFmtId="166" fontId="17" fillId="0" borderId="9" xfId="2" applyNumberFormat="1" applyFont="1" applyBorder="1"/>
    <xf numFmtId="0" fontId="17" fillId="2" borderId="14" xfId="0" applyFont="1" applyFill="1" applyBorder="1"/>
    <xf numFmtId="0" fontId="19" fillId="0" borderId="9" xfId="0" applyFont="1" applyBorder="1" applyAlignment="1">
      <alignment horizontal="center"/>
    </xf>
    <xf numFmtId="0" fontId="17" fillId="2" borderId="42" xfId="0" applyFont="1" applyFill="1" applyBorder="1" applyAlignment="1">
      <alignment horizontal="right"/>
    </xf>
    <xf numFmtId="0" fontId="17" fillId="2" borderId="44" xfId="0" applyFont="1" applyFill="1" applyBorder="1" applyAlignment="1">
      <alignment horizontal="right"/>
    </xf>
    <xf numFmtId="0" fontId="19" fillId="2" borderId="44" xfId="0" applyFont="1" applyFill="1" applyBorder="1"/>
    <xf numFmtId="0" fontId="17" fillId="0" borderId="20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166" fontId="17" fillId="0" borderId="9" xfId="0" applyNumberFormat="1" applyFont="1" applyBorder="1"/>
    <xf numFmtId="166" fontId="17" fillId="0" borderId="14" xfId="0" applyNumberFormat="1" applyFont="1" applyBorder="1"/>
    <xf numFmtId="37" fontId="17" fillId="0" borderId="14" xfId="0" applyNumberFormat="1" applyFont="1" applyBorder="1"/>
    <xf numFmtId="37" fontId="17" fillId="0" borderId="20" xfId="0" applyNumberFormat="1" applyFont="1" applyBorder="1"/>
    <xf numFmtId="1" fontId="17" fillId="0" borderId="12" xfId="0" applyNumberFormat="1" applyFont="1" applyBorder="1"/>
    <xf numFmtId="166" fontId="19" fillId="0" borderId="14" xfId="0" applyNumberFormat="1" applyFont="1" applyBorder="1"/>
    <xf numFmtId="166" fontId="19" fillId="0" borderId="16" xfId="0" applyNumberFormat="1" applyFont="1" applyBorder="1"/>
    <xf numFmtId="166" fontId="19" fillId="0" borderId="17" xfId="0" applyNumberFormat="1" applyFont="1" applyBorder="1"/>
    <xf numFmtId="167" fontId="17" fillId="0" borderId="15" xfId="0" applyNumberFormat="1" applyFont="1" applyBorder="1"/>
    <xf numFmtId="166" fontId="17" fillId="0" borderId="15" xfId="0" applyNumberFormat="1" applyFont="1" applyBorder="1"/>
    <xf numFmtId="166" fontId="17" fillId="0" borderId="13" xfId="0" applyNumberFormat="1" applyFont="1" applyBorder="1"/>
    <xf numFmtId="37" fontId="17" fillId="0" borderId="23" xfId="0" applyNumberFormat="1" applyFont="1" applyBorder="1"/>
    <xf numFmtId="1" fontId="17" fillId="0" borderId="7" xfId="0" applyNumberFormat="1" applyFont="1" applyBorder="1"/>
    <xf numFmtId="1" fontId="17" fillId="0" borderId="20" xfId="0" applyNumberFormat="1" applyFont="1" applyBorder="1"/>
    <xf numFmtId="166" fontId="17" fillId="0" borderId="20" xfId="0" applyNumberFormat="1" applyFont="1" applyBorder="1"/>
    <xf numFmtId="167" fontId="19" fillId="0" borderId="0" xfId="0" applyNumberFormat="1" applyFont="1"/>
    <xf numFmtId="37" fontId="19" fillId="0" borderId="8" xfId="0" applyNumberFormat="1" applyFont="1" applyBorder="1"/>
    <xf numFmtId="37" fontId="19" fillId="0" borderId="10" xfId="0" applyNumberFormat="1" applyFont="1" applyBorder="1"/>
    <xf numFmtId="0" fontId="19" fillId="0" borderId="12" xfId="0" applyFont="1" applyBorder="1"/>
    <xf numFmtId="167" fontId="19" fillId="0" borderId="12" xfId="0" applyNumberFormat="1" applyFont="1" applyBorder="1"/>
    <xf numFmtId="37" fontId="19" fillId="0" borderId="16" xfId="0" applyNumberFormat="1" applyFont="1" applyBorder="1"/>
    <xf numFmtId="37" fontId="19" fillId="0" borderId="17" xfId="0" applyNumberFormat="1" applyFont="1" applyBorder="1"/>
    <xf numFmtId="37" fontId="19" fillId="0" borderId="9" xfId="0" applyNumberFormat="1" applyFont="1" applyBorder="1"/>
    <xf numFmtId="37" fontId="17" fillId="0" borderId="44" xfId="0" applyNumberFormat="1" applyFont="1" applyBorder="1"/>
    <xf numFmtId="37" fontId="19" fillId="3" borderId="25" xfId="0" applyNumberFormat="1" applyFont="1" applyFill="1" applyBorder="1"/>
    <xf numFmtId="37" fontId="19" fillId="3" borderId="26" xfId="0" applyNumberFormat="1" applyFont="1" applyFill="1" applyBorder="1"/>
    <xf numFmtId="166" fontId="19" fillId="3" borderId="27" xfId="0" applyNumberFormat="1" applyFont="1" applyFill="1" applyBorder="1"/>
    <xf numFmtId="37" fontId="19" fillId="3" borderId="28" xfId="0" applyNumberFormat="1" applyFont="1" applyFill="1" applyBorder="1"/>
    <xf numFmtId="37" fontId="19" fillId="3" borderId="12" xfId="0" applyNumberFormat="1" applyFont="1" applyFill="1" applyBorder="1"/>
    <xf numFmtId="37" fontId="19" fillId="3" borderId="14" xfId="0" applyNumberFormat="1" applyFont="1" applyFill="1" applyBorder="1"/>
    <xf numFmtId="166" fontId="19" fillId="3" borderId="16" xfId="0" applyNumberFormat="1" applyFont="1" applyFill="1" applyBorder="1"/>
    <xf numFmtId="167" fontId="19" fillId="0" borderId="7" xfId="0" applyNumberFormat="1" applyFont="1" applyBorder="1"/>
    <xf numFmtId="37" fontId="19" fillId="0" borderId="20" xfId="0" applyNumberFormat="1" applyFont="1" applyBorder="1"/>
    <xf numFmtId="37" fontId="19" fillId="0" borderId="19" xfId="0" applyNumberFormat="1" applyFont="1" applyBorder="1"/>
    <xf numFmtId="37" fontId="19" fillId="0" borderId="21" xfId="0" applyNumberFormat="1" applyFont="1" applyBorder="1"/>
    <xf numFmtId="167" fontId="19" fillId="3" borderId="7" xfId="0" applyNumberFormat="1" applyFont="1" applyFill="1" applyBorder="1"/>
    <xf numFmtId="37" fontId="19" fillId="3" borderId="20" xfId="0" applyNumberFormat="1" applyFont="1" applyFill="1" applyBorder="1"/>
    <xf numFmtId="37" fontId="19" fillId="3" borderId="19" xfId="0" applyNumberFormat="1" applyFont="1" applyFill="1" applyBorder="1"/>
    <xf numFmtId="37" fontId="19" fillId="3" borderId="21" xfId="0" applyNumberFormat="1" applyFont="1" applyFill="1" applyBorder="1"/>
    <xf numFmtId="166" fontId="19" fillId="2" borderId="27" xfId="0" applyNumberFormat="1" applyFont="1" applyFill="1" applyBorder="1"/>
    <xf numFmtId="166" fontId="19" fillId="2" borderId="30" xfId="0" applyNumberFormat="1" applyFont="1" applyFill="1" applyBorder="1"/>
    <xf numFmtId="168" fontId="17" fillId="0" borderId="0" xfId="1" applyNumberFormat="1" applyFont="1"/>
    <xf numFmtId="168" fontId="17" fillId="0" borderId="9" xfId="1" applyNumberFormat="1" applyFont="1" applyBorder="1"/>
    <xf numFmtId="168" fontId="17" fillId="0" borderId="8" xfId="1" applyNumberFormat="1" applyFont="1" applyBorder="1"/>
    <xf numFmtId="168" fontId="17" fillId="0" borderId="10" xfId="1" applyNumberFormat="1" applyFont="1" applyBorder="1"/>
    <xf numFmtId="168" fontId="17" fillId="0" borderId="13" xfId="1" applyNumberFormat="1" applyFont="1" applyBorder="1"/>
    <xf numFmtId="168" fontId="17" fillId="0" borderId="0" xfId="1" applyNumberFormat="1" applyFont="1" applyAlignment="1">
      <alignment horizontal="right"/>
    </xf>
    <xf numFmtId="168" fontId="17" fillId="0" borderId="7" xfId="1" applyNumberFormat="1" applyFont="1" applyBorder="1"/>
    <xf numFmtId="168" fontId="17" fillId="0" borderId="7" xfId="1" applyNumberFormat="1" applyFont="1" applyBorder="1" applyAlignment="1">
      <alignment horizontal="right"/>
    </xf>
    <xf numFmtId="168" fontId="17" fillId="0" borderId="20" xfId="1" applyNumberFormat="1" applyFont="1" applyBorder="1"/>
    <xf numFmtId="168" fontId="17" fillId="0" borderId="19" xfId="1" applyNumberFormat="1" applyFont="1" applyBorder="1"/>
    <xf numFmtId="168" fontId="17" fillId="0" borderId="21" xfId="1" applyNumberFormat="1" applyFont="1" applyBorder="1"/>
    <xf numFmtId="168" fontId="17" fillId="0" borderId="12" xfId="1" applyNumberFormat="1" applyFont="1" applyBorder="1"/>
    <xf numFmtId="168" fontId="17" fillId="0" borderId="12" xfId="1" applyNumberFormat="1" applyFont="1" applyBorder="1" applyAlignment="1">
      <alignment horizontal="right"/>
    </xf>
    <xf numFmtId="168" fontId="17" fillId="0" borderId="14" xfId="1" applyNumberFormat="1" applyFont="1" applyBorder="1"/>
    <xf numFmtId="168" fontId="17" fillId="0" borderId="16" xfId="1" applyNumberFormat="1" applyFont="1" applyBorder="1"/>
    <xf numFmtId="168" fontId="17" fillId="0" borderId="17" xfId="1" applyNumberFormat="1" applyFont="1" applyBorder="1"/>
    <xf numFmtId="168" fontId="19" fillId="2" borderId="35" xfId="1" applyNumberFormat="1" applyFont="1" applyFill="1" applyBorder="1"/>
    <xf numFmtId="168" fontId="19" fillId="2" borderId="36" xfId="1" applyNumberFormat="1" applyFont="1" applyFill="1" applyBorder="1"/>
    <xf numFmtId="168" fontId="19" fillId="2" borderId="35" xfId="1" applyNumberFormat="1" applyFont="1" applyFill="1" applyBorder="1" applyAlignment="1">
      <alignment horizontal="center"/>
    </xf>
    <xf numFmtId="168" fontId="17" fillId="2" borderId="14" xfId="1" applyNumberFormat="1" applyFont="1" applyFill="1" applyBorder="1"/>
    <xf numFmtId="168" fontId="19" fillId="2" borderId="17" xfId="1" applyNumberFormat="1" applyFont="1" applyFill="1" applyBorder="1"/>
    <xf numFmtId="37" fontId="19" fillId="2" borderId="42" xfId="0" applyNumberFormat="1" applyFont="1" applyFill="1" applyBorder="1"/>
    <xf numFmtId="1" fontId="17" fillId="0" borderId="0" xfId="0" applyNumberFormat="1" applyFont="1" applyAlignment="1">
      <alignment horizontal="center"/>
    </xf>
    <xf numFmtId="1" fontId="17" fillId="0" borderId="9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3" fontId="17" fillId="0" borderId="47" xfId="0" applyNumberFormat="1" applyFont="1" applyBorder="1"/>
    <xf numFmtId="2" fontId="17" fillId="0" borderId="12" xfId="0" applyNumberFormat="1" applyFont="1" applyBorder="1"/>
    <xf numFmtId="166" fontId="19" fillId="0" borderId="20" xfId="0" applyNumberFormat="1" applyFont="1" applyBorder="1"/>
    <xf numFmtId="0" fontId="17" fillId="0" borderId="16" xfId="0" applyFont="1" applyBorder="1"/>
    <xf numFmtId="0" fontId="20" fillId="0" borderId="12" xfId="0" applyFont="1" applyBorder="1"/>
    <xf numFmtId="37" fontId="17" fillId="0" borderId="13" xfId="0" applyNumberFormat="1" applyFont="1" applyBorder="1"/>
    <xf numFmtId="166" fontId="19" fillId="2" borderId="25" xfId="0" applyNumberFormat="1" applyFont="1" applyFill="1" applyBorder="1"/>
    <xf numFmtId="166" fontId="19" fillId="2" borderId="49" xfId="0" applyNumberFormat="1" applyFont="1" applyFill="1" applyBorder="1"/>
    <xf numFmtId="37" fontId="19" fillId="2" borderId="50" xfId="0" applyNumberFormat="1" applyFont="1" applyFill="1" applyBorder="1"/>
    <xf numFmtId="37" fontId="19" fillId="2" borderId="51" xfId="0" applyNumberFormat="1" applyFont="1" applyFill="1" applyBorder="1"/>
    <xf numFmtId="0" fontId="19" fillId="2" borderId="52" xfId="0" applyFont="1" applyFill="1" applyBorder="1"/>
    <xf numFmtId="37" fontId="19" fillId="2" borderId="53" xfId="0" applyNumberFormat="1" applyFont="1" applyFill="1" applyBorder="1"/>
    <xf numFmtId="167" fontId="19" fillId="2" borderId="53" xfId="0" applyNumberFormat="1" applyFont="1" applyFill="1" applyBorder="1"/>
    <xf numFmtId="37" fontId="19" fillId="2" borderId="54" xfId="0" applyNumberFormat="1" applyFont="1" applyFill="1" applyBorder="1"/>
    <xf numFmtId="37" fontId="19" fillId="2" borderId="55" xfId="0" applyNumberFormat="1" applyFont="1" applyFill="1" applyBorder="1"/>
    <xf numFmtId="0" fontId="17" fillId="2" borderId="32" xfId="0" applyFont="1" applyFill="1" applyBorder="1"/>
    <xf numFmtId="168" fontId="17" fillId="0" borderId="8" xfId="1" applyNumberFormat="1" applyFont="1" applyFill="1" applyBorder="1"/>
    <xf numFmtId="0" fontId="20" fillId="0" borderId="56" xfId="0" applyFont="1" applyBorder="1"/>
    <xf numFmtId="0" fontId="17" fillId="0" borderId="42" xfId="0" applyFont="1" applyBorder="1" applyAlignment="1">
      <alignment horizontal="center"/>
    </xf>
    <xf numFmtId="0" fontId="17" fillId="0" borderId="43" xfId="0" applyFont="1" applyBorder="1" applyAlignment="1">
      <alignment horizontal="center"/>
    </xf>
    <xf numFmtId="0" fontId="17" fillId="0" borderId="44" xfId="0" applyFont="1" applyBorder="1" applyAlignment="1">
      <alignment horizontal="center"/>
    </xf>
    <xf numFmtId="37" fontId="17" fillId="4" borderId="0" xfId="0" applyNumberFormat="1" applyFont="1" applyFill="1"/>
    <xf numFmtId="166" fontId="19" fillId="2" borderId="0" xfId="0" applyNumberFormat="1" applyFont="1" applyFill="1"/>
    <xf numFmtId="37" fontId="17" fillId="4" borderId="5" xfId="0" applyNumberFormat="1" applyFont="1" applyFill="1" applyBorder="1"/>
    <xf numFmtId="3" fontId="17" fillId="4" borderId="1" xfId="0" applyNumberFormat="1" applyFont="1" applyFill="1" applyBorder="1"/>
    <xf numFmtId="3" fontId="17" fillId="4" borderId="3" xfId="0" applyNumberFormat="1" applyFont="1" applyFill="1" applyBorder="1"/>
    <xf numFmtId="37" fontId="35" fillId="0" borderId="0" xfId="0" applyNumberFormat="1" applyFont="1"/>
    <xf numFmtId="166" fontId="17" fillId="0" borderId="0" xfId="2" applyNumberFormat="1" applyFont="1" applyFill="1" applyBorder="1"/>
    <xf numFmtId="0" fontId="20" fillId="0" borderId="0" xfId="0" applyFont="1"/>
    <xf numFmtId="166" fontId="17" fillId="0" borderId="8" xfId="2" applyNumberFormat="1" applyFont="1" applyFill="1" applyBorder="1"/>
    <xf numFmtId="0" fontId="19" fillId="0" borderId="10" xfId="0" applyFont="1" applyBorder="1"/>
    <xf numFmtId="37" fontId="19" fillId="2" borderId="59" xfId="0" applyNumberFormat="1" applyFont="1" applyFill="1" applyBorder="1"/>
    <xf numFmtId="0" fontId="19" fillId="2" borderId="60" xfId="0" applyFont="1" applyFill="1" applyBorder="1"/>
    <xf numFmtId="0" fontId="17" fillId="2" borderId="60" xfId="0" applyFont="1" applyFill="1" applyBorder="1"/>
    <xf numFmtId="0" fontId="17" fillId="2" borderId="58" xfId="0" applyFont="1" applyFill="1" applyBorder="1"/>
    <xf numFmtId="37" fontId="19" fillId="2" borderId="61" xfId="0" applyNumberFormat="1" applyFont="1" applyFill="1" applyBorder="1"/>
    <xf numFmtId="0" fontId="19" fillId="0" borderId="0" xfId="0" applyFont="1" applyAlignment="1">
      <alignment horizontal="right" vertical="center"/>
    </xf>
    <xf numFmtId="0" fontId="17" fillId="0" borderId="62" xfId="0" applyFont="1" applyBorder="1" applyAlignment="1">
      <alignment horizontal="left"/>
    </xf>
    <xf numFmtId="0" fontId="19" fillId="0" borderId="6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/>
    </xf>
    <xf numFmtId="0" fontId="17" fillId="0" borderId="67" xfId="0" applyFont="1" applyBorder="1" applyAlignment="1">
      <alignment horizontal="center"/>
    </xf>
    <xf numFmtId="0" fontId="17" fillId="0" borderId="68" xfId="0" applyFont="1" applyBorder="1" applyAlignment="1">
      <alignment horizontal="center"/>
    </xf>
    <xf numFmtId="0" fontId="17" fillId="0" borderId="69" xfId="0" applyFont="1" applyBorder="1" applyAlignment="1">
      <alignment horizontal="center"/>
    </xf>
    <xf numFmtId="43" fontId="17" fillId="0" borderId="0" xfId="0" applyNumberFormat="1" applyFont="1"/>
    <xf numFmtId="43" fontId="32" fillId="0" borderId="0" xfId="0" applyNumberFormat="1" applyFont="1"/>
    <xf numFmtId="37" fontId="32" fillId="0" borderId="0" xfId="0" applyNumberFormat="1" applyFont="1"/>
    <xf numFmtId="169" fontId="32" fillId="0" borderId="0" xfId="0" applyNumberFormat="1" applyFont="1"/>
    <xf numFmtId="168" fontId="32" fillId="0" borderId="0" xfId="0" applyNumberFormat="1" applyFont="1"/>
    <xf numFmtId="0" fontId="32" fillId="3" borderId="0" xfId="0" applyFont="1" applyFill="1"/>
    <xf numFmtId="9" fontId="32" fillId="0" borderId="0" xfId="0" applyNumberFormat="1" applyFont="1"/>
    <xf numFmtId="0" fontId="32" fillId="0" borderId="18" xfId="0" applyFont="1" applyBorder="1"/>
    <xf numFmtId="37" fontId="32" fillId="0" borderId="70" xfId="0" applyNumberFormat="1" applyFont="1" applyBorder="1"/>
    <xf numFmtId="0" fontId="32" fillId="0" borderId="70" xfId="0" applyFont="1" applyBorder="1"/>
    <xf numFmtId="0" fontId="32" fillId="0" borderId="72" xfId="0" applyFont="1" applyBorder="1"/>
    <xf numFmtId="0" fontId="32" fillId="0" borderId="10" xfId="0" applyFont="1" applyBorder="1"/>
    <xf numFmtId="1" fontId="17" fillId="0" borderId="72" xfId="0" applyNumberFormat="1" applyFont="1" applyBorder="1"/>
    <xf numFmtId="37" fontId="30" fillId="0" borderId="0" xfId="0" applyNumberFormat="1" applyFont="1"/>
    <xf numFmtId="0" fontId="30" fillId="3" borderId="0" xfId="0" applyFont="1" applyFill="1"/>
    <xf numFmtId="37" fontId="32" fillId="3" borderId="0" xfId="0" applyNumberFormat="1" applyFont="1" applyFill="1"/>
    <xf numFmtId="0" fontId="36" fillId="3" borderId="0" xfId="0" applyFont="1" applyFill="1"/>
    <xf numFmtId="37" fontId="30" fillId="3" borderId="0" xfId="0" applyNumberFormat="1" applyFont="1" applyFill="1"/>
    <xf numFmtId="0" fontId="32" fillId="3" borderId="0" xfId="0" applyFont="1" applyFill="1" applyAlignment="1">
      <alignment horizontal="center" vertical="center"/>
    </xf>
    <xf numFmtId="165" fontId="37" fillId="3" borderId="0" xfId="0" applyNumberFormat="1" applyFont="1" applyFill="1" applyAlignment="1">
      <alignment horizontal="right"/>
    </xf>
    <xf numFmtId="0" fontId="30" fillId="3" borderId="0" xfId="0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0" fontId="37" fillId="3" borderId="0" xfId="0" applyFont="1" applyFill="1" applyAlignment="1">
      <alignment horizontal="center"/>
    </xf>
    <xf numFmtId="0" fontId="37" fillId="3" borderId="0" xfId="0" applyFont="1" applyFill="1"/>
    <xf numFmtId="166" fontId="32" fillId="3" borderId="0" xfId="0" applyNumberFormat="1" applyFont="1" applyFill="1"/>
    <xf numFmtId="9" fontId="32" fillId="3" borderId="0" xfId="0" applyNumberFormat="1" applyFont="1" applyFill="1"/>
    <xf numFmtId="166" fontId="30" fillId="3" borderId="0" xfId="0" applyNumberFormat="1" applyFont="1" applyFill="1"/>
    <xf numFmtId="0" fontId="21" fillId="3" borderId="0" xfId="0" applyFont="1" applyFill="1"/>
    <xf numFmtId="165" fontId="32" fillId="3" borderId="0" xfId="0" applyNumberFormat="1" applyFont="1" applyFill="1" applyAlignment="1">
      <alignment horizontal="center"/>
    </xf>
    <xf numFmtId="0" fontId="37" fillId="3" borderId="0" xfId="0" applyFont="1" applyFill="1" applyAlignment="1">
      <alignment horizontal="left"/>
    </xf>
    <xf numFmtId="0" fontId="38" fillId="3" borderId="0" xfId="0" applyFont="1" applyFill="1"/>
    <xf numFmtId="168" fontId="17" fillId="0" borderId="0" xfId="1" applyNumberFormat="1" applyFont="1" applyBorder="1"/>
    <xf numFmtId="168" fontId="17" fillId="0" borderId="0" xfId="1" applyNumberFormat="1" applyFont="1" applyBorder="1" applyAlignment="1">
      <alignment horizontal="right"/>
    </xf>
    <xf numFmtId="0" fontId="17" fillId="0" borderId="111" xfId="0" applyFont="1" applyBorder="1"/>
    <xf numFmtId="0" fontId="17" fillId="0" borderId="110" xfId="0" applyFont="1" applyBorder="1"/>
    <xf numFmtId="0" fontId="17" fillId="0" borderId="108" xfId="0" applyFont="1" applyBorder="1" applyAlignment="1">
      <alignment horizontal="center"/>
    </xf>
    <xf numFmtId="37" fontId="17" fillId="0" borderId="108" xfId="0" applyNumberFormat="1" applyFont="1" applyBorder="1"/>
    <xf numFmtId="166" fontId="17" fillId="0" borderId="108" xfId="0" applyNumberFormat="1" applyFont="1" applyBorder="1"/>
    <xf numFmtId="0" fontId="17" fillId="0" borderId="114" xfId="0" applyFont="1" applyBorder="1"/>
    <xf numFmtId="166" fontId="17" fillId="0" borderId="109" xfId="0" applyNumberFormat="1" applyFont="1" applyBorder="1"/>
    <xf numFmtId="0" fontId="17" fillId="0" borderId="115" xfId="0" applyFont="1" applyBorder="1"/>
    <xf numFmtId="166" fontId="17" fillId="0" borderId="116" xfId="0" applyNumberFormat="1" applyFont="1" applyBorder="1"/>
    <xf numFmtId="0" fontId="19" fillId="3" borderId="117" xfId="0" applyFont="1" applyFill="1" applyBorder="1"/>
    <xf numFmtId="37" fontId="19" fillId="3" borderId="118" xfId="0" applyNumberFormat="1" applyFont="1" applyFill="1" applyBorder="1"/>
    <xf numFmtId="0" fontId="19" fillId="3" borderId="114" xfId="0" applyFont="1" applyFill="1" applyBorder="1"/>
    <xf numFmtId="166" fontId="19" fillId="3" borderId="109" xfId="0" applyNumberFormat="1" applyFont="1" applyFill="1" applyBorder="1"/>
    <xf numFmtId="0" fontId="19" fillId="0" borderId="115" xfId="0" applyFont="1" applyBorder="1"/>
    <xf numFmtId="37" fontId="19" fillId="0" borderId="119" xfId="0" applyNumberFormat="1" applyFont="1" applyBorder="1"/>
    <xf numFmtId="0" fontId="19" fillId="3" borderId="115" xfId="0" applyFont="1" applyFill="1" applyBorder="1"/>
    <xf numFmtId="37" fontId="19" fillId="3" borderId="119" xfId="0" applyNumberFormat="1" applyFont="1" applyFill="1" applyBorder="1"/>
    <xf numFmtId="0" fontId="19" fillId="2" borderId="117" xfId="0" applyFont="1" applyFill="1" applyBorder="1"/>
    <xf numFmtId="37" fontId="19" fillId="2" borderId="118" xfId="0" applyNumberFormat="1" applyFont="1" applyFill="1" applyBorder="1"/>
    <xf numFmtId="0" fontId="19" fillId="2" borderId="120" xfId="0" applyFont="1" applyFill="1" applyBorder="1"/>
    <xf numFmtId="166" fontId="19" fillId="2" borderId="121" xfId="0" applyNumberFormat="1" applyFont="1" applyFill="1" applyBorder="1"/>
    <xf numFmtId="0" fontId="19" fillId="0" borderId="110" xfId="0" applyFont="1" applyBorder="1"/>
    <xf numFmtId="166" fontId="19" fillId="0" borderId="108" xfId="0" applyNumberFormat="1" applyFont="1" applyBorder="1"/>
    <xf numFmtId="0" fontId="19" fillId="0" borderId="110" xfId="0" applyFont="1" applyBorder="1" applyAlignment="1">
      <alignment horizontal="left"/>
    </xf>
    <xf numFmtId="168" fontId="17" fillId="0" borderId="108" xfId="1" applyNumberFormat="1" applyFont="1" applyBorder="1"/>
    <xf numFmtId="168" fontId="17" fillId="0" borderId="116" xfId="1" applyNumberFormat="1" applyFont="1" applyBorder="1"/>
    <xf numFmtId="168" fontId="17" fillId="0" borderId="119" xfId="1" applyNumberFormat="1" applyFont="1" applyBorder="1"/>
    <xf numFmtId="0" fontId="19" fillId="2" borderId="122" xfId="0" applyFont="1" applyFill="1" applyBorder="1"/>
    <xf numFmtId="168" fontId="19" fillId="2" borderId="123" xfId="1" applyNumberFormat="1" applyFont="1" applyFill="1" applyBorder="1"/>
    <xf numFmtId="3" fontId="17" fillId="0" borderId="108" xfId="0" applyNumberFormat="1" applyFont="1" applyBorder="1"/>
    <xf numFmtId="37" fontId="19" fillId="2" borderId="123" xfId="0" applyNumberFormat="1" applyFont="1" applyFill="1" applyBorder="1"/>
    <xf numFmtId="37" fontId="17" fillId="0" borderId="109" xfId="0" applyNumberFormat="1" applyFont="1" applyBorder="1"/>
    <xf numFmtId="0" fontId="19" fillId="2" borderId="124" xfId="0" applyFont="1" applyFill="1" applyBorder="1"/>
    <xf numFmtId="0" fontId="17" fillId="2" borderId="125" xfId="0" applyFont="1" applyFill="1" applyBorder="1" applyAlignment="1">
      <alignment horizontal="right"/>
    </xf>
    <xf numFmtId="0" fontId="17" fillId="2" borderId="125" xfId="0" applyFont="1" applyFill="1" applyBorder="1"/>
    <xf numFmtId="37" fontId="19" fillId="2" borderId="126" xfId="0" applyNumberFormat="1" applyFont="1" applyFill="1" applyBorder="1"/>
    <xf numFmtId="41" fontId="17" fillId="0" borderId="0" xfId="0" applyNumberFormat="1" applyFont="1"/>
    <xf numFmtId="9" fontId="17" fillId="0" borderId="0" xfId="2" applyFont="1"/>
    <xf numFmtId="0" fontId="2" fillId="0" borderId="0" xfId="26"/>
    <xf numFmtId="0" fontId="10" fillId="0" borderId="0" xfId="26" applyFont="1"/>
    <xf numFmtId="0" fontId="42" fillId="12" borderId="0" xfId="26" applyFont="1" applyFill="1"/>
    <xf numFmtId="0" fontId="10" fillId="0" borderId="0" xfId="26" applyFont="1" applyAlignment="1">
      <alignment horizontal="center" vertical="center"/>
    </xf>
    <xf numFmtId="0" fontId="12" fillId="0" borderId="0" xfId="26" applyFont="1" applyAlignment="1">
      <alignment horizontal="left" vertical="center"/>
    </xf>
    <xf numFmtId="0" fontId="10" fillId="0" borderId="0" xfId="26" applyFont="1" applyAlignment="1">
      <alignment horizontal="center"/>
    </xf>
    <xf numFmtId="3" fontId="10" fillId="0" borderId="0" xfId="26" applyNumberFormat="1" applyFont="1"/>
    <xf numFmtId="0" fontId="42" fillId="12" borderId="0" xfId="26" applyFont="1" applyFill="1" applyAlignment="1">
      <alignment horizontal="center" vertical="center"/>
    </xf>
    <xf numFmtId="0" fontId="42" fillId="12" borderId="0" xfId="26" applyFont="1" applyFill="1" applyAlignment="1">
      <alignment horizontal="right"/>
    </xf>
    <xf numFmtId="0" fontId="11" fillId="0" borderId="0" xfId="26" applyFont="1"/>
    <xf numFmtId="165" fontId="12" fillId="0" borderId="0" xfId="26" applyNumberFormat="1" applyFont="1" applyAlignment="1">
      <alignment horizontal="left"/>
    </xf>
    <xf numFmtId="0" fontId="12" fillId="0" borderId="0" xfId="26" applyFont="1" applyAlignment="1">
      <alignment horizontal="center"/>
    </xf>
    <xf numFmtId="0" fontId="12" fillId="0" borderId="0" xfId="26" applyFont="1"/>
    <xf numFmtId="0" fontId="43" fillId="9" borderId="27" xfId="26" applyFont="1" applyFill="1" applyBorder="1"/>
    <xf numFmtId="0" fontId="44" fillId="9" borderId="26" xfId="26" applyFont="1" applyFill="1" applyBorder="1"/>
    <xf numFmtId="0" fontId="13" fillId="0" borderId="0" xfId="26" applyFont="1"/>
    <xf numFmtId="0" fontId="13" fillId="0" borderId="49" xfId="26" applyFont="1" applyBorder="1"/>
    <xf numFmtId="0" fontId="45" fillId="9" borderId="9" xfId="26" applyFont="1" applyFill="1" applyBorder="1"/>
    <xf numFmtId="10" fontId="45" fillId="9" borderId="8" xfId="26" applyNumberFormat="1" applyFont="1" applyFill="1" applyBorder="1"/>
    <xf numFmtId="0" fontId="13" fillId="0" borderId="20" xfId="26" applyFont="1" applyBorder="1"/>
    <xf numFmtId="3" fontId="13" fillId="0" borderId="7" xfId="26" applyNumberFormat="1" applyFont="1" applyBorder="1" applyAlignment="1">
      <alignment horizontal="center"/>
    </xf>
    <xf numFmtId="3" fontId="13" fillId="0" borderId="0" xfId="26" applyNumberFormat="1" applyFont="1" applyAlignment="1">
      <alignment horizontal="center"/>
    </xf>
    <xf numFmtId="3" fontId="13" fillId="0" borderId="8" xfId="26" applyNumberFormat="1" applyFont="1" applyBorder="1" applyAlignment="1">
      <alignment horizontal="center"/>
    </xf>
    <xf numFmtId="3" fontId="13" fillId="0" borderId="9" xfId="26" applyNumberFormat="1" applyFont="1" applyBorder="1" applyAlignment="1">
      <alignment horizontal="center"/>
    </xf>
    <xf numFmtId="0" fontId="13" fillId="0" borderId="14" xfId="26" applyFont="1" applyBorder="1"/>
    <xf numFmtId="3" fontId="13" fillId="0" borderId="12" xfId="26" applyNumberFormat="1" applyFont="1" applyBorder="1" applyAlignment="1">
      <alignment horizontal="center"/>
    </xf>
    <xf numFmtId="3" fontId="13" fillId="0" borderId="16" xfId="26" applyNumberFormat="1" applyFont="1" applyBorder="1"/>
    <xf numFmtId="3" fontId="13" fillId="0" borderId="12" xfId="26" applyNumberFormat="1" applyFont="1" applyBorder="1" applyAlignment="1">
      <alignment horizontal="right"/>
    </xf>
    <xf numFmtId="3" fontId="13" fillId="0" borderId="12" xfId="26" applyNumberFormat="1" applyFont="1" applyBorder="1"/>
    <xf numFmtId="3" fontId="13" fillId="0" borderId="14" xfId="26" applyNumberFormat="1" applyFont="1" applyBorder="1" applyAlignment="1">
      <alignment horizontal="center"/>
    </xf>
    <xf numFmtId="3" fontId="13" fillId="0" borderId="16" xfId="26" applyNumberFormat="1" applyFont="1" applyBorder="1" applyAlignment="1">
      <alignment horizontal="center"/>
    </xf>
    <xf numFmtId="0" fontId="13" fillId="0" borderId="9" xfId="26" applyFont="1" applyBorder="1"/>
    <xf numFmtId="3" fontId="13" fillId="0" borderId="0" xfId="26" applyNumberFormat="1" applyFont="1"/>
    <xf numFmtId="3" fontId="13" fillId="0" borderId="9" xfId="26" applyNumberFormat="1" applyFont="1" applyBorder="1"/>
    <xf numFmtId="3" fontId="13" fillId="0" borderId="8" xfId="26" applyNumberFormat="1" applyFont="1" applyBorder="1"/>
    <xf numFmtId="0" fontId="44" fillId="9" borderId="32" xfId="26" applyFont="1" applyFill="1" applyBorder="1"/>
    <xf numFmtId="10" fontId="45" fillId="9" borderId="31" xfId="26" applyNumberFormat="1" applyFont="1" applyFill="1" applyBorder="1"/>
    <xf numFmtId="0" fontId="14" fillId="0" borderId="20" xfId="26" applyFont="1" applyBorder="1"/>
    <xf numFmtId="3" fontId="14" fillId="0" borderId="7" xfId="26" applyNumberFormat="1" applyFont="1" applyBorder="1"/>
    <xf numFmtId="3" fontId="14" fillId="0" borderId="19" xfId="26" applyNumberFormat="1" applyFont="1" applyBorder="1"/>
    <xf numFmtId="3" fontId="14" fillId="0" borderId="20" xfId="26" applyNumberFormat="1" applyFont="1" applyBorder="1"/>
    <xf numFmtId="0" fontId="13" fillId="0" borderId="8" xfId="26" applyFont="1" applyBorder="1"/>
    <xf numFmtId="166" fontId="19" fillId="0" borderId="9" xfId="26" applyNumberFormat="1" applyFont="1" applyBorder="1" applyAlignment="1">
      <alignment vertical="center"/>
    </xf>
    <xf numFmtId="166" fontId="19" fillId="0" borderId="8" xfId="26" applyNumberFormat="1" applyFont="1" applyBorder="1" applyAlignment="1">
      <alignment vertical="center"/>
    </xf>
    <xf numFmtId="0" fontId="14" fillId="0" borderId="14" xfId="26" applyFont="1" applyBorder="1"/>
    <xf numFmtId="3" fontId="13" fillId="0" borderId="14" xfId="26" applyNumberFormat="1" applyFont="1" applyBorder="1"/>
    <xf numFmtId="3" fontId="14" fillId="0" borderId="14" xfId="26" applyNumberFormat="1" applyFont="1" applyBorder="1"/>
    <xf numFmtId="3" fontId="14" fillId="0" borderId="12" xfId="26" applyNumberFormat="1" applyFont="1" applyBorder="1"/>
    <xf numFmtId="166" fontId="14" fillId="0" borderId="9" xfId="26" applyNumberFormat="1" applyFont="1" applyBorder="1"/>
    <xf numFmtId="166" fontId="14" fillId="0" borderId="8" xfId="26" applyNumberFormat="1" applyFont="1" applyBorder="1"/>
    <xf numFmtId="0" fontId="14" fillId="0" borderId="9" xfId="26" applyFont="1" applyBorder="1"/>
    <xf numFmtId="3" fontId="2" fillId="0" borderId="0" xfId="26" applyNumberFormat="1"/>
    <xf numFmtId="3" fontId="13" fillId="0" borderId="7" xfId="26" applyNumberFormat="1" applyFont="1" applyBorder="1"/>
    <xf numFmtId="3" fontId="13" fillId="0" borderId="19" xfId="26" applyNumberFormat="1" applyFont="1" applyBorder="1"/>
    <xf numFmtId="3" fontId="13" fillId="0" borderId="20" xfId="26" applyNumberFormat="1" applyFont="1" applyBorder="1"/>
    <xf numFmtId="43" fontId="13" fillId="0" borderId="0" xfId="26" applyNumberFormat="1" applyFont="1"/>
    <xf numFmtId="3" fontId="14" fillId="0" borderId="9" xfId="26" applyNumberFormat="1" applyFont="1" applyBorder="1"/>
    <xf numFmtId="37" fontId="13" fillId="0" borderId="8" xfId="26" applyNumberFormat="1" applyFont="1" applyBorder="1"/>
    <xf numFmtId="37" fontId="13" fillId="0" borderId="9" xfId="26" applyNumberFormat="1" applyFont="1" applyBorder="1"/>
    <xf numFmtId="0" fontId="14" fillId="2" borderId="27" xfId="26" applyFont="1" applyFill="1" applyBorder="1"/>
    <xf numFmtId="37" fontId="14" fillId="2" borderId="25" xfId="26" applyNumberFormat="1" applyFont="1" applyFill="1" applyBorder="1"/>
    <xf numFmtId="3" fontId="14" fillId="2" borderId="25" xfId="26" applyNumberFormat="1" applyFont="1" applyFill="1" applyBorder="1"/>
    <xf numFmtId="37" fontId="14" fillId="2" borderId="26" xfId="26" applyNumberFormat="1" applyFont="1" applyFill="1" applyBorder="1"/>
    <xf numFmtId="37" fontId="14" fillId="2" borderId="27" xfId="26" applyNumberFormat="1" applyFont="1" applyFill="1" applyBorder="1"/>
    <xf numFmtId="0" fontId="14" fillId="2" borderId="32" xfId="26" applyFont="1" applyFill="1" applyBorder="1"/>
    <xf numFmtId="0" fontId="14" fillId="2" borderId="30" xfId="26" applyFont="1" applyFill="1" applyBorder="1"/>
    <xf numFmtId="0" fontId="14" fillId="2" borderId="31" xfId="26" applyFont="1" applyFill="1" applyBorder="1"/>
    <xf numFmtId="3" fontId="14" fillId="2" borderId="30" xfId="26" applyNumberFormat="1" applyFont="1" applyFill="1" applyBorder="1"/>
    <xf numFmtId="166" fontId="14" fillId="2" borderId="31" xfId="27" applyNumberFormat="1" applyFont="1" applyFill="1" applyBorder="1"/>
    <xf numFmtId="166" fontId="14" fillId="2" borderId="32" xfId="26" applyNumberFormat="1" applyFont="1" applyFill="1" applyBorder="1"/>
    <xf numFmtId="166" fontId="14" fillId="2" borderId="31" xfId="26" applyNumberFormat="1" applyFont="1" applyFill="1" applyBorder="1"/>
    <xf numFmtId="0" fontId="14" fillId="0" borderId="0" xfId="26" applyFont="1"/>
    <xf numFmtId="0" fontId="14" fillId="0" borderId="8" xfId="26" applyFont="1" applyBorder="1"/>
    <xf numFmtId="37" fontId="13" fillId="0" borderId="0" xfId="26" applyNumberFormat="1" applyFont="1"/>
    <xf numFmtId="0" fontId="14" fillId="0" borderId="9" xfId="26" applyFont="1" applyBorder="1" applyAlignment="1">
      <alignment horizontal="left"/>
    </xf>
    <xf numFmtId="0" fontId="13" fillId="0" borderId="0" xfId="26" applyFont="1" applyAlignment="1">
      <alignment horizontal="center"/>
    </xf>
    <xf numFmtId="166" fontId="13" fillId="0" borderId="0" xfId="26" applyNumberFormat="1" applyFont="1" applyAlignment="1">
      <alignment horizontal="right"/>
    </xf>
    <xf numFmtId="166" fontId="13" fillId="0" borderId="9" xfId="26" applyNumberFormat="1" applyFont="1" applyBorder="1"/>
    <xf numFmtId="166" fontId="13" fillId="0" borderId="9" xfId="27" applyNumberFormat="1" applyFont="1" applyBorder="1"/>
    <xf numFmtId="166" fontId="13" fillId="0" borderId="12" xfId="26" applyNumberFormat="1" applyFont="1" applyBorder="1" applyAlignment="1">
      <alignment horizontal="right"/>
    </xf>
    <xf numFmtId="37" fontId="13" fillId="0" borderId="12" xfId="26" applyNumberFormat="1" applyFont="1" applyBorder="1"/>
    <xf numFmtId="166" fontId="13" fillId="0" borderId="14" xfId="26" applyNumberFormat="1" applyFont="1" applyBorder="1"/>
    <xf numFmtId="37" fontId="13" fillId="0" borderId="16" xfId="26" applyNumberFormat="1" applyFont="1" applyBorder="1"/>
    <xf numFmtId="166" fontId="13" fillId="0" borderId="14" xfId="27" applyNumberFormat="1" applyFont="1" applyBorder="1"/>
    <xf numFmtId="0" fontId="13" fillId="0" borderId="0" xfId="26" applyFont="1" applyAlignment="1">
      <alignment horizontal="right"/>
    </xf>
    <xf numFmtId="0" fontId="13" fillId="0" borderId="9" xfId="26" applyFont="1" applyBorder="1" applyAlignment="1">
      <alignment horizontal="right"/>
    </xf>
    <xf numFmtId="0" fontId="13" fillId="0" borderId="12" xfId="26" applyFont="1" applyBorder="1" applyAlignment="1">
      <alignment horizontal="right"/>
    </xf>
    <xf numFmtId="0" fontId="13" fillId="0" borderId="14" xfId="26" applyFont="1" applyBorder="1" applyAlignment="1">
      <alignment horizontal="right"/>
    </xf>
    <xf numFmtId="3" fontId="13" fillId="0" borderId="84" xfId="26" applyNumberFormat="1" applyFont="1" applyBorder="1"/>
    <xf numFmtId="3" fontId="13" fillId="0" borderId="85" xfId="26" applyNumberFormat="1" applyFont="1" applyBorder="1"/>
    <xf numFmtId="3" fontId="13" fillId="0" borderId="128" xfId="26" applyNumberFormat="1" applyFont="1" applyBorder="1"/>
    <xf numFmtId="0" fontId="14" fillId="2" borderId="37" xfId="26" applyFont="1" applyFill="1" applyBorder="1"/>
    <xf numFmtId="0" fontId="14" fillId="2" borderId="35" xfId="26" applyFont="1" applyFill="1" applyBorder="1" applyAlignment="1">
      <alignment horizontal="center"/>
    </xf>
    <xf numFmtId="166" fontId="14" fillId="2" borderId="35" xfId="26" applyNumberFormat="1" applyFont="1" applyFill="1" applyBorder="1"/>
    <xf numFmtId="37" fontId="14" fillId="2" borderId="36" xfId="26" applyNumberFormat="1" applyFont="1" applyFill="1" applyBorder="1"/>
    <xf numFmtId="0" fontId="14" fillId="2" borderId="37" xfId="26" applyFont="1" applyFill="1" applyBorder="1" applyAlignment="1">
      <alignment horizontal="center"/>
    </xf>
    <xf numFmtId="0" fontId="13" fillId="2" borderId="38" xfId="26" applyFont="1" applyFill="1" applyBorder="1"/>
    <xf numFmtId="37" fontId="14" fillId="2" borderId="35" xfId="26" applyNumberFormat="1" applyFont="1" applyFill="1" applyBorder="1"/>
    <xf numFmtId="0" fontId="13" fillId="2" borderId="37" xfId="26" applyFont="1" applyFill="1" applyBorder="1"/>
    <xf numFmtId="0" fontId="17" fillId="0" borderId="9" xfId="26" applyFont="1" applyBorder="1"/>
    <xf numFmtId="166" fontId="13" fillId="0" borderId="0" xfId="27" applyNumberFormat="1" applyFont="1"/>
    <xf numFmtId="0" fontId="17" fillId="0" borderId="14" xfId="26" applyFont="1" applyBorder="1"/>
    <xf numFmtId="0" fontId="13" fillId="0" borderId="7" xfId="26" applyFont="1" applyBorder="1" applyAlignment="1">
      <alignment horizontal="right"/>
    </xf>
    <xf numFmtId="0" fontId="13" fillId="0" borderId="7" xfId="26" applyFont="1" applyBorder="1"/>
    <xf numFmtId="0" fontId="13" fillId="0" borderId="20" xfId="26" applyFont="1" applyBorder="1" applyAlignment="1">
      <alignment horizontal="right"/>
    </xf>
    <xf numFmtId="37" fontId="13" fillId="0" borderId="19" xfId="26" applyNumberFormat="1" applyFont="1" applyBorder="1"/>
    <xf numFmtId="0" fontId="13" fillId="0" borderId="12" xfId="26" applyFont="1" applyBorder="1"/>
    <xf numFmtId="37" fontId="14" fillId="0" borderId="0" xfId="26" applyNumberFormat="1" applyFont="1"/>
    <xf numFmtId="37" fontId="14" fillId="2" borderId="16" xfId="26" applyNumberFormat="1" applyFont="1" applyFill="1" applyBorder="1"/>
    <xf numFmtId="168" fontId="13" fillId="0" borderId="0" xfId="28" applyNumberFormat="1" applyFont="1"/>
    <xf numFmtId="9" fontId="13" fillId="0" borderId="9" xfId="27" applyFont="1" applyFill="1" applyBorder="1"/>
    <xf numFmtId="0" fontId="16" fillId="13" borderId="0" xfId="26" applyFont="1" applyFill="1"/>
    <xf numFmtId="0" fontId="13" fillId="13" borderId="0" xfId="26" applyFont="1" applyFill="1"/>
    <xf numFmtId="9" fontId="13" fillId="0" borderId="0" xfId="27" applyFont="1" applyAlignment="1">
      <alignment horizontal="right"/>
    </xf>
    <xf numFmtId="168" fontId="13" fillId="0" borderId="0" xfId="26" applyNumberFormat="1" applyFont="1"/>
    <xf numFmtId="0" fontId="14" fillId="3" borderId="9" xfId="26" applyFont="1" applyFill="1" applyBorder="1"/>
    <xf numFmtId="0" fontId="13" fillId="3" borderId="0" xfId="26" applyFont="1" applyFill="1"/>
    <xf numFmtId="0" fontId="14" fillId="3" borderId="0" xfId="26" applyFont="1" applyFill="1"/>
    <xf numFmtId="37" fontId="14" fillId="3" borderId="8" xfId="26" applyNumberFormat="1" applyFont="1" applyFill="1" applyBorder="1"/>
    <xf numFmtId="0" fontId="13" fillId="3" borderId="9" xfId="26" applyFont="1" applyFill="1" applyBorder="1"/>
    <xf numFmtId="0" fontId="13" fillId="3" borderId="14" xfId="26" applyFont="1" applyFill="1" applyBorder="1"/>
    <xf numFmtId="0" fontId="13" fillId="3" borderId="12" xfId="26" applyFont="1" applyFill="1" applyBorder="1"/>
    <xf numFmtId="37" fontId="14" fillId="3" borderId="16" xfId="26" applyNumberFormat="1" applyFont="1" applyFill="1" applyBorder="1"/>
    <xf numFmtId="0" fontId="14" fillId="2" borderId="55" xfId="26" applyFont="1" applyFill="1" applyBorder="1"/>
    <xf numFmtId="0" fontId="13" fillId="2" borderId="53" xfId="26" applyFont="1" applyFill="1" applyBorder="1"/>
    <xf numFmtId="0" fontId="14" fillId="2" borderId="53" xfId="26" applyFont="1" applyFill="1" applyBorder="1"/>
    <xf numFmtId="37" fontId="14" fillId="2" borderId="54" xfId="26" applyNumberFormat="1" applyFont="1" applyFill="1" applyBorder="1"/>
    <xf numFmtId="0" fontId="13" fillId="2" borderId="55" xfId="26" applyFont="1" applyFill="1" applyBorder="1"/>
    <xf numFmtId="166" fontId="14" fillId="2" borderId="53" xfId="27" applyNumberFormat="1" applyFont="1" applyFill="1" applyBorder="1"/>
    <xf numFmtId="0" fontId="18" fillId="0" borderId="0" xfId="26" applyFont="1"/>
    <xf numFmtId="1" fontId="18" fillId="0" borderId="0" xfId="26" applyNumberFormat="1" applyFont="1"/>
    <xf numFmtId="9" fontId="18" fillId="0" borderId="0" xfId="27" applyFont="1"/>
    <xf numFmtId="37" fontId="18" fillId="0" borderId="0" xfId="26" applyNumberFormat="1" applyFont="1"/>
    <xf numFmtId="0" fontId="42" fillId="14" borderId="0" xfId="26" applyFont="1" applyFill="1"/>
    <xf numFmtId="0" fontId="10" fillId="0" borderId="0" xfId="26" applyFont="1" applyAlignment="1">
      <alignment horizontal="right"/>
    </xf>
    <xf numFmtId="0" fontId="13" fillId="0" borderId="14" xfId="26" applyFont="1" applyBorder="1" applyAlignment="1">
      <alignment horizontal="center"/>
    </xf>
    <xf numFmtId="0" fontId="13" fillId="0" borderId="16" xfId="26" applyFont="1" applyBorder="1" applyAlignment="1">
      <alignment horizontal="center"/>
    </xf>
    <xf numFmtId="0" fontId="46" fillId="0" borderId="0" xfId="26" applyFont="1"/>
    <xf numFmtId="166" fontId="19" fillId="0" borderId="9" xfId="26" applyNumberFormat="1" applyFont="1" applyBorder="1"/>
    <xf numFmtId="166" fontId="19" fillId="0" borderId="8" xfId="26" applyNumberFormat="1" applyFont="1" applyBorder="1"/>
    <xf numFmtId="39" fontId="13" fillId="0" borderId="0" xfId="26" applyNumberFormat="1" applyFont="1"/>
    <xf numFmtId="3" fontId="14" fillId="0" borderId="16" xfId="26" applyNumberFormat="1" applyFont="1" applyBorder="1"/>
    <xf numFmtId="167" fontId="13" fillId="0" borderId="0" xfId="26" applyNumberFormat="1" applyFont="1"/>
    <xf numFmtId="167" fontId="14" fillId="2" borderId="25" xfId="26" applyNumberFormat="1" applyFont="1" applyFill="1" applyBorder="1"/>
    <xf numFmtId="9" fontId="14" fillId="2" borderId="32" xfId="26" applyNumberFormat="1" applyFont="1" applyFill="1" applyBorder="1"/>
    <xf numFmtId="166" fontId="14" fillId="10" borderId="31" xfId="26" applyNumberFormat="1" applyFont="1" applyFill="1" applyBorder="1"/>
    <xf numFmtId="166" fontId="13" fillId="0" borderId="0" xfId="26" applyNumberFormat="1" applyFont="1"/>
    <xf numFmtId="9" fontId="13" fillId="0" borderId="12" xfId="27" applyFont="1" applyBorder="1" applyAlignment="1">
      <alignment horizontal="right"/>
    </xf>
    <xf numFmtId="0" fontId="13" fillId="2" borderId="14" xfId="26" applyFont="1" applyFill="1" applyBorder="1"/>
    <xf numFmtId="0" fontId="14" fillId="0" borderId="0" xfId="26" applyFont="1" applyAlignment="1">
      <alignment horizontal="center"/>
    </xf>
    <xf numFmtId="166" fontId="14" fillId="0" borderId="0" xfId="26" applyNumberFormat="1" applyFont="1"/>
    <xf numFmtId="0" fontId="14" fillId="0" borderId="9" xfId="26" applyFont="1" applyBorder="1" applyAlignment="1">
      <alignment horizontal="center"/>
    </xf>
    <xf numFmtId="9" fontId="13" fillId="0" borderId="0" xfId="27" applyFont="1"/>
    <xf numFmtId="0" fontId="13" fillId="2" borderId="53" xfId="26" applyFont="1" applyFill="1" applyBorder="1" applyAlignment="1">
      <alignment horizontal="right"/>
    </xf>
    <xf numFmtId="0" fontId="13" fillId="2" borderId="55" xfId="26" applyFont="1" applyFill="1" applyBorder="1" applyAlignment="1">
      <alignment horizontal="right"/>
    </xf>
    <xf numFmtId="37" fontId="12" fillId="0" borderId="0" xfId="26" applyNumberFormat="1" applyFont="1"/>
    <xf numFmtId="0" fontId="13" fillId="0" borderId="8" xfId="26" applyFont="1" applyBorder="1" applyAlignment="1">
      <alignment horizontal="center"/>
    </xf>
    <xf numFmtId="0" fontId="13" fillId="0" borderId="9" xfId="26" applyFont="1" applyBorder="1" applyAlignment="1">
      <alignment horizontal="center"/>
    </xf>
    <xf numFmtId="166" fontId="13" fillId="0" borderId="8" xfId="26" applyNumberFormat="1" applyFont="1" applyBorder="1"/>
    <xf numFmtId="39" fontId="13" fillId="0" borderId="12" xfId="26" applyNumberFormat="1" applyFont="1" applyBorder="1" applyAlignment="1">
      <alignment horizontal="center"/>
    </xf>
    <xf numFmtId="166" fontId="13" fillId="0" borderId="16" xfId="26" applyNumberFormat="1" applyFont="1" applyBorder="1"/>
    <xf numFmtId="37" fontId="13" fillId="0" borderId="14" xfId="26" applyNumberFormat="1" applyFont="1" applyBorder="1"/>
    <xf numFmtId="37" fontId="13" fillId="0" borderId="7" xfId="26" applyNumberFormat="1" applyFont="1" applyBorder="1"/>
    <xf numFmtId="37" fontId="13" fillId="0" borderId="20" xfId="26" applyNumberFormat="1" applyFont="1" applyBorder="1"/>
    <xf numFmtId="10" fontId="13" fillId="0" borderId="0" xfId="26" applyNumberFormat="1" applyFont="1"/>
    <xf numFmtId="166" fontId="14" fillId="0" borderId="14" xfId="26" applyNumberFormat="1" applyFont="1" applyBorder="1"/>
    <xf numFmtId="166" fontId="14" fillId="0" borderId="16" xfId="26" applyNumberFormat="1" applyFont="1" applyBorder="1"/>
    <xf numFmtId="166" fontId="13" fillId="0" borderId="20" xfId="26" applyNumberFormat="1" applyFont="1" applyBorder="1"/>
    <xf numFmtId="167" fontId="14" fillId="0" borderId="0" xfId="26" applyNumberFormat="1" applyFont="1"/>
    <xf numFmtId="37" fontId="14" fillId="0" borderId="9" xfId="26" applyNumberFormat="1" applyFont="1" applyBorder="1"/>
    <xf numFmtId="37" fontId="14" fillId="0" borderId="8" xfId="26" applyNumberFormat="1" applyFont="1" applyBorder="1"/>
    <xf numFmtId="0" fontId="14" fillId="0" borderId="12" xfId="26" applyFont="1" applyBorder="1"/>
    <xf numFmtId="167" fontId="14" fillId="0" borderId="12" xfId="26" applyNumberFormat="1" applyFont="1" applyBorder="1"/>
    <xf numFmtId="37" fontId="14" fillId="0" borderId="14" xfId="26" applyNumberFormat="1" applyFont="1" applyBorder="1"/>
    <xf numFmtId="37" fontId="14" fillId="0" borderId="16" xfId="26" applyNumberFormat="1" applyFont="1" applyBorder="1"/>
    <xf numFmtId="37" fontId="13" fillId="0" borderId="55" xfId="26" applyNumberFormat="1" applyFont="1" applyBorder="1"/>
    <xf numFmtId="0" fontId="14" fillId="3" borderId="27" xfId="26" applyFont="1" applyFill="1" applyBorder="1"/>
    <xf numFmtId="37" fontId="14" fillId="3" borderId="25" xfId="26" applyNumberFormat="1" applyFont="1" applyFill="1" applyBorder="1"/>
    <xf numFmtId="37" fontId="14" fillId="3" borderId="26" xfId="26" applyNumberFormat="1" applyFont="1" applyFill="1" applyBorder="1"/>
    <xf numFmtId="37" fontId="14" fillId="3" borderId="27" xfId="26" applyNumberFormat="1" applyFont="1" applyFill="1" applyBorder="1"/>
    <xf numFmtId="166" fontId="14" fillId="3" borderId="27" xfId="26" applyNumberFormat="1" applyFont="1" applyFill="1" applyBorder="1"/>
    <xf numFmtId="0" fontId="14" fillId="3" borderId="14" xfId="26" applyFont="1" applyFill="1" applyBorder="1"/>
    <xf numFmtId="37" fontId="14" fillId="3" borderId="12" xfId="26" applyNumberFormat="1" applyFont="1" applyFill="1" applyBorder="1"/>
    <xf numFmtId="39" fontId="14" fillId="3" borderId="12" xfId="26" applyNumberFormat="1" applyFont="1" applyFill="1" applyBorder="1" applyAlignment="1">
      <alignment horizontal="center"/>
    </xf>
    <xf numFmtId="166" fontId="14" fillId="3" borderId="16" xfId="26" applyNumberFormat="1" applyFont="1" applyFill="1" applyBorder="1"/>
    <xf numFmtId="37" fontId="14" fillId="3" borderId="14" xfId="26" applyNumberFormat="1" applyFont="1" applyFill="1" applyBorder="1"/>
    <xf numFmtId="37" fontId="14" fillId="0" borderId="7" xfId="26" applyNumberFormat="1" applyFont="1" applyBorder="1"/>
    <xf numFmtId="167" fontId="14" fillId="0" borderId="7" xfId="26" applyNumberFormat="1" applyFont="1" applyBorder="1"/>
    <xf numFmtId="37" fontId="14" fillId="0" borderId="19" xfId="26" applyNumberFormat="1" applyFont="1" applyBorder="1"/>
    <xf numFmtId="37" fontId="14" fillId="0" borderId="20" xfId="26" applyNumberFormat="1" applyFont="1" applyBorder="1"/>
    <xf numFmtId="0" fontId="14" fillId="3" borderId="20" xfId="26" applyFont="1" applyFill="1" applyBorder="1"/>
    <xf numFmtId="37" fontId="14" fillId="3" borderId="7" xfId="26" applyNumberFormat="1" applyFont="1" applyFill="1" applyBorder="1"/>
    <xf numFmtId="167" fontId="14" fillId="3" borderId="7" xfId="26" applyNumberFormat="1" applyFont="1" applyFill="1" applyBorder="1"/>
    <xf numFmtId="37" fontId="14" fillId="3" borderId="19" xfId="26" applyNumberFormat="1" applyFont="1" applyFill="1" applyBorder="1"/>
    <xf numFmtId="37" fontId="14" fillId="3" borderId="20" xfId="26" applyNumberFormat="1" applyFont="1" applyFill="1" applyBorder="1"/>
    <xf numFmtId="166" fontId="14" fillId="2" borderId="27" xfId="26" applyNumberFormat="1" applyFont="1" applyFill="1" applyBorder="1"/>
    <xf numFmtId="166" fontId="13" fillId="0" borderId="0" xfId="27" applyNumberFormat="1" applyFont="1" applyFill="1"/>
    <xf numFmtId="37" fontId="13" fillId="0" borderId="0" xfId="26" applyNumberFormat="1" applyFont="1" applyAlignment="1">
      <alignment horizontal="center"/>
    </xf>
    <xf numFmtId="1" fontId="13" fillId="0" borderId="9" xfId="26" applyNumberFormat="1" applyFont="1" applyBorder="1"/>
    <xf numFmtId="0" fontId="13" fillId="0" borderId="12" xfId="26" applyFont="1" applyBorder="1" applyAlignment="1">
      <alignment horizontal="center"/>
    </xf>
    <xf numFmtId="1" fontId="13" fillId="0" borderId="20" xfId="26" applyNumberFormat="1" applyFont="1" applyBorder="1"/>
    <xf numFmtId="167" fontId="13" fillId="0" borderId="12" xfId="26" applyNumberFormat="1" applyFont="1" applyBorder="1"/>
    <xf numFmtId="2" fontId="13" fillId="0" borderId="12" xfId="26" applyNumberFormat="1" applyFont="1" applyBorder="1"/>
    <xf numFmtId="10" fontId="14" fillId="2" borderId="27" xfId="26" applyNumberFormat="1" applyFont="1" applyFill="1" applyBorder="1"/>
    <xf numFmtId="0" fontId="17" fillId="0" borderId="20" xfId="26" applyFont="1" applyBorder="1"/>
    <xf numFmtId="166" fontId="14" fillId="0" borderId="7" xfId="26" applyNumberFormat="1" applyFont="1" applyBorder="1"/>
    <xf numFmtId="166" fontId="14" fillId="0" borderId="20" xfId="26" applyNumberFormat="1" applyFont="1" applyBorder="1"/>
    <xf numFmtId="0" fontId="13" fillId="0" borderId="16" xfId="26" applyFont="1" applyBorder="1"/>
    <xf numFmtId="166" fontId="13" fillId="0" borderId="12" xfId="26" applyNumberFormat="1" applyFont="1" applyBorder="1"/>
    <xf numFmtId="166" fontId="14" fillId="2" borderId="25" xfId="26" applyNumberFormat="1" applyFont="1" applyFill="1" applyBorder="1"/>
    <xf numFmtId="166" fontId="14" fillId="2" borderId="49" xfId="26" applyNumberFormat="1" applyFont="1" applyFill="1" applyBorder="1"/>
    <xf numFmtId="37" fontId="14" fillId="2" borderId="50" xfId="26" applyNumberFormat="1" applyFont="1" applyFill="1" applyBorder="1"/>
    <xf numFmtId="37" fontId="14" fillId="2" borderId="53" xfId="26" applyNumberFormat="1" applyFont="1" applyFill="1" applyBorder="1"/>
    <xf numFmtId="167" fontId="14" fillId="2" borderId="53" xfId="26" applyNumberFormat="1" applyFont="1" applyFill="1" applyBorder="1"/>
    <xf numFmtId="37" fontId="14" fillId="2" borderId="55" xfId="26" applyNumberFormat="1" applyFont="1" applyFill="1" applyBorder="1"/>
    <xf numFmtId="166" fontId="14" fillId="2" borderId="54" xfId="27" applyNumberFormat="1" applyFont="1" applyFill="1" applyBorder="1"/>
    <xf numFmtId="0" fontId="13" fillId="2" borderId="32" xfId="26" applyFont="1" applyFill="1" applyBorder="1"/>
    <xf numFmtId="6" fontId="12" fillId="0" borderId="0" xfId="26" applyNumberFormat="1" applyFont="1"/>
    <xf numFmtId="6" fontId="13" fillId="0" borderId="0" xfId="26" applyNumberFormat="1" applyFont="1"/>
    <xf numFmtId="0" fontId="47" fillId="0" borderId="0" xfId="26" applyFont="1"/>
    <xf numFmtId="0" fontId="13" fillId="0" borderId="53" xfId="26" applyFont="1" applyBorder="1" applyAlignment="1">
      <alignment horizontal="center"/>
    </xf>
    <xf numFmtId="0" fontId="13" fillId="0" borderId="54" xfId="26" applyFont="1" applyBorder="1" applyAlignment="1">
      <alignment horizontal="center"/>
    </xf>
    <xf numFmtId="0" fontId="13" fillId="0" borderId="55" xfId="26" applyFont="1" applyBorder="1" applyAlignment="1">
      <alignment horizontal="center"/>
    </xf>
    <xf numFmtId="37" fontId="13" fillId="10" borderId="0" xfId="26" applyNumberFormat="1" applyFont="1" applyFill="1"/>
    <xf numFmtId="166" fontId="14" fillId="2" borderId="0" xfId="26" applyNumberFormat="1" applyFont="1" applyFill="1"/>
    <xf numFmtId="37" fontId="13" fillId="10" borderId="50" xfId="26" applyNumberFormat="1" applyFont="1" applyFill="1" applyBorder="1"/>
    <xf numFmtId="3" fontId="13" fillId="10" borderId="49" xfId="26" applyNumberFormat="1" applyFont="1" applyFill="1" applyBorder="1"/>
    <xf numFmtId="3" fontId="13" fillId="10" borderId="50" xfId="26" applyNumberFormat="1" applyFont="1" applyFill="1" applyBorder="1"/>
    <xf numFmtId="0" fontId="48" fillId="0" borderId="0" xfId="26" applyFont="1"/>
    <xf numFmtId="166" fontId="14" fillId="0" borderId="26" xfId="26" applyNumberFormat="1" applyFont="1" applyBorder="1"/>
    <xf numFmtId="0" fontId="14" fillId="2" borderId="103" xfId="26" applyFont="1" applyFill="1" applyBorder="1"/>
    <xf numFmtId="0" fontId="14" fillId="2" borderId="104" xfId="26" applyFont="1" applyFill="1" applyBorder="1"/>
    <xf numFmtId="37" fontId="14" fillId="2" borderId="135" xfId="26" applyNumberFormat="1" applyFont="1" applyFill="1" applyBorder="1"/>
    <xf numFmtId="0" fontId="13" fillId="2" borderId="103" xfId="26" applyFont="1" applyFill="1" applyBorder="1"/>
    <xf numFmtId="0" fontId="13" fillId="2" borderId="104" xfId="26" applyFont="1" applyFill="1" applyBorder="1"/>
    <xf numFmtId="3" fontId="14" fillId="0" borderId="0" xfId="26" applyNumberFormat="1" applyFont="1"/>
    <xf numFmtId="37" fontId="2" fillId="0" borderId="0" xfId="26" applyNumberFormat="1"/>
    <xf numFmtId="0" fontId="40" fillId="11" borderId="0" xfId="26" applyFont="1" applyFill="1"/>
    <xf numFmtId="0" fontId="42" fillId="12" borderId="0" xfId="26" applyFont="1" applyFill="1" applyAlignment="1">
      <alignment vertical="center"/>
    </xf>
    <xf numFmtId="0" fontId="10" fillId="0" borderId="0" xfId="26" applyFont="1" applyAlignment="1">
      <alignment horizontal="right" vertical="center"/>
    </xf>
    <xf numFmtId="0" fontId="19" fillId="0" borderId="0" xfId="26" applyFont="1" applyAlignment="1">
      <alignment horizontal="center" vertical="center"/>
    </xf>
    <xf numFmtId="0" fontId="13" fillId="0" borderId="129" xfId="26" applyFont="1" applyBorder="1" applyAlignment="1">
      <alignment horizontal="left"/>
    </xf>
    <xf numFmtId="0" fontId="14" fillId="0" borderId="101" xfId="26" applyFont="1" applyBorder="1" applyAlignment="1">
      <alignment horizontal="center" vertical="center"/>
    </xf>
    <xf numFmtId="0" fontId="13" fillId="0" borderId="67" xfId="26" applyFont="1" applyBorder="1" applyAlignment="1">
      <alignment horizontal="center"/>
    </xf>
    <xf numFmtId="0" fontId="13" fillId="0" borderId="68" xfId="26" applyFont="1" applyBorder="1" applyAlignment="1">
      <alignment horizontal="center"/>
    </xf>
    <xf numFmtId="0" fontId="13" fillId="0" borderId="69" xfId="26" applyFont="1" applyBorder="1" applyAlignment="1">
      <alignment horizontal="center"/>
    </xf>
    <xf numFmtId="0" fontId="17" fillId="0" borderId="12" xfId="26" applyFont="1" applyBorder="1"/>
    <xf numFmtId="37" fontId="17" fillId="0" borderId="67" xfId="26" applyNumberFormat="1" applyFont="1" applyBorder="1"/>
    <xf numFmtId="37" fontId="17" fillId="0" borderId="68" xfId="26" applyNumberFormat="1" applyFont="1" applyBorder="1"/>
    <xf numFmtId="37" fontId="17" fillId="0" borderId="12" xfId="26" applyNumberFormat="1" applyFont="1" applyBorder="1"/>
    <xf numFmtId="166" fontId="17" fillId="0" borderId="12" xfId="26" applyNumberFormat="1" applyFont="1" applyBorder="1"/>
    <xf numFmtId="37" fontId="17" fillId="0" borderId="69" xfId="26" applyNumberFormat="1" applyFont="1" applyBorder="1"/>
    <xf numFmtId="166" fontId="17" fillId="0" borderId="16" xfId="26" applyNumberFormat="1" applyFont="1" applyBorder="1"/>
    <xf numFmtId="0" fontId="19" fillId="2" borderId="14" xfId="26" applyFont="1" applyFill="1" applyBorder="1"/>
    <xf numFmtId="0" fontId="19" fillId="2" borderId="12" xfId="26" applyFont="1" applyFill="1" applyBorder="1"/>
    <xf numFmtId="9" fontId="19" fillId="2" borderId="68" xfId="27" applyFont="1" applyFill="1" applyBorder="1"/>
    <xf numFmtId="37" fontId="19" fillId="2" borderId="67" xfId="26" applyNumberFormat="1" applyFont="1" applyFill="1" applyBorder="1"/>
    <xf numFmtId="37" fontId="19" fillId="2" borderId="12" xfId="26" applyNumberFormat="1" applyFont="1" applyFill="1" applyBorder="1"/>
    <xf numFmtId="37" fontId="19" fillId="2" borderId="68" xfId="26" applyNumberFormat="1" applyFont="1" applyFill="1" applyBorder="1"/>
    <xf numFmtId="166" fontId="19" fillId="2" borderId="12" xfId="26" applyNumberFormat="1" applyFont="1" applyFill="1" applyBorder="1"/>
    <xf numFmtId="37" fontId="19" fillId="2" borderId="69" xfId="26" applyNumberFormat="1" applyFont="1" applyFill="1" applyBorder="1"/>
    <xf numFmtId="166" fontId="19" fillId="2" borderId="16" xfId="26" applyNumberFormat="1" applyFont="1" applyFill="1" applyBorder="1"/>
    <xf numFmtId="0" fontId="19" fillId="0" borderId="9" xfId="26" applyFont="1" applyBorder="1"/>
    <xf numFmtId="0" fontId="17" fillId="0" borderId="0" xfId="26" applyFont="1"/>
    <xf numFmtId="37" fontId="17" fillId="0" borderId="70" xfId="26" applyNumberFormat="1" applyFont="1" applyBorder="1"/>
    <xf numFmtId="37" fontId="17" fillId="0" borderId="71" xfId="26" applyNumberFormat="1" applyFont="1" applyBorder="1"/>
    <xf numFmtId="37" fontId="17" fillId="0" borderId="0" xfId="26" applyNumberFormat="1" applyFont="1"/>
    <xf numFmtId="166" fontId="17" fillId="0" borderId="0" xfId="26" applyNumberFormat="1" applyFont="1"/>
    <xf numFmtId="37" fontId="17" fillId="0" borderId="72" xfId="26" applyNumberFormat="1" applyFont="1" applyBorder="1"/>
    <xf numFmtId="166" fontId="17" fillId="0" borderId="19" xfId="26" applyNumberFormat="1" applyFont="1" applyBorder="1"/>
    <xf numFmtId="0" fontId="17" fillId="0" borderId="0" xfId="26" applyFont="1" applyAlignment="1">
      <alignment horizontal="right"/>
    </xf>
    <xf numFmtId="167" fontId="17" fillId="0" borderId="0" xfId="26" applyNumberFormat="1" applyFont="1"/>
    <xf numFmtId="0" fontId="17" fillId="0" borderId="71" xfId="26" applyFont="1" applyBorder="1"/>
    <xf numFmtId="166" fontId="17" fillId="0" borderId="71" xfId="27" applyNumberFormat="1" applyFont="1" applyBorder="1"/>
    <xf numFmtId="166" fontId="17" fillId="0" borderId="8" xfId="26" applyNumberFormat="1" applyFont="1" applyBorder="1"/>
    <xf numFmtId="0" fontId="17" fillId="0" borderId="12" xfId="26" applyFont="1" applyBorder="1" applyAlignment="1">
      <alignment horizontal="right"/>
    </xf>
    <xf numFmtId="167" fontId="17" fillId="0" borderId="12" xfId="26" applyNumberFormat="1" applyFont="1" applyBorder="1"/>
    <xf numFmtId="0" fontId="17" fillId="0" borderId="68" xfId="26" applyFont="1" applyBorder="1"/>
    <xf numFmtId="166" fontId="17" fillId="0" borderId="67" xfId="26" applyNumberFormat="1" applyFont="1" applyBorder="1"/>
    <xf numFmtId="166" fontId="17" fillId="0" borderId="68" xfId="27" applyNumberFormat="1" applyFont="1" applyBorder="1"/>
    <xf numFmtId="0" fontId="19" fillId="2" borderId="37" xfId="26" applyFont="1" applyFill="1" applyBorder="1"/>
    <xf numFmtId="0" fontId="19" fillId="2" borderId="35" xfId="26" applyFont="1" applyFill="1" applyBorder="1"/>
    <xf numFmtId="166" fontId="19" fillId="2" borderId="35" xfId="26" applyNumberFormat="1" applyFont="1" applyFill="1" applyBorder="1"/>
    <xf numFmtId="37" fontId="19" fillId="2" borderId="74" xfId="26" applyNumberFormat="1" applyFont="1" applyFill="1" applyBorder="1"/>
    <xf numFmtId="166" fontId="19" fillId="2" borderId="38" xfId="26" applyNumberFormat="1" applyFont="1" applyFill="1" applyBorder="1"/>
    <xf numFmtId="0" fontId="19" fillId="2" borderId="38" xfId="26" applyFont="1" applyFill="1" applyBorder="1"/>
    <xf numFmtId="37" fontId="19" fillId="2" borderId="35" xfId="26" applyNumberFormat="1" applyFont="1" applyFill="1" applyBorder="1"/>
    <xf numFmtId="0" fontId="19" fillId="2" borderId="75" xfId="26" applyFont="1" applyFill="1" applyBorder="1"/>
    <xf numFmtId="166" fontId="17" fillId="0" borderId="12" xfId="27" applyNumberFormat="1" applyFont="1" applyBorder="1"/>
    <xf numFmtId="166" fontId="17" fillId="0" borderId="0" xfId="27" applyNumberFormat="1" applyFont="1"/>
    <xf numFmtId="166" fontId="17" fillId="0" borderId="70" xfId="26" applyNumberFormat="1" applyFont="1" applyBorder="1"/>
    <xf numFmtId="167" fontId="19" fillId="2" borderId="35" xfId="26" applyNumberFormat="1" applyFont="1" applyFill="1" applyBorder="1"/>
    <xf numFmtId="37" fontId="19" fillId="2" borderId="75" xfId="26" applyNumberFormat="1" applyFont="1" applyFill="1" applyBorder="1"/>
    <xf numFmtId="0" fontId="17" fillId="0" borderId="7" xfId="26" applyFont="1" applyBorder="1" applyAlignment="1">
      <alignment horizontal="right"/>
    </xf>
    <xf numFmtId="0" fontId="17" fillId="0" borderId="7" xfId="26" applyFont="1" applyBorder="1"/>
    <xf numFmtId="37" fontId="17" fillId="0" borderId="76" xfId="26" applyNumberFormat="1" applyFont="1" applyBorder="1"/>
    <xf numFmtId="0" fontId="17" fillId="0" borderId="77" xfId="26" applyFont="1" applyBorder="1"/>
    <xf numFmtId="167" fontId="17" fillId="0" borderId="7" xfId="26" applyNumberFormat="1" applyFont="1" applyBorder="1"/>
    <xf numFmtId="37" fontId="17" fillId="0" borderId="7" xfId="26" applyNumberFormat="1" applyFont="1" applyBorder="1"/>
    <xf numFmtId="166" fontId="17" fillId="0" borderId="7" xfId="26" applyNumberFormat="1" applyFont="1" applyBorder="1"/>
    <xf numFmtId="37" fontId="17" fillId="0" borderId="78" xfId="26" applyNumberFormat="1" applyFont="1" applyBorder="1"/>
    <xf numFmtId="9" fontId="16" fillId="0" borderId="0" xfId="26" applyNumberFormat="1" applyFont="1"/>
    <xf numFmtId="37" fontId="34" fillId="0" borderId="0" xfId="26" applyNumberFormat="1" applyFont="1"/>
    <xf numFmtId="37" fontId="17" fillId="0" borderId="77" xfId="26" applyNumberFormat="1" applyFont="1" applyBorder="1"/>
    <xf numFmtId="0" fontId="17" fillId="2" borderId="35" xfId="26" applyFont="1" applyFill="1" applyBorder="1"/>
    <xf numFmtId="37" fontId="19" fillId="2" borderId="38" xfId="26" applyNumberFormat="1" applyFont="1" applyFill="1" applyBorder="1"/>
    <xf numFmtId="3" fontId="19" fillId="2" borderId="35" xfId="26" applyNumberFormat="1" applyFont="1" applyFill="1" applyBorder="1" applyAlignment="1">
      <alignment horizontal="center"/>
    </xf>
    <xf numFmtId="166" fontId="19" fillId="2" borderId="36" xfId="26" applyNumberFormat="1" applyFont="1" applyFill="1" applyBorder="1"/>
    <xf numFmtId="166" fontId="19" fillId="0" borderId="0" xfId="26" applyNumberFormat="1" applyFont="1"/>
    <xf numFmtId="0" fontId="19" fillId="0" borderId="0" xfId="26" applyFont="1"/>
    <xf numFmtId="168" fontId="17" fillId="0" borderId="70" xfId="26" applyNumberFormat="1" applyFont="1" applyBorder="1"/>
    <xf numFmtId="0" fontId="12" fillId="3" borderId="0" xfId="26" applyFont="1" applyFill="1"/>
    <xf numFmtId="166" fontId="17" fillId="0" borderId="76" xfId="26" applyNumberFormat="1" applyFont="1" applyBorder="1"/>
    <xf numFmtId="0" fontId="17" fillId="0" borderId="70" xfId="26" applyFont="1" applyBorder="1"/>
    <xf numFmtId="0" fontId="17" fillId="0" borderId="72" xfId="26" applyFont="1" applyBorder="1"/>
    <xf numFmtId="166" fontId="17" fillId="0" borderId="36" xfId="26" applyNumberFormat="1" applyFont="1" applyBorder="1"/>
    <xf numFmtId="166" fontId="19" fillId="0" borderId="7" xfId="26" applyNumberFormat="1" applyFont="1" applyBorder="1"/>
    <xf numFmtId="0" fontId="19" fillId="0" borderId="7" xfId="26" applyFont="1" applyBorder="1"/>
    <xf numFmtId="166" fontId="19" fillId="0" borderId="77" xfId="26" applyNumberFormat="1" applyFont="1" applyBorder="1"/>
    <xf numFmtId="37" fontId="19" fillId="0" borderId="77" xfId="26" applyNumberFormat="1" applyFont="1" applyBorder="1"/>
    <xf numFmtId="37" fontId="17" fillId="0" borderId="84" xfId="26" applyNumberFormat="1" applyFont="1" applyBorder="1"/>
    <xf numFmtId="37" fontId="19" fillId="0" borderId="7" xfId="26" applyNumberFormat="1" applyFont="1" applyBorder="1"/>
    <xf numFmtId="37" fontId="19" fillId="0" borderId="0" xfId="26" applyNumberFormat="1" applyFont="1"/>
    <xf numFmtId="1" fontId="19" fillId="0" borderId="0" xfId="26" applyNumberFormat="1" applyFont="1"/>
    <xf numFmtId="37" fontId="19" fillId="0" borderId="71" xfId="26" applyNumberFormat="1" applyFont="1" applyBorder="1"/>
    <xf numFmtId="166" fontId="19" fillId="0" borderId="71" xfId="26" applyNumberFormat="1" applyFont="1" applyBorder="1"/>
    <xf numFmtId="37" fontId="17" fillId="0" borderId="85" xfId="26" applyNumberFormat="1" applyFont="1" applyBorder="1"/>
    <xf numFmtId="43" fontId="19" fillId="0" borderId="71" xfId="26" applyNumberFormat="1" applyFont="1" applyBorder="1"/>
    <xf numFmtId="166" fontId="17" fillId="2" borderId="38" xfId="26" applyNumberFormat="1" applyFont="1" applyFill="1" applyBorder="1"/>
    <xf numFmtId="166" fontId="17" fillId="2" borderId="35" xfId="26" applyNumberFormat="1" applyFont="1" applyFill="1" applyBorder="1"/>
    <xf numFmtId="37" fontId="17" fillId="2" borderId="75" xfId="26" applyNumberFormat="1" applyFont="1" applyFill="1" applyBorder="1"/>
    <xf numFmtId="0" fontId="19" fillId="3" borderId="20" xfId="26" applyFont="1" applyFill="1" applyBorder="1"/>
    <xf numFmtId="0" fontId="19" fillId="3" borderId="7" xfId="26" applyFont="1" applyFill="1" applyBorder="1"/>
    <xf numFmtId="37" fontId="19" fillId="3" borderId="7" xfId="26" applyNumberFormat="1" applyFont="1" applyFill="1" applyBorder="1"/>
    <xf numFmtId="37" fontId="17" fillId="3" borderId="76" xfId="26" applyNumberFormat="1" applyFont="1" applyFill="1" applyBorder="1"/>
    <xf numFmtId="0" fontId="17" fillId="3" borderId="7" xfId="26" applyFont="1" applyFill="1" applyBorder="1"/>
    <xf numFmtId="37" fontId="17" fillId="3" borderId="7" xfId="26" applyNumberFormat="1" applyFont="1" applyFill="1" applyBorder="1"/>
    <xf numFmtId="37" fontId="17" fillId="3" borderId="77" xfId="26" applyNumberFormat="1" applyFont="1" applyFill="1" applyBorder="1"/>
    <xf numFmtId="37" fontId="17" fillId="3" borderId="0" xfId="26" applyNumberFormat="1" applyFont="1" applyFill="1"/>
    <xf numFmtId="166" fontId="17" fillId="3" borderId="0" xfId="26" applyNumberFormat="1" applyFont="1" applyFill="1"/>
    <xf numFmtId="166" fontId="17" fillId="3" borderId="77" xfId="26" applyNumberFormat="1" applyFont="1" applyFill="1" applyBorder="1"/>
    <xf numFmtId="166" fontId="17" fillId="3" borderId="7" xfId="26" applyNumberFormat="1" applyFont="1" applyFill="1" applyBorder="1"/>
    <xf numFmtId="37" fontId="17" fillId="3" borderId="78" xfId="26" applyNumberFormat="1" applyFont="1" applyFill="1" applyBorder="1"/>
    <xf numFmtId="166" fontId="17" fillId="0" borderId="54" xfId="26" applyNumberFormat="1" applyFont="1" applyBorder="1"/>
    <xf numFmtId="0" fontId="19" fillId="2" borderId="103" xfId="26" applyFont="1" applyFill="1" applyBorder="1"/>
    <xf numFmtId="0" fontId="19" fillId="2" borderId="104" xfId="26" applyFont="1" applyFill="1" applyBorder="1"/>
    <xf numFmtId="0" fontId="19" fillId="2" borderId="104" xfId="26" applyFont="1" applyFill="1" applyBorder="1" applyAlignment="1">
      <alignment horizontal="center"/>
    </xf>
    <xf numFmtId="166" fontId="19" fillId="2" borderId="104" xfId="26" applyNumberFormat="1" applyFont="1" applyFill="1" applyBorder="1"/>
    <xf numFmtId="37" fontId="19" fillId="2" borderId="105" xfId="26" applyNumberFormat="1" applyFont="1" applyFill="1" applyBorder="1"/>
    <xf numFmtId="37" fontId="19" fillId="2" borderId="104" xfId="26" applyNumberFormat="1" applyFont="1" applyFill="1" applyBorder="1"/>
    <xf numFmtId="37" fontId="19" fillId="2" borderId="132" xfId="26" applyNumberFormat="1" applyFont="1" applyFill="1" applyBorder="1"/>
    <xf numFmtId="166" fontId="19" fillId="2" borderId="106" xfId="26" applyNumberFormat="1" applyFont="1" applyFill="1" applyBorder="1"/>
    <xf numFmtId="0" fontId="19" fillId="2" borderId="132" xfId="26" applyFont="1" applyFill="1" applyBorder="1" applyAlignment="1">
      <alignment horizontal="center"/>
    </xf>
    <xf numFmtId="37" fontId="19" fillId="2" borderId="133" xfId="26" applyNumberFormat="1" applyFont="1" applyFill="1" applyBorder="1"/>
    <xf numFmtId="166" fontId="19" fillId="2" borderId="31" xfId="26" applyNumberFormat="1" applyFont="1" applyFill="1" applyBorder="1"/>
    <xf numFmtId="39" fontId="17" fillId="0" borderId="0" xfId="26" applyNumberFormat="1" applyFont="1"/>
    <xf numFmtId="0" fontId="41" fillId="0" borderId="0" xfId="26" applyFont="1"/>
    <xf numFmtId="0" fontId="41" fillId="0" borderId="0" xfId="26" applyFont="1" applyAlignment="1">
      <alignment horizontal="center"/>
    </xf>
    <xf numFmtId="0" fontId="41" fillId="0" borderId="0" xfId="26" applyFont="1" applyAlignment="1">
      <alignment horizontal="right" vertical="center"/>
    </xf>
    <xf numFmtId="0" fontId="41" fillId="0" borderId="0" xfId="26" applyFont="1" applyAlignment="1">
      <alignment horizontal="center" vertical="center"/>
    </xf>
    <xf numFmtId="0" fontId="41" fillId="0" borderId="0" xfId="26" applyFont="1" applyAlignment="1">
      <alignment horizontal="right"/>
    </xf>
    <xf numFmtId="166" fontId="19" fillId="2" borderId="135" xfId="26" applyNumberFormat="1" applyFont="1" applyFill="1" applyBorder="1"/>
    <xf numFmtId="37" fontId="19" fillId="2" borderId="134" xfId="26" applyNumberFormat="1" applyFont="1" applyFill="1" applyBorder="1"/>
    <xf numFmtId="37" fontId="19" fillId="2" borderId="107" xfId="26" applyNumberFormat="1" applyFont="1" applyFill="1" applyBorder="1"/>
    <xf numFmtId="37" fontId="19" fillId="2" borderId="101" xfId="26" applyNumberFormat="1" applyFont="1" applyFill="1" applyBorder="1"/>
    <xf numFmtId="166" fontId="19" fillId="2" borderId="102" xfId="26" applyNumberFormat="1" applyFont="1" applyFill="1" applyBorder="1"/>
    <xf numFmtId="0" fontId="12" fillId="0" borderId="9" xfId="26" applyFont="1" applyBorder="1"/>
    <xf numFmtId="37" fontId="12" fillId="0" borderId="70" xfId="26" applyNumberFormat="1" applyFont="1" applyBorder="1"/>
    <xf numFmtId="0" fontId="12" fillId="0" borderId="70" xfId="26" applyFont="1" applyBorder="1"/>
    <xf numFmtId="0" fontId="12" fillId="0" borderId="85" xfId="26" applyFont="1" applyBorder="1"/>
    <xf numFmtId="0" fontId="12" fillId="0" borderId="72" xfId="26" applyFont="1" applyBorder="1"/>
    <xf numFmtId="0" fontId="12" fillId="0" borderId="8" xfId="26" applyFont="1" applyBorder="1"/>
    <xf numFmtId="39" fontId="17" fillId="0" borderId="70" xfId="26" applyNumberFormat="1" applyFont="1" applyBorder="1"/>
    <xf numFmtId="43" fontId="12" fillId="0" borderId="0" xfId="26" applyNumberFormat="1" applyFont="1"/>
    <xf numFmtId="172" fontId="12" fillId="0" borderId="0" xfId="26" applyNumberFormat="1" applyFont="1" applyAlignment="1">
      <alignment horizontal="right"/>
    </xf>
    <xf numFmtId="10" fontId="2" fillId="0" borderId="0" xfId="26" applyNumberFormat="1"/>
    <xf numFmtId="43" fontId="12" fillId="0" borderId="0" xfId="28" applyFont="1"/>
    <xf numFmtId="17" fontId="12" fillId="0" borderId="0" xfId="26" applyNumberFormat="1" applyFont="1" applyAlignment="1">
      <alignment horizontal="right"/>
    </xf>
    <xf numFmtId="164" fontId="12" fillId="0" borderId="0" xfId="26" applyNumberFormat="1" applyFont="1"/>
    <xf numFmtId="9" fontId="13" fillId="0" borderId="9" xfId="27" applyFont="1" applyBorder="1"/>
    <xf numFmtId="0" fontId="24" fillId="7" borderId="95" xfId="0" applyFont="1" applyFill="1" applyBorder="1" applyAlignment="1">
      <alignment horizontal="center" vertical="center"/>
    </xf>
    <xf numFmtId="0" fontId="24" fillId="8" borderId="95" xfId="0" applyFont="1" applyFill="1" applyBorder="1" applyAlignment="1">
      <alignment horizontal="center" vertical="center"/>
    </xf>
    <xf numFmtId="0" fontId="24" fillId="6" borderId="95" xfId="0" applyFont="1" applyFill="1" applyBorder="1" applyAlignment="1">
      <alignment horizontal="center" vertical="center"/>
    </xf>
    <xf numFmtId="0" fontId="24" fillId="5" borderId="95" xfId="0" applyFont="1" applyFill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0" fontId="20" fillId="0" borderId="63" xfId="0" applyFont="1" applyBorder="1"/>
    <xf numFmtId="0" fontId="20" fillId="0" borderId="66" xfId="0" applyFont="1" applyBorder="1"/>
    <xf numFmtId="0" fontId="19" fillId="0" borderId="2" xfId="0" applyFont="1" applyBorder="1" applyAlignment="1">
      <alignment horizontal="center"/>
    </xf>
    <xf numFmtId="0" fontId="20" fillId="0" borderId="2" xfId="0" applyFont="1" applyBorder="1"/>
    <xf numFmtId="0" fontId="20" fillId="0" borderId="3" xfId="0" applyFont="1" applyBorder="1"/>
    <xf numFmtId="0" fontId="19" fillId="0" borderId="4" xfId="0" applyFont="1" applyBorder="1" applyAlignment="1">
      <alignment horizontal="center"/>
    </xf>
    <xf numFmtId="0" fontId="20" fillId="0" borderId="5" xfId="0" applyFont="1" applyBorder="1"/>
    <xf numFmtId="0" fontId="19" fillId="0" borderId="63" xfId="0" applyFont="1" applyBorder="1" applyAlignment="1">
      <alignment horizontal="center" vertical="center"/>
    </xf>
    <xf numFmtId="0" fontId="20" fillId="0" borderId="64" xfId="0" applyFont="1" applyBorder="1"/>
    <xf numFmtId="0" fontId="19" fillId="0" borderId="1" xfId="0" applyFont="1" applyBorder="1" applyAlignment="1">
      <alignment horizontal="center"/>
    </xf>
    <xf numFmtId="0" fontId="19" fillId="0" borderId="112" xfId="0" applyFont="1" applyBorder="1" applyAlignment="1">
      <alignment horizontal="center"/>
    </xf>
    <xf numFmtId="0" fontId="19" fillId="0" borderId="113" xfId="0" applyFont="1" applyBorder="1" applyAlignment="1">
      <alignment horizontal="center"/>
    </xf>
    <xf numFmtId="0" fontId="14" fillId="0" borderId="101" xfId="26" applyFont="1" applyBorder="1" applyAlignment="1">
      <alignment horizontal="center" vertical="center"/>
    </xf>
    <xf numFmtId="0" fontId="15" fillId="0" borderId="101" xfId="26" applyFont="1" applyBorder="1"/>
    <xf numFmtId="0" fontId="15" fillId="0" borderId="130" xfId="26" applyFont="1" applyBorder="1"/>
    <xf numFmtId="0" fontId="14" fillId="0" borderId="131" xfId="26" applyFont="1" applyBorder="1" applyAlignment="1">
      <alignment horizontal="center" vertical="center"/>
    </xf>
    <xf numFmtId="0" fontId="15" fillId="0" borderId="102" xfId="26" applyFont="1" applyBorder="1"/>
    <xf numFmtId="0" fontId="14" fillId="0" borderId="127" xfId="26" applyFont="1" applyBorder="1" applyAlignment="1">
      <alignment horizontal="center"/>
    </xf>
    <xf numFmtId="0" fontId="15" fillId="0" borderId="127" xfId="26" applyFont="1" applyBorder="1"/>
    <xf numFmtId="0" fontId="15" fillId="0" borderId="50" xfId="26" applyFont="1" applyBorder="1"/>
    <xf numFmtId="0" fontId="14" fillId="0" borderId="49" xfId="26" applyFont="1" applyBorder="1" applyAlignment="1">
      <alignment horizontal="center"/>
    </xf>
    <xf numFmtId="0" fontId="1" fillId="0" borderId="0" xfId="29"/>
    <xf numFmtId="0" fontId="10" fillId="0" borderId="0" xfId="29" applyFont="1"/>
    <xf numFmtId="0" fontId="42" fillId="12" borderId="0" xfId="29" applyFont="1" applyFill="1"/>
    <xf numFmtId="0" fontId="10" fillId="0" borderId="0" xfId="29" applyFont="1" applyAlignment="1">
      <alignment horizontal="center" vertical="center"/>
    </xf>
    <xf numFmtId="0" fontId="12" fillId="0" borderId="0" xfId="29" applyFont="1" applyAlignment="1">
      <alignment horizontal="left" vertical="center"/>
    </xf>
    <xf numFmtId="0" fontId="10" fillId="0" borderId="0" xfId="29" applyFont="1" applyAlignment="1">
      <alignment horizontal="center"/>
    </xf>
    <xf numFmtId="3" fontId="10" fillId="0" borderId="0" xfId="29" applyNumberFormat="1" applyFont="1"/>
    <xf numFmtId="0" fontId="42" fillId="12" borderId="0" xfId="29" applyFont="1" applyFill="1" applyAlignment="1">
      <alignment horizontal="center" vertical="center"/>
    </xf>
    <xf numFmtId="0" fontId="42" fillId="12" borderId="0" xfId="29" applyFont="1" applyFill="1" applyAlignment="1">
      <alignment horizontal="right"/>
    </xf>
    <xf numFmtId="0" fontId="11" fillId="0" borderId="0" xfId="29" applyFont="1"/>
    <xf numFmtId="165" fontId="12" fillId="0" borderId="0" xfId="29" applyNumberFormat="1" applyFont="1" applyAlignment="1">
      <alignment horizontal="left"/>
    </xf>
    <xf numFmtId="0" fontId="12" fillId="0" borderId="0" xfId="29" applyFont="1" applyAlignment="1">
      <alignment horizontal="center"/>
    </xf>
    <xf numFmtId="0" fontId="12" fillId="0" borderId="0" xfId="29" applyFont="1"/>
    <xf numFmtId="0" fontId="43" fillId="9" borderId="27" xfId="29" applyFont="1" applyFill="1" applyBorder="1"/>
    <xf numFmtId="0" fontId="44" fillId="9" borderId="26" xfId="29" applyFont="1" applyFill="1" applyBorder="1"/>
    <xf numFmtId="0" fontId="13" fillId="0" borderId="0" xfId="29" applyFont="1"/>
    <xf numFmtId="0" fontId="13" fillId="0" borderId="49" xfId="29" applyFont="1" applyBorder="1"/>
    <xf numFmtId="0" fontId="14" fillId="0" borderId="127" xfId="29" applyFont="1" applyBorder="1" applyAlignment="1">
      <alignment horizontal="center"/>
    </xf>
    <xf numFmtId="0" fontId="15" fillId="0" borderId="127" xfId="29" applyFont="1" applyBorder="1"/>
    <xf numFmtId="0" fontId="15" fillId="0" borderId="50" xfId="29" applyFont="1" applyBorder="1"/>
    <xf numFmtId="0" fontId="14" fillId="0" borderId="49" xfId="29" applyFont="1" applyBorder="1" applyAlignment="1">
      <alignment horizontal="center"/>
    </xf>
    <xf numFmtId="0" fontId="45" fillId="9" borderId="9" xfId="29" applyFont="1" applyFill="1" applyBorder="1"/>
    <xf numFmtId="10" fontId="45" fillId="9" borderId="8" xfId="29" applyNumberFormat="1" applyFont="1" applyFill="1" applyBorder="1"/>
    <xf numFmtId="0" fontId="13" fillId="0" borderId="20" xfId="29" applyFont="1" applyBorder="1"/>
    <xf numFmtId="3" fontId="13" fillId="0" borderId="7" xfId="29" applyNumberFormat="1" applyFont="1" applyBorder="1" applyAlignment="1">
      <alignment horizontal="center"/>
    </xf>
    <xf numFmtId="3" fontId="13" fillId="0" borderId="0" xfId="29" applyNumberFormat="1" applyFont="1" applyAlignment="1">
      <alignment horizontal="center"/>
    </xf>
    <xf numFmtId="3" fontId="13" fillId="0" borderId="8" xfId="29" applyNumberFormat="1" applyFont="1" applyBorder="1" applyAlignment="1">
      <alignment horizontal="center"/>
    </xf>
    <xf numFmtId="3" fontId="13" fillId="0" borderId="9" xfId="29" applyNumberFormat="1" applyFont="1" applyBorder="1" applyAlignment="1">
      <alignment horizontal="center"/>
    </xf>
    <xf numFmtId="0" fontId="13" fillId="0" borderId="14" xfId="29" applyFont="1" applyBorder="1"/>
    <xf numFmtId="3" fontId="13" fillId="0" borderId="12" xfId="29" applyNumberFormat="1" applyFont="1" applyBorder="1" applyAlignment="1">
      <alignment horizontal="center"/>
    </xf>
    <xf numFmtId="3" fontId="13" fillId="0" borderId="16" xfId="29" applyNumberFormat="1" applyFont="1" applyBorder="1"/>
    <xf numFmtId="3" fontId="13" fillId="0" borderId="12" xfId="29" applyNumberFormat="1" applyFont="1" applyBorder="1" applyAlignment="1">
      <alignment horizontal="right"/>
    </xf>
    <xf numFmtId="3" fontId="13" fillId="0" borderId="12" xfId="29" applyNumberFormat="1" applyFont="1" applyBorder="1"/>
    <xf numFmtId="3" fontId="13" fillId="0" borderId="14" xfId="29" applyNumberFormat="1" applyFont="1" applyBorder="1" applyAlignment="1">
      <alignment horizontal="center"/>
    </xf>
    <xf numFmtId="3" fontId="13" fillId="0" borderId="16" xfId="29" applyNumberFormat="1" applyFont="1" applyBorder="1" applyAlignment="1">
      <alignment horizontal="center"/>
    </xf>
    <xf numFmtId="0" fontId="13" fillId="0" borderId="9" xfId="29" applyFont="1" applyBorder="1"/>
    <xf numFmtId="3" fontId="13" fillId="0" borderId="0" xfId="29" applyNumberFormat="1" applyFont="1"/>
    <xf numFmtId="3" fontId="13" fillId="0" borderId="9" xfId="29" applyNumberFormat="1" applyFont="1" applyBorder="1"/>
    <xf numFmtId="3" fontId="13" fillId="0" borderId="8" xfId="29" applyNumberFormat="1" applyFont="1" applyBorder="1"/>
    <xf numFmtId="0" fontId="44" fillId="9" borderId="32" xfId="29" applyFont="1" applyFill="1" applyBorder="1"/>
    <xf numFmtId="10" fontId="45" fillId="9" borderId="31" xfId="29" applyNumberFormat="1" applyFont="1" applyFill="1" applyBorder="1"/>
    <xf numFmtId="0" fontId="14" fillId="0" borderId="20" xfId="29" applyFont="1" applyBorder="1"/>
    <xf numFmtId="3" fontId="14" fillId="0" borderId="7" xfId="29" applyNumberFormat="1" applyFont="1" applyBorder="1"/>
    <xf numFmtId="3" fontId="14" fillId="0" borderId="19" xfId="29" applyNumberFormat="1" applyFont="1" applyBorder="1"/>
    <xf numFmtId="3" fontId="14" fillId="0" borderId="20" xfId="29" applyNumberFormat="1" applyFont="1" applyBorder="1"/>
    <xf numFmtId="0" fontId="13" fillId="0" borderId="8" xfId="29" applyFont="1" applyBorder="1"/>
    <xf numFmtId="166" fontId="19" fillId="0" borderId="9" xfId="29" applyNumberFormat="1" applyFont="1" applyBorder="1" applyAlignment="1">
      <alignment vertical="center"/>
    </xf>
    <xf numFmtId="166" fontId="19" fillId="0" borderId="8" xfId="29" applyNumberFormat="1" applyFont="1" applyBorder="1" applyAlignment="1">
      <alignment vertical="center"/>
    </xf>
    <xf numFmtId="0" fontId="14" fillId="0" borderId="14" xfId="29" applyFont="1" applyBorder="1"/>
    <xf numFmtId="3" fontId="13" fillId="0" borderId="14" xfId="29" applyNumberFormat="1" applyFont="1" applyBorder="1"/>
    <xf numFmtId="3" fontId="14" fillId="0" borderId="14" xfId="29" applyNumberFormat="1" applyFont="1" applyBorder="1"/>
    <xf numFmtId="3" fontId="14" fillId="0" borderId="12" xfId="29" applyNumberFormat="1" applyFont="1" applyBorder="1"/>
    <xf numFmtId="166" fontId="14" fillId="0" borderId="9" xfId="29" applyNumberFormat="1" applyFont="1" applyBorder="1"/>
    <xf numFmtId="166" fontId="14" fillId="0" borderId="8" xfId="29" applyNumberFormat="1" applyFont="1" applyBorder="1"/>
    <xf numFmtId="0" fontId="14" fillId="0" borderId="9" xfId="29" applyFont="1" applyBorder="1"/>
    <xf numFmtId="3" fontId="1" fillId="0" borderId="0" xfId="29" applyNumberFormat="1"/>
    <xf numFmtId="3" fontId="13" fillId="0" borderId="7" xfId="29" applyNumberFormat="1" applyFont="1" applyBorder="1"/>
    <xf numFmtId="3" fontId="13" fillId="0" borderId="19" xfId="29" applyNumberFormat="1" applyFont="1" applyBorder="1"/>
    <xf numFmtId="3" fontId="13" fillId="0" borderId="20" xfId="29" applyNumberFormat="1" applyFont="1" applyBorder="1"/>
    <xf numFmtId="43" fontId="13" fillId="0" borderId="0" xfId="29" applyNumberFormat="1" applyFont="1"/>
    <xf numFmtId="3" fontId="14" fillId="0" borderId="9" xfId="29" applyNumberFormat="1" applyFont="1" applyBorder="1"/>
    <xf numFmtId="37" fontId="13" fillId="0" borderId="8" xfId="29" applyNumberFormat="1" applyFont="1" applyBorder="1"/>
    <xf numFmtId="37" fontId="13" fillId="0" borderId="9" xfId="29" applyNumberFormat="1" applyFont="1" applyBorder="1"/>
    <xf numFmtId="0" fontId="14" fillId="2" borderId="27" xfId="29" applyFont="1" applyFill="1" applyBorder="1"/>
    <xf numFmtId="37" fontId="14" fillId="2" borderId="25" xfId="29" applyNumberFormat="1" applyFont="1" applyFill="1" applyBorder="1"/>
    <xf numFmtId="3" fontId="14" fillId="2" borderId="25" xfId="29" applyNumberFormat="1" applyFont="1" applyFill="1" applyBorder="1"/>
    <xf numFmtId="37" fontId="14" fillId="2" borderId="26" xfId="29" applyNumberFormat="1" applyFont="1" applyFill="1" applyBorder="1"/>
    <xf numFmtId="37" fontId="14" fillId="2" borderId="27" xfId="29" applyNumberFormat="1" applyFont="1" applyFill="1" applyBorder="1"/>
    <xf numFmtId="0" fontId="14" fillId="2" borderId="32" xfId="29" applyFont="1" applyFill="1" applyBorder="1"/>
    <xf numFmtId="0" fontId="14" fillId="2" borderId="30" xfId="29" applyFont="1" applyFill="1" applyBorder="1"/>
    <xf numFmtId="0" fontId="14" fillId="2" borderId="31" xfId="29" applyFont="1" applyFill="1" applyBorder="1"/>
    <xf numFmtId="3" fontId="14" fillId="2" borderId="30" xfId="29" applyNumberFormat="1" applyFont="1" applyFill="1" applyBorder="1"/>
    <xf numFmtId="166" fontId="14" fillId="2" borderId="31" xfId="30" applyNumberFormat="1" applyFont="1" applyFill="1" applyBorder="1"/>
    <xf numFmtId="166" fontId="14" fillId="2" borderId="32" xfId="29" applyNumberFormat="1" applyFont="1" applyFill="1" applyBorder="1"/>
    <xf numFmtId="166" fontId="14" fillId="2" borderId="31" xfId="29" applyNumberFormat="1" applyFont="1" applyFill="1" applyBorder="1"/>
    <xf numFmtId="0" fontId="14" fillId="0" borderId="0" xfId="29" applyFont="1"/>
    <xf numFmtId="0" fontId="14" fillId="0" borderId="8" xfId="29" applyFont="1" applyBorder="1"/>
    <xf numFmtId="37" fontId="13" fillId="0" borderId="0" xfId="29" applyNumberFormat="1" applyFont="1"/>
    <xf numFmtId="0" fontId="14" fillId="0" borderId="9" xfId="29" applyFont="1" applyBorder="1" applyAlignment="1">
      <alignment horizontal="left"/>
    </xf>
    <xf numFmtId="0" fontId="13" fillId="0" borderId="0" xfId="29" applyFont="1" applyAlignment="1">
      <alignment horizontal="center"/>
    </xf>
    <xf numFmtId="166" fontId="13" fillId="0" borderId="0" xfId="29" applyNumberFormat="1" applyFont="1" applyAlignment="1">
      <alignment horizontal="right"/>
    </xf>
    <xf numFmtId="166" fontId="13" fillId="0" borderId="9" xfId="29" applyNumberFormat="1" applyFont="1" applyBorder="1"/>
    <xf numFmtId="166" fontId="13" fillId="0" borderId="9" xfId="30" applyNumberFormat="1" applyFont="1" applyBorder="1"/>
    <xf numFmtId="166" fontId="13" fillId="0" borderId="12" xfId="29" applyNumberFormat="1" applyFont="1" applyBorder="1" applyAlignment="1">
      <alignment horizontal="right"/>
    </xf>
    <xf numFmtId="37" fontId="13" fillId="0" borderId="12" xfId="29" applyNumberFormat="1" applyFont="1" applyBorder="1"/>
    <xf numFmtId="166" fontId="13" fillId="0" borderId="14" xfId="29" applyNumberFormat="1" applyFont="1" applyBorder="1"/>
    <xf numFmtId="37" fontId="13" fillId="0" borderId="16" xfId="29" applyNumberFormat="1" applyFont="1" applyBorder="1"/>
    <xf numFmtId="166" fontId="13" fillId="0" borderId="14" xfId="30" applyNumberFormat="1" applyFont="1" applyBorder="1"/>
    <xf numFmtId="0" fontId="13" fillId="0" borderId="0" xfId="29" applyFont="1" applyAlignment="1">
      <alignment horizontal="right"/>
    </xf>
    <xf numFmtId="0" fontId="13" fillId="0" borderId="9" xfId="29" applyFont="1" applyBorder="1" applyAlignment="1">
      <alignment horizontal="right"/>
    </xf>
    <xf numFmtId="0" fontId="13" fillId="0" borderId="12" xfId="29" applyFont="1" applyBorder="1" applyAlignment="1">
      <alignment horizontal="right"/>
    </xf>
    <xf numFmtId="0" fontId="13" fillId="0" borderId="14" xfId="29" applyFont="1" applyBorder="1" applyAlignment="1">
      <alignment horizontal="right"/>
    </xf>
    <xf numFmtId="3" fontId="13" fillId="0" borderId="84" xfId="29" applyNumberFormat="1" applyFont="1" applyBorder="1"/>
    <xf numFmtId="3" fontId="13" fillId="0" borderId="85" xfId="29" applyNumberFormat="1" applyFont="1" applyBorder="1"/>
    <xf numFmtId="3" fontId="13" fillId="0" borderId="128" xfId="29" applyNumberFormat="1" applyFont="1" applyBorder="1"/>
    <xf numFmtId="0" fontId="14" fillId="2" borderId="37" xfId="29" applyFont="1" applyFill="1" applyBorder="1"/>
    <xf numFmtId="0" fontId="14" fillId="2" borderId="35" xfId="29" applyFont="1" applyFill="1" applyBorder="1" applyAlignment="1">
      <alignment horizontal="center"/>
    </xf>
    <xf numFmtId="166" fontId="14" fillId="2" borderId="35" xfId="29" applyNumberFormat="1" applyFont="1" applyFill="1" applyBorder="1"/>
    <xf numFmtId="37" fontId="14" fillId="2" borderId="36" xfId="29" applyNumberFormat="1" applyFont="1" applyFill="1" applyBorder="1"/>
    <xf numFmtId="0" fontId="14" fillId="2" borderId="37" xfId="29" applyFont="1" applyFill="1" applyBorder="1" applyAlignment="1">
      <alignment horizontal="center"/>
    </xf>
    <xf numFmtId="0" fontId="13" fillId="2" borderId="38" xfId="29" applyFont="1" applyFill="1" applyBorder="1"/>
    <xf numFmtId="37" fontId="14" fillId="2" borderId="35" xfId="29" applyNumberFormat="1" applyFont="1" applyFill="1" applyBorder="1"/>
    <xf numFmtId="0" fontId="13" fillId="2" borderId="37" xfId="29" applyFont="1" applyFill="1" applyBorder="1"/>
    <xf numFmtId="0" fontId="17" fillId="0" borderId="9" xfId="29" applyFont="1" applyBorder="1"/>
    <xf numFmtId="166" fontId="13" fillId="0" borderId="0" xfId="30" applyNumberFormat="1" applyFont="1"/>
    <xf numFmtId="0" fontId="17" fillId="0" borderId="14" xfId="29" applyFont="1" applyBorder="1"/>
    <xf numFmtId="0" fontId="13" fillId="0" borderId="7" xfId="29" applyFont="1" applyBorder="1" applyAlignment="1">
      <alignment horizontal="right"/>
    </xf>
    <xf numFmtId="0" fontId="13" fillId="0" borderId="7" xfId="29" applyFont="1" applyBorder="1"/>
    <xf numFmtId="0" fontId="13" fillId="0" borderId="20" xfId="29" applyFont="1" applyBorder="1" applyAlignment="1">
      <alignment horizontal="right"/>
    </xf>
    <xf numFmtId="37" fontId="13" fillId="0" borderId="19" xfId="29" applyNumberFormat="1" applyFont="1" applyBorder="1"/>
    <xf numFmtId="0" fontId="13" fillId="0" borderId="12" xfId="29" applyFont="1" applyBorder="1"/>
    <xf numFmtId="37" fontId="14" fillId="0" borderId="0" xfId="29" applyNumberFormat="1" applyFont="1"/>
    <xf numFmtId="37" fontId="14" fillId="2" borderId="16" xfId="29" applyNumberFormat="1" applyFont="1" applyFill="1" applyBorder="1"/>
    <xf numFmtId="168" fontId="13" fillId="0" borderId="0" xfId="31" applyNumberFormat="1" applyFont="1"/>
    <xf numFmtId="9" fontId="13" fillId="0" borderId="9" xfId="30" applyFont="1" applyFill="1" applyBorder="1"/>
    <xf numFmtId="0" fontId="16" fillId="13" borderId="0" xfId="29" applyFont="1" applyFill="1"/>
    <xf numFmtId="0" fontId="13" fillId="13" borderId="0" xfId="29" applyFont="1" applyFill="1"/>
    <xf numFmtId="9" fontId="13" fillId="0" borderId="0" xfId="30" applyFont="1" applyAlignment="1">
      <alignment horizontal="right"/>
    </xf>
    <xf numFmtId="168" fontId="13" fillId="0" borderId="0" xfId="29" applyNumberFormat="1" applyFont="1"/>
    <xf numFmtId="0" fontId="14" fillId="3" borderId="9" xfId="29" applyFont="1" applyFill="1" applyBorder="1"/>
    <xf numFmtId="0" fontId="13" fillId="3" borderId="0" xfId="29" applyFont="1" applyFill="1"/>
    <xf numFmtId="0" fontId="14" fillId="3" borderId="0" xfId="29" applyFont="1" applyFill="1"/>
    <xf numFmtId="37" fontId="14" fillId="3" borderId="8" xfId="29" applyNumberFormat="1" applyFont="1" applyFill="1" applyBorder="1"/>
    <xf numFmtId="0" fontId="13" fillId="3" borderId="9" xfId="29" applyFont="1" applyFill="1" applyBorder="1"/>
    <xf numFmtId="0" fontId="13" fillId="3" borderId="14" xfId="29" applyFont="1" applyFill="1" applyBorder="1"/>
    <xf numFmtId="0" fontId="13" fillId="3" borderId="12" xfId="29" applyFont="1" applyFill="1" applyBorder="1"/>
    <xf numFmtId="37" fontId="14" fillId="3" borderId="16" xfId="29" applyNumberFormat="1" applyFont="1" applyFill="1" applyBorder="1"/>
    <xf numFmtId="0" fontId="14" fillId="2" borderId="55" xfId="29" applyFont="1" applyFill="1" applyBorder="1"/>
    <xf numFmtId="0" fontId="13" fillId="2" borderId="53" xfId="29" applyFont="1" applyFill="1" applyBorder="1"/>
    <xf numFmtId="0" fontId="14" fillId="2" borderId="53" xfId="29" applyFont="1" applyFill="1" applyBorder="1"/>
    <xf numFmtId="37" fontId="14" fillId="2" borderId="54" xfId="29" applyNumberFormat="1" applyFont="1" applyFill="1" applyBorder="1"/>
    <xf numFmtId="0" fontId="13" fillId="2" borderId="55" xfId="29" applyFont="1" applyFill="1" applyBorder="1"/>
    <xf numFmtId="166" fontId="14" fillId="2" borderId="53" xfId="30" applyNumberFormat="1" applyFont="1" applyFill="1" applyBorder="1"/>
    <xf numFmtId="0" fontId="18" fillId="0" borderId="0" xfId="29" applyFont="1"/>
    <xf numFmtId="1" fontId="18" fillId="0" borderId="0" xfId="29" applyNumberFormat="1" applyFont="1"/>
    <xf numFmtId="9" fontId="18" fillId="0" borderId="0" xfId="30" applyFont="1"/>
    <xf numFmtId="37" fontId="18" fillId="0" borderId="0" xfId="29" applyNumberFormat="1" applyFont="1"/>
    <xf numFmtId="0" fontId="42" fillId="14" borderId="0" xfId="29" applyFont="1" applyFill="1"/>
    <xf numFmtId="0" fontId="10" fillId="0" borderId="0" xfId="29" applyFont="1" applyAlignment="1">
      <alignment horizontal="right"/>
    </xf>
    <xf numFmtId="0" fontId="13" fillId="0" borderId="14" xfId="29" applyFont="1" applyBorder="1" applyAlignment="1">
      <alignment horizontal="center"/>
    </xf>
    <xf numFmtId="0" fontId="13" fillId="0" borderId="16" xfId="29" applyFont="1" applyBorder="1" applyAlignment="1">
      <alignment horizontal="center"/>
    </xf>
    <xf numFmtId="0" fontId="46" fillId="0" borderId="0" xfId="29" applyFont="1"/>
    <xf numFmtId="166" fontId="19" fillId="0" borderId="9" xfId="29" applyNumberFormat="1" applyFont="1" applyBorder="1"/>
    <xf numFmtId="166" fontId="19" fillId="0" borderId="8" xfId="29" applyNumberFormat="1" applyFont="1" applyBorder="1"/>
    <xf numFmtId="39" fontId="13" fillId="0" borderId="0" xfId="29" applyNumberFormat="1" applyFont="1"/>
    <xf numFmtId="3" fontId="14" fillId="0" borderId="16" xfId="29" applyNumberFormat="1" applyFont="1" applyBorder="1"/>
    <xf numFmtId="167" fontId="13" fillId="0" borderId="0" xfId="29" applyNumberFormat="1" applyFont="1"/>
    <xf numFmtId="167" fontId="14" fillId="2" borderId="25" xfId="29" applyNumberFormat="1" applyFont="1" applyFill="1" applyBorder="1"/>
    <xf numFmtId="9" fontId="14" fillId="2" borderId="32" xfId="29" applyNumberFormat="1" applyFont="1" applyFill="1" applyBorder="1"/>
    <xf numFmtId="166" fontId="14" fillId="10" borderId="31" xfId="29" applyNumberFormat="1" applyFont="1" applyFill="1" applyBorder="1"/>
    <xf numFmtId="166" fontId="13" fillId="0" borderId="0" xfId="29" applyNumberFormat="1" applyFont="1"/>
    <xf numFmtId="9" fontId="13" fillId="0" borderId="12" xfId="30" applyFont="1" applyBorder="1" applyAlignment="1">
      <alignment horizontal="right"/>
    </xf>
    <xf numFmtId="0" fontId="13" fillId="2" borderId="14" xfId="29" applyFont="1" applyFill="1" applyBorder="1"/>
    <xf numFmtId="0" fontId="14" fillId="0" borderId="0" xfId="29" applyFont="1" applyAlignment="1">
      <alignment horizontal="center"/>
    </xf>
    <xf numFmtId="166" fontId="14" fillId="0" borderId="0" xfId="29" applyNumberFormat="1" applyFont="1"/>
    <xf numFmtId="0" fontId="14" fillId="0" borderId="9" xfId="29" applyFont="1" applyBorder="1" applyAlignment="1">
      <alignment horizontal="center"/>
    </xf>
    <xf numFmtId="9" fontId="13" fillId="0" borderId="0" xfId="30" applyFont="1"/>
    <xf numFmtId="0" fontId="13" fillId="2" borderId="53" xfId="29" applyFont="1" applyFill="1" applyBorder="1" applyAlignment="1">
      <alignment horizontal="right"/>
    </xf>
    <xf numFmtId="0" fontId="13" fillId="2" borderId="55" xfId="29" applyFont="1" applyFill="1" applyBorder="1" applyAlignment="1">
      <alignment horizontal="right"/>
    </xf>
    <xf numFmtId="37" fontId="12" fillId="0" borderId="0" xfId="29" applyNumberFormat="1" applyFont="1"/>
    <xf numFmtId="0" fontId="13" fillId="0" borderId="8" xfId="29" applyFont="1" applyBorder="1" applyAlignment="1">
      <alignment horizontal="center"/>
    </xf>
    <xf numFmtId="0" fontId="13" fillId="0" borderId="9" xfId="29" applyFont="1" applyBorder="1" applyAlignment="1">
      <alignment horizontal="center"/>
    </xf>
    <xf numFmtId="166" fontId="13" fillId="0" borderId="8" xfId="29" applyNumberFormat="1" applyFont="1" applyBorder="1"/>
    <xf numFmtId="39" fontId="13" fillId="0" borderId="12" xfId="29" applyNumberFormat="1" applyFont="1" applyBorder="1" applyAlignment="1">
      <alignment horizontal="center"/>
    </xf>
    <xf numFmtId="166" fontId="13" fillId="0" borderId="16" xfId="29" applyNumberFormat="1" applyFont="1" applyBorder="1"/>
    <xf numFmtId="37" fontId="13" fillId="0" borderId="14" xfId="29" applyNumberFormat="1" applyFont="1" applyBorder="1"/>
    <xf numFmtId="37" fontId="13" fillId="0" borderId="7" xfId="29" applyNumberFormat="1" applyFont="1" applyBorder="1"/>
    <xf numFmtId="37" fontId="13" fillId="0" borderId="20" xfId="29" applyNumberFormat="1" applyFont="1" applyBorder="1"/>
    <xf numFmtId="10" fontId="13" fillId="0" borderId="0" xfId="29" applyNumberFormat="1" applyFont="1"/>
    <xf numFmtId="166" fontId="14" fillId="0" borderId="14" xfId="29" applyNumberFormat="1" applyFont="1" applyBorder="1"/>
    <xf numFmtId="166" fontId="14" fillId="0" borderId="16" xfId="29" applyNumberFormat="1" applyFont="1" applyBorder="1"/>
    <xf numFmtId="166" fontId="13" fillId="0" borderId="20" xfId="29" applyNumberFormat="1" applyFont="1" applyBorder="1"/>
    <xf numFmtId="167" fontId="14" fillId="0" borderId="0" xfId="29" applyNumberFormat="1" applyFont="1"/>
    <xf numFmtId="37" fontId="14" fillId="0" borderId="9" xfId="29" applyNumberFormat="1" applyFont="1" applyBorder="1"/>
    <xf numFmtId="37" fontId="14" fillId="0" borderId="8" xfId="29" applyNumberFormat="1" applyFont="1" applyBorder="1"/>
    <xf numFmtId="0" fontId="14" fillId="0" borderId="12" xfId="29" applyFont="1" applyBorder="1"/>
    <xf numFmtId="167" fontId="14" fillId="0" borderId="12" xfId="29" applyNumberFormat="1" applyFont="1" applyBorder="1"/>
    <xf numFmtId="37" fontId="14" fillId="0" borderId="14" xfId="29" applyNumberFormat="1" applyFont="1" applyBorder="1"/>
    <xf numFmtId="37" fontId="14" fillId="0" borderId="16" xfId="29" applyNumberFormat="1" applyFont="1" applyBorder="1"/>
    <xf numFmtId="37" fontId="13" fillId="0" borderId="55" xfId="29" applyNumberFormat="1" applyFont="1" applyBorder="1"/>
    <xf numFmtId="0" fontId="14" fillId="3" borderId="27" xfId="29" applyFont="1" applyFill="1" applyBorder="1"/>
    <xf numFmtId="37" fontId="14" fillId="3" borderId="25" xfId="29" applyNumberFormat="1" applyFont="1" applyFill="1" applyBorder="1"/>
    <xf numFmtId="37" fontId="14" fillId="3" borderId="26" xfId="29" applyNumberFormat="1" applyFont="1" applyFill="1" applyBorder="1"/>
    <xf numFmtId="37" fontId="14" fillId="3" borderId="27" xfId="29" applyNumberFormat="1" applyFont="1" applyFill="1" applyBorder="1"/>
    <xf numFmtId="166" fontId="14" fillId="3" borderId="27" xfId="29" applyNumberFormat="1" applyFont="1" applyFill="1" applyBorder="1"/>
    <xf numFmtId="0" fontId="14" fillId="3" borderId="14" xfId="29" applyFont="1" applyFill="1" applyBorder="1"/>
    <xf numFmtId="37" fontId="14" fillId="3" borderId="12" xfId="29" applyNumberFormat="1" applyFont="1" applyFill="1" applyBorder="1"/>
    <xf numFmtId="39" fontId="14" fillId="3" borderId="12" xfId="29" applyNumberFormat="1" applyFont="1" applyFill="1" applyBorder="1" applyAlignment="1">
      <alignment horizontal="center"/>
    </xf>
    <xf numFmtId="166" fontId="14" fillId="3" borderId="16" xfId="29" applyNumberFormat="1" applyFont="1" applyFill="1" applyBorder="1"/>
    <xf numFmtId="37" fontId="14" fillId="3" borderId="14" xfId="29" applyNumberFormat="1" applyFont="1" applyFill="1" applyBorder="1"/>
    <xf numFmtId="37" fontId="14" fillId="0" borderId="7" xfId="29" applyNumberFormat="1" applyFont="1" applyBorder="1"/>
    <xf numFmtId="167" fontId="14" fillId="0" borderId="7" xfId="29" applyNumberFormat="1" applyFont="1" applyBorder="1"/>
    <xf numFmtId="37" fontId="14" fillId="0" borderId="19" xfId="29" applyNumberFormat="1" applyFont="1" applyBorder="1"/>
    <xf numFmtId="37" fontId="14" fillId="0" borderId="20" xfId="29" applyNumberFormat="1" applyFont="1" applyBorder="1"/>
    <xf numFmtId="0" fontId="14" fillId="3" borderId="20" xfId="29" applyFont="1" applyFill="1" applyBorder="1"/>
    <xf numFmtId="37" fontId="14" fillId="3" borderId="7" xfId="29" applyNumberFormat="1" applyFont="1" applyFill="1" applyBorder="1"/>
    <xf numFmtId="167" fontId="14" fillId="3" borderId="7" xfId="29" applyNumberFormat="1" applyFont="1" applyFill="1" applyBorder="1"/>
    <xf numFmtId="37" fontId="14" fillId="3" borderId="19" xfId="29" applyNumberFormat="1" applyFont="1" applyFill="1" applyBorder="1"/>
    <xf numFmtId="37" fontId="14" fillId="3" borderId="20" xfId="29" applyNumberFormat="1" applyFont="1" applyFill="1" applyBorder="1"/>
    <xf numFmtId="166" fontId="14" fillId="2" borderId="27" xfId="29" applyNumberFormat="1" applyFont="1" applyFill="1" applyBorder="1"/>
    <xf numFmtId="166" fontId="13" fillId="0" borderId="0" xfId="30" applyNumberFormat="1" applyFont="1" applyFill="1"/>
    <xf numFmtId="37" fontId="13" fillId="0" borderId="0" xfId="29" applyNumberFormat="1" applyFont="1" applyAlignment="1">
      <alignment horizontal="center"/>
    </xf>
    <xf numFmtId="1" fontId="13" fillId="0" borderId="9" xfId="29" applyNumberFormat="1" applyFont="1" applyBorder="1"/>
    <xf numFmtId="0" fontId="13" fillId="0" borderId="12" xfId="29" applyFont="1" applyBorder="1" applyAlignment="1">
      <alignment horizontal="center"/>
    </xf>
    <xf numFmtId="1" fontId="13" fillId="0" borderId="20" xfId="29" applyNumberFormat="1" applyFont="1" applyBorder="1"/>
    <xf numFmtId="167" fontId="13" fillId="0" borderId="12" xfId="29" applyNumberFormat="1" applyFont="1" applyBorder="1"/>
    <xf numFmtId="2" fontId="13" fillId="0" borderId="12" xfId="29" applyNumberFormat="1" applyFont="1" applyBorder="1"/>
    <xf numFmtId="10" fontId="14" fillId="2" borderId="27" xfId="29" applyNumberFormat="1" applyFont="1" applyFill="1" applyBorder="1"/>
    <xf numFmtId="0" fontId="17" fillId="0" borderId="20" xfId="29" applyFont="1" applyBorder="1"/>
    <xf numFmtId="166" fontId="14" fillId="0" borderId="7" xfId="29" applyNumberFormat="1" applyFont="1" applyBorder="1"/>
    <xf numFmtId="166" fontId="14" fillId="0" borderId="20" xfId="29" applyNumberFormat="1" applyFont="1" applyBorder="1"/>
    <xf numFmtId="0" fontId="13" fillId="0" borderId="16" xfId="29" applyFont="1" applyBorder="1"/>
    <xf numFmtId="166" fontId="13" fillId="0" borderId="12" xfId="29" applyNumberFormat="1" applyFont="1" applyBorder="1"/>
    <xf numFmtId="166" fontId="14" fillId="2" borderId="25" xfId="29" applyNumberFormat="1" applyFont="1" applyFill="1" applyBorder="1"/>
    <xf numFmtId="166" fontId="14" fillId="2" borderId="49" xfId="29" applyNumberFormat="1" applyFont="1" applyFill="1" applyBorder="1"/>
    <xf numFmtId="37" fontId="14" fillId="2" borderId="50" xfId="29" applyNumberFormat="1" applyFont="1" applyFill="1" applyBorder="1"/>
    <xf numFmtId="37" fontId="14" fillId="2" borderId="53" xfId="29" applyNumberFormat="1" applyFont="1" applyFill="1" applyBorder="1"/>
    <xf numFmtId="167" fontId="14" fillId="2" borderId="53" xfId="29" applyNumberFormat="1" applyFont="1" applyFill="1" applyBorder="1"/>
    <xf numFmtId="37" fontId="14" fillId="2" borderId="55" xfId="29" applyNumberFormat="1" applyFont="1" applyFill="1" applyBorder="1"/>
    <xf numFmtId="166" fontId="14" fillId="2" borderId="54" xfId="30" applyNumberFormat="1" applyFont="1" applyFill="1" applyBorder="1"/>
    <xf numFmtId="0" fontId="13" fillId="2" borderId="32" xfId="29" applyFont="1" applyFill="1" applyBorder="1"/>
    <xf numFmtId="6" fontId="12" fillId="0" borderId="0" xfId="29" applyNumberFormat="1" applyFont="1"/>
    <xf numFmtId="6" fontId="13" fillId="0" borderId="0" xfId="29" applyNumberFormat="1" applyFont="1"/>
    <xf numFmtId="0" fontId="47" fillId="0" borderId="0" xfId="29" applyFont="1"/>
    <xf numFmtId="0" fontId="13" fillId="0" borderId="53" xfId="29" applyFont="1" applyBorder="1" applyAlignment="1">
      <alignment horizontal="center"/>
    </xf>
    <xf numFmtId="0" fontId="13" fillId="0" borderId="54" xfId="29" applyFont="1" applyBorder="1" applyAlignment="1">
      <alignment horizontal="center"/>
    </xf>
    <xf numFmtId="0" fontId="13" fillId="0" borderId="55" xfId="29" applyFont="1" applyBorder="1" applyAlignment="1">
      <alignment horizontal="center"/>
    </xf>
    <xf numFmtId="37" fontId="13" fillId="10" borderId="0" xfId="29" applyNumberFormat="1" applyFont="1" applyFill="1"/>
    <xf numFmtId="166" fontId="14" fillId="2" borderId="0" xfId="29" applyNumberFormat="1" applyFont="1" applyFill="1"/>
    <xf numFmtId="37" fontId="13" fillId="10" borderId="50" xfId="29" applyNumberFormat="1" applyFont="1" applyFill="1" applyBorder="1"/>
    <xf numFmtId="3" fontId="13" fillId="10" borderId="49" xfId="29" applyNumberFormat="1" applyFont="1" applyFill="1" applyBorder="1"/>
    <xf numFmtId="3" fontId="13" fillId="10" borderId="50" xfId="29" applyNumberFormat="1" applyFont="1" applyFill="1" applyBorder="1"/>
    <xf numFmtId="0" fontId="48" fillId="0" borderId="0" xfId="29" applyFont="1"/>
    <xf numFmtId="166" fontId="14" fillId="0" borderId="26" xfId="29" applyNumberFormat="1" applyFont="1" applyBorder="1"/>
    <xf numFmtId="0" fontId="14" fillId="2" borderId="103" xfId="29" applyFont="1" applyFill="1" applyBorder="1"/>
    <xf numFmtId="0" fontId="14" fillId="2" borderId="104" xfId="29" applyFont="1" applyFill="1" applyBorder="1"/>
    <xf numFmtId="37" fontId="14" fillId="2" borderId="135" xfId="29" applyNumberFormat="1" applyFont="1" applyFill="1" applyBorder="1"/>
    <xf numFmtId="0" fontId="13" fillId="2" borderId="103" xfId="29" applyFont="1" applyFill="1" applyBorder="1"/>
    <xf numFmtId="0" fontId="13" fillId="2" borderId="104" xfId="29" applyFont="1" applyFill="1" applyBorder="1"/>
    <xf numFmtId="3" fontId="14" fillId="0" borderId="0" xfId="29" applyNumberFormat="1" applyFont="1"/>
    <xf numFmtId="37" fontId="1" fillId="0" borderId="0" xfId="29" applyNumberFormat="1"/>
    <xf numFmtId="0" fontId="40" fillId="11" borderId="0" xfId="29" applyFont="1" applyFill="1"/>
    <xf numFmtId="0" fontId="42" fillId="12" borderId="0" xfId="29" applyFont="1" applyFill="1" applyAlignment="1">
      <alignment vertical="center"/>
    </xf>
    <xf numFmtId="0" fontId="10" fillId="0" borderId="0" xfId="29" applyFont="1" applyAlignment="1">
      <alignment horizontal="right" vertical="center"/>
    </xf>
    <xf numFmtId="0" fontId="19" fillId="0" borderId="0" xfId="29" applyFont="1" applyAlignment="1">
      <alignment horizontal="center" vertical="center"/>
    </xf>
    <xf numFmtId="0" fontId="13" fillId="0" borderId="129" xfId="29" applyFont="1" applyBorder="1" applyAlignment="1">
      <alignment horizontal="left"/>
    </xf>
    <xf numFmtId="0" fontId="14" fillId="0" borderId="101" xfId="29" applyFont="1" applyBorder="1" applyAlignment="1">
      <alignment horizontal="center" vertical="center"/>
    </xf>
    <xf numFmtId="0" fontId="14" fillId="0" borderId="101" xfId="29" applyFont="1" applyBorder="1" applyAlignment="1">
      <alignment horizontal="center" vertical="center"/>
    </xf>
    <xf numFmtId="0" fontId="15" fillId="0" borderId="101" xfId="29" applyFont="1" applyBorder="1"/>
    <xf numFmtId="0" fontId="15" fillId="0" borderId="130" xfId="29" applyFont="1" applyBorder="1"/>
    <xf numFmtId="0" fontId="14" fillId="0" borderId="131" xfId="29" applyFont="1" applyBorder="1" applyAlignment="1">
      <alignment horizontal="center" vertical="center"/>
    </xf>
    <xf numFmtId="0" fontId="15" fillId="0" borderId="102" xfId="29" applyFont="1" applyBorder="1"/>
    <xf numFmtId="0" fontId="13" fillId="0" borderId="67" xfId="29" applyFont="1" applyBorder="1" applyAlignment="1">
      <alignment horizontal="center"/>
    </xf>
    <xf numFmtId="0" fontId="13" fillId="0" borderId="68" xfId="29" applyFont="1" applyBorder="1" applyAlignment="1">
      <alignment horizontal="center"/>
    </xf>
    <xf numFmtId="0" fontId="13" fillId="0" borderId="69" xfId="29" applyFont="1" applyBorder="1" applyAlignment="1">
      <alignment horizontal="center"/>
    </xf>
    <xf numFmtId="0" fontId="17" fillId="0" borderId="12" xfId="29" applyFont="1" applyBorder="1"/>
    <xf numFmtId="37" fontId="17" fillId="0" borderId="67" xfId="29" applyNumberFormat="1" applyFont="1" applyBorder="1"/>
    <xf numFmtId="37" fontId="17" fillId="0" borderId="68" xfId="29" applyNumberFormat="1" applyFont="1" applyBorder="1"/>
    <xf numFmtId="37" fontId="17" fillId="0" borderId="12" xfId="29" applyNumberFormat="1" applyFont="1" applyBorder="1"/>
    <xf numFmtId="166" fontId="17" fillId="0" borderId="12" xfId="29" applyNumberFormat="1" applyFont="1" applyBorder="1"/>
    <xf numFmtId="37" fontId="17" fillId="0" borderId="69" xfId="29" applyNumberFormat="1" applyFont="1" applyBorder="1"/>
    <xf numFmtId="166" fontId="17" fillId="0" borderId="16" xfId="29" applyNumberFormat="1" applyFont="1" applyBorder="1"/>
    <xf numFmtId="0" fontId="19" fillId="2" borderId="14" xfId="29" applyFont="1" applyFill="1" applyBorder="1"/>
    <xf numFmtId="0" fontId="19" fillId="2" borderId="12" xfId="29" applyFont="1" applyFill="1" applyBorder="1"/>
    <xf numFmtId="9" fontId="19" fillId="2" borderId="68" xfId="30" applyFont="1" applyFill="1" applyBorder="1"/>
    <xf numFmtId="37" fontId="19" fillId="2" borderId="67" xfId="29" applyNumberFormat="1" applyFont="1" applyFill="1" applyBorder="1"/>
    <xf numFmtId="37" fontId="19" fillId="2" borderId="12" xfId="29" applyNumberFormat="1" applyFont="1" applyFill="1" applyBorder="1"/>
    <xf numFmtId="37" fontId="19" fillId="2" borderId="68" xfId="29" applyNumberFormat="1" applyFont="1" applyFill="1" applyBorder="1"/>
    <xf numFmtId="166" fontId="19" fillId="2" borderId="12" xfId="29" applyNumberFormat="1" applyFont="1" applyFill="1" applyBorder="1"/>
    <xf numFmtId="37" fontId="19" fillId="2" borderId="69" xfId="29" applyNumberFormat="1" applyFont="1" applyFill="1" applyBorder="1"/>
    <xf numFmtId="166" fontId="19" fillId="2" borderId="16" xfId="29" applyNumberFormat="1" applyFont="1" applyFill="1" applyBorder="1"/>
    <xf numFmtId="0" fontId="19" fillId="0" borderId="9" xfId="29" applyFont="1" applyBorder="1"/>
    <xf numFmtId="0" fontId="17" fillId="0" borderId="0" xfId="29" applyFont="1"/>
    <xf numFmtId="37" fontId="17" fillId="0" borderId="70" xfId="29" applyNumberFormat="1" applyFont="1" applyBorder="1"/>
    <xf numFmtId="37" fontId="17" fillId="0" borderId="71" xfId="29" applyNumberFormat="1" applyFont="1" applyBorder="1"/>
    <xf numFmtId="37" fontId="17" fillId="0" borderId="0" xfId="29" applyNumberFormat="1" applyFont="1"/>
    <xf numFmtId="166" fontId="17" fillId="0" borderId="0" xfId="29" applyNumberFormat="1" applyFont="1"/>
    <xf numFmtId="37" fontId="17" fillId="0" borderId="72" xfId="29" applyNumberFormat="1" applyFont="1" applyBorder="1"/>
    <xf numFmtId="166" fontId="17" fillId="0" borderId="19" xfId="29" applyNumberFormat="1" applyFont="1" applyBorder="1"/>
    <xf numFmtId="0" fontId="17" fillId="0" borderId="0" xfId="29" applyFont="1" applyAlignment="1">
      <alignment horizontal="right"/>
    </xf>
    <xf numFmtId="167" fontId="17" fillId="0" borderId="0" xfId="29" applyNumberFormat="1" applyFont="1"/>
    <xf numFmtId="0" fontId="17" fillId="0" borderId="71" xfId="29" applyFont="1" applyBorder="1"/>
    <xf numFmtId="166" fontId="17" fillId="0" borderId="71" xfId="30" applyNumberFormat="1" applyFont="1" applyBorder="1"/>
    <xf numFmtId="166" fontId="17" fillId="0" borderId="8" xfId="29" applyNumberFormat="1" applyFont="1" applyBorder="1"/>
    <xf numFmtId="0" fontId="17" fillId="0" borderId="12" xfId="29" applyFont="1" applyBorder="1" applyAlignment="1">
      <alignment horizontal="right"/>
    </xf>
    <xf numFmtId="167" fontId="17" fillId="0" borderId="12" xfId="29" applyNumberFormat="1" applyFont="1" applyBorder="1"/>
    <xf numFmtId="0" fontId="17" fillId="0" borderId="68" xfId="29" applyFont="1" applyBorder="1"/>
    <xf numFmtId="166" fontId="17" fillId="0" borderId="67" xfId="29" applyNumberFormat="1" applyFont="1" applyBorder="1"/>
    <xf numFmtId="166" fontId="17" fillId="0" borderId="68" xfId="30" applyNumberFormat="1" applyFont="1" applyBorder="1"/>
    <xf numFmtId="0" fontId="19" fillId="2" borderId="37" xfId="29" applyFont="1" applyFill="1" applyBorder="1"/>
    <xf numFmtId="0" fontId="19" fillId="2" borderId="35" xfId="29" applyFont="1" applyFill="1" applyBorder="1"/>
    <xf numFmtId="166" fontId="19" fillId="2" borderId="35" xfId="29" applyNumberFormat="1" applyFont="1" applyFill="1" applyBorder="1"/>
    <xf numFmtId="37" fontId="19" fillId="2" borderId="74" xfId="29" applyNumberFormat="1" applyFont="1" applyFill="1" applyBorder="1"/>
    <xf numFmtId="166" fontId="19" fillId="2" borderId="38" xfId="29" applyNumberFormat="1" applyFont="1" applyFill="1" applyBorder="1"/>
    <xf numFmtId="0" fontId="19" fillId="2" borderId="38" xfId="29" applyFont="1" applyFill="1" applyBorder="1"/>
    <xf numFmtId="37" fontId="19" fillId="2" borderId="35" xfId="29" applyNumberFormat="1" applyFont="1" applyFill="1" applyBorder="1"/>
    <xf numFmtId="0" fontId="19" fillId="2" borderId="75" xfId="29" applyFont="1" applyFill="1" applyBorder="1"/>
    <xf numFmtId="166" fontId="17" fillId="0" borderId="12" xfId="30" applyNumberFormat="1" applyFont="1" applyBorder="1"/>
    <xf numFmtId="166" fontId="17" fillId="0" borderId="0" xfId="30" applyNumberFormat="1" applyFont="1"/>
    <xf numFmtId="166" fontId="17" fillId="0" borderId="70" xfId="29" applyNumberFormat="1" applyFont="1" applyBorder="1"/>
    <xf numFmtId="167" fontId="19" fillId="2" borderId="35" xfId="29" applyNumberFormat="1" applyFont="1" applyFill="1" applyBorder="1"/>
    <xf numFmtId="37" fontId="19" fillId="2" borderId="75" xfId="29" applyNumberFormat="1" applyFont="1" applyFill="1" applyBorder="1"/>
    <xf numFmtId="0" fontId="17" fillId="0" borderId="7" xfId="29" applyFont="1" applyBorder="1" applyAlignment="1">
      <alignment horizontal="right"/>
    </xf>
    <xf numFmtId="0" fontId="17" fillId="0" borderId="7" xfId="29" applyFont="1" applyBorder="1"/>
    <xf numFmtId="37" fontId="17" fillId="0" borderId="76" xfId="29" applyNumberFormat="1" applyFont="1" applyBorder="1"/>
    <xf numFmtId="0" fontId="17" fillId="0" borderId="77" xfId="29" applyFont="1" applyBorder="1"/>
    <xf numFmtId="167" fontId="17" fillId="0" borderId="7" xfId="29" applyNumberFormat="1" applyFont="1" applyBorder="1"/>
    <xf numFmtId="37" fontId="17" fillId="0" borderId="7" xfId="29" applyNumberFormat="1" applyFont="1" applyBorder="1"/>
    <xf numFmtId="166" fontId="17" fillId="0" borderId="7" xfId="29" applyNumberFormat="1" applyFont="1" applyBorder="1"/>
    <xf numFmtId="37" fontId="17" fillId="0" borderId="78" xfId="29" applyNumberFormat="1" applyFont="1" applyBorder="1"/>
    <xf numFmtId="9" fontId="16" fillId="0" borderId="0" xfId="29" applyNumberFormat="1" applyFont="1"/>
    <xf numFmtId="37" fontId="34" fillId="0" borderId="0" xfId="29" applyNumberFormat="1" applyFont="1"/>
    <xf numFmtId="37" fontId="17" fillId="0" borderId="77" xfId="29" applyNumberFormat="1" applyFont="1" applyBorder="1"/>
    <xf numFmtId="0" fontId="17" fillId="2" borderId="35" xfId="29" applyFont="1" applyFill="1" applyBorder="1"/>
    <xf numFmtId="37" fontId="19" fillId="2" borderId="38" xfId="29" applyNumberFormat="1" applyFont="1" applyFill="1" applyBorder="1"/>
    <xf numFmtId="3" fontId="19" fillId="2" borderId="35" xfId="29" applyNumberFormat="1" applyFont="1" applyFill="1" applyBorder="1" applyAlignment="1">
      <alignment horizontal="center"/>
    </xf>
    <xf numFmtId="166" fontId="19" fillId="2" borderId="36" xfId="29" applyNumberFormat="1" applyFont="1" applyFill="1" applyBorder="1"/>
    <xf numFmtId="166" fontId="19" fillId="0" borderId="0" xfId="29" applyNumberFormat="1" applyFont="1"/>
    <xf numFmtId="0" fontId="19" fillId="0" borderId="0" xfId="29" applyFont="1"/>
    <xf numFmtId="168" fontId="17" fillId="0" borderId="70" xfId="29" applyNumberFormat="1" applyFont="1" applyBorder="1"/>
    <xf numFmtId="0" fontId="12" fillId="3" borderId="0" xfId="29" applyFont="1" applyFill="1"/>
    <xf numFmtId="166" fontId="17" fillId="0" borderId="76" xfId="29" applyNumberFormat="1" applyFont="1" applyBorder="1"/>
    <xf numFmtId="0" fontId="17" fillId="0" borderId="70" xfId="29" applyFont="1" applyBorder="1"/>
    <xf numFmtId="0" fontId="17" fillId="0" borderId="72" xfId="29" applyFont="1" applyBorder="1"/>
    <xf numFmtId="166" fontId="17" fillId="0" borderId="36" xfId="29" applyNumberFormat="1" applyFont="1" applyBorder="1"/>
    <xf numFmtId="166" fontId="19" fillId="0" borderId="7" xfId="29" applyNumberFormat="1" applyFont="1" applyBorder="1"/>
    <xf numFmtId="0" fontId="19" fillId="0" borderId="7" xfId="29" applyFont="1" applyBorder="1"/>
    <xf numFmtId="166" fontId="19" fillId="0" borderId="77" xfId="29" applyNumberFormat="1" applyFont="1" applyBorder="1"/>
    <xf numFmtId="37" fontId="19" fillId="0" borderId="77" xfId="29" applyNumberFormat="1" applyFont="1" applyBorder="1"/>
    <xf numFmtId="37" fontId="17" fillId="0" borderId="84" xfId="29" applyNumberFormat="1" applyFont="1" applyBorder="1"/>
    <xf numFmtId="37" fontId="19" fillId="0" borderId="7" xfId="29" applyNumberFormat="1" applyFont="1" applyBorder="1"/>
    <xf numFmtId="37" fontId="19" fillId="0" borderId="0" xfId="29" applyNumberFormat="1" applyFont="1"/>
    <xf numFmtId="1" fontId="19" fillId="0" borderId="0" xfId="29" applyNumberFormat="1" applyFont="1"/>
    <xf numFmtId="37" fontId="19" fillId="0" borderId="71" xfId="29" applyNumberFormat="1" applyFont="1" applyBorder="1"/>
    <xf numFmtId="166" fontId="19" fillId="0" borderId="71" xfId="29" applyNumberFormat="1" applyFont="1" applyBorder="1"/>
    <xf numFmtId="37" fontId="17" fillId="0" borderId="85" xfId="29" applyNumberFormat="1" applyFont="1" applyBorder="1"/>
    <xf numFmtId="43" fontId="19" fillId="0" borderId="71" xfId="29" applyNumberFormat="1" applyFont="1" applyBorder="1"/>
    <xf numFmtId="166" fontId="17" fillId="2" borderId="38" xfId="29" applyNumberFormat="1" applyFont="1" applyFill="1" applyBorder="1"/>
    <xf numFmtId="166" fontId="17" fillId="2" borderId="35" xfId="29" applyNumberFormat="1" applyFont="1" applyFill="1" applyBorder="1"/>
    <xf numFmtId="37" fontId="17" fillId="2" borderId="75" xfId="29" applyNumberFormat="1" applyFont="1" applyFill="1" applyBorder="1"/>
    <xf numFmtId="0" fontId="19" fillId="3" borderId="20" xfId="29" applyFont="1" applyFill="1" applyBorder="1"/>
    <xf numFmtId="0" fontId="19" fillId="3" borderId="7" xfId="29" applyFont="1" applyFill="1" applyBorder="1"/>
    <xf numFmtId="37" fontId="19" fillId="3" borderId="7" xfId="29" applyNumberFormat="1" applyFont="1" applyFill="1" applyBorder="1"/>
    <xf numFmtId="37" fontId="17" fillId="3" borderId="76" xfId="29" applyNumberFormat="1" applyFont="1" applyFill="1" applyBorder="1"/>
    <xf numFmtId="0" fontId="17" fillId="3" borderId="7" xfId="29" applyFont="1" applyFill="1" applyBorder="1"/>
    <xf numFmtId="37" fontId="17" fillId="3" borderId="7" xfId="29" applyNumberFormat="1" applyFont="1" applyFill="1" applyBorder="1"/>
    <xf numFmtId="37" fontId="17" fillId="3" borderId="77" xfId="29" applyNumberFormat="1" applyFont="1" applyFill="1" applyBorder="1"/>
    <xf numFmtId="37" fontId="17" fillId="3" borderId="0" xfId="29" applyNumberFormat="1" applyFont="1" applyFill="1"/>
    <xf numFmtId="166" fontId="17" fillId="3" borderId="0" xfId="29" applyNumberFormat="1" applyFont="1" applyFill="1"/>
    <xf numFmtId="166" fontId="17" fillId="3" borderId="77" xfId="29" applyNumberFormat="1" applyFont="1" applyFill="1" applyBorder="1"/>
    <xf numFmtId="166" fontId="17" fillId="3" borderId="7" xfId="29" applyNumberFormat="1" applyFont="1" applyFill="1" applyBorder="1"/>
    <xf numFmtId="37" fontId="17" fillId="3" borderId="78" xfId="29" applyNumberFormat="1" applyFont="1" applyFill="1" applyBorder="1"/>
    <xf numFmtId="166" fontId="17" fillId="0" borderId="54" xfId="29" applyNumberFormat="1" applyFont="1" applyBorder="1"/>
    <xf numFmtId="0" fontId="19" fillId="2" borderId="103" xfId="29" applyFont="1" applyFill="1" applyBorder="1"/>
    <xf numFmtId="0" fontId="19" fillId="2" borderId="104" xfId="29" applyFont="1" applyFill="1" applyBorder="1"/>
    <xf numFmtId="0" fontId="19" fillId="2" borderId="104" xfId="29" applyFont="1" applyFill="1" applyBorder="1" applyAlignment="1">
      <alignment horizontal="center"/>
    </xf>
    <xf numFmtId="166" fontId="19" fillId="2" borderId="104" xfId="29" applyNumberFormat="1" applyFont="1" applyFill="1" applyBorder="1"/>
    <xf numFmtId="37" fontId="19" fillId="2" borderId="105" xfId="29" applyNumberFormat="1" applyFont="1" applyFill="1" applyBorder="1"/>
    <xf numFmtId="37" fontId="19" fillId="2" borderId="104" xfId="29" applyNumberFormat="1" applyFont="1" applyFill="1" applyBorder="1"/>
    <xf numFmtId="37" fontId="19" fillId="2" borderId="132" xfId="29" applyNumberFormat="1" applyFont="1" applyFill="1" applyBorder="1"/>
    <xf numFmtId="166" fontId="19" fillId="2" borderId="106" xfId="29" applyNumberFormat="1" applyFont="1" applyFill="1" applyBorder="1"/>
    <xf numFmtId="0" fontId="19" fillId="2" borderId="132" xfId="29" applyFont="1" applyFill="1" applyBorder="1" applyAlignment="1">
      <alignment horizontal="center"/>
    </xf>
    <xf numFmtId="37" fontId="19" fillId="2" borderId="133" xfId="29" applyNumberFormat="1" applyFont="1" applyFill="1" applyBorder="1"/>
    <xf numFmtId="166" fontId="19" fillId="2" borderId="31" xfId="29" applyNumberFormat="1" applyFont="1" applyFill="1" applyBorder="1"/>
    <xf numFmtId="39" fontId="17" fillId="0" borderId="0" xfId="29" applyNumberFormat="1" applyFont="1"/>
    <xf numFmtId="0" fontId="41" fillId="0" borderId="0" xfId="29" applyFont="1"/>
    <xf numFmtId="0" fontId="41" fillId="0" borderId="0" xfId="29" applyFont="1" applyAlignment="1">
      <alignment horizontal="center"/>
    </xf>
    <xf numFmtId="0" fontId="41" fillId="0" borderId="0" xfId="29" applyFont="1" applyAlignment="1">
      <alignment horizontal="right" vertical="center"/>
    </xf>
    <xf numFmtId="0" fontId="41" fillId="0" borderId="0" xfId="29" applyFont="1" applyAlignment="1">
      <alignment horizontal="center" vertical="center"/>
    </xf>
    <xf numFmtId="0" fontId="41" fillId="0" borderId="0" xfId="29" applyFont="1" applyAlignment="1">
      <alignment horizontal="right"/>
    </xf>
    <xf numFmtId="166" fontId="19" fillId="2" borderId="135" xfId="29" applyNumberFormat="1" applyFont="1" applyFill="1" applyBorder="1"/>
    <xf numFmtId="37" fontId="19" fillId="2" borderId="134" xfId="29" applyNumberFormat="1" applyFont="1" applyFill="1" applyBorder="1"/>
    <xf numFmtId="37" fontId="19" fillId="2" borderId="107" xfId="29" applyNumberFormat="1" applyFont="1" applyFill="1" applyBorder="1"/>
    <xf numFmtId="37" fontId="19" fillId="2" borderId="101" xfId="29" applyNumberFormat="1" applyFont="1" applyFill="1" applyBorder="1"/>
    <xf numFmtId="166" fontId="19" fillId="2" borderId="102" xfId="29" applyNumberFormat="1" applyFont="1" applyFill="1" applyBorder="1"/>
    <xf numFmtId="0" fontId="12" fillId="0" borderId="9" xfId="29" applyFont="1" applyBorder="1"/>
    <xf numFmtId="37" fontId="12" fillId="0" borderId="70" xfId="29" applyNumberFormat="1" applyFont="1" applyBorder="1"/>
    <xf numFmtId="0" fontId="12" fillId="0" borderId="70" xfId="29" applyFont="1" applyBorder="1"/>
    <xf numFmtId="0" fontId="12" fillId="0" borderId="85" xfId="29" applyFont="1" applyBorder="1"/>
    <xf numFmtId="0" fontId="12" fillId="0" borderId="72" xfId="29" applyFont="1" applyBorder="1"/>
    <xf numFmtId="0" fontId="12" fillId="0" borderId="8" xfId="29" applyFont="1" applyBorder="1"/>
    <xf numFmtId="39" fontId="17" fillId="0" borderId="70" xfId="29" applyNumberFormat="1" applyFont="1" applyBorder="1"/>
    <xf numFmtId="43" fontId="12" fillId="0" borderId="0" xfId="29" applyNumberFormat="1" applyFont="1"/>
    <xf numFmtId="172" fontId="12" fillId="0" borderId="0" xfId="29" applyNumberFormat="1" applyFont="1" applyAlignment="1">
      <alignment horizontal="right"/>
    </xf>
    <xf numFmtId="10" fontId="1" fillId="0" borderId="0" xfId="29" applyNumberFormat="1"/>
    <xf numFmtId="43" fontId="12" fillId="0" borderId="0" xfId="31" applyFont="1"/>
    <xf numFmtId="17" fontId="12" fillId="0" borderId="0" xfId="29" applyNumberFormat="1" applyFont="1" applyAlignment="1">
      <alignment horizontal="right"/>
    </xf>
    <xf numFmtId="164" fontId="12" fillId="0" borderId="0" xfId="29" applyNumberFormat="1" applyFont="1"/>
  </cellXfs>
  <cellStyles count="32">
    <cellStyle name="Comma 2" xfId="19" xr:uid="{2FDBCE47-4B20-4737-86AE-34257C6F40FA}"/>
    <cellStyle name="Milliers" xfId="1" builtinId="3"/>
    <cellStyle name="Milliers 2" xfId="7" xr:uid="{00000000-0005-0000-0000-000001000000}"/>
    <cellStyle name="Milliers 3" xfId="13" xr:uid="{2971D271-07C3-42EA-AF54-CA19A237EB8E}"/>
    <cellStyle name="Milliers 4" xfId="21" xr:uid="{5B2C26D2-7768-4385-B7FD-FFDD39A163D2}"/>
    <cellStyle name="Milliers 5" xfId="23" xr:uid="{C831CD9E-13B9-4152-A22D-37DBC65D228E}"/>
    <cellStyle name="Milliers 6" xfId="25" xr:uid="{9EE1D211-3C30-4AEF-8139-508DB395B2E3}"/>
    <cellStyle name="Milliers 7" xfId="28" xr:uid="{95982B31-364D-421B-87E6-81DCD3F9DD49}"/>
    <cellStyle name="Milliers 8" xfId="31" xr:uid="{DE66E1A0-267C-441F-BCCE-8E6350BD68C1}"/>
    <cellStyle name="Monétaire 2" xfId="4" xr:uid="{00000000-0005-0000-0000-000002000000}"/>
    <cellStyle name="Monétaire 3" xfId="9" xr:uid="{00000000-0005-0000-0000-000003000000}"/>
    <cellStyle name="Normal" xfId="0" builtinId="0"/>
    <cellStyle name="Normal 10" xfId="26" xr:uid="{EF443499-8900-46B7-A64E-D464221A6AB2}"/>
    <cellStyle name="Normal 11" xfId="29" xr:uid="{F2B05DB1-FF2F-4DB4-9C8B-1FBEF15396D8}"/>
    <cellStyle name="Normal 12" xfId="16" xr:uid="{38AAD80B-D2B1-4EDC-AF3A-6BEE5BDF1226}"/>
    <cellStyle name="Normal 2" xfId="3" xr:uid="{00000000-0005-0000-0000-000005000000}"/>
    <cellStyle name="Normal 3" xfId="5" xr:uid="{00000000-0005-0000-0000-000006000000}"/>
    <cellStyle name="Normal 4" xfId="6" xr:uid="{00000000-0005-0000-0000-000007000000}"/>
    <cellStyle name="Normal 5" xfId="11" xr:uid="{51C4BCB6-FF3C-47B5-9E50-8775982480A2}"/>
    <cellStyle name="Normal 6" xfId="12" xr:uid="{C658EC4B-DAA5-46C8-9908-7D394852AE7F}"/>
    <cellStyle name="Normal 7" xfId="10" xr:uid="{22EAD058-5ED6-4E84-8564-A06058AFEAAD}"/>
    <cellStyle name="Normal 8" xfId="14" xr:uid="{E59814D8-4C8E-4B6D-8DEB-9295B6A31C96}"/>
    <cellStyle name="Normal 9" xfId="17" xr:uid="{72471CAB-9B8A-47AC-B215-647C63FBCBF8}"/>
    <cellStyle name="Percent 2" xfId="18" xr:uid="{41CC2E25-7C72-4E1E-B6BE-7A8AD4AFD977}"/>
    <cellStyle name="Pourcentage" xfId="2" builtinId="5"/>
    <cellStyle name="Pourcentage 2" xfId="8" xr:uid="{00000000-0005-0000-0000-000009000000}"/>
    <cellStyle name="Pourcentage 3" xfId="15" xr:uid="{B09CCB1C-0232-46FA-AAFA-AA26EA7AA4F5}"/>
    <cellStyle name="Pourcentage 4" xfId="20" xr:uid="{B440DACC-A14B-474F-8FDE-17DE450841D6}"/>
    <cellStyle name="Pourcentage 5" xfId="22" xr:uid="{BCEB7096-13DC-4AD2-B0FD-6F21CA50CCD5}"/>
    <cellStyle name="Pourcentage 6" xfId="24" xr:uid="{26A909FF-9538-46F1-BBF5-E6DC65F9CB4F}"/>
    <cellStyle name="Pourcentage 7" xfId="27" xr:uid="{37B6B9A0-89F6-4488-B077-1BC20C057946}"/>
    <cellStyle name="Pourcentage 8" xfId="30" xr:uid="{B0387917-5E02-4101-9023-5398CE65A554}"/>
  </cellStyles>
  <dxfs count="286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Volkswagen%20PA%20-%20Contr&#244;leurs\1-%20Dossier%20de%20fin%20de%20mois\a)%20BV%20;%20&#201;F%20r&#233;alis&#233;\2025\2025-09_R&#233;alis&#233;_VW.xlsx" TargetMode="External"/><Relationship Id="rId1" Type="http://schemas.openxmlformats.org/officeDocument/2006/relationships/externalLinkPath" Target="2025-09_R&#233;alis&#233;_V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res"/>
      <sheetName val="Bilan"/>
      <sheetName val="Budget original"/>
      <sheetName val="Réel 2024"/>
      <sheetName val="Capex"/>
      <sheetName val="Inventaire_Used"/>
      <sheetName val="Inventaire_Neuf"/>
      <sheetName val="Print_Mois"/>
      <sheetName val="2pager"/>
      <sheetName val="Chart1"/>
      <sheetName val="Démo"/>
      <sheetName val="Wholesale"/>
      <sheetName val="Vol &amp; Taux MOIS"/>
      <sheetName val="Print_AAD"/>
      <sheetName val="Mix Produits Volks Mois"/>
      <sheetName val="Vol &amp; Taux AAJ"/>
      <sheetName val="Mix Produits Volks AAJ"/>
      <sheetName val="BV_Data_An_Cour"/>
      <sheetName val="Data_Validation"/>
      <sheetName val="BV_Data_An_Prec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20" sqref="C20"/>
    </sheetView>
  </sheetViews>
  <sheetFormatPr baseColWidth="10" defaultColWidth="11.25" defaultRowHeight="14.25"/>
  <cols>
    <col min="1" max="1" width="14.875" customWidth="1"/>
    <col min="2" max="2" width="15.5" bestFit="1" customWidth="1"/>
    <col min="3" max="3" width="12.125" customWidth="1"/>
    <col min="4" max="5" width="11.125" customWidth="1"/>
    <col min="6" max="6" width="11.5" hidden="1" customWidth="1"/>
    <col min="7" max="7" width="12.625" hidden="1" customWidth="1"/>
    <col min="8" max="9" width="11" hidden="1" customWidth="1"/>
    <col min="10" max="10" width="11.5" bestFit="1" customWidth="1"/>
    <col min="11" max="11" width="11.75" customWidth="1"/>
    <col min="12" max="12" width="11" customWidth="1"/>
    <col min="14" max="14" width="11.5" bestFit="1" customWidth="1"/>
  </cols>
  <sheetData>
    <row r="3" spans="1:17" ht="15">
      <c r="B3" t="s">
        <v>213</v>
      </c>
      <c r="P3" s="150"/>
      <c r="Q3" s="151"/>
    </row>
    <row r="5" spans="1:17" s="130" customFormat="1" ht="16.5" customHeight="1"/>
    <row r="6" spans="1:17" s="130" customFormat="1" ht="16.5" customHeight="1">
      <c r="B6" s="857" t="s">
        <v>205</v>
      </c>
      <c r="C6" s="857"/>
      <c r="D6" s="857"/>
      <c r="E6" s="857"/>
      <c r="F6" s="858" t="s">
        <v>206</v>
      </c>
      <c r="G6" s="858"/>
      <c r="H6" s="858"/>
      <c r="I6" s="858"/>
      <c r="J6" s="859" t="s">
        <v>207</v>
      </c>
      <c r="K6" s="859"/>
      <c r="L6" s="859"/>
      <c r="M6" s="859"/>
      <c r="N6" s="860" t="s">
        <v>208</v>
      </c>
      <c r="O6" s="860"/>
      <c r="P6" s="860"/>
      <c r="Q6" s="860"/>
    </row>
    <row r="7" spans="1:17" s="130" customFormat="1" ht="16.5" customHeight="1">
      <c r="A7"/>
      <c r="B7" s="137" t="s">
        <v>198</v>
      </c>
      <c r="C7" s="137" t="s">
        <v>199</v>
      </c>
      <c r="D7" s="137" t="s">
        <v>200</v>
      </c>
      <c r="E7" s="137" t="s">
        <v>201</v>
      </c>
      <c r="F7" s="138" t="s">
        <v>198</v>
      </c>
      <c r="G7" s="138" t="s">
        <v>199</v>
      </c>
      <c r="H7" s="138" t="s">
        <v>200</v>
      </c>
      <c r="I7" s="138" t="s">
        <v>201</v>
      </c>
      <c r="J7" s="149" t="s">
        <v>198</v>
      </c>
      <c r="K7" s="149" t="s">
        <v>199</v>
      </c>
      <c r="L7" s="149" t="s">
        <v>200</v>
      </c>
      <c r="M7" s="149" t="s">
        <v>201</v>
      </c>
      <c r="N7" s="139" t="s">
        <v>198</v>
      </c>
      <c r="O7" s="139" t="s">
        <v>199</v>
      </c>
      <c r="P7" s="139" t="s">
        <v>200</v>
      </c>
      <c r="Q7" s="139" t="s">
        <v>201</v>
      </c>
    </row>
    <row r="8" spans="1:17" s="130" customFormat="1" ht="16.5" customHeight="1">
      <c r="A8" s="129" t="s">
        <v>204</v>
      </c>
      <c r="B8" s="140" t="e">
        <f>+B9-B10</f>
        <v>#REF!</v>
      </c>
      <c r="C8" s="140" t="e">
        <f t="shared" ref="C8:F8" si="0">+C9-C10</f>
        <v>#REF!</v>
      </c>
      <c r="D8" s="140" t="e">
        <f t="shared" si="0"/>
        <v>#REF!</v>
      </c>
      <c r="E8" s="140" t="e">
        <f t="shared" si="0"/>
        <v>#REF!</v>
      </c>
      <c r="F8" s="140" t="e">
        <f t="shared" si="0"/>
        <v>#REF!</v>
      </c>
      <c r="G8" s="140" t="e">
        <f t="shared" ref="G8" si="1">+G9-G10</f>
        <v>#REF!</v>
      </c>
      <c r="H8" s="140" t="e">
        <f t="shared" ref="H8" si="2">+H9-H10</f>
        <v>#REF!</v>
      </c>
      <c r="I8" s="140" t="e">
        <f t="shared" ref="I8:J8" si="3">+I9-I10</f>
        <v>#REF!</v>
      </c>
      <c r="J8" s="145" t="e">
        <f t="shared" si="3"/>
        <v>#REF!</v>
      </c>
      <c r="K8" s="145" t="e">
        <f t="shared" ref="K8" si="4">+K9-K10</f>
        <v>#REF!</v>
      </c>
      <c r="L8" s="145" t="e">
        <f t="shared" ref="L8" si="5">+L9-L10</f>
        <v>#REF!</v>
      </c>
      <c r="M8" s="145" t="e">
        <f t="shared" ref="M8:N8" si="6">+M9-M10</f>
        <v>#REF!</v>
      </c>
      <c r="N8" s="140" t="e">
        <f t="shared" si="6"/>
        <v>#REF!</v>
      </c>
      <c r="O8" s="140" t="e">
        <f t="shared" ref="O8" si="7">+O9-O10</f>
        <v>#REF!</v>
      </c>
      <c r="P8" s="140" t="e">
        <f>+P9-P10</f>
        <v>#REF!</v>
      </c>
      <c r="Q8" s="140" t="e">
        <f t="shared" ref="Q8" si="8">+Q9-Q10</f>
        <v>#REF!</v>
      </c>
    </row>
    <row r="9" spans="1:17" s="130" customFormat="1" ht="16.5" customHeight="1">
      <c r="A9" s="131" t="s">
        <v>202</v>
      </c>
      <c r="B9" s="133">
        <f>+Conso!$Z$405</f>
        <v>18674893.382891331</v>
      </c>
      <c r="C9" s="133">
        <f>+Conso!$Z$406</f>
        <v>2124468.240850281</v>
      </c>
      <c r="D9" s="133">
        <f>+Conso!$Z$482</f>
        <v>529849.50807121757</v>
      </c>
      <c r="E9" s="133">
        <f>+Conso!$Z$497</f>
        <v>402143.00807121757</v>
      </c>
      <c r="F9" s="133">
        <f>+Conso!$AC$405</f>
        <v>0</v>
      </c>
      <c r="G9" s="133">
        <f>+Conso!$AC$406</f>
        <v>0</v>
      </c>
      <c r="H9" s="133">
        <f>+Conso!$AC$482</f>
        <v>0</v>
      </c>
      <c r="I9" s="133">
        <f>+Conso!$AC$497</f>
        <v>0</v>
      </c>
      <c r="J9" s="133">
        <f>+Conso!$AF$405</f>
        <v>18192349.449999999</v>
      </c>
      <c r="K9" s="133">
        <f>+Conso!$AF$406</f>
        <v>2265034.1900000004</v>
      </c>
      <c r="L9" s="133">
        <f>+Conso!$AF$482</f>
        <v>875124.12000000069</v>
      </c>
      <c r="M9" s="133">
        <f>+Conso!$AF$497</f>
        <v>749338.12000000069</v>
      </c>
      <c r="N9" s="133">
        <f>+Conso!$AL$405</f>
        <v>17443639.959999967</v>
      </c>
      <c r="O9" s="133">
        <f>+Conso!$AL$406</f>
        <v>1880122.8099999963</v>
      </c>
      <c r="P9" s="133">
        <f>+Conso!$AL$482</f>
        <v>419717.68999999668</v>
      </c>
      <c r="Q9" s="133">
        <f>+Conso!$AL$497</f>
        <v>322893.67999999668</v>
      </c>
    </row>
    <row r="10" spans="1:17" s="130" customFormat="1" ht="16.5" customHeight="1">
      <c r="A10" s="132" t="s">
        <v>203</v>
      </c>
      <c r="B10" s="144" t="e">
        <f>+SUM(B11:B13)</f>
        <v>#REF!</v>
      </c>
      <c r="C10" s="144" t="e">
        <f t="shared" ref="C10:Q10" si="9">+SUM(C11:C13)</f>
        <v>#REF!</v>
      </c>
      <c r="D10" s="144" t="e">
        <f t="shared" si="9"/>
        <v>#REF!</v>
      </c>
      <c r="E10" s="144" t="e">
        <f t="shared" si="9"/>
        <v>#REF!</v>
      </c>
      <c r="F10" s="144" t="e">
        <f t="shared" si="9"/>
        <v>#REF!</v>
      </c>
      <c r="G10" s="144" t="e">
        <f t="shared" si="9"/>
        <v>#REF!</v>
      </c>
      <c r="H10" s="144" t="e">
        <f t="shared" si="9"/>
        <v>#REF!</v>
      </c>
      <c r="I10" s="144" t="e">
        <f t="shared" si="9"/>
        <v>#REF!</v>
      </c>
      <c r="J10" s="144" t="e">
        <f t="shared" si="9"/>
        <v>#REF!</v>
      </c>
      <c r="K10" s="144" t="e">
        <f t="shared" si="9"/>
        <v>#REF!</v>
      </c>
      <c r="L10" s="144" t="e">
        <f t="shared" si="9"/>
        <v>#REF!</v>
      </c>
      <c r="M10" s="144" t="e">
        <f t="shared" si="9"/>
        <v>#REF!</v>
      </c>
      <c r="N10" s="144" t="e">
        <f t="shared" si="9"/>
        <v>#REF!</v>
      </c>
      <c r="O10" s="144" t="e">
        <f t="shared" si="9"/>
        <v>#REF!</v>
      </c>
      <c r="P10" s="144" t="e">
        <f t="shared" si="9"/>
        <v>#REF!</v>
      </c>
      <c r="Q10" s="144" t="e">
        <f t="shared" si="9"/>
        <v>#REF!</v>
      </c>
    </row>
    <row r="11" spans="1:17" s="130" customFormat="1" ht="16.5" customHeight="1">
      <c r="A11" s="141" t="s">
        <v>210</v>
      </c>
      <c r="B11" s="134" t="e">
        <f>+#REF!</f>
        <v>#REF!</v>
      </c>
      <c r="C11" s="134" t="e">
        <f>+#REF!</f>
        <v>#REF!</v>
      </c>
      <c r="D11" s="134" t="e">
        <f>+#REF!</f>
        <v>#REF!</v>
      </c>
      <c r="E11" s="134" t="e">
        <f>+#REF!</f>
        <v>#REF!</v>
      </c>
      <c r="F11" s="134" t="e">
        <f>+#REF!</f>
        <v>#REF!</v>
      </c>
      <c r="G11" s="134" t="e">
        <f>+#REF!</f>
        <v>#REF!</v>
      </c>
      <c r="H11" s="134" t="e">
        <f>+#REF!</f>
        <v>#REF!</v>
      </c>
      <c r="I11" s="134" t="e">
        <f>+#REF!</f>
        <v>#REF!</v>
      </c>
      <c r="J11" s="146" t="e">
        <f>+#REF!</f>
        <v>#REF!</v>
      </c>
      <c r="K11" s="146" t="e">
        <f>+#REF!</f>
        <v>#REF!</v>
      </c>
      <c r="L11" s="146" t="e">
        <f>+#REF!</f>
        <v>#REF!</v>
      </c>
      <c r="M11" s="146" t="e">
        <f>+#REF!</f>
        <v>#REF!</v>
      </c>
      <c r="N11" s="134" t="e">
        <f>+#REF!</f>
        <v>#REF!</v>
      </c>
      <c r="O11" s="134" t="e">
        <f>+#REF!</f>
        <v>#REF!</v>
      </c>
      <c r="P11" s="134" t="e">
        <f>+#REF!</f>
        <v>#REF!</v>
      </c>
      <c r="Q11" s="134" t="e">
        <f>+#REF!</f>
        <v>#REF!</v>
      </c>
    </row>
    <row r="12" spans="1:17" s="130" customFormat="1" ht="16.5" customHeight="1">
      <c r="A12" s="142" t="s">
        <v>211</v>
      </c>
      <c r="B12" s="135" t="e">
        <f>+#REF!</f>
        <v>#REF!</v>
      </c>
      <c r="C12" s="135" t="e">
        <f>+#REF!</f>
        <v>#REF!</v>
      </c>
      <c r="D12" s="135" t="e">
        <f>+#REF!</f>
        <v>#REF!</v>
      </c>
      <c r="E12" s="135" t="e">
        <f>+#REF!</f>
        <v>#REF!</v>
      </c>
      <c r="F12" s="135" t="e">
        <f>+#REF!</f>
        <v>#REF!</v>
      </c>
      <c r="G12" s="135" t="e">
        <f>+#REF!</f>
        <v>#REF!</v>
      </c>
      <c r="H12" s="135" t="e">
        <f>+#REF!</f>
        <v>#REF!</v>
      </c>
      <c r="I12" s="135" t="e">
        <f>+#REF!</f>
        <v>#REF!</v>
      </c>
      <c r="J12" s="147" t="e">
        <f>+#REF!</f>
        <v>#REF!</v>
      </c>
      <c r="K12" s="147" t="e">
        <f>+#REF!</f>
        <v>#REF!</v>
      </c>
      <c r="L12" s="147" t="e">
        <f>+#REF!</f>
        <v>#REF!</v>
      </c>
      <c r="M12" s="147" t="e">
        <f>+#REF!</f>
        <v>#REF!</v>
      </c>
      <c r="N12" s="135" t="e">
        <f>+#REF!</f>
        <v>#REF!</v>
      </c>
      <c r="O12" s="135" t="e">
        <f>+#REF!</f>
        <v>#REF!</v>
      </c>
      <c r="P12" s="135" t="e">
        <f>+#REF!</f>
        <v>#REF!</v>
      </c>
      <c r="Q12" s="135" t="e">
        <f>+#REF!</f>
        <v>#REF!</v>
      </c>
    </row>
    <row r="13" spans="1:17">
      <c r="A13" s="143" t="s">
        <v>212</v>
      </c>
      <c r="B13" s="136" t="e">
        <f>+#REF!</f>
        <v>#REF!</v>
      </c>
      <c r="C13" s="136" t="e">
        <f>+#REF!</f>
        <v>#REF!</v>
      </c>
      <c r="D13" s="136" t="e">
        <f>+#REF!</f>
        <v>#REF!</v>
      </c>
      <c r="E13" s="136" t="e">
        <f>+#REF!</f>
        <v>#REF!</v>
      </c>
      <c r="F13" s="136" t="e">
        <f>+#REF!</f>
        <v>#REF!</v>
      </c>
      <c r="G13" s="136" t="e">
        <f>+#REF!</f>
        <v>#REF!</v>
      </c>
      <c r="H13" s="136" t="e">
        <f>+#REF!</f>
        <v>#REF!</v>
      </c>
      <c r="I13" s="136" t="e">
        <f>+#REF!</f>
        <v>#REF!</v>
      </c>
      <c r="J13" s="148" t="e">
        <f>+#REF!</f>
        <v>#REF!</v>
      </c>
      <c r="K13" s="148" t="e">
        <f>+#REF!</f>
        <v>#REF!</v>
      </c>
      <c r="L13" s="148" t="e">
        <f>+#REF!</f>
        <v>#REF!</v>
      </c>
      <c r="M13" s="148" t="e">
        <f>+#REF!</f>
        <v>#REF!</v>
      </c>
      <c r="N13" s="136" t="e">
        <f>+#REF!</f>
        <v>#REF!</v>
      </c>
      <c r="O13" s="136" t="e">
        <f>+#REF!</f>
        <v>#REF!</v>
      </c>
      <c r="P13" s="136" t="e">
        <f>+#REF!</f>
        <v>#REF!</v>
      </c>
      <c r="Q13" s="136" t="e">
        <f>+#REF!</f>
        <v>#REF!</v>
      </c>
    </row>
  </sheetData>
  <mergeCells count="4">
    <mergeCell ref="B6:E6"/>
    <mergeCell ref="F6:I6"/>
    <mergeCell ref="J6:M6"/>
    <mergeCell ref="N6:Q6"/>
  </mergeCells>
  <phoneticPr fontId="2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697"/>
  <sheetViews>
    <sheetView topLeftCell="E89" zoomScale="70" zoomScaleNormal="70" workbookViewId="0">
      <selection activeCell="S118" sqref="S118"/>
    </sheetView>
  </sheetViews>
  <sheetFormatPr baseColWidth="10" defaultColWidth="12.625" defaultRowHeight="15" customHeight="1"/>
  <cols>
    <col min="1" max="1" width="24.125" style="23" hidden="1" customWidth="1"/>
    <col min="2" max="2" width="21.625" style="23" hidden="1" customWidth="1"/>
    <col min="3" max="3" width="34.625" style="23" customWidth="1"/>
    <col min="4" max="4" width="16.375" style="23" customWidth="1"/>
    <col min="5" max="5" width="15.625" style="23" customWidth="1"/>
    <col min="6" max="6" width="16.875" style="23" customWidth="1"/>
    <col min="7" max="7" width="17.75" style="23" hidden="1" customWidth="1"/>
    <col min="8" max="8" width="15.625" style="23" hidden="1" customWidth="1"/>
    <col min="9" max="9" width="15.875" style="23" hidden="1" customWidth="1"/>
    <col min="10" max="10" width="16.75" style="23" customWidth="1"/>
    <col min="11" max="11" width="14.5" style="23" customWidth="1"/>
    <col min="12" max="12" width="15.875" style="23" customWidth="1"/>
    <col min="13" max="13" width="12" style="23" customWidth="1"/>
    <col min="14" max="14" width="18.625" style="23" customWidth="1"/>
    <col min="15" max="15" width="16.375" style="23" customWidth="1"/>
    <col min="16" max="16" width="15.625" style="23" customWidth="1"/>
    <col min="17" max="17" width="16.375" style="23" customWidth="1"/>
    <col min="18" max="19" width="18.75" style="23" customWidth="1"/>
    <col min="20" max="20" width="3" style="23" customWidth="1"/>
    <col min="21" max="21" width="4" style="23" customWidth="1"/>
    <col min="22" max="22" width="29.875" style="23" customWidth="1"/>
    <col min="23" max="23" width="12.875" style="23" customWidth="1"/>
    <col min="24" max="24" width="13.375" style="23" customWidth="1"/>
    <col min="25" max="25" width="10.5" style="23" customWidth="1"/>
    <col min="26" max="26" width="17.375" style="23" customWidth="1"/>
    <col min="27" max="27" width="10.875" style="23" hidden="1" customWidth="1"/>
    <col min="28" max="28" width="10" style="23" hidden="1" customWidth="1"/>
    <col min="29" max="29" width="17.5" style="23" hidden="1" customWidth="1"/>
    <col min="30" max="30" width="16.375" style="23" customWidth="1"/>
    <col min="31" max="31" width="12" style="23" customWidth="1"/>
    <col min="32" max="32" width="18.875" style="23" customWidth="1"/>
    <col min="33" max="33" width="10.875" style="23" customWidth="1"/>
    <col min="34" max="34" width="16.25" style="23" customWidth="1"/>
    <col min="35" max="35" width="12.375" style="23" customWidth="1"/>
    <col min="36" max="36" width="10.875" style="23" customWidth="1"/>
    <col min="37" max="37" width="10" style="23" customWidth="1"/>
    <col min="38" max="38" width="17.5" style="23" customWidth="1"/>
    <col min="39" max="39" width="10.875" style="23" customWidth="1"/>
    <col min="40" max="40" width="16" style="23" customWidth="1"/>
    <col min="41" max="41" width="12.375" style="23" customWidth="1"/>
    <col min="42" max="42" width="11" style="23" customWidth="1"/>
    <col min="43" max="43" width="24" style="23" customWidth="1"/>
    <col min="44" max="62" width="11" style="23" customWidth="1"/>
    <col min="63" max="16384" width="12.625" style="23"/>
  </cols>
  <sheetData>
    <row r="1" spans="1:40" ht="18">
      <c r="B1" s="177"/>
      <c r="C1" s="177" t="s">
        <v>192</v>
      </c>
      <c r="D1" s="6"/>
      <c r="E1" s="6"/>
      <c r="F1" s="6"/>
      <c r="G1" s="6"/>
      <c r="H1" s="177"/>
      <c r="I1" s="6"/>
      <c r="J1" s="177"/>
      <c r="K1" s="178" t="s">
        <v>0</v>
      </c>
      <c r="L1" s="6"/>
      <c r="M1" s="6"/>
      <c r="N1" s="179"/>
      <c r="O1" s="177"/>
      <c r="P1" s="6"/>
      <c r="Q1" s="177"/>
      <c r="R1" s="6"/>
      <c r="S1" s="180" t="str">
        <f>CONCATENATE("Réalisé"," ",Paramètre!$C$2," ",Paramètre!$C$3)</f>
        <v xml:space="preserve">Réalisé  </v>
      </c>
      <c r="T1" s="6" t="s">
        <v>1</v>
      </c>
      <c r="U1" s="73"/>
      <c r="V1" s="176"/>
      <c r="W1" s="176"/>
      <c r="X1" s="176"/>
      <c r="Y1" s="176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</row>
    <row r="2" spans="1:40" ht="15" customHeight="1" thickBot="1">
      <c r="B2" s="181"/>
      <c r="C2" s="182"/>
      <c r="D2" s="175" t="s">
        <v>2</v>
      </c>
      <c r="E2" s="175" t="s">
        <v>3</v>
      </c>
      <c r="F2" s="175" t="s">
        <v>4</v>
      </c>
      <c r="G2" s="175" t="s">
        <v>2</v>
      </c>
      <c r="H2" s="175" t="s">
        <v>3</v>
      </c>
      <c r="I2" s="175" t="s">
        <v>4</v>
      </c>
      <c r="J2" s="183"/>
      <c r="K2" s="175"/>
      <c r="L2" s="183"/>
      <c r="O2" s="175"/>
      <c r="P2" s="175"/>
      <c r="Q2" s="175"/>
    </row>
    <row r="3" spans="1:40" ht="18.75" thickTop="1">
      <c r="B3" s="184"/>
      <c r="C3" s="185"/>
      <c r="D3" s="864" t="s">
        <v>5</v>
      </c>
      <c r="E3" s="865"/>
      <c r="F3" s="866"/>
      <c r="G3" s="867" t="s">
        <v>6</v>
      </c>
      <c r="H3" s="865"/>
      <c r="I3" s="866"/>
      <c r="J3" s="867" t="s">
        <v>7</v>
      </c>
      <c r="K3" s="865"/>
      <c r="L3" s="866"/>
      <c r="M3" s="867" t="s">
        <v>9</v>
      </c>
      <c r="N3" s="866"/>
      <c r="O3" s="864" t="s">
        <v>8</v>
      </c>
      <c r="P3" s="865"/>
      <c r="Q3" s="866"/>
      <c r="R3" s="867" t="s">
        <v>217</v>
      </c>
      <c r="S3" s="868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</row>
    <row r="4" spans="1:40" ht="18">
      <c r="B4" s="184"/>
      <c r="C4" s="3"/>
      <c r="D4" s="186" t="s">
        <v>10</v>
      </c>
      <c r="E4" s="183" t="s">
        <v>11</v>
      </c>
      <c r="F4" s="187" t="s">
        <v>12</v>
      </c>
      <c r="G4" s="188" t="s">
        <v>10</v>
      </c>
      <c r="H4" s="183" t="s">
        <v>11</v>
      </c>
      <c r="I4" s="187" t="s">
        <v>12</v>
      </c>
      <c r="J4" s="188" t="s">
        <v>10</v>
      </c>
      <c r="K4" s="183" t="s">
        <v>13</v>
      </c>
      <c r="L4" s="187" t="s">
        <v>12</v>
      </c>
      <c r="M4" s="188" t="s">
        <v>14</v>
      </c>
      <c r="N4" s="187" t="s">
        <v>12</v>
      </c>
      <c r="O4" s="183" t="s">
        <v>10</v>
      </c>
      <c r="P4" s="183" t="s">
        <v>13</v>
      </c>
      <c r="Q4" s="187" t="s">
        <v>12</v>
      </c>
      <c r="R4" s="188" t="s">
        <v>10</v>
      </c>
      <c r="S4" s="189" t="s">
        <v>12</v>
      </c>
      <c r="V4" s="190"/>
      <c r="W4" s="190"/>
      <c r="X4" s="191"/>
      <c r="Y4" s="191"/>
      <c r="Z4" s="184"/>
      <c r="AA4" s="184"/>
      <c r="AB4" s="184"/>
      <c r="AC4" s="184"/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</row>
    <row r="5" spans="1:40" ht="18">
      <c r="A5" s="23" t="str">
        <f>+B5&amp;C5</f>
        <v>Véhicules neufsVentes nettes</v>
      </c>
      <c r="B5" s="184" t="str">
        <f t="shared" ref="B5:B85" si="0">+$K$1</f>
        <v>Véhicules neufs</v>
      </c>
      <c r="C5" s="5" t="s">
        <v>15</v>
      </c>
      <c r="D5" s="192"/>
      <c r="E5" s="192"/>
      <c r="F5" s="193">
        <f>+SUM(START:END!F5)</f>
        <v>11763416.50446621</v>
      </c>
      <c r="G5" s="153"/>
      <c r="H5" s="192"/>
      <c r="I5" s="193">
        <f>+SUM(START:END!I5)</f>
        <v>0</v>
      </c>
      <c r="J5" s="153"/>
      <c r="K5" s="194"/>
      <c r="L5" s="193">
        <f>+SUM(START:END!L5)</f>
        <v>10668359.960000003</v>
      </c>
      <c r="M5" s="195"/>
      <c r="N5" s="196"/>
      <c r="O5" s="153"/>
      <c r="P5" s="194"/>
      <c r="Q5" s="193">
        <f>+SUM(START:END!Q5)</f>
        <v>11588445.02999999</v>
      </c>
      <c r="R5" s="195"/>
      <c r="S5" s="197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4"/>
      <c r="AM5" s="184"/>
      <c r="AN5" s="184"/>
    </row>
    <row r="6" spans="1:40" ht="18">
      <c r="A6" s="23" t="str">
        <f t="shared" ref="A6:A85" si="1">+B6&amp;C6</f>
        <v>Véhicules neufsAutos détail</v>
      </c>
      <c r="B6" s="184" t="str">
        <f t="shared" si="0"/>
        <v>Véhicules neufs</v>
      </c>
      <c r="C6" s="1" t="s">
        <v>16</v>
      </c>
      <c r="D6" s="198">
        <f>+SUM(START:END!D6)</f>
        <v>58</v>
      </c>
      <c r="E6" s="198">
        <f>IF(D6=0,0,F6/D6)</f>
        <v>1953.6491683802797</v>
      </c>
      <c r="F6" s="198">
        <f>+SUM(START:END!F6)</f>
        <v>113311.65176605622</v>
      </c>
      <c r="G6" s="199">
        <f>+SUM(START:END!G6)</f>
        <v>0</v>
      </c>
      <c r="H6" s="198">
        <f>IF(G6=0,0,I6/G6)</f>
        <v>0</v>
      </c>
      <c r="I6" s="198">
        <f>+SUM(START:END!I6)</f>
        <v>0</v>
      </c>
      <c r="J6" s="199">
        <f>+SUM(START:END!J6)</f>
        <v>27</v>
      </c>
      <c r="K6" s="198">
        <f>IF(J6=0,0,L6/J6)</f>
        <v>1261.5103703703708</v>
      </c>
      <c r="L6" s="200">
        <f>+SUM(START:END!L6)</f>
        <v>34060.780000000013</v>
      </c>
      <c r="M6" s="199">
        <f>J6-D6</f>
        <v>-31</v>
      </c>
      <c r="N6" s="201">
        <f>L6-F6</f>
        <v>-79250.871766056211</v>
      </c>
      <c r="O6" s="199">
        <f>+SUM(START:END!O6)</f>
        <v>58</v>
      </c>
      <c r="P6" s="198">
        <f>IF(O6=0,0,Q6/O6)</f>
        <v>1768.8329310344793</v>
      </c>
      <c r="Q6" s="200">
        <f>+SUM(START:END!Q6)</f>
        <v>102592.30999999979</v>
      </c>
      <c r="R6" s="199">
        <f t="shared" ref="R6:R12" si="2">J6-O6</f>
        <v>-31</v>
      </c>
      <c r="S6" s="202">
        <f t="shared" ref="S6:S12" si="3">L6-Q6</f>
        <v>-68531.529999999781</v>
      </c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</row>
    <row r="7" spans="1:40" ht="18">
      <c r="A7" s="23" t="str">
        <f t="shared" si="1"/>
        <v>Véhicules neufsCamions détail</v>
      </c>
      <c r="B7" s="184" t="str">
        <f t="shared" si="0"/>
        <v>Véhicules neufs</v>
      </c>
      <c r="C7" s="1" t="s">
        <v>17</v>
      </c>
      <c r="D7" s="198">
        <f>+SUM(START:END!D7)</f>
        <v>155</v>
      </c>
      <c r="E7" s="198">
        <f t="shared" ref="E7:E12" si="4">IF(D7=0,0,F7/D7)</f>
        <v>2435.9046775963689</v>
      </c>
      <c r="F7" s="198">
        <f>+SUM(START:END!F7)</f>
        <v>377565.22502743721</v>
      </c>
      <c r="G7" s="199">
        <f>+SUM(START:END!G7)</f>
        <v>0</v>
      </c>
      <c r="H7" s="198">
        <f t="shared" ref="H7:H12" si="5">IF(G7=0,0,I7/G7)</f>
        <v>0</v>
      </c>
      <c r="I7" s="198">
        <f>+SUM(START:END!I7)</f>
        <v>0</v>
      </c>
      <c r="J7" s="199">
        <f>+SUM(START:END!J7)</f>
        <v>175</v>
      </c>
      <c r="K7" s="198">
        <f t="shared" ref="K7:K12" si="6">IF(J7=0,0,L7/J7)</f>
        <v>2328.2872000000025</v>
      </c>
      <c r="L7" s="200">
        <f>+SUM(START:END!L7)</f>
        <v>407450.26000000042</v>
      </c>
      <c r="M7" s="199">
        <f t="shared" ref="M7:M9" si="7">J7-D7</f>
        <v>20</v>
      </c>
      <c r="N7" s="201">
        <f t="shared" ref="N7:N9" si="8">L7-F7</f>
        <v>29885.034972563211</v>
      </c>
      <c r="O7" s="199">
        <f>+SUM(START:END!O7)</f>
        <v>142</v>
      </c>
      <c r="P7" s="198">
        <f t="shared" ref="P7:P12" si="9">IF(O7=0,0,Q7/O7)</f>
        <v>2240.5755633802678</v>
      </c>
      <c r="Q7" s="200">
        <f>+SUM(START:END!Q7)</f>
        <v>318161.729999998</v>
      </c>
      <c r="R7" s="199">
        <f t="shared" si="2"/>
        <v>33</v>
      </c>
      <c r="S7" s="202">
        <f t="shared" si="3"/>
        <v>89288.530000002414</v>
      </c>
      <c r="V7" s="184"/>
      <c r="W7" s="184"/>
      <c r="X7" s="184"/>
      <c r="Y7" s="184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  <c r="AN7" s="184"/>
    </row>
    <row r="8" spans="1:40" ht="18">
      <c r="A8" s="23" t="str">
        <f t="shared" si="1"/>
        <v>Véhicules neufsSprinter</v>
      </c>
      <c r="B8" s="184" t="str">
        <f t="shared" si="0"/>
        <v>Véhicules neufs</v>
      </c>
      <c r="C8" s="1" t="s">
        <v>18</v>
      </c>
      <c r="D8" s="198">
        <f>+SUM(START:END!D8)</f>
        <v>0</v>
      </c>
      <c r="E8" s="198">
        <f t="shared" si="4"/>
        <v>0</v>
      </c>
      <c r="F8" s="198">
        <f>+SUM(START:END!F8)</f>
        <v>0</v>
      </c>
      <c r="G8" s="199">
        <f>+SUM(START:END!G8)</f>
        <v>0</v>
      </c>
      <c r="H8" s="198">
        <f t="shared" si="5"/>
        <v>0</v>
      </c>
      <c r="I8" s="198">
        <f>+SUM(START:END!I8)</f>
        <v>0</v>
      </c>
      <c r="J8" s="199">
        <f>+SUM(START:END!J8)</f>
        <v>0</v>
      </c>
      <c r="K8" s="198">
        <f t="shared" si="6"/>
        <v>0</v>
      </c>
      <c r="L8" s="200">
        <f>+SUM(START:END!L8)</f>
        <v>0</v>
      </c>
      <c r="M8" s="199">
        <f t="shared" si="7"/>
        <v>0</v>
      </c>
      <c r="N8" s="201">
        <f t="shared" si="8"/>
        <v>0</v>
      </c>
      <c r="O8" s="199">
        <f>+SUM(START:END!O8)</f>
        <v>0</v>
      </c>
      <c r="P8" s="198">
        <f t="shared" si="9"/>
        <v>0</v>
      </c>
      <c r="Q8" s="200">
        <f>+SUM(START:END!Q8)</f>
        <v>0</v>
      </c>
      <c r="R8" s="199">
        <f t="shared" si="2"/>
        <v>0</v>
      </c>
      <c r="S8" s="202">
        <f t="shared" si="3"/>
        <v>0</v>
      </c>
      <c r="V8" s="184"/>
      <c r="W8" s="184"/>
      <c r="X8" s="184"/>
      <c r="Y8" s="184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  <c r="AN8" s="184"/>
    </row>
    <row r="9" spans="1:40" ht="18">
      <c r="A9" s="23" t="str">
        <f t="shared" si="1"/>
        <v>Véhicules neufsMoto détail</v>
      </c>
      <c r="B9" s="184" t="str">
        <f t="shared" si="0"/>
        <v>Véhicules neufs</v>
      </c>
      <c r="C9" s="1" t="s">
        <v>19</v>
      </c>
      <c r="D9" s="198">
        <f>+SUM(START:END!D9)</f>
        <v>0</v>
      </c>
      <c r="E9" s="198">
        <f t="shared" si="4"/>
        <v>0</v>
      </c>
      <c r="F9" s="198">
        <f>+SUM(START:END!F9)</f>
        <v>0</v>
      </c>
      <c r="G9" s="199">
        <f>+SUM(START:END!G9)</f>
        <v>0</v>
      </c>
      <c r="H9" s="198">
        <f t="shared" si="5"/>
        <v>0</v>
      </c>
      <c r="I9" s="198">
        <f>+SUM(START:END!I9)</f>
        <v>0</v>
      </c>
      <c r="J9" s="199">
        <f>+SUM(START:END!J9)</f>
        <v>0</v>
      </c>
      <c r="K9" s="198">
        <f t="shared" si="6"/>
        <v>0</v>
      </c>
      <c r="L9" s="200">
        <f>+SUM(START:END!L9)</f>
        <v>0</v>
      </c>
      <c r="M9" s="199">
        <f t="shared" si="7"/>
        <v>0</v>
      </c>
      <c r="N9" s="201">
        <f t="shared" si="8"/>
        <v>0</v>
      </c>
      <c r="O9" s="199">
        <f>+SUM(START:END!O9)</f>
        <v>0</v>
      </c>
      <c r="P9" s="198">
        <f t="shared" si="9"/>
        <v>0</v>
      </c>
      <c r="Q9" s="200">
        <f>+SUM(START:END!Q9)</f>
        <v>0</v>
      </c>
      <c r="R9" s="199">
        <f t="shared" si="2"/>
        <v>0</v>
      </c>
      <c r="S9" s="202">
        <f t="shared" si="3"/>
        <v>0</v>
      </c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</row>
    <row r="10" spans="1:40" ht="18" hidden="1">
      <c r="A10" s="23" t="str">
        <f t="shared" si="1"/>
        <v>Véhicules neufs[...]</v>
      </c>
      <c r="B10" s="184" t="str">
        <f t="shared" si="0"/>
        <v>Véhicules neufs</v>
      </c>
      <c r="C10" s="1" t="s">
        <v>20</v>
      </c>
      <c r="D10" s="198">
        <f>+SUM(START:END!D10)</f>
        <v>0</v>
      </c>
      <c r="E10" s="198">
        <f t="shared" si="4"/>
        <v>0</v>
      </c>
      <c r="F10" s="198">
        <f>+SUM(START:END!F10)</f>
        <v>0</v>
      </c>
      <c r="G10" s="199">
        <f>+SUM(START:END!G10)</f>
        <v>0</v>
      </c>
      <c r="H10" s="198">
        <f t="shared" si="5"/>
        <v>0</v>
      </c>
      <c r="I10" s="198">
        <f>+SUM(START:END!I10)</f>
        <v>0</v>
      </c>
      <c r="J10" s="199">
        <f>+SUM(START:END!J10)</f>
        <v>0</v>
      </c>
      <c r="K10" s="198">
        <f t="shared" si="6"/>
        <v>0</v>
      </c>
      <c r="L10" s="200">
        <f>+SUM(START:END!L10)</f>
        <v>0</v>
      </c>
      <c r="M10" s="199">
        <f t="shared" ref="M10:M12" si="10">J10-G10</f>
        <v>0</v>
      </c>
      <c r="N10" s="201">
        <f t="shared" ref="N10:N12" si="11">L10-I10</f>
        <v>0</v>
      </c>
      <c r="O10" s="199">
        <f>+SUM(START:END!O10)</f>
        <v>0</v>
      </c>
      <c r="P10" s="198">
        <f t="shared" si="9"/>
        <v>0</v>
      </c>
      <c r="Q10" s="200">
        <f>+SUM(START:END!Q10)</f>
        <v>0</v>
      </c>
      <c r="R10" s="199">
        <f t="shared" si="2"/>
        <v>0</v>
      </c>
      <c r="S10" s="202">
        <f t="shared" si="3"/>
        <v>0</v>
      </c>
      <c r="V10" s="184"/>
      <c r="W10" s="184"/>
      <c r="X10" s="184"/>
      <c r="Y10" s="184"/>
      <c r="Z10" s="184"/>
      <c r="AA10" s="184"/>
      <c r="AB10" s="184"/>
      <c r="AC10" s="184"/>
      <c r="AD10" s="184"/>
      <c r="AE10" s="184"/>
      <c r="AF10" s="184"/>
      <c r="AG10" s="184"/>
      <c r="AH10" s="184"/>
      <c r="AI10" s="184"/>
      <c r="AJ10" s="184"/>
      <c r="AK10" s="184"/>
      <c r="AL10" s="184"/>
      <c r="AM10" s="184"/>
      <c r="AN10" s="184"/>
    </row>
    <row r="11" spans="1:40" ht="18" hidden="1">
      <c r="A11" s="23" t="str">
        <f t="shared" si="1"/>
        <v>Véhicules neufs[...]</v>
      </c>
      <c r="B11" s="184" t="str">
        <f t="shared" si="0"/>
        <v>Véhicules neufs</v>
      </c>
      <c r="C11" s="1" t="s">
        <v>20</v>
      </c>
      <c r="D11" s="198">
        <f>+SUM(START:END!D11)</f>
        <v>0</v>
      </c>
      <c r="E11" s="198">
        <f t="shared" si="4"/>
        <v>0</v>
      </c>
      <c r="F11" s="198">
        <f>+SUM(START:END!F11)</f>
        <v>0</v>
      </c>
      <c r="G11" s="199">
        <f>+SUM(START:END!G11)</f>
        <v>0</v>
      </c>
      <c r="H11" s="198">
        <f t="shared" si="5"/>
        <v>0</v>
      </c>
      <c r="I11" s="198">
        <f>+SUM(START:END!I11)</f>
        <v>0</v>
      </c>
      <c r="J11" s="199">
        <f>+SUM(START:END!J11)</f>
        <v>0</v>
      </c>
      <c r="K11" s="198">
        <f t="shared" si="6"/>
        <v>0</v>
      </c>
      <c r="L11" s="200">
        <f>+SUM(START:END!L11)</f>
        <v>0</v>
      </c>
      <c r="M11" s="199">
        <f t="shared" si="10"/>
        <v>0</v>
      </c>
      <c r="N11" s="201">
        <f t="shared" si="11"/>
        <v>0</v>
      </c>
      <c r="O11" s="199">
        <f>+SUM(START:END!O11)</f>
        <v>0</v>
      </c>
      <c r="P11" s="198">
        <f t="shared" si="9"/>
        <v>0</v>
      </c>
      <c r="Q11" s="200">
        <f>+SUM(START:END!Q11)</f>
        <v>0</v>
      </c>
      <c r="R11" s="199">
        <f t="shared" si="2"/>
        <v>0</v>
      </c>
      <c r="S11" s="202">
        <f t="shared" si="3"/>
        <v>0</v>
      </c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</row>
    <row r="12" spans="1:40" ht="18" hidden="1">
      <c r="A12" s="23" t="str">
        <f t="shared" si="1"/>
        <v>Véhicules neufs[...]</v>
      </c>
      <c r="B12" s="184" t="str">
        <f t="shared" si="0"/>
        <v>Véhicules neufs</v>
      </c>
      <c r="C12" s="1" t="s">
        <v>20</v>
      </c>
      <c r="D12" s="198">
        <f>+SUM(START:END!D12)</f>
        <v>0</v>
      </c>
      <c r="E12" s="198">
        <f t="shared" si="4"/>
        <v>0</v>
      </c>
      <c r="F12" s="198">
        <f>+SUM(START:END!F12)</f>
        <v>0</v>
      </c>
      <c r="G12" s="199">
        <f>+SUM(START:END!G12)</f>
        <v>0</v>
      </c>
      <c r="H12" s="198">
        <f t="shared" si="5"/>
        <v>0</v>
      </c>
      <c r="I12" s="198">
        <f>+SUM(START:END!I12)</f>
        <v>0</v>
      </c>
      <c r="J12" s="199">
        <f>+SUM(START:END!J12)</f>
        <v>0</v>
      </c>
      <c r="K12" s="198">
        <f t="shared" si="6"/>
        <v>0</v>
      </c>
      <c r="L12" s="200">
        <f>+SUM(START:END!L12)</f>
        <v>0</v>
      </c>
      <c r="M12" s="199">
        <f t="shared" si="10"/>
        <v>0</v>
      </c>
      <c r="N12" s="201">
        <f t="shared" si="11"/>
        <v>0</v>
      </c>
      <c r="O12" s="199">
        <f>+SUM(START:END!O12)</f>
        <v>0</v>
      </c>
      <c r="P12" s="198">
        <f t="shared" si="9"/>
        <v>0</v>
      </c>
      <c r="Q12" s="200">
        <f>+SUM(START:END!Q12)</f>
        <v>0</v>
      </c>
      <c r="R12" s="199">
        <f t="shared" si="2"/>
        <v>0</v>
      </c>
      <c r="S12" s="202">
        <f t="shared" si="3"/>
        <v>0</v>
      </c>
      <c r="V12" s="184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</row>
    <row r="13" spans="1:40" ht="18">
      <c r="A13" s="23" t="str">
        <f t="shared" si="1"/>
        <v>Véhicules neufsTotal Neufs</v>
      </c>
      <c r="B13" s="184" t="str">
        <f t="shared" si="0"/>
        <v>Véhicules neufs</v>
      </c>
      <c r="C13" s="203" t="s">
        <v>21</v>
      </c>
      <c r="D13" s="204">
        <f>+SUM(D6:D12)</f>
        <v>213</v>
      </c>
      <c r="E13" s="204">
        <f>IF(D13&lt;=0,0,F13/D13)</f>
        <v>2304.5862760257905</v>
      </c>
      <c r="F13" s="205">
        <f>+SUM(F6:F12)</f>
        <v>490876.8767934934</v>
      </c>
      <c r="G13" s="206">
        <f>+SUM(G6:G12)</f>
        <v>0</v>
      </c>
      <c r="H13" s="204">
        <f>IF(G13&lt;=0,0,I13/G13)</f>
        <v>0</v>
      </c>
      <c r="I13" s="205">
        <f>+SUM(I6:I12)</f>
        <v>0</v>
      </c>
      <c r="J13" s="206">
        <f>+SUM(J6:J12)</f>
        <v>202</v>
      </c>
      <c r="K13" s="204">
        <f>IF(J13&lt;=0,0,L13/J13)</f>
        <v>2185.6982178217845</v>
      </c>
      <c r="L13" s="205">
        <f>+SUM(L6:L12)</f>
        <v>441511.04000000044</v>
      </c>
      <c r="M13" s="206">
        <f>+SUM(M6:M12)</f>
        <v>-11</v>
      </c>
      <c r="N13" s="205">
        <f>+SUM(N6:N12)</f>
        <v>-49365.836793492999</v>
      </c>
      <c r="O13" s="206">
        <f>+SUM(O6:O12)</f>
        <v>200</v>
      </c>
      <c r="P13" s="204">
        <f>IF(O13&lt;=0,0,Q13/O13)</f>
        <v>2103.770199999989</v>
      </c>
      <c r="Q13" s="205">
        <f>+SUM(Q6:Q12)</f>
        <v>420754.03999999783</v>
      </c>
      <c r="R13" s="206">
        <f>+SUM(R6:R12)</f>
        <v>2</v>
      </c>
      <c r="S13" s="207">
        <f>+SUM(S6:S12)</f>
        <v>20757.000000002634</v>
      </c>
      <c r="V13" s="198"/>
      <c r="W13" s="198"/>
      <c r="X13" s="198"/>
      <c r="Y13" s="198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</row>
    <row r="14" spans="1:40" ht="18">
      <c r="A14" s="23" t="str">
        <f t="shared" si="1"/>
        <v>Véhicules neufs</v>
      </c>
      <c r="B14" s="184" t="str">
        <f t="shared" si="0"/>
        <v>Véhicules neufs</v>
      </c>
      <c r="C14" s="1"/>
      <c r="E14" s="198"/>
      <c r="F14" s="208"/>
      <c r="G14" s="152"/>
      <c r="H14" s="198"/>
      <c r="I14" s="208"/>
      <c r="J14" s="152"/>
      <c r="K14" s="198"/>
      <c r="L14" s="208"/>
      <c r="M14" s="170"/>
      <c r="N14" s="171">
        <f>IF(F13=0,0,N13/F13)</f>
        <v>-0.10056663723082779</v>
      </c>
      <c r="O14" s="152"/>
      <c r="P14" s="198"/>
      <c r="Q14" s="208"/>
      <c r="R14" s="170">
        <f>R13/O13</f>
        <v>0.01</v>
      </c>
      <c r="S14" s="209">
        <f>IF(Q13=0,0,(S13/Q13))</f>
        <v>4.9332859644087415E-2</v>
      </c>
      <c r="V14" s="184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</row>
    <row r="15" spans="1:40" ht="18">
      <c r="A15" s="23" t="str">
        <f t="shared" si="1"/>
        <v>Véhicules neufsEx-Démos et courtoisies</v>
      </c>
      <c r="B15" s="184" t="str">
        <f t="shared" si="0"/>
        <v>Véhicules neufs</v>
      </c>
      <c r="C15" s="210" t="s">
        <v>22</v>
      </c>
      <c r="D15" s="194">
        <f>+SUM(START:END!D15)</f>
        <v>11</v>
      </c>
      <c r="E15" s="194">
        <f t="shared" ref="E15" si="12">IF(D15=0,0,F15/D15)</f>
        <v>1534.7521433415677</v>
      </c>
      <c r="F15" s="193">
        <f>+SUM(START:END!F15)</f>
        <v>16882.273576757245</v>
      </c>
      <c r="G15" s="211">
        <f>+SUM(START:END!G15)</f>
        <v>0</v>
      </c>
      <c r="H15" s="212">
        <f t="shared" ref="H15" si="13">IF(G15=0,0,I15/G15)</f>
        <v>0</v>
      </c>
      <c r="I15" s="213">
        <f>+SUM(START:END!I15)</f>
        <v>0</v>
      </c>
      <c r="J15" s="214">
        <f>+SUM(START:END!J15)</f>
        <v>6</v>
      </c>
      <c r="K15" s="215">
        <f>IF(J15=0,0,L15/J15)</f>
        <v>1347.4800000000014</v>
      </c>
      <c r="L15" s="215">
        <f>+SUM(START:END!L15)</f>
        <v>8084.8800000000083</v>
      </c>
      <c r="M15" s="216">
        <f>J15-D15</f>
        <v>-5</v>
      </c>
      <c r="N15" s="213">
        <f>L15-F15</f>
        <v>-8797.3935767572366</v>
      </c>
      <c r="O15" s="214">
        <f>+SUM(START:END!O15)</f>
        <v>12</v>
      </c>
      <c r="P15" s="215">
        <f>IF(O15=0,0,Q15/O15)</f>
        <v>1630.9883333333335</v>
      </c>
      <c r="Q15" s="215">
        <f>+SUM(START:END!Q15)</f>
        <v>19571.86</v>
      </c>
      <c r="R15" s="216">
        <f>J15-O15</f>
        <v>-6</v>
      </c>
      <c r="S15" s="217">
        <f>L15-Q15</f>
        <v>-11486.979999999992</v>
      </c>
      <c r="V15" s="198"/>
      <c r="W15" s="198"/>
      <c r="X15" s="198"/>
      <c r="Y15" s="198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</row>
    <row r="16" spans="1:40" ht="18">
      <c r="A16" s="23" t="str">
        <f t="shared" si="1"/>
        <v>Véhicules neufs</v>
      </c>
      <c r="B16" s="184" t="str">
        <f t="shared" si="0"/>
        <v>Véhicules neufs</v>
      </c>
      <c r="C16" s="1"/>
      <c r="E16" s="198"/>
      <c r="F16" s="208"/>
      <c r="G16" s="152"/>
      <c r="H16" s="198"/>
      <c r="I16" s="208"/>
      <c r="J16" s="152"/>
      <c r="K16" s="198"/>
      <c r="L16" s="201"/>
      <c r="M16" s="170"/>
      <c r="N16" s="171"/>
      <c r="O16" s="152"/>
      <c r="P16" s="198"/>
      <c r="Q16" s="201"/>
      <c r="R16" s="170"/>
      <c r="S16" s="209"/>
      <c r="V16" s="184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</row>
    <row r="17" spans="1:40" ht="18">
      <c r="A17" s="23" t="str">
        <f t="shared" si="1"/>
        <v>Véhicules neufsFlottes</v>
      </c>
      <c r="B17" s="184" t="str">
        <f t="shared" si="0"/>
        <v>Véhicules neufs</v>
      </c>
      <c r="C17" s="22" t="s">
        <v>23</v>
      </c>
      <c r="D17" s="198">
        <f>+SUM(START:END!D17)</f>
        <v>6</v>
      </c>
      <c r="E17" s="198">
        <f t="shared" ref="E17" si="14">IF(D17=0,0,F17/D17)</f>
        <v>2393.8521192147828</v>
      </c>
      <c r="F17" s="198">
        <f>+SUM(START:END!F17)</f>
        <v>14363.112715288697</v>
      </c>
      <c r="G17" s="199">
        <f>+SUM(START:END!G17)</f>
        <v>0</v>
      </c>
      <c r="H17" s="198">
        <f t="shared" ref="H17" si="15">IF(G17=0,0,I17/G17)</f>
        <v>0</v>
      </c>
      <c r="I17" s="198">
        <f>+SUM(START:END!I17)</f>
        <v>0</v>
      </c>
      <c r="J17" s="216">
        <f>+SUM(START:END!J17)</f>
        <v>6</v>
      </c>
      <c r="K17" s="198">
        <f>IF(J17=0,0,L17/J17)</f>
        <v>626.18666666666593</v>
      </c>
      <c r="L17" s="201">
        <f>+SUM(START:END!L17)</f>
        <v>3757.1199999999953</v>
      </c>
      <c r="M17" s="216">
        <f>J17-D17</f>
        <v>0</v>
      </c>
      <c r="N17" s="201">
        <f>L17-F17</f>
        <v>-10605.992715288701</v>
      </c>
      <c r="O17" s="216">
        <f>+SUM(START:END!O17)</f>
        <v>7</v>
      </c>
      <c r="P17" s="198">
        <f>IF(O17=0,0,Q17/O17)</f>
        <v>2725.3285714285698</v>
      </c>
      <c r="Q17" s="201">
        <f>+SUM(START:END!Q17)</f>
        <v>19077.299999999988</v>
      </c>
      <c r="R17" s="199">
        <f>J17-O17</f>
        <v>-1</v>
      </c>
      <c r="S17" s="202">
        <f>L17-Q17</f>
        <v>-15320.179999999993</v>
      </c>
      <c r="V17" s="198"/>
      <c r="W17" s="198"/>
      <c r="X17" s="198"/>
      <c r="Y17" s="198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</row>
    <row r="18" spans="1:40" ht="18">
      <c r="A18" s="23" t="str">
        <f t="shared" si="1"/>
        <v>Véhicules neufs</v>
      </c>
      <c r="B18" s="184" t="str">
        <f t="shared" si="0"/>
        <v>Véhicules neufs</v>
      </c>
      <c r="C18" s="203"/>
      <c r="D18" s="218"/>
      <c r="E18" s="218"/>
      <c r="F18" s="219"/>
      <c r="G18" s="220"/>
      <c r="H18" s="218"/>
      <c r="I18" s="219"/>
      <c r="J18" s="199"/>
      <c r="K18" s="218"/>
      <c r="L18" s="219"/>
      <c r="M18" s="199"/>
      <c r="N18" s="219"/>
      <c r="O18" s="199"/>
      <c r="P18" s="218"/>
      <c r="Q18" s="219"/>
      <c r="R18" s="220"/>
      <c r="S18" s="221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</row>
    <row r="19" spans="1:40" ht="18">
      <c r="A19" s="23" t="str">
        <f t="shared" si="1"/>
        <v>Véhicules neufsRachat bail</v>
      </c>
      <c r="B19" s="184" t="str">
        <f t="shared" si="0"/>
        <v>Véhicules neufs</v>
      </c>
      <c r="C19" s="210" t="s">
        <v>24</v>
      </c>
      <c r="D19" s="198"/>
      <c r="E19" s="198"/>
      <c r="F19" s="198">
        <f>+SUM(START:END!F19)</f>
        <v>23800</v>
      </c>
      <c r="G19" s="199"/>
      <c r="H19" s="198"/>
      <c r="I19" s="198">
        <f>+SUM(START:END!I19)</f>
        <v>0</v>
      </c>
      <c r="J19" s="211"/>
      <c r="K19" s="198"/>
      <c r="L19" s="201">
        <f>+SUM(START:END!L19)</f>
        <v>35877.189999999944</v>
      </c>
      <c r="M19" s="199"/>
      <c r="N19" s="201">
        <f>L19-F19</f>
        <v>12077.189999999944</v>
      </c>
      <c r="O19" s="211"/>
      <c r="P19" s="198"/>
      <c r="Q19" s="201">
        <f>+SUM(START:END!Q19)</f>
        <v>29115</v>
      </c>
      <c r="R19" s="199">
        <f>O19-K19</f>
        <v>0</v>
      </c>
      <c r="S19" s="202">
        <f>L19-Q19</f>
        <v>6762.1899999999441</v>
      </c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</row>
    <row r="20" spans="1:40" ht="18">
      <c r="A20" s="23" t="str">
        <f t="shared" si="1"/>
        <v>Véhicules neufs</v>
      </c>
      <c r="B20" s="184" t="str">
        <f t="shared" si="0"/>
        <v>Véhicules neufs</v>
      </c>
      <c r="C20" s="203"/>
      <c r="D20" s="218"/>
      <c r="E20" s="218"/>
      <c r="F20" s="219"/>
      <c r="G20" s="220"/>
      <c r="H20" s="218"/>
      <c r="I20" s="219"/>
      <c r="J20" s="199"/>
      <c r="K20" s="218"/>
      <c r="L20" s="219"/>
      <c r="M20" s="220"/>
      <c r="N20" s="219"/>
      <c r="O20" s="199"/>
      <c r="P20" s="218"/>
      <c r="Q20" s="219"/>
      <c r="R20" s="220"/>
      <c r="S20" s="221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</row>
    <row r="21" spans="1:40" ht="15.75" customHeight="1">
      <c r="A21" s="23" t="str">
        <f t="shared" si="1"/>
        <v>Véhicules neufsRev. Finances</v>
      </c>
      <c r="B21" s="184" t="str">
        <f t="shared" si="0"/>
        <v>Véhicules neufs</v>
      </c>
      <c r="C21" s="1" t="s">
        <v>25</v>
      </c>
      <c r="D21" s="198">
        <v>0</v>
      </c>
      <c r="E21" s="198">
        <f t="shared" ref="E21:E23" si="16">IF(D21=0,0,F21/D21)</f>
        <v>0</v>
      </c>
      <c r="F21" s="198">
        <f>+SUM(START:END!F21)</f>
        <v>11200</v>
      </c>
      <c r="G21" s="152">
        <v>0</v>
      </c>
      <c r="H21" s="198">
        <f t="shared" ref="H21:H23" si="17">IF(G21=0,0,I21/G21)</f>
        <v>0</v>
      </c>
      <c r="I21" s="198">
        <f>+SUM(START:END!I21)</f>
        <v>0</v>
      </c>
      <c r="J21" s="199"/>
      <c r="K21" s="198">
        <f>IF(J13=0,0,L21/(J13+J15))</f>
        <v>2.9064903846153842</v>
      </c>
      <c r="L21" s="201">
        <f>+SUM(START:END!L21)</f>
        <v>604.54999999999995</v>
      </c>
      <c r="M21" s="199"/>
      <c r="N21" s="201">
        <f t="shared" ref="N21:N23" si="18">L21-F21</f>
        <v>-10595.45</v>
      </c>
      <c r="O21" s="199"/>
      <c r="P21" s="198">
        <f>IF(O13=0,0,Q21/(O13+O15))</f>
        <v>0</v>
      </c>
      <c r="Q21" s="201">
        <f>+SUM(START:END!Q21)</f>
        <v>0</v>
      </c>
      <c r="R21" s="199">
        <f t="shared" ref="R21:R23" si="19">O21-K21</f>
        <v>-2.9064903846153842</v>
      </c>
      <c r="S21" s="202">
        <f t="shared" ref="S21:S24" si="20">L21-Q21</f>
        <v>604.54999999999995</v>
      </c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</row>
    <row r="22" spans="1:40" ht="15.75" customHeight="1">
      <c r="A22" s="23" t="str">
        <f t="shared" si="1"/>
        <v>Véhicules neufsRev. Protections</v>
      </c>
      <c r="B22" s="184" t="str">
        <f t="shared" si="0"/>
        <v>Véhicules neufs</v>
      </c>
      <c r="C22" s="1" t="s">
        <v>26</v>
      </c>
      <c r="D22" s="198">
        <v>0</v>
      </c>
      <c r="E22" s="198">
        <f t="shared" si="16"/>
        <v>0</v>
      </c>
      <c r="F22" s="198">
        <f>+SUM(START:END!F22)</f>
        <v>208320</v>
      </c>
      <c r="G22" s="152">
        <v>0</v>
      </c>
      <c r="H22" s="198">
        <f t="shared" si="17"/>
        <v>0</v>
      </c>
      <c r="I22" s="198">
        <f>+SUM(START:END!I22)</f>
        <v>0</v>
      </c>
      <c r="J22" s="199"/>
      <c r="K22" s="198">
        <f>IF(J13=0,0,L22/(J13+J15))</f>
        <v>967.72735576923071</v>
      </c>
      <c r="L22" s="201">
        <f>+SUM(START:END!L22)</f>
        <v>201287.28999999998</v>
      </c>
      <c r="M22" s="199"/>
      <c r="N22" s="201">
        <f t="shared" si="18"/>
        <v>-7032.710000000021</v>
      </c>
      <c r="O22" s="199"/>
      <c r="P22" s="198">
        <f>IF(O13=0,0,Q22/(O13+O15))</f>
        <v>865.4518867924528</v>
      </c>
      <c r="Q22" s="201">
        <f>+SUM(START:END!Q22)</f>
        <v>183475.8</v>
      </c>
      <c r="R22" s="199">
        <f t="shared" si="19"/>
        <v>-967.72735576923071</v>
      </c>
      <c r="S22" s="202">
        <f t="shared" si="20"/>
        <v>17811.489999999991</v>
      </c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</row>
    <row r="23" spans="1:40" ht="15.75" customHeight="1">
      <c r="A23" s="23" t="str">
        <f t="shared" si="1"/>
        <v>Véhicules neufsRev. Autres</v>
      </c>
      <c r="B23" s="184" t="str">
        <f t="shared" si="0"/>
        <v>Véhicules neufs</v>
      </c>
      <c r="C23" s="1" t="s">
        <v>27</v>
      </c>
      <c r="D23" s="198">
        <v>0</v>
      </c>
      <c r="E23" s="198">
        <f t="shared" si="16"/>
        <v>0</v>
      </c>
      <c r="F23" s="198">
        <f>+SUM(START:END!F23)</f>
        <v>4480</v>
      </c>
      <c r="G23" s="152">
        <v>0</v>
      </c>
      <c r="H23" s="198">
        <f t="shared" si="17"/>
        <v>0</v>
      </c>
      <c r="I23" s="198">
        <f>+SUM(START:END!I23)</f>
        <v>0</v>
      </c>
      <c r="J23" s="199"/>
      <c r="K23" s="198">
        <f>IF(J13=0,0,L23/(J13+J15))</f>
        <v>0.89682692307692302</v>
      </c>
      <c r="L23" s="201">
        <f>+SUM(START:END!L23)</f>
        <v>186.54</v>
      </c>
      <c r="M23" s="216"/>
      <c r="N23" s="201">
        <f t="shared" si="18"/>
        <v>-4293.46</v>
      </c>
      <c r="O23" s="199"/>
      <c r="P23" s="198">
        <f>IF(O13=0,0,Q23/(O13+O15))</f>
        <v>10.368207547169812</v>
      </c>
      <c r="Q23" s="201">
        <f>+SUM(START:END!Q23)</f>
        <v>2198.06</v>
      </c>
      <c r="R23" s="199">
        <f t="shared" si="19"/>
        <v>-0.89682692307692302</v>
      </c>
      <c r="S23" s="202">
        <f t="shared" si="20"/>
        <v>-2011.52</v>
      </c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</row>
    <row r="24" spans="1:40" ht="15.75" customHeight="1">
      <c r="A24" s="23" t="str">
        <f t="shared" si="1"/>
        <v>Véhicules neufsTotal F&amp;I</v>
      </c>
      <c r="B24" s="184" t="str">
        <f t="shared" si="0"/>
        <v>Véhicules neufs</v>
      </c>
      <c r="C24" s="203" t="s">
        <v>28</v>
      </c>
      <c r="D24" s="204">
        <f>+D15+D13</f>
        <v>224</v>
      </c>
      <c r="E24" s="204">
        <f>IF(D24&lt;=0,0,F24/D24)</f>
        <v>1000</v>
      </c>
      <c r="F24" s="205">
        <f>F21+F22+F23</f>
        <v>224000</v>
      </c>
      <c r="G24" s="206">
        <f>+G15+G13</f>
        <v>0</v>
      </c>
      <c r="H24" s="204">
        <f>IF(G24&lt;=0,0,I24/G24)</f>
        <v>0</v>
      </c>
      <c r="I24" s="205">
        <f>I21+I22+I23</f>
        <v>0</v>
      </c>
      <c r="J24" s="206">
        <f>+J15+J13</f>
        <v>208</v>
      </c>
      <c r="K24" s="204">
        <f>IF(J24&lt;=0,0,L24/J24)</f>
        <v>971.53067307692299</v>
      </c>
      <c r="L24" s="205">
        <f>L21+L22+L23</f>
        <v>202078.37999999998</v>
      </c>
      <c r="M24" s="206">
        <f>+M15+M13</f>
        <v>-16</v>
      </c>
      <c r="N24" s="205">
        <f>N21+N22+N23</f>
        <v>-21921.620000000021</v>
      </c>
      <c r="O24" s="206">
        <f>+O15+O13</f>
        <v>212</v>
      </c>
      <c r="P24" s="204">
        <f>IF(O24&lt;=0,0,Q24/O24)</f>
        <v>875.82009433962253</v>
      </c>
      <c r="Q24" s="205">
        <f>Q21+Q22+Q23</f>
        <v>185673.86</v>
      </c>
      <c r="R24" s="220"/>
      <c r="S24" s="207">
        <f t="shared" si="20"/>
        <v>16404.51999999999</v>
      </c>
      <c r="V24" s="198"/>
      <c r="W24" s="198"/>
      <c r="X24" s="198"/>
      <c r="Y24" s="198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</row>
    <row r="25" spans="1:40" ht="15.75" customHeight="1">
      <c r="A25" s="23" t="str">
        <f t="shared" si="1"/>
        <v>Véhicules neufs</v>
      </c>
      <c r="B25" s="184" t="str">
        <f t="shared" si="0"/>
        <v>Véhicules neufs</v>
      </c>
      <c r="C25" s="1"/>
      <c r="F25" s="222"/>
      <c r="G25" s="152"/>
      <c r="I25" s="222"/>
      <c r="J25" s="152"/>
      <c r="L25" s="222"/>
      <c r="M25" s="170"/>
      <c r="N25" s="171"/>
      <c r="O25" s="152"/>
      <c r="Q25" s="222"/>
      <c r="R25" s="223"/>
      <c r="S25" s="209">
        <f>IF(Q24=0,0,(S24/Q24))</f>
        <v>8.8351262800267047E-2</v>
      </c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</row>
    <row r="26" spans="1:40" ht="15.75" customHeight="1" thickBot="1">
      <c r="A26" s="23" t="str">
        <f t="shared" si="1"/>
        <v>Véhicules neufs</v>
      </c>
      <c r="B26" s="184" t="str">
        <f t="shared" si="0"/>
        <v>Véhicules neufs</v>
      </c>
      <c r="C26" s="1"/>
      <c r="F26" s="208"/>
      <c r="G26" s="152"/>
      <c r="I26" s="208"/>
      <c r="J26" s="152"/>
      <c r="L26" s="208"/>
      <c r="M26" s="152"/>
      <c r="N26" s="208"/>
      <c r="O26" s="152"/>
      <c r="Q26" s="208"/>
      <c r="R26" s="152"/>
      <c r="S26" s="22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</row>
    <row r="27" spans="1:40" ht="18" customHeight="1" thickTop="1">
      <c r="A27" s="23" t="str">
        <f t="shared" si="1"/>
        <v>Véhicules neufsTotal Dépt. Neufs</v>
      </c>
      <c r="B27" s="184" t="str">
        <f t="shared" si="0"/>
        <v>Véhicules neufs</v>
      </c>
      <c r="C27" s="225" t="s">
        <v>29</v>
      </c>
      <c r="D27" s="226">
        <f>+D13+D15+D17</f>
        <v>230</v>
      </c>
      <c r="E27" s="227">
        <f>IF(D27&lt;=0,0,F27/D27)</f>
        <v>3347.4881003719101</v>
      </c>
      <c r="F27" s="228">
        <f>F13+F17+F24+F19+F15</f>
        <v>769922.26308553934</v>
      </c>
      <c r="G27" s="229">
        <f>+G13+G15+G17</f>
        <v>0</v>
      </c>
      <c r="H27" s="230">
        <f>IF(G27&lt;=0,0,I27/G27)</f>
        <v>0</v>
      </c>
      <c r="I27" s="228">
        <f>I13+I17+I24+I19+I15</f>
        <v>0</v>
      </c>
      <c r="J27" s="229">
        <f>+J13+J15+J17</f>
        <v>214</v>
      </c>
      <c r="K27" s="230">
        <f>IF(J27&lt;=0,0,L27/J27)</f>
        <v>3230.4140654205621</v>
      </c>
      <c r="L27" s="228">
        <f>L13+L17+L24+L19+L15</f>
        <v>691308.61000000034</v>
      </c>
      <c r="M27" s="229">
        <f>+M13+M15+M17</f>
        <v>-16</v>
      </c>
      <c r="N27" s="228">
        <f>N13+N17+N24+N19+N15</f>
        <v>-78613.653085539016</v>
      </c>
      <c r="O27" s="229">
        <f>+O13+O15+O17</f>
        <v>219</v>
      </c>
      <c r="P27" s="230">
        <f>IF(O27&lt;=0,0,Q27/O27)</f>
        <v>3078.5025570776156</v>
      </c>
      <c r="Q27" s="228">
        <f>Q13+Q17+Q24+Q19+Q15</f>
        <v>674192.05999999784</v>
      </c>
      <c r="R27" s="229">
        <f>J27-O27</f>
        <v>-5</v>
      </c>
      <c r="S27" s="231">
        <f>L27-Q27</f>
        <v>17116.550000002491</v>
      </c>
      <c r="V27" s="198"/>
      <c r="W27" s="198"/>
      <c r="X27" s="198"/>
      <c r="Y27" s="198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</row>
    <row r="28" spans="1:40" ht="22.5" customHeight="1" thickBot="1">
      <c r="A28" s="23" t="str">
        <f t="shared" si="1"/>
        <v>Véhicules neufs</v>
      </c>
      <c r="B28" s="184" t="str">
        <f t="shared" si="0"/>
        <v>Véhicules neufs</v>
      </c>
      <c r="C28" s="232"/>
      <c r="D28" s="233"/>
      <c r="E28" s="233"/>
      <c r="F28" s="234"/>
      <c r="G28" s="235"/>
      <c r="H28" s="233"/>
      <c r="I28" s="234"/>
      <c r="J28" s="235"/>
      <c r="K28" s="233"/>
      <c r="L28" s="234"/>
      <c r="M28" s="236">
        <f>M27/D27</f>
        <v>-6.9565217391304349E-2</v>
      </c>
      <c r="N28" s="166">
        <f>N27/F27</f>
        <v>-0.10210596167265908</v>
      </c>
      <c r="O28" s="235"/>
      <c r="P28" s="233"/>
      <c r="Q28" s="234"/>
      <c r="R28" s="236">
        <f>R27/O27</f>
        <v>-2.2831050228310501E-2</v>
      </c>
      <c r="S28" s="237">
        <f>IF(Q27=0,0,S27/Q27)</f>
        <v>2.5388240259018396E-2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</row>
    <row r="29" spans="1:40" ht="15.75" customHeight="1" thickTop="1">
      <c r="A29" s="23" t="str">
        <f t="shared" si="1"/>
        <v>Véhicules neufs</v>
      </c>
      <c r="B29" s="184" t="str">
        <f t="shared" si="0"/>
        <v>Véhicules neufs</v>
      </c>
      <c r="C29" s="22"/>
      <c r="D29" s="73"/>
      <c r="E29" s="73"/>
      <c r="F29" s="238"/>
      <c r="G29" s="156"/>
      <c r="H29" s="73"/>
      <c r="I29" s="238"/>
      <c r="J29" s="156"/>
      <c r="K29" s="73"/>
      <c r="L29" s="238"/>
      <c r="M29" s="170"/>
      <c r="N29" s="171"/>
      <c r="O29" s="156"/>
      <c r="P29" s="73"/>
      <c r="Q29" s="238"/>
      <c r="R29" s="170"/>
      <c r="S29" s="209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</row>
    <row r="30" spans="1:40" ht="15.75" customHeight="1">
      <c r="A30" s="23" t="str">
        <f t="shared" si="1"/>
        <v>Véhicules neufsDEPENSES</v>
      </c>
      <c r="B30" s="184" t="str">
        <f t="shared" si="0"/>
        <v>Véhicules neufs</v>
      </c>
      <c r="C30" s="239" t="s">
        <v>30</v>
      </c>
      <c r="E30" s="175"/>
      <c r="F30" s="222"/>
      <c r="G30" s="152"/>
      <c r="H30" s="175"/>
      <c r="I30" s="222"/>
      <c r="J30" s="152"/>
      <c r="K30" s="175"/>
      <c r="L30" s="208"/>
      <c r="M30" s="152"/>
      <c r="N30" s="208"/>
      <c r="O30" s="152"/>
      <c r="P30" s="175"/>
      <c r="Q30" s="208"/>
      <c r="R30" s="152"/>
      <c r="S30" s="22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</row>
    <row r="31" spans="1:40" ht="15.75" customHeight="1">
      <c r="A31" s="23" t="str">
        <f t="shared" si="1"/>
        <v>Véhicules neufsComm. vendeurs</v>
      </c>
      <c r="B31" s="184" t="str">
        <f t="shared" si="0"/>
        <v>Véhicules neufs</v>
      </c>
      <c r="C31" s="1" t="s">
        <v>31</v>
      </c>
      <c r="D31" s="30"/>
      <c r="E31" s="26">
        <f t="shared" ref="E31:E40" si="21">F31/D$24</f>
        <v>739.41296068274528</v>
      </c>
      <c r="F31" s="198">
        <f>+SUM(START:END!F31)</f>
        <v>165628.50319293494</v>
      </c>
      <c r="G31" s="240"/>
      <c r="H31" s="26" t="e">
        <f t="shared" ref="H31:H40" si="22">I31/G$24</f>
        <v>#DIV/0!</v>
      </c>
      <c r="I31" s="198">
        <f>+SUM(START:END!I31)</f>
        <v>0</v>
      </c>
      <c r="J31" s="241">
        <f>L31/L13</f>
        <v>0.2971919343172027</v>
      </c>
      <c r="K31" s="26">
        <f t="shared" ref="K31:K40" si="23">IF(L31=0,0,L31/J$24)</f>
        <v>630.83423076923077</v>
      </c>
      <c r="L31" s="198">
        <f>+SUM(START:END!L31)</f>
        <v>131213.51999999999</v>
      </c>
      <c r="M31" s="152"/>
      <c r="N31" s="222">
        <f t="shared" ref="N31:N37" si="24">L31-F31</f>
        <v>-34414.983192934946</v>
      </c>
      <c r="O31" s="152"/>
      <c r="P31" s="26">
        <f t="shared" ref="P31:P40" si="25">IF(Q31=0,0,Q31/O$24)</f>
        <v>713.76485849056598</v>
      </c>
      <c r="Q31" s="201">
        <f>+SUM(START:END!Q31)</f>
        <v>151318.15</v>
      </c>
      <c r="R31" s="152"/>
      <c r="S31" s="242">
        <f t="shared" ref="S31:S41" si="26">L31-Q31</f>
        <v>-20104.630000000005</v>
      </c>
      <c r="V31" s="243"/>
      <c r="W31" s="243"/>
      <c r="X31" s="243"/>
      <c r="Y31" s="243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</row>
    <row r="32" spans="1:40" ht="15.75" customHeight="1">
      <c r="A32" s="23" t="str">
        <f t="shared" si="1"/>
        <v>Véhicules neufsComm. F&amp;I</v>
      </c>
      <c r="B32" s="184" t="str">
        <f t="shared" si="0"/>
        <v>Véhicules neufs</v>
      </c>
      <c r="C32" s="2" t="s">
        <v>32</v>
      </c>
      <c r="D32" s="34"/>
      <c r="E32" s="10">
        <f t="shared" si="21"/>
        <v>280.00000000000006</v>
      </c>
      <c r="F32" s="193">
        <f>+SUM(START:END!F32)</f>
        <v>62720.000000000007</v>
      </c>
      <c r="G32" s="244"/>
      <c r="H32" s="245" t="e">
        <f t="shared" si="22"/>
        <v>#DIV/0!</v>
      </c>
      <c r="I32" s="193">
        <f>+SUM(START:END!I32)</f>
        <v>0</v>
      </c>
      <c r="J32" s="246">
        <f>L32/L24</f>
        <v>0.42469130047459802</v>
      </c>
      <c r="K32" s="10">
        <f t="shared" si="23"/>
        <v>412.60062499999998</v>
      </c>
      <c r="L32" s="193">
        <f>+SUM(START:END!L32)</f>
        <v>85820.93</v>
      </c>
      <c r="M32" s="153"/>
      <c r="N32" s="247">
        <f t="shared" si="24"/>
        <v>23100.929999999986</v>
      </c>
      <c r="O32" s="153"/>
      <c r="P32" s="10">
        <f t="shared" si="25"/>
        <v>242.45613207547169</v>
      </c>
      <c r="Q32" s="193">
        <f>+SUM(START:END!Q32)</f>
        <v>51400.7</v>
      </c>
      <c r="R32" s="153"/>
      <c r="S32" s="248">
        <f t="shared" si="26"/>
        <v>34420.229999999996</v>
      </c>
      <c r="V32" s="243"/>
      <c r="W32" s="243"/>
      <c r="X32" s="243"/>
      <c r="Y32" s="243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</row>
    <row r="33" spans="1:40" ht="15.75" customHeight="1">
      <c r="A33" s="23" t="str">
        <f t="shared" si="1"/>
        <v>Véhicules neufsFrais de livraison</v>
      </c>
      <c r="B33" s="184" t="str">
        <f t="shared" si="0"/>
        <v>Véhicules neufs</v>
      </c>
      <c r="C33" s="1" t="s">
        <v>33</v>
      </c>
      <c r="D33" s="30"/>
      <c r="E33" s="26">
        <f t="shared" si="21"/>
        <v>115</v>
      </c>
      <c r="F33" s="198">
        <f>+SUM(START:END!F33)</f>
        <v>25760</v>
      </c>
      <c r="G33" s="240"/>
      <c r="H33" s="26" t="e">
        <f t="shared" si="22"/>
        <v>#DIV/0!</v>
      </c>
      <c r="I33" s="198">
        <f>+SUM(START:END!I33)</f>
        <v>0</v>
      </c>
      <c r="J33" s="152"/>
      <c r="K33" s="26">
        <f t="shared" si="23"/>
        <v>99.199423076923068</v>
      </c>
      <c r="L33" s="198">
        <f>+SUM(START:END!L33)</f>
        <v>20633.48</v>
      </c>
      <c r="M33" s="152"/>
      <c r="N33" s="222">
        <f t="shared" si="24"/>
        <v>-5126.5200000000004</v>
      </c>
      <c r="O33" s="152"/>
      <c r="P33" s="26">
        <f t="shared" si="25"/>
        <v>111.38485849056603</v>
      </c>
      <c r="Q33" s="201">
        <f>+SUM(START:END!Q33)</f>
        <v>23613.59</v>
      </c>
      <c r="R33" s="152"/>
      <c r="S33" s="242">
        <f t="shared" si="26"/>
        <v>-2980.1100000000006</v>
      </c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</row>
    <row r="34" spans="1:40" ht="15.75" customHeight="1">
      <c r="A34" s="23" t="str">
        <f t="shared" si="1"/>
        <v>Véhicules neufsService gratuit 1</v>
      </c>
      <c r="B34" s="184" t="str">
        <f t="shared" si="0"/>
        <v>Véhicules neufs</v>
      </c>
      <c r="C34" s="1" t="s">
        <v>34</v>
      </c>
      <c r="D34" s="30"/>
      <c r="E34" s="26">
        <f t="shared" si="21"/>
        <v>10</v>
      </c>
      <c r="F34" s="198">
        <f>+SUM(START:END!F34)</f>
        <v>2240</v>
      </c>
      <c r="G34" s="240"/>
      <c r="H34" s="26" t="e">
        <f t="shared" si="22"/>
        <v>#DIV/0!</v>
      </c>
      <c r="I34" s="198">
        <f>+SUM(START:END!I34)</f>
        <v>0</v>
      </c>
      <c r="J34" s="152"/>
      <c r="K34" s="26">
        <f t="shared" si="23"/>
        <v>0</v>
      </c>
      <c r="L34" s="198">
        <f>+SUM(START:END!L34)</f>
        <v>0</v>
      </c>
      <c r="M34" s="152"/>
      <c r="N34" s="222">
        <f t="shared" si="24"/>
        <v>-2240</v>
      </c>
      <c r="O34" s="152"/>
      <c r="P34" s="26">
        <f t="shared" si="25"/>
        <v>29.795660377358491</v>
      </c>
      <c r="Q34" s="201">
        <f>+SUM(START:END!Q34)</f>
        <v>6316.68</v>
      </c>
      <c r="R34" s="152"/>
      <c r="S34" s="242">
        <f t="shared" si="26"/>
        <v>-6316.68</v>
      </c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</row>
    <row r="35" spans="1:40" ht="15.75" customHeight="1">
      <c r="A35" s="23" t="str">
        <f t="shared" si="1"/>
        <v>Véhicules neufsEntretien stock</v>
      </c>
      <c r="B35" s="184" t="str">
        <f t="shared" si="0"/>
        <v>Véhicules neufs</v>
      </c>
      <c r="C35" s="2" t="s">
        <v>35</v>
      </c>
      <c r="D35" s="34"/>
      <c r="E35" s="10">
        <f t="shared" si="21"/>
        <v>120.75</v>
      </c>
      <c r="F35" s="193">
        <f>+SUM(START:END!F35)</f>
        <v>27048</v>
      </c>
      <c r="G35" s="244"/>
      <c r="H35" s="245" t="e">
        <f t="shared" si="22"/>
        <v>#DIV/0!</v>
      </c>
      <c r="I35" s="193">
        <f>+SUM(START:END!I35)</f>
        <v>0</v>
      </c>
      <c r="J35" s="153"/>
      <c r="K35" s="10">
        <f t="shared" si="23"/>
        <v>91.710048076923073</v>
      </c>
      <c r="L35" s="193">
        <f>+SUM(START:END!L35)</f>
        <v>19075.689999999999</v>
      </c>
      <c r="M35" s="153"/>
      <c r="N35" s="247">
        <f t="shared" si="24"/>
        <v>-7972.3100000000013</v>
      </c>
      <c r="O35" s="153"/>
      <c r="P35" s="10">
        <f t="shared" si="25"/>
        <v>94.111037735849067</v>
      </c>
      <c r="Q35" s="201">
        <f>+SUM(START:END!Q35)</f>
        <v>19951.54</v>
      </c>
      <c r="R35" s="153"/>
      <c r="S35" s="248">
        <f t="shared" si="26"/>
        <v>-875.85000000000218</v>
      </c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</row>
    <row r="36" spans="1:40" ht="15.75" customHeight="1">
      <c r="A36" s="23" t="str">
        <f t="shared" si="1"/>
        <v>Véhicules neufsPublicité 1</v>
      </c>
      <c r="B36" s="184" t="str">
        <f t="shared" si="0"/>
        <v>Véhicules neufs</v>
      </c>
      <c r="C36" s="1" t="s">
        <v>36</v>
      </c>
      <c r="D36" s="30"/>
      <c r="E36" s="26">
        <f t="shared" si="21"/>
        <v>53.508928571428569</v>
      </c>
      <c r="F36" s="198">
        <f>+SUM(START:END!F36)</f>
        <v>11986</v>
      </c>
      <c r="G36" s="240"/>
      <c r="H36" s="26" t="e">
        <f t="shared" si="22"/>
        <v>#DIV/0!</v>
      </c>
      <c r="I36" s="198">
        <f>+SUM(START:END!I36)</f>
        <v>0</v>
      </c>
      <c r="J36" s="152"/>
      <c r="K36" s="26">
        <f t="shared" si="23"/>
        <v>84.837163461538466</v>
      </c>
      <c r="L36" s="249">
        <f>+SUM(START:END!L36)</f>
        <v>17646.13</v>
      </c>
      <c r="N36" s="222">
        <f t="shared" si="24"/>
        <v>5660.130000000001</v>
      </c>
      <c r="O36" s="152"/>
      <c r="P36" s="26">
        <f t="shared" si="25"/>
        <v>56.937264150943349</v>
      </c>
      <c r="Q36" s="219">
        <f>+SUM(START:END!Q36)</f>
        <v>12070.69999999999</v>
      </c>
      <c r="R36" s="152"/>
      <c r="S36" s="242">
        <f t="shared" si="26"/>
        <v>5575.4300000000112</v>
      </c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</row>
    <row r="37" spans="1:40" ht="15.75" customHeight="1">
      <c r="A37" s="23" t="str">
        <f t="shared" si="1"/>
        <v>Véhicules neufsIntérêt de gros</v>
      </c>
      <c r="B37" s="184" t="str">
        <f t="shared" si="0"/>
        <v>Véhicules neufs</v>
      </c>
      <c r="C37" s="1" t="s">
        <v>37</v>
      </c>
      <c r="D37" s="30"/>
      <c r="E37" s="26">
        <f t="shared" si="21"/>
        <v>514.84382967873523</v>
      </c>
      <c r="F37" s="198">
        <f>+SUM(START:END!F37)</f>
        <v>115325.0178480367</v>
      </c>
      <c r="G37" s="240"/>
      <c r="H37" s="26" t="e">
        <f t="shared" si="22"/>
        <v>#DIV/0!</v>
      </c>
      <c r="I37" s="198">
        <f>+SUM(START:END!I37)</f>
        <v>0</v>
      </c>
      <c r="J37" s="152"/>
      <c r="K37" s="26">
        <f t="shared" si="23"/>
        <v>236.20461538461538</v>
      </c>
      <c r="L37" s="202">
        <f>+SUM(START:END!L37)</f>
        <v>49130.559999999998</v>
      </c>
      <c r="N37" s="222">
        <f t="shared" si="24"/>
        <v>-66194.457848036705</v>
      </c>
      <c r="O37" s="152"/>
      <c r="P37" s="26">
        <f t="shared" si="25"/>
        <v>521.73509433962261</v>
      </c>
      <c r="Q37" s="201">
        <f>+SUM(START:END!Q37)</f>
        <v>110607.84</v>
      </c>
      <c r="R37" s="152"/>
      <c r="S37" s="242">
        <f t="shared" si="26"/>
        <v>-61477.279999999999</v>
      </c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</row>
    <row r="38" spans="1:40" ht="15.75" hidden="1" customHeight="1">
      <c r="A38" s="23" t="str">
        <f t="shared" si="1"/>
        <v>Véhicules neufs[...]</v>
      </c>
      <c r="B38" s="184" t="str">
        <f t="shared" si="0"/>
        <v>Véhicules neufs</v>
      </c>
      <c r="C38" s="1" t="s">
        <v>20</v>
      </c>
      <c r="D38" s="30"/>
      <c r="E38" s="26">
        <f t="shared" si="21"/>
        <v>0</v>
      </c>
      <c r="F38" s="198">
        <f>+SUM(START:END!F38)</f>
        <v>0</v>
      </c>
      <c r="G38" s="240"/>
      <c r="H38" s="26" t="e">
        <f t="shared" si="22"/>
        <v>#DIV/0!</v>
      </c>
      <c r="I38" s="198">
        <f>+SUM(START:END!I38)</f>
        <v>0</v>
      </c>
      <c r="J38" s="152"/>
      <c r="K38" s="26">
        <f t="shared" si="23"/>
        <v>0</v>
      </c>
      <c r="L38" s="202">
        <f>+SUM(START:END!L38)</f>
        <v>0</v>
      </c>
      <c r="N38" s="222">
        <f t="shared" ref="N38:N53" si="27">L38-I38</f>
        <v>0</v>
      </c>
      <c r="O38" s="152"/>
      <c r="P38" s="26">
        <f t="shared" si="25"/>
        <v>0</v>
      </c>
      <c r="Q38" s="201">
        <f>+SUM(START:END!Q38)</f>
        <v>0</v>
      </c>
      <c r="R38" s="152"/>
      <c r="S38" s="242">
        <f t="shared" si="26"/>
        <v>0</v>
      </c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</row>
    <row r="39" spans="1:40" ht="15.75" hidden="1" customHeight="1">
      <c r="A39" s="23" t="str">
        <f t="shared" si="1"/>
        <v>Véhicules neufs[...]</v>
      </c>
      <c r="B39" s="184" t="str">
        <f t="shared" si="0"/>
        <v>Véhicules neufs</v>
      </c>
      <c r="C39" s="1" t="s">
        <v>20</v>
      </c>
      <c r="D39" s="30"/>
      <c r="E39" s="26">
        <f t="shared" si="21"/>
        <v>0</v>
      </c>
      <c r="F39" s="198">
        <f>+SUM(START:END!F39)</f>
        <v>0</v>
      </c>
      <c r="G39" s="240"/>
      <c r="H39" s="26" t="e">
        <f t="shared" si="22"/>
        <v>#DIV/0!</v>
      </c>
      <c r="I39" s="198">
        <f>+SUM(START:END!I39)</f>
        <v>0</v>
      </c>
      <c r="J39" s="152"/>
      <c r="K39" s="26">
        <f t="shared" si="23"/>
        <v>0</v>
      </c>
      <c r="L39" s="202">
        <f>+SUM(START:END!L39)</f>
        <v>0</v>
      </c>
      <c r="N39" s="222">
        <f t="shared" si="27"/>
        <v>0</v>
      </c>
      <c r="O39" s="152"/>
      <c r="P39" s="26">
        <f t="shared" si="25"/>
        <v>0</v>
      </c>
      <c r="Q39" s="201">
        <f>+SUM(START:END!Q39)</f>
        <v>0</v>
      </c>
      <c r="R39" s="152"/>
      <c r="S39" s="242">
        <f t="shared" si="26"/>
        <v>0</v>
      </c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</row>
    <row r="40" spans="1:40" ht="15.75" hidden="1" customHeight="1">
      <c r="A40" s="23" t="str">
        <f t="shared" si="1"/>
        <v>Véhicules neufs[...]</v>
      </c>
      <c r="B40" s="184" t="str">
        <f t="shared" si="0"/>
        <v>Véhicules neufs</v>
      </c>
      <c r="C40" s="1" t="s">
        <v>20</v>
      </c>
      <c r="D40" s="30"/>
      <c r="E40" s="26">
        <f t="shared" si="21"/>
        <v>0</v>
      </c>
      <c r="F40" s="198">
        <f>+SUM(START:END!F40)</f>
        <v>0</v>
      </c>
      <c r="G40" s="240"/>
      <c r="H40" s="26" t="e">
        <f t="shared" si="22"/>
        <v>#DIV/0!</v>
      </c>
      <c r="I40" s="198">
        <f>+SUM(START:END!I40)</f>
        <v>0</v>
      </c>
      <c r="J40" s="152"/>
      <c r="K40" s="26">
        <f t="shared" si="23"/>
        <v>0</v>
      </c>
      <c r="L40" s="217">
        <f>+SUM(START:END!L40)</f>
        <v>0</v>
      </c>
      <c r="N40" s="222">
        <f t="shared" si="27"/>
        <v>0</v>
      </c>
      <c r="O40" s="152"/>
      <c r="P40" s="26">
        <f t="shared" si="25"/>
        <v>0</v>
      </c>
      <c r="Q40" s="201">
        <f>+SUM(START:END!Q40)</f>
        <v>0</v>
      </c>
      <c r="R40" s="152"/>
      <c r="S40" s="242">
        <f t="shared" si="26"/>
        <v>0</v>
      </c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</row>
    <row r="41" spans="1:40" ht="15.75" customHeight="1">
      <c r="A41" s="23" t="str">
        <f t="shared" si="1"/>
        <v>Véhicules neufsTOTAL VARIABLES</v>
      </c>
      <c r="B41" s="184" t="str">
        <f t="shared" si="0"/>
        <v>Véhicules neufs</v>
      </c>
      <c r="C41" s="40" t="s">
        <v>38</v>
      </c>
      <c r="D41" s="250" t="s">
        <v>39</v>
      </c>
      <c r="E41" s="42">
        <f>F41/F$27</f>
        <v>0.53344024550611224</v>
      </c>
      <c r="F41" s="251">
        <f>SUM(F31:F40)</f>
        <v>410707.52104097162</v>
      </c>
      <c r="G41" s="252" t="s">
        <v>39</v>
      </c>
      <c r="H41" s="42" t="e">
        <f>I41/I$27</f>
        <v>#DIV/0!</v>
      </c>
      <c r="I41" s="251">
        <f>SUM(I31:I40)</f>
        <v>0</v>
      </c>
      <c r="J41" s="252" t="s">
        <v>39</v>
      </c>
      <c r="K41" s="42">
        <f>L41/L$27</f>
        <v>0.46798246878481642</v>
      </c>
      <c r="L41" s="251">
        <f>SUM(L31:L40)</f>
        <v>323520.31</v>
      </c>
      <c r="M41" s="253"/>
      <c r="N41" s="251">
        <f>SUM(N31:N40)</f>
        <v>-87187.21104097167</v>
      </c>
      <c r="O41" s="252" t="s">
        <v>39</v>
      </c>
      <c r="P41" s="42">
        <f>Q41/Q$27</f>
        <v>0.55663544895500716</v>
      </c>
      <c r="Q41" s="46">
        <f>SUM(Q31:Q40)</f>
        <v>375279.19999999995</v>
      </c>
      <c r="R41" s="254"/>
      <c r="S41" s="255">
        <f t="shared" si="26"/>
        <v>-51758.889999999956</v>
      </c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</row>
    <row r="42" spans="1:40" ht="15.75" customHeight="1">
      <c r="A42" s="23" t="str">
        <f t="shared" si="1"/>
        <v>Véhicules neufsSalaires cadres</v>
      </c>
      <c r="B42" s="184" t="str">
        <f t="shared" si="0"/>
        <v>Véhicules neufs</v>
      </c>
      <c r="C42" s="1" t="s">
        <v>41</v>
      </c>
      <c r="F42" s="198">
        <f>+SUM(START:END!F42)</f>
        <v>77393.512500000012</v>
      </c>
      <c r="G42" s="152"/>
      <c r="I42" s="198">
        <f>+SUM(START:END!I42)</f>
        <v>0</v>
      </c>
      <c r="J42" s="152"/>
      <c r="L42" s="201">
        <f>+SUM(START:END!L42)</f>
        <v>53536.95</v>
      </c>
      <c r="M42" s="152"/>
      <c r="N42" s="222">
        <f t="shared" ref="N42:N52" si="28">L42-F42</f>
        <v>-23856.562500000015</v>
      </c>
      <c r="O42" s="152"/>
      <c r="Q42" s="201">
        <f>+SUM(START:END!Q42)</f>
        <v>47085.99</v>
      </c>
      <c r="R42" s="152"/>
      <c r="S42" s="224"/>
    </row>
    <row r="43" spans="1:40" ht="15.75" customHeight="1">
      <c r="A43" s="23" t="str">
        <f t="shared" si="1"/>
        <v>Véhicules neufsSalaires commis</v>
      </c>
      <c r="B43" s="184" t="str">
        <f t="shared" si="0"/>
        <v>Véhicules neufs</v>
      </c>
      <c r="C43" s="2" t="s">
        <v>42</v>
      </c>
      <c r="D43" s="30"/>
      <c r="F43" s="193">
        <f>+SUM(START:END!F43)</f>
        <v>44976.212000000007</v>
      </c>
      <c r="G43" s="240"/>
      <c r="I43" s="193">
        <f>+SUM(START:END!I43)</f>
        <v>0</v>
      </c>
      <c r="J43" s="152"/>
      <c r="L43" s="201">
        <f>+SUM(START:END!L43)</f>
        <v>46605.070000000007</v>
      </c>
      <c r="M43" s="152"/>
      <c r="N43" s="222">
        <f t="shared" si="28"/>
        <v>1628.8580000000002</v>
      </c>
      <c r="O43" s="152"/>
      <c r="Q43" s="201">
        <f>+SUM(START:END!Q43)</f>
        <v>29278.399999999998</v>
      </c>
      <c r="R43" s="152"/>
      <c r="S43" s="242">
        <f t="shared" ref="S43:S53" si="29">L43-Q43</f>
        <v>17326.670000000009</v>
      </c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</row>
    <row r="44" spans="1:40" ht="15.75" customHeight="1">
      <c r="A44" s="23" t="str">
        <f t="shared" si="1"/>
        <v>Véhicules neufsSalaires autres</v>
      </c>
      <c r="B44" s="184" t="str">
        <f t="shared" si="0"/>
        <v>Véhicules neufs</v>
      </c>
      <c r="C44" s="1" t="s">
        <v>43</v>
      </c>
      <c r="D44" s="52"/>
      <c r="E44" s="53"/>
      <c r="F44" s="198">
        <f>+SUM(START:END!F44)</f>
        <v>1025.5500000000002</v>
      </c>
      <c r="G44" s="256"/>
      <c r="H44" s="53"/>
      <c r="I44" s="198">
        <f>+SUM(START:END!I44)</f>
        <v>0</v>
      </c>
      <c r="J44" s="154"/>
      <c r="K44" s="53"/>
      <c r="L44" s="257">
        <f>+SUM(START:END!L44)</f>
        <v>1985.75</v>
      </c>
      <c r="M44" s="154"/>
      <c r="N44" s="258">
        <f t="shared" si="28"/>
        <v>960.19999999999982</v>
      </c>
      <c r="O44" s="154"/>
      <c r="P44" s="53"/>
      <c r="Q44" s="257">
        <f>+SUM(START:END!Q44)</f>
        <v>10858.619999999999</v>
      </c>
      <c r="R44" s="154"/>
      <c r="S44" s="259">
        <f t="shared" si="29"/>
        <v>-8872.869999999999</v>
      </c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</row>
    <row r="45" spans="1:40" ht="15.75" customHeight="1">
      <c r="A45" s="23" t="str">
        <f t="shared" si="1"/>
        <v>Véhicules neufsSalaires spécialistes</v>
      </c>
      <c r="B45" s="184" t="str">
        <f t="shared" si="0"/>
        <v>Véhicules neufs</v>
      </c>
      <c r="C45" s="1" t="s">
        <v>44</v>
      </c>
      <c r="D45" s="30"/>
      <c r="F45" s="198">
        <f>+SUM(START:END!F45)</f>
        <v>0</v>
      </c>
      <c r="G45" s="240"/>
      <c r="I45" s="198">
        <f>+SUM(START:END!I45)</f>
        <v>0</v>
      </c>
      <c r="J45" s="152"/>
      <c r="L45" s="201">
        <f>+SUM(START:END!L45)</f>
        <v>0</v>
      </c>
      <c r="M45" s="152"/>
      <c r="N45" s="222">
        <f t="shared" si="28"/>
        <v>0</v>
      </c>
      <c r="O45" s="152"/>
      <c r="Q45" s="201">
        <f>+SUM(START:END!Q45)</f>
        <v>0</v>
      </c>
      <c r="R45" s="152"/>
      <c r="S45" s="242">
        <f t="shared" si="29"/>
        <v>0</v>
      </c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</row>
    <row r="46" spans="1:40" ht="15.75" hidden="1" customHeight="1">
      <c r="A46" s="23" t="str">
        <f t="shared" si="1"/>
        <v>Véhicules neufs[...]</v>
      </c>
      <c r="B46" s="184" t="str">
        <f t="shared" si="0"/>
        <v>Véhicules neufs</v>
      </c>
      <c r="C46" s="1" t="s">
        <v>20</v>
      </c>
      <c r="D46" s="30"/>
      <c r="F46" s="198">
        <f>+SUM(START:END!F46)</f>
        <v>0</v>
      </c>
      <c r="G46" s="240"/>
      <c r="I46" s="198">
        <f>+SUM(START:END!I46)</f>
        <v>0</v>
      </c>
      <c r="J46" s="152"/>
      <c r="L46" s="201">
        <f>+SUM(START:END!L46)</f>
        <v>0</v>
      </c>
      <c r="M46" s="152"/>
      <c r="N46" s="222">
        <f t="shared" si="28"/>
        <v>0</v>
      </c>
      <c r="O46" s="152"/>
      <c r="Q46" s="201">
        <f>+SUM(START:END!Q46)</f>
        <v>0</v>
      </c>
      <c r="R46" s="152"/>
      <c r="S46" s="242">
        <f t="shared" si="29"/>
        <v>0</v>
      </c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</row>
    <row r="47" spans="1:40" ht="15.75" hidden="1" customHeight="1">
      <c r="A47" s="23" t="str">
        <f t="shared" si="1"/>
        <v>Véhicules neufs[...]</v>
      </c>
      <c r="B47" s="184" t="str">
        <f t="shared" si="0"/>
        <v>Véhicules neufs</v>
      </c>
      <c r="C47" s="1" t="s">
        <v>20</v>
      </c>
      <c r="D47" s="30"/>
      <c r="F47" s="198">
        <f>+SUM(START:END!F47)</f>
        <v>0</v>
      </c>
      <c r="G47" s="240"/>
      <c r="I47" s="198">
        <f>+SUM(START:END!I47)</f>
        <v>0</v>
      </c>
      <c r="J47" s="152"/>
      <c r="L47" s="201">
        <f>+SUM(START:END!L47)</f>
        <v>0</v>
      </c>
      <c r="M47" s="152"/>
      <c r="N47" s="222">
        <f t="shared" si="28"/>
        <v>0</v>
      </c>
      <c r="O47" s="152"/>
      <c r="Q47" s="201">
        <f>+SUM(START:END!Q47)</f>
        <v>0</v>
      </c>
      <c r="R47" s="152"/>
      <c r="S47" s="242">
        <f t="shared" si="29"/>
        <v>0</v>
      </c>
      <c r="V47" s="184"/>
      <c r="W47" s="184"/>
      <c r="X47" s="184"/>
      <c r="Y47" s="184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  <c r="AN47" s="184"/>
    </row>
    <row r="48" spans="1:40" ht="15.75" hidden="1" customHeight="1">
      <c r="A48" s="23" t="str">
        <f t="shared" si="1"/>
        <v>Véhicules neufs[...]</v>
      </c>
      <c r="B48" s="184" t="str">
        <f t="shared" si="0"/>
        <v>Véhicules neufs</v>
      </c>
      <c r="C48" s="1" t="s">
        <v>20</v>
      </c>
      <c r="D48" s="30"/>
      <c r="F48" s="198">
        <f>+SUM(START:END!F48)</f>
        <v>0</v>
      </c>
      <c r="G48" s="240"/>
      <c r="I48" s="198">
        <f>+SUM(START:END!I48)</f>
        <v>0</v>
      </c>
      <c r="J48" s="152"/>
      <c r="L48" s="201">
        <f>+SUM(START:END!L48)</f>
        <v>0</v>
      </c>
      <c r="M48" s="152"/>
      <c r="N48" s="222">
        <f t="shared" si="28"/>
        <v>0</v>
      </c>
      <c r="O48" s="152"/>
      <c r="Q48" s="201">
        <f>+SUM(START:END!Q48)</f>
        <v>0</v>
      </c>
      <c r="R48" s="152"/>
      <c r="S48" s="242">
        <f t="shared" si="29"/>
        <v>0</v>
      </c>
      <c r="V48" s="184"/>
      <c r="W48" s="184"/>
      <c r="X48" s="184"/>
      <c r="Y48" s="184"/>
      <c r="Z48" s="184"/>
      <c r="AA48" s="184"/>
      <c r="AB48" s="184"/>
      <c r="AC48" s="184"/>
      <c r="AD48" s="184"/>
      <c r="AE48" s="184"/>
      <c r="AF48" s="184"/>
      <c r="AG48" s="184"/>
      <c r="AH48" s="184"/>
      <c r="AI48" s="184"/>
      <c r="AJ48" s="184"/>
      <c r="AK48" s="184"/>
      <c r="AL48" s="184"/>
      <c r="AM48" s="184"/>
      <c r="AN48" s="184"/>
    </row>
    <row r="49" spans="1:40" ht="15.75" customHeight="1">
      <c r="A49" s="23" t="str">
        <f t="shared" si="1"/>
        <v>Véhicules neufsSalaires en absences</v>
      </c>
      <c r="B49" s="184" t="str">
        <f t="shared" si="0"/>
        <v>Véhicules neufs</v>
      </c>
      <c r="C49" s="2" t="s">
        <v>45</v>
      </c>
      <c r="D49" s="30"/>
      <c r="F49" s="193">
        <f>+SUM(START:END!F49)</f>
        <v>37058.04429157258</v>
      </c>
      <c r="G49" s="240"/>
      <c r="I49" s="193">
        <f>+SUM(START:END!I49)</f>
        <v>0</v>
      </c>
      <c r="J49" s="152"/>
      <c r="L49" s="193">
        <f>+SUM(START:END!L49)</f>
        <v>30191.68</v>
      </c>
      <c r="M49" s="152"/>
      <c r="N49" s="222">
        <f t="shared" si="28"/>
        <v>-6866.3642915725795</v>
      </c>
      <c r="O49" s="152"/>
      <c r="Q49" s="193">
        <f>+SUM(START:END!Q49)</f>
        <v>33105.560000000005</v>
      </c>
      <c r="R49" s="152"/>
      <c r="S49" s="242">
        <f t="shared" si="29"/>
        <v>-2913.8800000000047</v>
      </c>
    </row>
    <row r="50" spans="1:40" ht="15.75" customHeight="1">
      <c r="A50" s="23" t="str">
        <f t="shared" si="1"/>
        <v>Véhicules neufsDéduction à la source</v>
      </c>
      <c r="B50" s="184" t="str">
        <f t="shared" si="0"/>
        <v>Véhicules neufs</v>
      </c>
      <c r="C50" s="1" t="s">
        <v>46</v>
      </c>
      <c r="D50" s="52"/>
      <c r="E50" s="53"/>
      <c r="F50" s="198">
        <f>+SUM(START:END!F50)</f>
        <v>45057.357817066229</v>
      </c>
      <c r="G50" s="256"/>
      <c r="H50" s="53"/>
      <c r="I50" s="198">
        <f>+SUM(START:END!I50)</f>
        <v>0</v>
      </c>
      <c r="J50" s="154"/>
      <c r="K50" s="53"/>
      <c r="L50" s="201">
        <f>+SUM(START:END!L50)</f>
        <v>42430.04</v>
      </c>
      <c r="M50" s="154"/>
      <c r="N50" s="258">
        <f t="shared" si="28"/>
        <v>-2627.3178170662286</v>
      </c>
      <c r="O50" s="154"/>
      <c r="P50" s="53"/>
      <c r="Q50" s="201">
        <f>+SUM(START:END!Q50)</f>
        <v>41492.800000000003</v>
      </c>
      <c r="R50" s="154"/>
      <c r="S50" s="259">
        <f t="shared" si="29"/>
        <v>937.23999999999796</v>
      </c>
    </row>
    <row r="51" spans="1:40" ht="15.75" customHeight="1">
      <c r="A51" s="23" t="str">
        <f t="shared" si="1"/>
        <v>Véhicules neufsBénéfices marginaux</v>
      </c>
      <c r="B51" s="184" t="str">
        <f t="shared" si="0"/>
        <v>Véhicules neufs</v>
      </c>
      <c r="C51" s="1" t="s">
        <v>47</v>
      </c>
      <c r="D51" s="30"/>
      <c r="F51" s="198">
        <f>+SUM(START:END!F51)</f>
        <v>23214.334353575421</v>
      </c>
      <c r="G51" s="240"/>
      <c r="I51" s="198">
        <f>+SUM(START:END!I51)</f>
        <v>0</v>
      </c>
      <c r="J51" s="152"/>
      <c r="L51" s="201">
        <f>+SUM(START:END!L51)</f>
        <v>17716.939999999999</v>
      </c>
      <c r="M51" s="152"/>
      <c r="N51" s="222">
        <f t="shared" si="28"/>
        <v>-5497.3943535754224</v>
      </c>
      <c r="O51" s="152"/>
      <c r="Q51" s="201">
        <f>+SUM(START:END!Q51)</f>
        <v>22406.799999999999</v>
      </c>
      <c r="R51" s="152"/>
      <c r="S51" s="242">
        <f t="shared" si="29"/>
        <v>-4689.8600000000006</v>
      </c>
    </row>
    <row r="52" spans="1:40" ht="15.75" customHeight="1">
      <c r="A52" s="23" t="str">
        <f t="shared" si="1"/>
        <v>Véhicules neufsCsst</v>
      </c>
      <c r="B52" s="184" t="str">
        <f t="shared" si="0"/>
        <v>Véhicules neufs</v>
      </c>
      <c r="C52" s="1" t="s">
        <v>48</v>
      </c>
      <c r="D52" s="30"/>
      <c r="F52" s="198">
        <f>+SUM(START:END!F52)</f>
        <v>10121.580379196035</v>
      </c>
      <c r="G52" s="240"/>
      <c r="I52" s="198">
        <f>+SUM(START:END!I52)</f>
        <v>0</v>
      </c>
      <c r="J52" s="152"/>
      <c r="L52" s="201">
        <f>+SUM(START:END!L52)</f>
        <v>8748.1899999999987</v>
      </c>
      <c r="M52" s="152"/>
      <c r="N52" s="222">
        <f t="shared" si="28"/>
        <v>-1373.3903791960365</v>
      </c>
      <c r="O52" s="152"/>
      <c r="Q52" s="201">
        <f>+SUM(START:END!Q52)</f>
        <v>7733.97</v>
      </c>
      <c r="R52" s="152"/>
      <c r="S52" s="242">
        <f t="shared" si="29"/>
        <v>1014.2199999999984</v>
      </c>
    </row>
    <row r="53" spans="1:40" ht="15.75" hidden="1" customHeight="1">
      <c r="A53" s="23" t="str">
        <f t="shared" si="1"/>
        <v>Véhicules neufs[...]</v>
      </c>
      <c r="B53" s="184" t="str">
        <f t="shared" si="0"/>
        <v>Véhicules neufs</v>
      </c>
      <c r="C53" s="1" t="s">
        <v>20</v>
      </c>
      <c r="D53" s="34"/>
      <c r="E53" s="7"/>
      <c r="F53" s="198">
        <f>+SUM(START:END!F53)</f>
        <v>0</v>
      </c>
      <c r="G53" s="244"/>
      <c r="H53" s="7"/>
      <c r="I53" s="198">
        <f>+SUM(START:END!I53)</f>
        <v>0</v>
      </c>
      <c r="J53" s="153"/>
      <c r="K53" s="7"/>
      <c r="L53" s="201">
        <f>+SUM(START:END!L53)</f>
        <v>0</v>
      </c>
      <c r="M53" s="153"/>
      <c r="N53" s="247">
        <f t="shared" si="27"/>
        <v>0</v>
      </c>
      <c r="O53" s="153"/>
      <c r="P53" s="7"/>
      <c r="Q53" s="201">
        <f>+SUM(START:END!Q53)</f>
        <v>0</v>
      </c>
      <c r="R53" s="153"/>
      <c r="S53" s="248">
        <f t="shared" si="29"/>
        <v>0</v>
      </c>
    </row>
    <row r="54" spans="1:40" ht="15.75" customHeight="1">
      <c r="A54" s="23" t="str">
        <f t="shared" si="1"/>
        <v>Véhicules neufsTOTAL PERSONNEL</v>
      </c>
      <c r="B54" s="184" t="str">
        <f t="shared" si="0"/>
        <v>Véhicules neufs</v>
      </c>
      <c r="C54" s="40" t="s">
        <v>49</v>
      </c>
      <c r="D54" s="250" t="s">
        <v>39</v>
      </c>
      <c r="E54" s="42">
        <f>F54/F$27</f>
        <v>0.31022169742722988</v>
      </c>
      <c r="F54" s="251">
        <f>+SUM(F42:F53)</f>
        <v>238846.59134141027</v>
      </c>
      <c r="G54" s="252" t="s">
        <v>39</v>
      </c>
      <c r="H54" s="42" t="e">
        <f>I54/I$27</f>
        <v>#DIV/0!</v>
      </c>
      <c r="I54" s="251">
        <f>+SUM(I42:I53)</f>
        <v>0</v>
      </c>
      <c r="J54" s="252" t="s">
        <v>39</v>
      </c>
      <c r="K54" s="42">
        <f>L54/L$27</f>
        <v>0.29106337906018548</v>
      </c>
      <c r="L54" s="251">
        <f>+SUM(L42:L53)</f>
        <v>201214.62000000002</v>
      </c>
      <c r="M54" s="254"/>
      <c r="N54" s="251">
        <f>+SUM(N42:N53)</f>
        <v>-37631.971341410273</v>
      </c>
      <c r="O54" s="252" t="s">
        <v>39</v>
      </c>
      <c r="P54" s="42">
        <f>Q54/Q$27</f>
        <v>0.28472916159825523</v>
      </c>
      <c r="Q54" s="251">
        <f>+SUM(Q42:Q53)</f>
        <v>191962.13999999998</v>
      </c>
      <c r="R54" s="254"/>
      <c r="S54" s="255">
        <f>+SUM(S42:S53)</f>
        <v>2801.5200000000013</v>
      </c>
      <c r="T54" s="26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4"/>
      <c r="AI54" s="184"/>
      <c r="AJ54" s="184"/>
      <c r="AK54" s="184"/>
      <c r="AL54" s="184"/>
      <c r="AM54" s="184"/>
      <c r="AN54" s="184"/>
    </row>
    <row r="55" spans="1:40" ht="15.75" customHeight="1">
      <c r="A55" s="23" t="str">
        <f t="shared" si="1"/>
        <v>Véhicules neufsPublicité 2</v>
      </c>
      <c r="B55" s="184" t="str">
        <f t="shared" si="0"/>
        <v>Véhicules neufs</v>
      </c>
      <c r="C55" s="1" t="s">
        <v>50</v>
      </c>
      <c r="D55" s="30"/>
      <c r="F55" s="198">
        <f>+SUM(START:END!F55)</f>
        <v>0</v>
      </c>
      <c r="G55" s="240"/>
      <c r="I55" s="198">
        <f>+SUM(START:END!I55)</f>
        <v>0</v>
      </c>
      <c r="J55" s="152"/>
      <c r="L55" s="201">
        <f>+SUM(START:END!L55)</f>
        <v>0</v>
      </c>
      <c r="M55" s="152"/>
      <c r="N55" s="222">
        <f t="shared" ref="N55:N68" si="30">L55-F55</f>
        <v>0</v>
      </c>
      <c r="O55" s="152"/>
      <c r="Q55" s="201">
        <f>+SUM(START:END!Q55)</f>
        <v>0</v>
      </c>
      <c r="R55" s="152"/>
      <c r="S55" s="242">
        <f t="shared" ref="S55:S71" si="31">L55-Q55</f>
        <v>0</v>
      </c>
      <c r="T55" s="26"/>
      <c r="V55" s="184"/>
      <c r="W55" s="184"/>
      <c r="X55" s="184"/>
      <c r="Y55" s="184"/>
      <c r="Z55" s="184"/>
      <c r="AA55" s="184"/>
      <c r="AB55" s="184"/>
      <c r="AC55" s="184"/>
      <c r="AD55" s="184"/>
      <c r="AE55" s="184"/>
      <c r="AF55" s="184"/>
      <c r="AG55" s="184"/>
      <c r="AH55" s="184"/>
      <c r="AI55" s="184"/>
      <c r="AJ55" s="184"/>
      <c r="AK55" s="184"/>
      <c r="AL55" s="184"/>
      <c r="AM55" s="184"/>
      <c r="AN55" s="184"/>
    </row>
    <row r="56" spans="1:40" ht="15.75" customHeight="1">
      <c r="A56" s="23" t="str">
        <f t="shared" si="1"/>
        <v>Véhicules neufsService gratuit 2</v>
      </c>
      <c r="B56" s="184" t="str">
        <f t="shared" si="0"/>
        <v>Véhicules neufs</v>
      </c>
      <c r="C56" s="1" t="s">
        <v>51</v>
      </c>
      <c r="D56" s="30"/>
      <c r="F56" s="198">
        <f>+SUM(START:END!F56)</f>
        <v>0</v>
      </c>
      <c r="G56" s="240"/>
      <c r="I56" s="198">
        <f>+SUM(START:END!I56)</f>
        <v>0</v>
      </c>
      <c r="J56" s="152"/>
      <c r="L56" s="201">
        <f>+SUM(START:END!L56)</f>
        <v>0</v>
      </c>
      <c r="M56" s="152"/>
      <c r="N56" s="222">
        <f t="shared" si="30"/>
        <v>0</v>
      </c>
      <c r="O56" s="152"/>
      <c r="Q56" s="201">
        <f>+SUM(START:END!Q56)</f>
        <v>0</v>
      </c>
      <c r="R56" s="152"/>
      <c r="S56" s="242">
        <f t="shared" si="31"/>
        <v>0</v>
      </c>
      <c r="T56" s="26"/>
      <c r="V56" s="184"/>
      <c r="W56" s="184"/>
      <c r="X56" s="184"/>
      <c r="Y56" s="184"/>
      <c r="Z56" s="184"/>
      <c r="AA56" s="184"/>
      <c r="AB56" s="184"/>
      <c r="AC56" s="184"/>
      <c r="AD56" s="184"/>
      <c r="AE56" s="184"/>
      <c r="AF56" s="184"/>
      <c r="AG56" s="184"/>
      <c r="AH56" s="184"/>
      <c r="AI56" s="184"/>
      <c r="AJ56" s="184"/>
      <c r="AK56" s="184"/>
      <c r="AL56" s="184"/>
      <c r="AM56" s="184"/>
      <c r="AN56" s="184"/>
    </row>
    <row r="57" spans="1:40" ht="15.75" customHeight="1">
      <c r="A57" s="23" t="str">
        <f t="shared" si="1"/>
        <v>Véhicules neufsFrais véhicules de cie</v>
      </c>
      <c r="B57" s="184" t="str">
        <f t="shared" si="0"/>
        <v>Véhicules neufs</v>
      </c>
      <c r="C57" s="2" t="s">
        <v>52</v>
      </c>
      <c r="D57" s="34"/>
      <c r="E57" s="7"/>
      <c r="F57" s="193">
        <f>+SUM(START:END!F57)</f>
        <v>26857.643799999998</v>
      </c>
      <c r="G57" s="244"/>
      <c r="H57" s="7"/>
      <c r="I57" s="193">
        <f>+SUM(START:END!I57)</f>
        <v>0</v>
      </c>
      <c r="J57" s="153"/>
      <c r="K57" s="7"/>
      <c r="L57" s="193">
        <f>+SUM(START:END!L57)</f>
        <v>19079.439999999999</v>
      </c>
      <c r="M57" s="153"/>
      <c r="N57" s="247">
        <f t="shared" si="30"/>
        <v>-7778.2037999999993</v>
      </c>
      <c r="O57" s="153"/>
      <c r="P57" s="7"/>
      <c r="Q57" s="193">
        <f>+SUM(START:END!Q57)</f>
        <v>28886.61</v>
      </c>
      <c r="R57" s="153"/>
      <c r="S57" s="248">
        <f t="shared" si="31"/>
        <v>-9807.1700000000019</v>
      </c>
      <c r="T57" s="87"/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4"/>
      <c r="AH57" s="184"/>
      <c r="AI57" s="184"/>
      <c r="AJ57" s="184"/>
      <c r="AK57" s="184"/>
      <c r="AL57" s="184"/>
      <c r="AM57" s="184"/>
      <c r="AN57" s="184"/>
    </row>
    <row r="58" spans="1:40" ht="15.75" customHeight="1">
      <c r="A58" s="23" t="str">
        <f t="shared" si="1"/>
        <v>Véhicules neufsInformatique</v>
      </c>
      <c r="B58" s="184" t="str">
        <f t="shared" si="0"/>
        <v>Véhicules neufs</v>
      </c>
      <c r="C58" s="1" t="s">
        <v>53</v>
      </c>
      <c r="D58" s="30"/>
      <c r="F58" s="198">
        <f>+SUM(START:END!F58)</f>
        <v>23882.984275546671</v>
      </c>
      <c r="G58" s="240"/>
      <c r="I58" s="198">
        <f>+SUM(START:END!I58)</f>
        <v>0</v>
      </c>
      <c r="J58" s="152"/>
      <c r="L58" s="201">
        <f>+SUM(START:END!L58)</f>
        <v>23535.16</v>
      </c>
      <c r="M58" s="152"/>
      <c r="N58" s="222">
        <f t="shared" si="30"/>
        <v>-347.82427554667083</v>
      </c>
      <c r="O58" s="152"/>
      <c r="Q58" s="201">
        <f>+SUM(START:END!Q58)</f>
        <v>23510.29</v>
      </c>
      <c r="R58" s="152"/>
      <c r="S58" s="242">
        <f t="shared" si="31"/>
        <v>24.869999999998981</v>
      </c>
      <c r="T58" s="26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4"/>
    </row>
    <row r="59" spans="1:40" ht="15.75" customHeight="1">
      <c r="A59" s="23" t="str">
        <f t="shared" si="1"/>
        <v>Véhicules neufsFrais de déplacement</v>
      </c>
      <c r="B59" s="184" t="str">
        <f t="shared" si="0"/>
        <v>Véhicules neufs</v>
      </c>
      <c r="C59" s="1" t="s">
        <v>54</v>
      </c>
      <c r="D59" s="30"/>
      <c r="F59" s="198">
        <f>+SUM(START:END!F59)</f>
        <v>3800.0925025889419</v>
      </c>
      <c r="G59" s="240"/>
      <c r="I59" s="198">
        <f>+SUM(START:END!I59)</f>
        <v>0</v>
      </c>
      <c r="J59" s="152"/>
      <c r="L59" s="201">
        <f>+SUM(START:END!L59)</f>
        <v>4137.0199999999995</v>
      </c>
      <c r="M59" s="152"/>
      <c r="N59" s="222">
        <f t="shared" si="30"/>
        <v>336.92749741105763</v>
      </c>
      <c r="O59" s="152"/>
      <c r="Q59" s="201">
        <f>+SUM(START:END!Q59)</f>
        <v>4582.91</v>
      </c>
      <c r="R59" s="152"/>
      <c r="S59" s="242">
        <f t="shared" si="31"/>
        <v>-445.89000000000033</v>
      </c>
      <c r="V59" s="184"/>
      <c r="W59" s="184"/>
      <c r="X59" s="184"/>
      <c r="Y59" s="184"/>
      <c r="Z59" s="184"/>
      <c r="AA59" s="184"/>
      <c r="AB59" s="184"/>
      <c r="AC59" s="184"/>
      <c r="AD59" s="184"/>
      <c r="AE59" s="184"/>
      <c r="AF59" s="184"/>
      <c r="AG59" s="184"/>
      <c r="AH59" s="184"/>
      <c r="AI59" s="184"/>
      <c r="AJ59" s="184"/>
      <c r="AK59" s="184"/>
      <c r="AL59" s="184"/>
      <c r="AM59" s="184"/>
      <c r="AN59" s="184"/>
    </row>
    <row r="60" spans="1:40" ht="15.75" customHeight="1">
      <c r="A60" s="23" t="str">
        <f t="shared" si="1"/>
        <v>Véhicules neufsServices extérieurs</v>
      </c>
      <c r="B60" s="184" t="str">
        <f t="shared" si="0"/>
        <v>Véhicules neufs</v>
      </c>
      <c r="C60" s="2" t="s">
        <v>55</v>
      </c>
      <c r="D60" s="34"/>
      <c r="E60" s="7"/>
      <c r="F60" s="193">
        <f>+SUM(START:END!F60)</f>
        <v>21647.22217076259</v>
      </c>
      <c r="G60" s="244"/>
      <c r="H60" s="7"/>
      <c r="I60" s="193">
        <f>+SUM(START:END!I60)</f>
        <v>0</v>
      </c>
      <c r="J60" s="153"/>
      <c r="K60" s="7"/>
      <c r="L60" s="193">
        <f>+SUM(START:END!L60)</f>
        <v>25168.73</v>
      </c>
      <c r="M60" s="153"/>
      <c r="N60" s="247">
        <f t="shared" si="30"/>
        <v>3521.5078292374092</v>
      </c>
      <c r="O60" s="153"/>
      <c r="P60" s="7"/>
      <c r="Q60" s="193">
        <f>+SUM(START:END!Q60)</f>
        <v>23509.83</v>
      </c>
      <c r="R60" s="153"/>
      <c r="S60" s="248">
        <f t="shared" si="31"/>
        <v>1658.8999999999978</v>
      </c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</row>
    <row r="61" spans="1:40" ht="15.75" customHeight="1">
      <c r="A61" s="23" t="str">
        <f t="shared" si="1"/>
        <v>Véhicules neufsFournitures autres</v>
      </c>
      <c r="B61" s="184" t="str">
        <f t="shared" si="0"/>
        <v>Véhicules neufs</v>
      </c>
      <c r="C61" s="1" t="s">
        <v>56</v>
      </c>
      <c r="D61" s="30"/>
      <c r="F61" s="198">
        <f>+SUM(START:END!F61)</f>
        <v>291.77200000000005</v>
      </c>
      <c r="G61" s="240"/>
      <c r="I61" s="198">
        <f>+SUM(START:END!I61)</f>
        <v>0</v>
      </c>
      <c r="J61" s="152"/>
      <c r="L61" s="201">
        <f>+SUM(START:END!L61)</f>
        <v>51.3</v>
      </c>
      <c r="M61" s="152"/>
      <c r="N61" s="222">
        <f t="shared" si="30"/>
        <v>-240.47200000000004</v>
      </c>
      <c r="O61" s="152"/>
      <c r="Q61" s="201">
        <f>+SUM(START:END!Q61)</f>
        <v>313.71000000000004</v>
      </c>
      <c r="R61" s="152"/>
      <c r="S61" s="242">
        <f t="shared" si="31"/>
        <v>-262.41000000000003</v>
      </c>
    </row>
    <row r="62" spans="1:40" ht="15.75" customHeight="1">
      <c r="A62" s="23" t="str">
        <f t="shared" si="1"/>
        <v>Véhicules neufsUniformes</v>
      </c>
      <c r="B62" s="184" t="str">
        <f t="shared" si="0"/>
        <v>Véhicules neufs</v>
      </c>
      <c r="C62" s="1" t="s">
        <v>57</v>
      </c>
      <c r="D62" s="30"/>
      <c r="F62" s="198">
        <f>+SUM(START:END!F62)</f>
        <v>85</v>
      </c>
      <c r="G62" s="240"/>
      <c r="I62" s="198">
        <f>+SUM(START:END!I62)</f>
        <v>0</v>
      </c>
      <c r="J62" s="152"/>
      <c r="L62" s="201">
        <f>+SUM(START:END!L62)</f>
        <v>0</v>
      </c>
      <c r="M62" s="152"/>
      <c r="N62" s="222">
        <f t="shared" si="30"/>
        <v>-85</v>
      </c>
      <c r="O62" s="152"/>
      <c r="Q62" s="201">
        <f>+SUM(START:END!Q62)</f>
        <v>0</v>
      </c>
      <c r="R62" s="152"/>
      <c r="S62" s="242">
        <f t="shared" si="31"/>
        <v>0</v>
      </c>
    </row>
    <row r="63" spans="1:40" ht="15.75" customHeight="1">
      <c r="A63" s="23" t="str">
        <f t="shared" si="1"/>
        <v>Véhicules neufsPapeterie</v>
      </c>
      <c r="B63" s="184" t="str">
        <f t="shared" si="0"/>
        <v>Véhicules neufs</v>
      </c>
      <c r="C63" s="1" t="s">
        <v>58</v>
      </c>
      <c r="D63" s="30"/>
      <c r="F63" s="198">
        <f>+SUM(START:END!F63)</f>
        <v>2224.2926840073601</v>
      </c>
      <c r="G63" s="240"/>
      <c r="I63" s="198">
        <f>+SUM(START:END!I63)</f>
        <v>0</v>
      </c>
      <c r="J63" s="152"/>
      <c r="L63" s="200">
        <f>+SUM(START:END!L63)</f>
        <v>817.61000000000013</v>
      </c>
      <c r="M63" s="152"/>
      <c r="N63" s="222">
        <f t="shared" si="30"/>
        <v>-1406.68268400736</v>
      </c>
      <c r="O63" s="152"/>
      <c r="Q63" s="200">
        <f>+SUM(START:END!Q63)</f>
        <v>2359.9399999999996</v>
      </c>
      <c r="R63" s="152"/>
      <c r="S63" s="242">
        <f t="shared" si="31"/>
        <v>-1542.3299999999995</v>
      </c>
    </row>
    <row r="64" spans="1:40" ht="15.75" customHeight="1">
      <c r="A64" s="23" t="str">
        <f t="shared" si="1"/>
        <v>Véhicules neufsTéléphone</v>
      </c>
      <c r="B64" s="184" t="str">
        <f t="shared" si="0"/>
        <v>Véhicules neufs</v>
      </c>
      <c r="C64" s="1" t="s">
        <v>59</v>
      </c>
      <c r="D64" s="30"/>
      <c r="F64" s="198">
        <f>+SUM(START:END!F64)</f>
        <v>1034.4059547539466</v>
      </c>
      <c r="G64" s="240"/>
      <c r="I64" s="198">
        <f>+SUM(START:END!I64)</f>
        <v>0</v>
      </c>
      <c r="J64" s="152"/>
      <c r="L64" s="201">
        <f>+SUM(START:END!L64)</f>
        <v>1091.77</v>
      </c>
      <c r="M64" s="152"/>
      <c r="N64" s="222">
        <f t="shared" si="30"/>
        <v>57.364045246053365</v>
      </c>
      <c r="O64" s="152"/>
      <c r="Q64" s="201">
        <f>+SUM(START:END!Q64)</f>
        <v>1117.6199999999999</v>
      </c>
      <c r="R64" s="152"/>
      <c r="S64" s="242">
        <f t="shared" si="31"/>
        <v>-25.849999999999909</v>
      </c>
    </row>
    <row r="65" spans="1:40" ht="15.75" customHeight="1">
      <c r="A65" s="23" t="str">
        <f t="shared" si="1"/>
        <v>Véhicules neufsFrais postaux</v>
      </c>
      <c r="B65" s="184" t="str">
        <f t="shared" si="0"/>
        <v>Véhicules neufs</v>
      </c>
      <c r="C65" s="1" t="s">
        <v>60</v>
      </c>
      <c r="D65" s="30"/>
      <c r="F65" s="198">
        <f>+SUM(START:END!F65)</f>
        <v>308.46718610525329</v>
      </c>
      <c r="G65" s="240"/>
      <c r="I65" s="198">
        <f>+SUM(START:END!I65)</f>
        <v>0</v>
      </c>
      <c r="J65" s="152"/>
      <c r="L65" s="201">
        <f>+SUM(START:END!L65)</f>
        <v>210.94</v>
      </c>
      <c r="M65" s="152"/>
      <c r="N65" s="222">
        <f t="shared" si="30"/>
        <v>-97.527186105253293</v>
      </c>
      <c r="O65" s="152"/>
      <c r="Q65" s="201">
        <f>+SUM(START:END!Q65)</f>
        <v>76.48</v>
      </c>
      <c r="R65" s="152"/>
      <c r="S65" s="242">
        <f t="shared" si="31"/>
        <v>134.45999999999998</v>
      </c>
    </row>
    <row r="66" spans="1:40" ht="15.75" customHeight="1">
      <c r="A66" s="23" t="str">
        <f t="shared" si="1"/>
        <v>Véhicules neufsDivers</v>
      </c>
      <c r="B66" s="184" t="str">
        <f t="shared" si="0"/>
        <v>Véhicules neufs</v>
      </c>
      <c r="C66" s="1" t="s">
        <v>61</v>
      </c>
      <c r="D66" s="30"/>
      <c r="F66" s="198">
        <f>+SUM(START:END!F66)</f>
        <v>603.51115550381337</v>
      </c>
      <c r="G66" s="240"/>
      <c r="I66" s="198">
        <f>+SUM(START:END!I66)</f>
        <v>0</v>
      </c>
      <c r="J66" s="152"/>
      <c r="L66" s="201">
        <f>+SUM(START:END!L66)</f>
        <v>260.15999999999997</v>
      </c>
      <c r="M66" s="152"/>
      <c r="N66" s="222">
        <f t="shared" si="30"/>
        <v>-343.3511555038134</v>
      </c>
      <c r="O66" s="152"/>
      <c r="Q66" s="201">
        <f>+SUM(START:END!Q66)</f>
        <v>392.96999999999997</v>
      </c>
      <c r="R66" s="152"/>
      <c r="S66" s="242">
        <f t="shared" si="31"/>
        <v>-132.81</v>
      </c>
    </row>
    <row r="67" spans="1:40" ht="15.75" customHeight="1">
      <c r="A67" s="23" t="str">
        <f t="shared" si="1"/>
        <v>Véhicules neufsFormation</v>
      </c>
      <c r="B67" s="184" t="str">
        <f t="shared" si="0"/>
        <v>Véhicules neufs</v>
      </c>
      <c r="C67" s="1" t="s">
        <v>62</v>
      </c>
      <c r="D67" s="30"/>
      <c r="F67" s="198">
        <f>+SUM(START:END!F67)</f>
        <v>5804.1187499999987</v>
      </c>
      <c r="G67" s="240"/>
      <c r="I67" s="198">
        <f>+SUM(START:END!I67)</f>
        <v>0</v>
      </c>
      <c r="J67" s="152"/>
      <c r="L67" s="201">
        <f>+SUM(START:END!L67)</f>
        <v>5356.67</v>
      </c>
      <c r="M67" s="152"/>
      <c r="N67" s="222">
        <f t="shared" si="30"/>
        <v>-447.44874999999865</v>
      </c>
      <c r="O67" s="152"/>
      <c r="Q67" s="201">
        <f>+SUM(START:END!Q67)</f>
        <v>9740.5999999999985</v>
      </c>
      <c r="R67" s="152"/>
      <c r="S67" s="242">
        <f t="shared" si="31"/>
        <v>-4383.9299999999985</v>
      </c>
    </row>
    <row r="68" spans="1:40" ht="15.75" customHeight="1">
      <c r="A68" s="23" t="str">
        <f t="shared" si="1"/>
        <v>Véhicules neufsFrais bancaires</v>
      </c>
      <c r="B68" s="184" t="str">
        <f t="shared" si="0"/>
        <v>Véhicules neufs</v>
      </c>
      <c r="C68" s="1" t="s">
        <v>63</v>
      </c>
      <c r="D68" s="30"/>
      <c r="F68" s="198">
        <f>+SUM(START:END!F68)</f>
        <v>10678.051682479581</v>
      </c>
      <c r="G68" s="240"/>
      <c r="I68" s="198">
        <f>+SUM(START:END!I68)</f>
        <v>0</v>
      </c>
      <c r="J68" s="152"/>
      <c r="L68" s="200">
        <f>+SUM(START:END!L68)</f>
        <v>11935.27</v>
      </c>
      <c r="M68" s="152"/>
      <c r="N68" s="222">
        <f t="shared" si="30"/>
        <v>1257.2183175204191</v>
      </c>
      <c r="O68" s="152"/>
      <c r="Q68" s="201">
        <f>+SUM(START:END!Q68)</f>
        <v>10562.140000000001</v>
      </c>
      <c r="R68" s="152"/>
      <c r="S68" s="242">
        <f t="shared" si="31"/>
        <v>1373.1299999999992</v>
      </c>
    </row>
    <row r="69" spans="1:40" ht="15.75" hidden="1" customHeight="1">
      <c r="A69" s="23" t="str">
        <f t="shared" si="1"/>
        <v>Véhicules neufs[...]</v>
      </c>
      <c r="B69" s="184" t="str">
        <f t="shared" si="0"/>
        <v>Véhicules neufs</v>
      </c>
      <c r="C69" s="1" t="s">
        <v>20</v>
      </c>
      <c r="D69" s="30"/>
      <c r="F69" s="198">
        <f>+SUM(START:END!F69)</f>
        <v>0</v>
      </c>
      <c r="G69" s="240"/>
      <c r="I69" s="198">
        <f>+SUM(START:END!I69)</f>
        <v>0</v>
      </c>
      <c r="J69" s="152"/>
      <c r="L69" s="201">
        <f>+SUM(START:END!L69)</f>
        <v>0</v>
      </c>
      <c r="M69" s="152"/>
      <c r="N69" s="222">
        <f t="shared" ref="N69:N71" si="32">L69-I69</f>
        <v>0</v>
      </c>
      <c r="O69" s="152"/>
      <c r="Q69" s="201">
        <f>+SUM(START:END!Q69)</f>
        <v>0</v>
      </c>
      <c r="R69" s="152"/>
      <c r="S69" s="242">
        <f t="shared" si="31"/>
        <v>0</v>
      </c>
    </row>
    <row r="70" spans="1:40" ht="15.75" hidden="1" customHeight="1">
      <c r="A70" s="23" t="str">
        <f t="shared" si="1"/>
        <v>Véhicules neufs[...]</v>
      </c>
      <c r="B70" s="184" t="str">
        <f t="shared" si="0"/>
        <v>Véhicules neufs</v>
      </c>
      <c r="C70" s="1" t="s">
        <v>20</v>
      </c>
      <c r="D70" s="30"/>
      <c r="F70" s="198">
        <f>+SUM(START:END!F70)</f>
        <v>0</v>
      </c>
      <c r="G70" s="240"/>
      <c r="I70" s="198">
        <f>+SUM(START:END!I70)</f>
        <v>0</v>
      </c>
      <c r="J70" s="152"/>
      <c r="L70" s="201">
        <f>+SUM(START:END!L70)</f>
        <v>0</v>
      </c>
      <c r="M70" s="152"/>
      <c r="N70" s="222">
        <f t="shared" si="32"/>
        <v>0</v>
      </c>
      <c r="O70" s="152"/>
      <c r="Q70" s="201">
        <f>+SUM(START:END!Q70)</f>
        <v>0</v>
      </c>
      <c r="R70" s="152"/>
      <c r="S70" s="242">
        <f t="shared" si="31"/>
        <v>0</v>
      </c>
    </row>
    <row r="71" spans="1:40" ht="15.75" hidden="1" customHeight="1">
      <c r="A71" s="23" t="str">
        <f t="shared" si="1"/>
        <v>Véhicules neufs[...]</v>
      </c>
      <c r="B71" s="184" t="str">
        <f t="shared" si="0"/>
        <v>Véhicules neufs</v>
      </c>
      <c r="C71" s="1" t="s">
        <v>20</v>
      </c>
      <c r="D71" s="30"/>
      <c r="F71" s="198">
        <f>+SUM(START:END!F71)</f>
        <v>0</v>
      </c>
      <c r="G71" s="240"/>
      <c r="I71" s="198">
        <f>+SUM(START:END!I71)</f>
        <v>0</v>
      </c>
      <c r="J71" s="152"/>
      <c r="L71" s="201">
        <f>+SUM(START:END!L71)</f>
        <v>0</v>
      </c>
      <c r="M71" s="152"/>
      <c r="N71" s="222">
        <f t="shared" si="32"/>
        <v>0</v>
      </c>
      <c r="O71" s="152"/>
      <c r="Q71" s="201">
        <f>+SUM(START:END!Q71)</f>
        <v>0</v>
      </c>
      <c r="R71" s="152"/>
      <c r="S71" s="242">
        <f t="shared" si="31"/>
        <v>0</v>
      </c>
      <c r="V71" s="184"/>
      <c r="W71" s="184"/>
      <c r="X71" s="184"/>
      <c r="Y71" s="184"/>
      <c r="Z71" s="184"/>
      <c r="AA71" s="184"/>
      <c r="AB71" s="184"/>
      <c r="AC71" s="184"/>
      <c r="AD71" s="184"/>
      <c r="AE71" s="184"/>
      <c r="AF71" s="184"/>
      <c r="AG71" s="184"/>
      <c r="AH71" s="184"/>
      <c r="AI71" s="184"/>
      <c r="AJ71" s="184"/>
      <c r="AK71" s="184"/>
      <c r="AL71" s="184"/>
      <c r="AM71" s="184"/>
      <c r="AN71" s="184"/>
    </row>
    <row r="72" spans="1:40" ht="15.75" customHeight="1">
      <c r="A72" s="23" t="str">
        <f t="shared" si="1"/>
        <v>Véhicules neufsTOTAL SEMI-FIXES</v>
      </c>
      <c r="B72" s="184" t="str">
        <f t="shared" si="0"/>
        <v>Véhicules neufs</v>
      </c>
      <c r="C72" s="40" t="s">
        <v>64</v>
      </c>
      <c r="D72" s="250" t="s">
        <v>39</v>
      </c>
      <c r="E72" s="42">
        <f>F72/F$27</f>
        <v>0.12626932201199015</v>
      </c>
      <c r="F72" s="251">
        <f>+SUM(F55:F71)</f>
        <v>97217.562161748152</v>
      </c>
      <c r="G72" s="252" t="s">
        <v>39</v>
      </c>
      <c r="H72" s="42" t="e">
        <f>I72/I$27</f>
        <v>#DIV/0!</v>
      </c>
      <c r="I72" s="251">
        <f>+SUM(I55:I71)</f>
        <v>0</v>
      </c>
      <c r="J72" s="252" t="s">
        <v>39</v>
      </c>
      <c r="K72" s="42">
        <f>L72/L$27</f>
        <v>0.13256607638663717</v>
      </c>
      <c r="L72" s="251">
        <f>+SUM(L55:L71)</f>
        <v>91644.07</v>
      </c>
      <c r="M72" s="254"/>
      <c r="N72" s="251">
        <f>+SUM(N55:N71)</f>
        <v>-5573.4921617481559</v>
      </c>
      <c r="O72" s="252" t="s">
        <v>39</v>
      </c>
      <c r="P72" s="42">
        <f>Q72/Q$27</f>
        <v>0.1558207315583045</v>
      </c>
      <c r="Q72" s="251">
        <f>+SUM(Q55:Q71)</f>
        <v>105053.09999999999</v>
      </c>
      <c r="R72" s="254"/>
      <c r="S72" s="255">
        <f>+SUM(S55:S71)</f>
        <v>-13409.030000000004</v>
      </c>
      <c r="V72" s="184"/>
      <c r="W72" s="184"/>
      <c r="X72" s="184"/>
      <c r="Y72" s="184"/>
      <c r="Z72" s="184"/>
      <c r="AA72" s="184"/>
      <c r="AB72" s="184"/>
      <c r="AC72" s="184"/>
      <c r="AD72" s="184"/>
      <c r="AE72" s="184"/>
      <c r="AF72" s="184"/>
      <c r="AG72" s="184"/>
      <c r="AH72" s="184"/>
      <c r="AI72" s="184"/>
      <c r="AJ72" s="184"/>
      <c r="AK72" s="184"/>
      <c r="AL72" s="184"/>
      <c r="AM72" s="184"/>
      <c r="AN72" s="184"/>
    </row>
    <row r="73" spans="1:40" ht="15.75" customHeight="1">
      <c r="A73" s="23" t="str">
        <f t="shared" si="1"/>
        <v>Véhicules neufs</v>
      </c>
      <c r="B73" s="184" t="str">
        <f t="shared" si="0"/>
        <v>Véhicules neufs</v>
      </c>
      <c r="C73" s="2"/>
      <c r="D73" s="34"/>
      <c r="E73" s="7"/>
      <c r="F73" s="222"/>
      <c r="G73" s="244"/>
      <c r="H73" s="7"/>
      <c r="I73" s="222"/>
      <c r="J73" s="153"/>
      <c r="K73" s="7"/>
      <c r="L73" s="247"/>
      <c r="M73" s="153"/>
      <c r="N73" s="247"/>
      <c r="O73" s="153"/>
      <c r="P73" s="7"/>
      <c r="Q73" s="247"/>
      <c r="R73" s="153"/>
      <c r="S73" s="248"/>
      <c r="V73" s="184"/>
      <c r="W73" s="184"/>
      <c r="X73" s="184"/>
      <c r="Y73" s="184"/>
      <c r="Z73" s="184"/>
      <c r="AA73" s="184"/>
      <c r="AB73" s="184"/>
      <c r="AC73" s="184"/>
      <c r="AD73" s="184"/>
      <c r="AE73" s="184"/>
      <c r="AF73" s="184"/>
      <c r="AG73" s="184"/>
      <c r="AH73" s="184"/>
      <c r="AI73" s="184"/>
      <c r="AJ73" s="184"/>
      <c r="AK73" s="184"/>
      <c r="AL73" s="184"/>
      <c r="AM73" s="184"/>
      <c r="AN73" s="184"/>
    </row>
    <row r="74" spans="1:40" ht="15.75" customHeight="1">
      <c r="A74" s="23" t="str">
        <f t="shared" si="1"/>
        <v>Véhicules neufsTOTAL DES DÉPENSES</v>
      </c>
      <c r="B74" s="184" t="str">
        <f t="shared" si="0"/>
        <v>Véhicules neufs</v>
      </c>
      <c r="C74" s="40" t="s">
        <v>65</v>
      </c>
      <c r="D74" s="250" t="s">
        <v>39</v>
      </c>
      <c r="E74" s="42">
        <f>F74/F$27</f>
        <v>0.96993126494533233</v>
      </c>
      <c r="F74" s="251">
        <f>F41+F54+F72</f>
        <v>746771.6745441301</v>
      </c>
      <c r="G74" s="252" t="s">
        <v>39</v>
      </c>
      <c r="H74" s="42" t="e">
        <f>I74/I$27</f>
        <v>#DIV/0!</v>
      </c>
      <c r="I74" s="251">
        <f>I41+I54+I72</f>
        <v>0</v>
      </c>
      <c r="J74" s="252" t="s">
        <v>39</v>
      </c>
      <c r="K74" s="42">
        <f>L74/L$27</f>
        <v>0.89161192423163904</v>
      </c>
      <c r="L74" s="251">
        <f>L41+L54+L72</f>
        <v>616379</v>
      </c>
      <c r="M74" s="254"/>
      <c r="N74" s="251">
        <f>N41+N54+N72</f>
        <v>-130392.6745441301</v>
      </c>
      <c r="O74" s="252" t="s">
        <v>39</v>
      </c>
      <c r="P74" s="42">
        <f>Q74/Q$27</f>
        <v>0.99718534211156695</v>
      </c>
      <c r="Q74" s="251">
        <f>Q41+Q54+Q72</f>
        <v>672294.44</v>
      </c>
      <c r="R74" s="254"/>
      <c r="S74" s="260">
        <f>L74-Q74</f>
        <v>-55915.439999999944</v>
      </c>
      <c r="V74" s="184"/>
      <c r="W74" s="184"/>
      <c r="X74" s="184"/>
      <c r="Y74" s="184"/>
      <c r="Z74" s="184"/>
      <c r="AA74" s="184"/>
      <c r="AB74" s="184"/>
      <c r="AC74" s="184"/>
      <c r="AD74" s="184"/>
      <c r="AE74" s="184"/>
      <c r="AF74" s="184"/>
      <c r="AG74" s="184"/>
      <c r="AH74" s="184"/>
      <c r="AI74" s="184"/>
      <c r="AJ74" s="184"/>
      <c r="AK74" s="184"/>
      <c r="AL74" s="184"/>
      <c r="AM74" s="184"/>
      <c r="AN74" s="184"/>
    </row>
    <row r="75" spans="1:40" ht="15.75" customHeight="1">
      <c r="A75" s="23" t="str">
        <f t="shared" si="1"/>
        <v>Véhicules neufsProgramme neuf 1</v>
      </c>
      <c r="B75" s="184" t="str">
        <f t="shared" si="0"/>
        <v>Véhicules neufs</v>
      </c>
      <c r="C75" s="1" t="s">
        <v>197</v>
      </c>
      <c r="D75" s="30"/>
      <c r="F75" s="198">
        <f>+SUM(START:END!F75)</f>
        <v>25000</v>
      </c>
      <c r="G75" s="240"/>
      <c r="I75" s="198">
        <f>+SUM(START:END!I75)</f>
        <v>0</v>
      </c>
      <c r="J75" s="152"/>
      <c r="L75" s="200">
        <f>+SUM(START:END!L75)</f>
        <v>0</v>
      </c>
      <c r="M75" s="152"/>
      <c r="N75" s="222">
        <f t="shared" ref="N75:N82" si="33">L75-F75</f>
        <v>-25000</v>
      </c>
      <c r="O75" s="152"/>
      <c r="Q75" s="200">
        <f>+SUM(START:END!Q75)</f>
        <v>34100</v>
      </c>
      <c r="R75" s="152"/>
      <c r="S75" s="242"/>
      <c r="V75" s="184"/>
      <c r="W75" s="184"/>
      <c r="X75" s="184"/>
      <c r="Y75" s="184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  <c r="AN75" s="184"/>
    </row>
    <row r="76" spans="1:40" ht="15.75" customHeight="1">
      <c r="A76" s="23" t="str">
        <f t="shared" si="1"/>
        <v>Véhicules neufsProgramme neuf 2</v>
      </c>
      <c r="B76" s="184" t="str">
        <f t="shared" si="0"/>
        <v>Véhicules neufs</v>
      </c>
      <c r="C76" s="1" t="s">
        <v>194</v>
      </c>
      <c r="D76" s="30"/>
      <c r="F76" s="198">
        <f>+SUM(START:END!F76)</f>
        <v>0</v>
      </c>
      <c r="G76" s="240"/>
      <c r="I76" s="198">
        <f>+SUM(START:END!I76)</f>
        <v>0</v>
      </c>
      <c r="J76" s="152"/>
      <c r="L76" s="200">
        <f>+SUM(START:END!L76)</f>
        <v>0</v>
      </c>
      <c r="M76" s="152"/>
      <c r="N76" s="222">
        <f t="shared" si="33"/>
        <v>0</v>
      </c>
      <c r="O76" s="152"/>
      <c r="Q76" s="200">
        <f>+SUM(START:END!Q76)</f>
        <v>0</v>
      </c>
      <c r="R76" s="152"/>
      <c r="S76" s="242">
        <f>L76-Q76</f>
        <v>0</v>
      </c>
      <c r="V76" s="184"/>
      <c r="W76" s="184"/>
      <c r="X76" s="184"/>
      <c r="Y76" s="184"/>
      <c r="Z76" s="184"/>
      <c r="AA76" s="184"/>
      <c r="AB76" s="184"/>
      <c r="AC76" s="184"/>
      <c r="AD76" s="184"/>
      <c r="AE76" s="184"/>
      <c r="AF76" s="184"/>
      <c r="AG76" s="184"/>
      <c r="AH76" s="184"/>
      <c r="AI76" s="184"/>
      <c r="AJ76" s="184"/>
      <c r="AK76" s="184"/>
      <c r="AL76" s="184"/>
      <c r="AM76" s="184"/>
      <c r="AN76" s="184"/>
    </row>
    <row r="77" spans="1:40" ht="15.75" customHeight="1">
      <c r="A77" s="23" t="str">
        <f t="shared" si="1"/>
        <v>Véhicules neufsProgramme neuf 3</v>
      </c>
      <c r="B77" s="184" t="str">
        <f t="shared" si="0"/>
        <v>Véhicules neufs</v>
      </c>
      <c r="C77" s="1" t="s">
        <v>68</v>
      </c>
      <c r="D77" s="30"/>
      <c r="F77" s="198">
        <f>+SUM(START:END!F77)</f>
        <v>0</v>
      </c>
      <c r="G77" s="240"/>
      <c r="I77" s="198">
        <f>+SUM(START:END!I77)</f>
        <v>0</v>
      </c>
      <c r="J77" s="152"/>
      <c r="L77" s="200">
        <f>+SUM(START:END!L77)</f>
        <v>0</v>
      </c>
      <c r="M77" s="152"/>
      <c r="N77" s="222">
        <f t="shared" si="33"/>
        <v>0</v>
      </c>
      <c r="O77" s="152"/>
      <c r="Q77" s="200">
        <f>+SUM(START:END!Q77)</f>
        <v>0</v>
      </c>
      <c r="R77" s="152"/>
      <c r="S77" s="242">
        <f t="shared" ref="S77:S82" si="34">L77-Q77</f>
        <v>0</v>
      </c>
      <c r="V77" s="184"/>
      <c r="W77" s="184"/>
      <c r="X77" s="184"/>
      <c r="Y77" s="184"/>
      <c r="Z77" s="184"/>
      <c r="AA77" s="184"/>
      <c r="AB77" s="184"/>
      <c r="AC77" s="184"/>
      <c r="AD77" s="184"/>
      <c r="AE77" s="184"/>
      <c r="AF77" s="184"/>
      <c r="AG77" s="184"/>
      <c r="AH77" s="184"/>
      <c r="AI77" s="184"/>
      <c r="AJ77" s="184"/>
      <c r="AK77" s="184"/>
      <c r="AL77" s="184"/>
      <c r="AM77" s="184"/>
      <c r="AN77" s="184"/>
    </row>
    <row r="78" spans="1:40" ht="15.75" customHeight="1">
      <c r="A78" s="23" t="str">
        <f t="shared" si="1"/>
        <v>Véhicules neufsHoldbacks</v>
      </c>
      <c r="B78" s="184" t="str">
        <f t="shared" si="0"/>
        <v>Véhicules neufs</v>
      </c>
      <c r="C78" s="1" t="s">
        <v>69</v>
      </c>
      <c r="D78" s="30"/>
      <c r="F78" s="198">
        <f>+SUM(START:END!F78)</f>
        <v>324169.14831797499</v>
      </c>
      <c r="G78" s="240"/>
      <c r="I78" s="198">
        <f>+SUM(START:END!I78)</f>
        <v>0</v>
      </c>
      <c r="J78" s="152"/>
      <c r="L78" s="201">
        <f>+SUM(START:END!L78)</f>
        <v>247496.85</v>
      </c>
      <c r="M78" s="152"/>
      <c r="N78" s="222">
        <f t="shared" si="33"/>
        <v>-76672.298317974986</v>
      </c>
      <c r="O78" s="152"/>
      <c r="Q78" s="200">
        <f>+SUM(START:END!Q78)</f>
        <v>290384</v>
      </c>
      <c r="R78" s="152"/>
      <c r="S78" s="242">
        <f t="shared" si="34"/>
        <v>-42887.149999999994</v>
      </c>
      <c r="V78" s="184"/>
      <c r="W78" s="184"/>
      <c r="X78" s="184"/>
      <c r="Y78" s="184"/>
      <c r="Z78" s="184"/>
      <c r="AA78" s="184"/>
      <c r="AB78" s="184"/>
      <c r="AC78" s="184"/>
      <c r="AD78" s="184"/>
      <c r="AE78" s="184"/>
      <c r="AF78" s="184"/>
      <c r="AG78" s="184"/>
      <c r="AH78" s="184"/>
      <c r="AI78" s="184"/>
      <c r="AJ78" s="184"/>
      <c r="AK78" s="184"/>
      <c r="AL78" s="184"/>
      <c r="AM78" s="184"/>
      <c r="AN78" s="184"/>
    </row>
    <row r="79" spans="1:40" ht="15.75" hidden="1" customHeight="1">
      <c r="A79" s="23" t="str">
        <f t="shared" si="1"/>
        <v>Véhicules neufs[...]</v>
      </c>
      <c r="B79" s="184" t="str">
        <f t="shared" si="0"/>
        <v>Véhicules neufs</v>
      </c>
      <c r="C79" s="1" t="s">
        <v>20</v>
      </c>
      <c r="D79" s="30"/>
      <c r="F79" s="198">
        <f>+SUM(START:END!F79)</f>
        <v>0</v>
      </c>
      <c r="G79" s="240"/>
      <c r="I79" s="198">
        <f>+SUM(START:END!I79)</f>
        <v>0</v>
      </c>
      <c r="J79" s="152"/>
      <c r="L79" s="201">
        <f>+SUM(START:END!L79)</f>
        <v>0</v>
      </c>
      <c r="M79" s="152"/>
      <c r="N79" s="222">
        <f t="shared" si="33"/>
        <v>0</v>
      </c>
      <c r="O79" s="152"/>
      <c r="Q79" s="200">
        <f>+SUM(START:END!Q79)</f>
        <v>0</v>
      </c>
      <c r="R79" s="152"/>
      <c r="S79" s="242">
        <f t="shared" si="34"/>
        <v>0</v>
      </c>
      <c r="V79" s="184"/>
      <c r="W79" s="184"/>
      <c r="X79" s="184"/>
      <c r="Y79" s="184"/>
      <c r="Z79" s="184"/>
      <c r="AA79" s="184"/>
      <c r="AB79" s="184"/>
      <c r="AC79" s="184"/>
      <c r="AD79" s="184"/>
      <c r="AE79" s="184"/>
      <c r="AF79" s="184"/>
      <c r="AG79" s="184"/>
      <c r="AH79" s="184"/>
      <c r="AI79" s="184"/>
      <c r="AJ79" s="184"/>
      <c r="AK79" s="184"/>
      <c r="AL79" s="184"/>
      <c r="AM79" s="184"/>
      <c r="AN79" s="184"/>
    </row>
    <row r="80" spans="1:40" ht="15.75" hidden="1" customHeight="1">
      <c r="A80" s="23" t="str">
        <f t="shared" si="1"/>
        <v>Véhicules neufs[...]</v>
      </c>
      <c r="B80" s="184" t="str">
        <f t="shared" si="0"/>
        <v>Véhicules neufs</v>
      </c>
      <c r="C80" s="1" t="s">
        <v>20</v>
      </c>
      <c r="D80" s="30"/>
      <c r="F80" s="198">
        <f>+SUM(START:END!F80)</f>
        <v>0</v>
      </c>
      <c r="G80" s="240"/>
      <c r="I80" s="198">
        <f>+SUM(START:END!I80)</f>
        <v>0</v>
      </c>
      <c r="J80" s="152"/>
      <c r="L80" s="201">
        <f>+SUM(START:END!L80)</f>
        <v>0</v>
      </c>
      <c r="M80" s="152"/>
      <c r="N80" s="222">
        <f t="shared" si="33"/>
        <v>0</v>
      </c>
      <c r="O80" s="152"/>
      <c r="Q80" s="200">
        <f>+SUM(START:END!Q80)</f>
        <v>0</v>
      </c>
      <c r="R80" s="152"/>
      <c r="S80" s="242">
        <f t="shared" si="34"/>
        <v>0</v>
      </c>
      <c r="V80" s="184"/>
      <c r="W80" s="184"/>
      <c r="X80" s="184"/>
      <c r="Y80" s="184"/>
      <c r="Z80" s="184"/>
      <c r="AA80" s="184"/>
      <c r="AB80" s="184"/>
      <c r="AC80" s="184"/>
      <c r="AD80" s="184"/>
      <c r="AE80" s="184"/>
      <c r="AF80" s="184"/>
      <c r="AG80" s="184"/>
      <c r="AH80" s="184"/>
      <c r="AI80" s="184"/>
      <c r="AJ80" s="184"/>
      <c r="AK80" s="184"/>
      <c r="AL80" s="184"/>
      <c r="AM80" s="184"/>
      <c r="AN80" s="184"/>
    </row>
    <row r="81" spans="1:40" ht="15.75" hidden="1" customHeight="1">
      <c r="A81" s="23" t="str">
        <f t="shared" si="1"/>
        <v>Véhicules neufs[...]</v>
      </c>
      <c r="B81" s="184" t="str">
        <f t="shared" si="0"/>
        <v>Véhicules neufs</v>
      </c>
      <c r="C81" s="1" t="s">
        <v>20</v>
      </c>
      <c r="D81" s="30"/>
      <c r="F81" s="198">
        <f>+SUM(START:END!F81)</f>
        <v>0</v>
      </c>
      <c r="G81" s="240"/>
      <c r="I81" s="198">
        <f>+SUM(START:END!I81)</f>
        <v>0</v>
      </c>
      <c r="J81" s="152"/>
      <c r="L81" s="201">
        <f>+SUM(START:END!L81)</f>
        <v>0</v>
      </c>
      <c r="M81" s="152"/>
      <c r="N81" s="222">
        <f t="shared" si="33"/>
        <v>0</v>
      </c>
      <c r="O81" s="152"/>
      <c r="Q81" s="200">
        <f>+SUM(START:END!Q81)</f>
        <v>0</v>
      </c>
      <c r="R81" s="152"/>
      <c r="S81" s="242">
        <f t="shared" si="34"/>
        <v>0</v>
      </c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</row>
    <row r="82" spans="1:40" ht="15.75" customHeight="1">
      <c r="A82" s="23" t="str">
        <f t="shared" si="1"/>
        <v>Véhicules neufsFrais administration</v>
      </c>
      <c r="B82" s="184" t="str">
        <f t="shared" si="0"/>
        <v>Véhicules neufs</v>
      </c>
      <c r="C82" s="1" t="s">
        <v>70</v>
      </c>
      <c r="D82" s="30"/>
      <c r="F82" s="198">
        <f>+SUM(START:END!F82)</f>
        <v>106187.19999999998</v>
      </c>
      <c r="G82" s="240"/>
      <c r="I82" s="198">
        <f>+SUM(START:END!I82)</f>
        <v>0</v>
      </c>
      <c r="J82" s="152"/>
      <c r="L82" s="200">
        <f>+SUM(START:END!L82)</f>
        <v>102132</v>
      </c>
      <c r="M82" s="152"/>
      <c r="N82" s="222">
        <f t="shared" si="33"/>
        <v>-4055.1999999999825</v>
      </c>
      <c r="O82" s="152"/>
      <c r="Q82" s="200">
        <f>+SUM(START:END!Q82)</f>
        <v>94873</v>
      </c>
      <c r="R82" s="152"/>
      <c r="S82" s="242">
        <f t="shared" si="34"/>
        <v>7259</v>
      </c>
      <c r="V82" s="184"/>
      <c r="W82" s="184"/>
      <c r="X82" s="184"/>
      <c r="Y82" s="184"/>
      <c r="Z82" s="184"/>
      <c r="AA82" s="184"/>
      <c r="AB82" s="184"/>
      <c r="AC82" s="184"/>
      <c r="AD82" s="184"/>
      <c r="AE82" s="184"/>
      <c r="AF82" s="184"/>
      <c r="AG82" s="184"/>
      <c r="AH82" s="184"/>
      <c r="AI82" s="184"/>
      <c r="AJ82" s="184"/>
      <c r="AK82" s="184"/>
      <c r="AL82" s="184"/>
      <c r="AM82" s="184"/>
      <c r="AN82" s="184"/>
    </row>
    <row r="83" spans="1:40" ht="15.75" customHeight="1">
      <c r="A83" s="23" t="str">
        <f t="shared" si="1"/>
        <v>Véhicules neufsAUTRES REVENUS</v>
      </c>
      <c r="B83" s="184" t="str">
        <f t="shared" si="0"/>
        <v>Véhicules neufs</v>
      </c>
      <c r="C83" s="40" t="s">
        <v>71</v>
      </c>
      <c r="D83" s="250"/>
      <c r="E83" s="42"/>
      <c r="F83" s="251">
        <f>+SUM(F75:F82)</f>
        <v>455356.34831797495</v>
      </c>
      <c r="G83" s="252"/>
      <c r="H83" s="42"/>
      <c r="I83" s="251">
        <f>+SUM(I75:I82)</f>
        <v>0</v>
      </c>
      <c r="J83" s="252"/>
      <c r="K83" s="42"/>
      <c r="L83" s="251">
        <f>+SUM(L75:L82)</f>
        <v>349628.85</v>
      </c>
      <c r="M83" s="254"/>
      <c r="N83" s="251">
        <f>+SUM(N75:N82)</f>
        <v>-105727.49831797497</v>
      </c>
      <c r="O83" s="252"/>
      <c r="P83" s="42"/>
      <c r="Q83" s="251">
        <f>+SUM(Q75:Q82)</f>
        <v>419357</v>
      </c>
      <c r="R83" s="254"/>
      <c r="S83" s="255">
        <f>+SUM(S75:S82)</f>
        <v>-35628.149999999994</v>
      </c>
      <c r="V83" s="184"/>
      <c r="W83" s="184"/>
      <c r="X83" s="184"/>
      <c r="Y83" s="184"/>
      <c r="Z83" s="184"/>
      <c r="AA83" s="184"/>
      <c r="AB83" s="184"/>
      <c r="AC83" s="184"/>
      <c r="AD83" s="184"/>
      <c r="AE83" s="184"/>
      <c r="AF83" s="184"/>
      <c r="AG83" s="184"/>
      <c r="AH83" s="184"/>
      <c r="AI83" s="184"/>
      <c r="AJ83" s="184"/>
      <c r="AK83" s="184"/>
      <c r="AL83" s="184"/>
      <c r="AM83" s="184"/>
      <c r="AN83" s="184"/>
    </row>
    <row r="84" spans="1:40" ht="15.75" customHeight="1">
      <c r="A84" s="23" t="str">
        <f t="shared" si="1"/>
        <v>Véhicules neufs</v>
      </c>
      <c r="B84" s="184" t="str">
        <f t="shared" si="0"/>
        <v>Véhicules neufs</v>
      </c>
      <c r="C84" s="261"/>
      <c r="D84" s="262"/>
      <c r="E84" s="263"/>
      <c r="F84" s="264"/>
      <c r="G84" s="265"/>
      <c r="H84" s="263"/>
      <c r="I84" s="264"/>
      <c r="J84" s="266"/>
      <c r="K84" s="267"/>
      <c r="L84" s="264"/>
      <c r="M84" s="266"/>
      <c r="N84" s="268"/>
      <c r="O84" s="266"/>
      <c r="P84" s="267"/>
      <c r="Q84" s="264"/>
      <c r="R84" s="266"/>
      <c r="S84" s="269"/>
      <c r="V84" s="184"/>
      <c r="W84" s="184"/>
      <c r="X84" s="184"/>
      <c r="Y84" s="184"/>
      <c r="Z84" s="184"/>
      <c r="AA84" s="184"/>
      <c r="AB84" s="184"/>
      <c r="AC84" s="184"/>
      <c r="AD84" s="184"/>
      <c r="AE84" s="184"/>
      <c r="AF84" s="184"/>
      <c r="AG84" s="184"/>
      <c r="AH84" s="184"/>
      <c r="AI84" s="184"/>
      <c r="AJ84" s="184"/>
      <c r="AK84" s="184"/>
      <c r="AL84" s="184"/>
      <c r="AM84" s="184"/>
      <c r="AN84" s="184"/>
    </row>
    <row r="85" spans="1:40" ht="15.75" customHeight="1" thickBot="1">
      <c r="A85" s="23" t="str">
        <f t="shared" si="1"/>
        <v>Véhicules neufsPROFIT DÉPARTEMENTAL</v>
      </c>
      <c r="B85" s="184" t="str">
        <f t="shared" si="0"/>
        <v>Véhicules neufs</v>
      </c>
      <c r="C85" s="270" t="s">
        <v>72</v>
      </c>
      <c r="D85" s="271"/>
      <c r="E85" s="272"/>
      <c r="F85" s="273">
        <f>F27-F74+F83</f>
        <v>478506.93685938418</v>
      </c>
      <c r="G85" s="274"/>
      <c r="H85" s="272"/>
      <c r="I85" s="273">
        <f>I27-I74+I83</f>
        <v>0</v>
      </c>
      <c r="J85" s="274"/>
      <c r="K85" s="271"/>
      <c r="L85" s="273">
        <f>L27-L74+L83</f>
        <v>424558.46000000031</v>
      </c>
      <c r="M85" s="274"/>
      <c r="N85" s="273">
        <f>N27-N74+N83</f>
        <v>-53948.476859383882</v>
      </c>
      <c r="O85" s="274"/>
      <c r="P85" s="271"/>
      <c r="Q85" s="273">
        <f>Q27-Q74+Q83</f>
        <v>421254.6199999979</v>
      </c>
      <c r="R85" s="274"/>
      <c r="S85" s="275">
        <f>S27-S41-S54-S72+S83</f>
        <v>43854.800000002448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</row>
    <row r="86" spans="1:40" ht="15.75" customHeight="1" thickTop="1">
      <c r="B86" s="184"/>
      <c r="F86" s="26" t="e">
        <f>+F85-#REF!-#REF!-#REF!</f>
        <v>#REF!</v>
      </c>
      <c r="L86" s="476">
        <f>L85/F85</f>
        <v>0.8872566462390965</v>
      </c>
      <c r="N86" s="26" t="e">
        <f>+N85-#REF!-#REF!-#REF!</f>
        <v>#REF!</v>
      </c>
      <c r="Q86" s="26" t="e">
        <f>+Q85-#REF!-#REF!-#REF!</f>
        <v>#REF!</v>
      </c>
      <c r="S86" s="26" t="e">
        <f>+S85-#REF!-#REF!-#REF!</f>
        <v>#REF!</v>
      </c>
      <c r="V86" s="184"/>
      <c r="W86" s="184"/>
      <c r="X86" s="184"/>
      <c r="Y86" s="184"/>
      <c r="Z86" s="184"/>
      <c r="AA86" s="184"/>
      <c r="AB86" s="184"/>
      <c r="AC86" s="184"/>
      <c r="AD86" s="184"/>
      <c r="AE86" s="184"/>
      <c r="AF86" s="184"/>
      <c r="AG86" s="184"/>
      <c r="AH86" s="184"/>
      <c r="AI86" s="184"/>
      <c r="AJ86" s="184"/>
      <c r="AK86" s="184"/>
      <c r="AL86" s="184"/>
      <c r="AM86" s="184"/>
      <c r="AN86" s="184"/>
    </row>
    <row r="87" spans="1:40" ht="40.5" customHeight="1">
      <c r="B87" s="184"/>
      <c r="V87" s="184"/>
      <c r="W87" s="184"/>
      <c r="X87" s="184"/>
      <c r="Y87" s="184"/>
      <c r="Z87" s="184"/>
      <c r="AA87" s="184"/>
      <c r="AB87" s="184"/>
      <c r="AC87" s="184"/>
      <c r="AD87" s="184"/>
      <c r="AE87" s="184"/>
      <c r="AF87" s="184"/>
      <c r="AG87" s="184"/>
      <c r="AH87" s="184"/>
      <c r="AI87" s="184"/>
      <c r="AJ87" s="184"/>
      <c r="AK87" s="184"/>
      <c r="AL87" s="184"/>
      <c r="AM87" s="184"/>
      <c r="AN87" s="184"/>
    </row>
    <row r="88" spans="1:40" ht="15.75" hidden="1" customHeight="1">
      <c r="B88" s="181"/>
    </row>
    <row r="89" spans="1:40" ht="33" customHeight="1">
      <c r="B89" s="177"/>
      <c r="C89" s="73" t="str">
        <f>C1</f>
        <v>Conso</v>
      </c>
      <c r="D89" s="6"/>
      <c r="E89" s="6"/>
      <c r="F89" s="6"/>
      <c r="G89" s="6"/>
      <c r="H89" s="177"/>
      <c r="I89" s="177"/>
      <c r="J89" s="177"/>
      <c r="K89" s="178" t="s">
        <v>73</v>
      </c>
      <c r="L89" s="6"/>
      <c r="M89" s="6"/>
      <c r="N89" s="177"/>
      <c r="O89" s="177"/>
      <c r="P89" s="6"/>
      <c r="Q89" s="177"/>
      <c r="R89" s="6"/>
      <c r="S89" s="180" t="str">
        <f>$S$1</f>
        <v xml:space="preserve">Réalisé  </v>
      </c>
      <c r="T89" s="73"/>
      <c r="U89" s="73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  <c r="AH89" s="177"/>
      <c r="AI89" s="177"/>
      <c r="AJ89" s="177"/>
      <c r="AK89" s="177"/>
      <c r="AL89" s="177"/>
      <c r="AM89" s="177"/>
      <c r="AN89" s="177"/>
    </row>
    <row r="90" spans="1:40" ht="15.75" customHeight="1" thickBot="1">
      <c r="B90" s="181"/>
      <c r="C90" s="182"/>
    </row>
    <row r="91" spans="1:40" ht="15.75" customHeight="1" thickTop="1">
      <c r="B91" s="184"/>
      <c r="C91" s="185"/>
      <c r="D91" s="864" t="s">
        <v>5</v>
      </c>
      <c r="E91" s="865"/>
      <c r="F91" s="866"/>
      <c r="G91" s="867" t="s">
        <v>74</v>
      </c>
      <c r="H91" s="865"/>
      <c r="I91" s="866"/>
      <c r="J91" s="867" t="s">
        <v>7</v>
      </c>
      <c r="K91" s="865"/>
      <c r="L91" s="866"/>
      <c r="M91" s="867" t="s">
        <v>9</v>
      </c>
      <c r="N91" s="866"/>
      <c r="O91" s="864" t="s">
        <v>8</v>
      </c>
      <c r="P91" s="865"/>
      <c r="Q91" s="866"/>
      <c r="R91" s="867" t="s">
        <v>217</v>
      </c>
      <c r="S91" s="868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</row>
    <row r="92" spans="1:40" ht="15.75" customHeight="1">
      <c r="B92" s="184"/>
      <c r="C92" s="1"/>
      <c r="D92" s="276" t="s">
        <v>10</v>
      </c>
      <c r="E92" s="175" t="s">
        <v>11</v>
      </c>
      <c r="F92" s="277" t="s">
        <v>12</v>
      </c>
      <c r="G92" s="278" t="s">
        <v>10</v>
      </c>
      <c r="H92" s="175" t="s">
        <v>11</v>
      </c>
      <c r="I92" s="277" t="s">
        <v>12</v>
      </c>
      <c r="J92" s="278" t="s">
        <v>10</v>
      </c>
      <c r="K92" s="175" t="s">
        <v>13</v>
      </c>
      <c r="L92" s="277" t="s">
        <v>12</v>
      </c>
      <c r="M92" s="278" t="s">
        <v>14</v>
      </c>
      <c r="N92" s="277" t="s">
        <v>12</v>
      </c>
      <c r="O92" s="175" t="s">
        <v>10</v>
      </c>
      <c r="P92" s="175" t="s">
        <v>13</v>
      </c>
      <c r="Q92" s="277" t="s">
        <v>12</v>
      </c>
      <c r="R92" s="278" t="s">
        <v>10</v>
      </c>
      <c r="S92" s="279" t="s">
        <v>12</v>
      </c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</row>
    <row r="93" spans="1:40" ht="24" customHeight="1">
      <c r="A93" s="23" t="str">
        <f t="shared" ref="A93:A158" si="35">+B93&amp;C93</f>
        <v>Véhicules usagésVentes nettes</v>
      </c>
      <c r="B93" s="184" t="s">
        <v>73</v>
      </c>
      <c r="C93" s="2" t="s">
        <v>15</v>
      </c>
      <c r="D93" s="194"/>
      <c r="E93" s="194"/>
      <c r="F93" s="193">
        <f>+SUM(START:END!F93)</f>
        <v>4435774.1511180047</v>
      </c>
      <c r="G93" s="211"/>
      <c r="H93" s="194"/>
      <c r="I93" s="193">
        <f>+SUM(START:END!I93)</f>
        <v>0</v>
      </c>
      <c r="J93" s="153"/>
      <c r="K93" s="194"/>
      <c r="L93" s="193">
        <f>+SUM(START:END!L93)</f>
        <v>4498542.1399999997</v>
      </c>
      <c r="M93" s="280"/>
      <c r="N93" s="281"/>
      <c r="O93" s="153"/>
      <c r="P93" s="194"/>
      <c r="Q93" s="193">
        <f>+SUM(START:END!Q93)</f>
        <v>3677685.6899999799</v>
      </c>
      <c r="R93" s="280"/>
      <c r="S93" s="282"/>
      <c r="V93" s="184"/>
      <c r="W93" s="184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4"/>
      <c r="AI93" s="184"/>
      <c r="AJ93" s="184"/>
      <c r="AK93" s="184"/>
      <c r="AL93" s="184"/>
      <c r="AM93" s="184"/>
      <c r="AN93" s="184"/>
    </row>
    <row r="94" spans="1:40" ht="21.75" customHeight="1">
      <c r="A94" s="23" t="str">
        <f t="shared" si="35"/>
        <v>Véhicules usagésCertifié</v>
      </c>
      <c r="B94" s="184" t="s">
        <v>73</v>
      </c>
      <c r="C94" s="1" t="s">
        <v>75</v>
      </c>
      <c r="D94" s="198">
        <f>+SUM(START:END!D94)</f>
        <v>68</v>
      </c>
      <c r="E94" s="198">
        <f>IF(D94=0,0,F94/D94)</f>
        <v>1400</v>
      </c>
      <c r="F94" s="249">
        <f>+SUM(START:END!F94)</f>
        <v>95200</v>
      </c>
      <c r="G94" s="198">
        <f>+SUM(START:END!G94)</f>
        <v>0</v>
      </c>
      <c r="H94" s="198">
        <f>IF(G94=0,0,I94/G94)</f>
        <v>0</v>
      </c>
      <c r="I94" s="249">
        <f>+SUM(START:END!I94)</f>
        <v>0</v>
      </c>
      <c r="J94" s="198">
        <f>+SUM(START:END!J94)</f>
        <v>77</v>
      </c>
      <c r="K94" s="198">
        <f>IF(J94=0,0,L94/J94)</f>
        <v>1637.743636363638</v>
      </c>
      <c r="L94" s="198">
        <f>+SUM(START:END!L94)</f>
        <v>126106.26000000013</v>
      </c>
      <c r="M94" s="199">
        <f t="shared" ref="M94:M96" si="36">J94-D94</f>
        <v>9</v>
      </c>
      <c r="N94" s="201">
        <f t="shared" ref="N94:N96" si="37">L94-F94</f>
        <v>30906.260000000126</v>
      </c>
      <c r="O94" s="198">
        <f>+SUM(START:END!O94)</f>
        <v>71</v>
      </c>
      <c r="P94" s="198">
        <f>IF(O94=0,0,Q94/O94)</f>
        <v>1311.7992957746451</v>
      </c>
      <c r="Q94" s="198">
        <f>+SUM(START:END!Q94)</f>
        <v>93137.749999999796</v>
      </c>
      <c r="R94" s="199">
        <f t="shared" ref="R94:R95" si="38">J94-O94</f>
        <v>6</v>
      </c>
      <c r="S94" s="202">
        <f t="shared" ref="S94:S95" si="39">L94-Q94</f>
        <v>32968.510000000329</v>
      </c>
      <c r="V94" s="184"/>
      <c r="W94" s="184"/>
      <c r="X94" s="184"/>
      <c r="Y94" s="184"/>
      <c r="Z94" s="184"/>
      <c r="AA94" s="184"/>
      <c r="AB94" s="184"/>
      <c r="AC94" s="184"/>
      <c r="AD94" s="184"/>
      <c r="AE94" s="184"/>
      <c r="AF94" s="184"/>
      <c r="AG94" s="184"/>
      <c r="AH94" s="184"/>
      <c r="AI94" s="184"/>
      <c r="AJ94" s="184"/>
      <c r="AK94" s="184"/>
      <c r="AL94" s="184"/>
      <c r="AM94" s="184"/>
      <c r="AN94" s="184"/>
    </row>
    <row r="95" spans="1:40" ht="18.75" customHeight="1">
      <c r="A95" s="23" t="str">
        <f t="shared" si="35"/>
        <v>Véhicules usagésNon Certifié</v>
      </c>
      <c r="B95" s="184" t="s">
        <v>73</v>
      </c>
      <c r="C95" s="1" t="s">
        <v>76</v>
      </c>
      <c r="D95" s="198">
        <f>+SUM(START:END!D95)</f>
        <v>8</v>
      </c>
      <c r="E95" s="198">
        <f t="shared" ref="E95:E105" si="40">IF(D95=0,0,F95/D95)</f>
        <v>1800</v>
      </c>
      <c r="F95" s="202">
        <f>+SUM(START:END!F95)</f>
        <v>14400</v>
      </c>
      <c r="G95" s="198">
        <f>+SUM(START:END!G95)</f>
        <v>0</v>
      </c>
      <c r="H95" s="198">
        <f t="shared" ref="H95" si="41">IF(G95=0,0,I95/G95)</f>
        <v>0</v>
      </c>
      <c r="I95" s="202">
        <f>+SUM(START:END!I95)</f>
        <v>0</v>
      </c>
      <c r="J95" s="198">
        <f>+SUM(START:END!J95)</f>
        <v>2</v>
      </c>
      <c r="K95" s="198">
        <f t="shared" ref="K95" si="42">IF(J95=0,0,L95/J95)</f>
        <v>1000</v>
      </c>
      <c r="L95" s="198">
        <f>+SUM(START:END!L95)</f>
        <v>2000</v>
      </c>
      <c r="M95" s="199">
        <f t="shared" si="36"/>
        <v>-6</v>
      </c>
      <c r="N95" s="201">
        <f t="shared" si="37"/>
        <v>-12400</v>
      </c>
      <c r="O95" s="198">
        <f>+SUM(START:END!O95)</f>
        <v>-2</v>
      </c>
      <c r="P95" s="198">
        <f t="shared" ref="P95" si="43">IF(O95=0,0,Q95/O95)</f>
        <v>5514.0100000000102</v>
      </c>
      <c r="Q95" s="198">
        <f>+SUM(START:END!Q95)</f>
        <v>-11028.02000000002</v>
      </c>
      <c r="R95" s="199">
        <f t="shared" si="38"/>
        <v>4</v>
      </c>
      <c r="S95" s="202">
        <f t="shared" si="39"/>
        <v>13028.02000000002</v>
      </c>
      <c r="V95" s="283"/>
      <c r="W95" s="283"/>
      <c r="X95" s="283"/>
      <c r="Y95" s="283"/>
    </row>
    <row r="96" spans="1:40" ht="18.75" customHeight="1">
      <c r="A96" s="23" t="str">
        <f t="shared" ref="A96" si="44">+B96&amp;C96</f>
        <v>Véhicules usagésAutres marques</v>
      </c>
      <c r="B96" s="184" t="s">
        <v>73</v>
      </c>
      <c r="C96" s="1" t="s">
        <v>214</v>
      </c>
      <c r="D96" s="198">
        <f>+SUM(START:END!D96)</f>
        <v>12</v>
      </c>
      <c r="E96" s="194">
        <f t="shared" ref="E96" si="45">IF(D96=0,0,F96/D96)</f>
        <v>1500</v>
      </c>
      <c r="F96" s="202">
        <f>+SUM(START:END!F96)</f>
        <v>18000</v>
      </c>
      <c r="G96" s="198">
        <f>+SUM(START:END!G96)</f>
        <v>0</v>
      </c>
      <c r="H96" s="194">
        <f t="shared" ref="H96" si="46">IF(G96=0,0,I96/G96)</f>
        <v>0</v>
      </c>
      <c r="I96" s="202">
        <f>+SUM(START:END!I96)</f>
        <v>0</v>
      </c>
      <c r="J96" s="198">
        <f>+SUM(START:END!J96)</f>
        <v>0</v>
      </c>
      <c r="K96" s="194">
        <f t="shared" ref="K96" si="47">IF(J96=0,0,L96/J96)</f>
        <v>0</v>
      </c>
      <c r="L96" s="198">
        <f>+SUM(START:END!L96)</f>
        <v>0</v>
      </c>
      <c r="M96" s="199">
        <f t="shared" si="36"/>
        <v>-12</v>
      </c>
      <c r="N96" s="201">
        <f t="shared" si="37"/>
        <v>-18000</v>
      </c>
      <c r="O96" s="198">
        <f>+SUM(START:END!O96)</f>
        <v>0</v>
      </c>
      <c r="P96" s="198">
        <f t="shared" ref="P96" si="48">IF(O96=0,0,Q96/O96)</f>
        <v>0</v>
      </c>
      <c r="Q96" s="198">
        <f>+SUM(START:END!Q96)</f>
        <v>24564.57</v>
      </c>
      <c r="R96" s="199">
        <f t="shared" ref="R96" si="49">J96-O96</f>
        <v>0</v>
      </c>
      <c r="S96" s="202">
        <f t="shared" ref="S96" si="50">L96-Q96</f>
        <v>-24564.57</v>
      </c>
      <c r="V96" s="283"/>
      <c r="W96" s="283"/>
      <c r="X96" s="283"/>
      <c r="Y96" s="283"/>
    </row>
    <row r="97" spans="1:32" ht="15.75" customHeight="1">
      <c r="A97" s="23" t="str">
        <f t="shared" si="35"/>
        <v>Véhicules usagésTotal Usagés</v>
      </c>
      <c r="B97" s="184" t="s">
        <v>73</v>
      </c>
      <c r="C97" s="203" t="s">
        <v>77</v>
      </c>
      <c r="D97" s="204">
        <f>+D95+D94+D96</f>
        <v>88</v>
      </c>
      <c r="E97" s="198">
        <f t="shared" si="40"/>
        <v>1450</v>
      </c>
      <c r="F97" s="205">
        <f>+F94+F95+F96</f>
        <v>127600</v>
      </c>
      <c r="G97" s="204">
        <f>+G95+G94+G96</f>
        <v>0</v>
      </c>
      <c r="H97" s="198">
        <f t="shared" ref="H97" si="51">IF(G97=0,0,I97/G97)</f>
        <v>0</v>
      </c>
      <c r="I97" s="205">
        <f>+I94+I95+I96</f>
        <v>0</v>
      </c>
      <c r="J97" s="204">
        <f>+J95+J94+J96</f>
        <v>79</v>
      </c>
      <c r="K97" s="198">
        <f t="shared" ref="K97" si="52">IF(J97=0,0,L97/J97)</f>
        <v>1621.5982278481029</v>
      </c>
      <c r="L97" s="205">
        <f>+L94+L95+L96</f>
        <v>128106.26000000013</v>
      </c>
      <c r="M97" s="204">
        <f>+M95+M94+M96</f>
        <v>-9</v>
      </c>
      <c r="N97" s="205">
        <f>+N94+N95+N96</f>
        <v>506.26000000012573</v>
      </c>
      <c r="O97" s="204">
        <f>+O95+O94+O96</f>
        <v>69</v>
      </c>
      <c r="P97" s="204">
        <f>IF(O97&lt;=0,0,Q97/O97)</f>
        <v>1546.0043478260839</v>
      </c>
      <c r="Q97" s="205">
        <f>+Q94+Q95+Q96</f>
        <v>106674.29999999978</v>
      </c>
      <c r="R97" s="206">
        <f>R94+R95+R96</f>
        <v>10</v>
      </c>
      <c r="S97" s="207">
        <f>S94+S95+S96</f>
        <v>21431.960000000348</v>
      </c>
      <c r="V97" s="198"/>
      <c r="W97" s="198"/>
      <c r="X97" s="198"/>
      <c r="Y97" s="198"/>
      <c r="AC97" s="26"/>
      <c r="AF97" s="26"/>
    </row>
    <row r="98" spans="1:32" ht="15.75" customHeight="1">
      <c r="A98" s="23" t="str">
        <f t="shared" si="35"/>
        <v>Véhicules usagés</v>
      </c>
      <c r="B98" s="184" t="s">
        <v>73</v>
      </c>
      <c r="C98" s="1"/>
      <c r="E98" s="198">
        <f t="shared" si="40"/>
        <v>0</v>
      </c>
      <c r="F98" s="208"/>
      <c r="G98" s="152"/>
      <c r="H98" s="23">
        <f t="shared" ref="H98:H99" si="53">IF(G98=0,0,I98/G98)</f>
        <v>0</v>
      </c>
      <c r="I98" s="208"/>
      <c r="J98" s="152"/>
      <c r="L98" s="208"/>
      <c r="M98" s="170">
        <f>D97/D97</f>
        <v>1</v>
      </c>
      <c r="N98" s="171">
        <f>N97/F97</f>
        <v>3.9675548589351546E-3</v>
      </c>
      <c r="O98" s="152"/>
      <c r="Q98" s="208"/>
      <c r="R98" s="170">
        <f>R97/O97</f>
        <v>0.14492753623188406</v>
      </c>
      <c r="S98" s="209">
        <f>IF(Q97=0,0,(S97/Q97))</f>
        <v>0.20091024736042695</v>
      </c>
      <c r="AC98" s="184"/>
    </row>
    <row r="99" spans="1:32" ht="15.75" customHeight="1">
      <c r="A99" s="23" t="str">
        <f t="shared" si="35"/>
        <v>Véhicules usagésUS</v>
      </c>
      <c r="B99" s="184" t="s">
        <v>73</v>
      </c>
      <c r="C99" s="1" t="s">
        <v>193</v>
      </c>
      <c r="D99" s="198">
        <f>+SUM(START:END!D99)</f>
        <v>0</v>
      </c>
      <c r="E99" s="198">
        <f t="shared" si="40"/>
        <v>0</v>
      </c>
      <c r="F99" s="198">
        <f>+SUM(START:END!F99)</f>
        <v>0</v>
      </c>
      <c r="G99" s="284">
        <f>+SUM(START:END!G99)</f>
        <v>0</v>
      </c>
      <c r="H99" s="198">
        <f t="shared" si="53"/>
        <v>0</v>
      </c>
      <c r="I99" s="198">
        <f>+SUM(START:END!I99)</f>
        <v>0</v>
      </c>
      <c r="J99" s="199">
        <f>+SUM(START:END!J99)</f>
        <v>0</v>
      </c>
      <c r="K99" s="198">
        <f t="shared" ref="K99" si="54">IF(J99=0,0,L99/J99)</f>
        <v>0</v>
      </c>
      <c r="L99" s="201">
        <f>+SUM(START:END!L99)</f>
        <v>0</v>
      </c>
      <c r="M99" s="199">
        <f t="shared" ref="M99:M100" si="55">J99-D99</f>
        <v>0</v>
      </c>
      <c r="N99" s="201">
        <f t="shared" ref="N99:N104" si="56">L99-F99</f>
        <v>0</v>
      </c>
      <c r="O99" s="199">
        <f>+SUM(START:END!O99)</f>
        <v>0</v>
      </c>
      <c r="P99" s="198">
        <f t="shared" ref="P99" si="57">IF(O99=0,0,Q99/O99)</f>
        <v>0</v>
      </c>
      <c r="Q99" s="200">
        <f>+SUM(START:END!Q99)</f>
        <v>0</v>
      </c>
      <c r="R99" s="199"/>
      <c r="S99" s="202"/>
      <c r="V99" s="198"/>
      <c r="W99" s="198"/>
      <c r="X99" s="198"/>
      <c r="Y99" s="198"/>
      <c r="AC99" s="184"/>
    </row>
    <row r="100" spans="1:32" ht="15.75" customHeight="1">
      <c r="A100" s="23" t="str">
        <f t="shared" si="35"/>
        <v>Véhicules usagésVentes au Gros</v>
      </c>
      <c r="B100" s="184" t="s">
        <v>73</v>
      </c>
      <c r="C100" s="1" t="s">
        <v>78</v>
      </c>
      <c r="D100" s="198">
        <f>+SUM(START:END!D100)</f>
        <v>97</v>
      </c>
      <c r="E100" s="198">
        <f t="shared" ref="E100" si="58">IF(D100=0,0,F100/D100)</f>
        <v>400</v>
      </c>
      <c r="F100" s="198">
        <f>+SUM(START:END!F100)</f>
        <v>38800</v>
      </c>
      <c r="G100" s="284">
        <f>+SUM(START:END!G100)</f>
        <v>0</v>
      </c>
      <c r="H100" s="198">
        <f t="shared" ref="H100" si="59">IF(G100=0,0,I100/G100)</f>
        <v>0</v>
      </c>
      <c r="I100" s="198">
        <f>+SUM(START:END!I100)</f>
        <v>0</v>
      </c>
      <c r="J100" s="199">
        <f>+SUM(START:END!J100)</f>
        <v>124</v>
      </c>
      <c r="K100" s="198">
        <f t="shared" ref="K100" si="60">IF(J100=0,0,L100/J100)</f>
        <v>395.24967741935546</v>
      </c>
      <c r="L100" s="201">
        <f>+SUM(START:END!L100)</f>
        <v>49010.960000000079</v>
      </c>
      <c r="M100" s="199">
        <f t="shared" si="55"/>
        <v>27</v>
      </c>
      <c r="N100" s="201">
        <f t="shared" si="56"/>
        <v>10210.960000000079</v>
      </c>
      <c r="O100" s="199">
        <f>+SUM(START:END!O100)</f>
        <v>111</v>
      </c>
      <c r="P100" s="198">
        <f t="shared" ref="P100" si="61">IF(O100=0,0,Q100/O100)</f>
        <v>25.426126126126505</v>
      </c>
      <c r="Q100" s="200">
        <f>+SUM(START:END!Q100)</f>
        <v>2822.300000000042</v>
      </c>
      <c r="R100" s="199">
        <f t="shared" ref="R100" si="62">J100-O100</f>
        <v>13</v>
      </c>
      <c r="S100" s="202">
        <f t="shared" ref="S100" si="63">L100-Q100</f>
        <v>46188.66000000004</v>
      </c>
      <c r="V100" s="198"/>
      <c r="W100" s="198"/>
      <c r="X100" s="198"/>
      <c r="Y100" s="198"/>
      <c r="AC100" s="26"/>
      <c r="AF100" s="115"/>
    </row>
    <row r="101" spans="1:32" ht="15.75" customHeight="1">
      <c r="A101" s="23" t="str">
        <f t="shared" si="35"/>
        <v>Véhicules usagés</v>
      </c>
      <c r="B101" s="184" t="s">
        <v>73</v>
      </c>
      <c r="C101" s="2"/>
      <c r="D101" s="194"/>
      <c r="E101" s="194"/>
      <c r="F101" s="213"/>
      <c r="G101" s="216"/>
      <c r="H101" s="212"/>
      <c r="I101" s="213"/>
      <c r="J101" s="216"/>
      <c r="K101" s="212"/>
      <c r="L101" s="213"/>
      <c r="M101" s="214"/>
      <c r="N101" s="285"/>
      <c r="O101" s="216"/>
      <c r="P101" s="212"/>
      <c r="Q101" s="213"/>
      <c r="R101" s="214"/>
      <c r="S101" s="286"/>
      <c r="AF101" s="115"/>
    </row>
    <row r="102" spans="1:32" ht="15.75" customHeight="1">
      <c r="A102" s="23" t="str">
        <f t="shared" si="35"/>
        <v>Véhicules usagésRev. Finances</v>
      </c>
      <c r="B102" s="184" t="s">
        <v>73</v>
      </c>
      <c r="C102" s="1" t="s">
        <v>25</v>
      </c>
      <c r="D102" s="198">
        <f>+SUM(START:END!D102)</f>
        <v>0</v>
      </c>
      <c r="E102" s="198">
        <f t="shared" ref="E102:E104" si="64">IF(D102=0,0,F102/D102)</f>
        <v>0</v>
      </c>
      <c r="F102" s="201">
        <f>+SUM(START:END!F102)</f>
        <v>52800</v>
      </c>
      <c r="G102" s="199">
        <f>+SUM(START:END!G102)</f>
        <v>0</v>
      </c>
      <c r="H102" s="198">
        <f t="shared" ref="H102:H104" si="65">IF(G102=0,0,I102/G102)</f>
        <v>0</v>
      </c>
      <c r="I102" s="198">
        <f>+SUM(START:END!I102)</f>
        <v>0</v>
      </c>
      <c r="J102" s="199">
        <f>+SUM(START:END!J102)</f>
        <v>0</v>
      </c>
      <c r="K102" s="198">
        <f t="shared" ref="K102:K104" si="66">IF(J102=0,0,L102/J102)</f>
        <v>0</v>
      </c>
      <c r="L102" s="201">
        <f>+SUM(START:END!L102)</f>
        <v>39052.82</v>
      </c>
      <c r="M102" s="199">
        <f t="shared" ref="M102:M104" si="67">J102-G102</f>
        <v>0</v>
      </c>
      <c r="N102" s="201">
        <f t="shared" si="56"/>
        <v>-13747.18</v>
      </c>
      <c r="O102" s="199">
        <f>+SUM(START:END!O102)</f>
        <v>0</v>
      </c>
      <c r="P102" s="198">
        <f t="shared" ref="P102:P104" si="68">IF(O102=0,0,Q102/O102)</f>
        <v>0</v>
      </c>
      <c r="Q102" s="201">
        <f>+SUM(START:END!Q102)</f>
        <v>22826.69</v>
      </c>
      <c r="R102" s="199">
        <f t="shared" ref="R102:R104" si="69">J102-O102</f>
        <v>0</v>
      </c>
      <c r="S102" s="202">
        <f t="shared" ref="S102:S104" si="70">L102-Q102</f>
        <v>16226.130000000001</v>
      </c>
    </row>
    <row r="103" spans="1:32" ht="15.75" customHeight="1">
      <c r="A103" s="23" t="str">
        <f t="shared" si="35"/>
        <v>Véhicules usagésRev. Protections</v>
      </c>
      <c r="B103" s="184" t="s">
        <v>73</v>
      </c>
      <c r="C103" s="1" t="s">
        <v>26</v>
      </c>
      <c r="D103" s="198">
        <f>+SUM(START:END!D103)</f>
        <v>0</v>
      </c>
      <c r="E103" s="198">
        <f t="shared" si="64"/>
        <v>0</v>
      </c>
      <c r="F103" s="201">
        <f>+SUM(START:END!F103)</f>
        <v>110000</v>
      </c>
      <c r="G103" s="199">
        <f>+SUM(START:END!G103)</f>
        <v>0</v>
      </c>
      <c r="H103" s="198">
        <f t="shared" si="65"/>
        <v>0</v>
      </c>
      <c r="I103" s="198">
        <f>+SUM(START:END!I103)</f>
        <v>0</v>
      </c>
      <c r="J103" s="199">
        <f>+SUM(START:END!J103)</f>
        <v>0</v>
      </c>
      <c r="K103" s="198">
        <f t="shared" si="66"/>
        <v>0</v>
      </c>
      <c r="L103" s="201">
        <f>+SUM(START:END!L103)</f>
        <v>150885.37</v>
      </c>
      <c r="M103" s="199">
        <f t="shared" si="67"/>
        <v>0</v>
      </c>
      <c r="N103" s="201">
        <f t="shared" si="56"/>
        <v>40885.369999999995</v>
      </c>
      <c r="O103" s="199">
        <f>+SUM(START:END!O103)</f>
        <v>0</v>
      </c>
      <c r="P103" s="198">
        <f t="shared" si="68"/>
        <v>0</v>
      </c>
      <c r="Q103" s="201">
        <f>+SUM(START:END!Q103)</f>
        <v>116795.14000000001</v>
      </c>
      <c r="R103" s="199">
        <f t="shared" si="69"/>
        <v>0</v>
      </c>
      <c r="S103" s="202">
        <f t="shared" si="70"/>
        <v>34090.229999999981</v>
      </c>
    </row>
    <row r="104" spans="1:32" ht="15.75" customHeight="1">
      <c r="A104" s="23" t="str">
        <f t="shared" si="35"/>
        <v>Véhicules usagésRev. Autres</v>
      </c>
      <c r="B104" s="184" t="s">
        <v>73</v>
      </c>
      <c r="C104" s="1" t="s">
        <v>27</v>
      </c>
      <c r="D104" s="198">
        <f>+SUM(START:END!D104)</f>
        <v>0</v>
      </c>
      <c r="E104" s="194">
        <f t="shared" si="64"/>
        <v>0</v>
      </c>
      <c r="F104" s="201">
        <f>+SUM(START:END!F104)</f>
        <v>4400</v>
      </c>
      <c r="G104" s="199">
        <f>+SUM(START:END!G104)</f>
        <v>0</v>
      </c>
      <c r="H104" s="212">
        <f t="shared" si="65"/>
        <v>0</v>
      </c>
      <c r="I104" s="198">
        <f>+SUM(START:END!I104)</f>
        <v>0</v>
      </c>
      <c r="J104" s="199">
        <f>+SUM(START:END!J104)</f>
        <v>0</v>
      </c>
      <c r="K104" s="212">
        <f t="shared" si="66"/>
        <v>0</v>
      </c>
      <c r="L104" s="201">
        <f>+SUM(START:END!L104)</f>
        <v>3108.44</v>
      </c>
      <c r="M104" s="216">
        <f t="shared" si="67"/>
        <v>0</v>
      </c>
      <c r="N104" s="201">
        <f t="shared" si="56"/>
        <v>-1291.56</v>
      </c>
      <c r="O104" s="199">
        <f>+SUM(START:END!O104)</f>
        <v>0</v>
      </c>
      <c r="P104" s="212">
        <f t="shared" si="68"/>
        <v>0</v>
      </c>
      <c r="Q104" s="201">
        <f>+SUM(START:END!Q104)</f>
        <v>5598.07</v>
      </c>
      <c r="R104" s="199">
        <f t="shared" si="69"/>
        <v>0</v>
      </c>
      <c r="S104" s="202">
        <f t="shared" si="70"/>
        <v>-2489.6299999999997</v>
      </c>
    </row>
    <row r="105" spans="1:32" ht="15.75" customHeight="1">
      <c r="A105" s="23" t="str">
        <f t="shared" si="35"/>
        <v>Véhicules usagésTotal F&amp;I</v>
      </c>
      <c r="B105" s="184" t="s">
        <v>73</v>
      </c>
      <c r="C105" s="203" t="s">
        <v>28</v>
      </c>
      <c r="D105" s="204">
        <f>D97</f>
        <v>88</v>
      </c>
      <c r="E105" s="198">
        <f t="shared" si="40"/>
        <v>1900</v>
      </c>
      <c r="F105" s="205">
        <f>F102+F103+F104</f>
        <v>167200</v>
      </c>
      <c r="G105" s="206">
        <f>G97</f>
        <v>0</v>
      </c>
      <c r="H105" s="204">
        <f t="shared" ref="H105" si="71">IF(G105=0,0,I105/G105)</f>
        <v>0</v>
      </c>
      <c r="I105" s="205">
        <f>I102+I103+I104</f>
        <v>0</v>
      </c>
      <c r="J105" s="206">
        <f>J97</f>
        <v>79</v>
      </c>
      <c r="K105" s="204">
        <f>IF(J105&lt;=0,0,L105/J105)</f>
        <v>2443.6282278481012</v>
      </c>
      <c r="L105" s="205">
        <f>L102+L103+L104</f>
        <v>193046.63</v>
      </c>
      <c r="M105" s="199">
        <f>M97</f>
        <v>-9</v>
      </c>
      <c r="N105" s="205">
        <f>N102+N103+N104</f>
        <v>25846.629999999994</v>
      </c>
      <c r="O105" s="206">
        <f>O97</f>
        <v>69</v>
      </c>
      <c r="P105" s="204">
        <f>IF(O105&lt;=0,0,Q105/O105)</f>
        <v>2104.6362318840584</v>
      </c>
      <c r="Q105" s="205">
        <f>Q102+Q103+Q104</f>
        <v>145219.90000000002</v>
      </c>
      <c r="R105" s="220"/>
      <c r="S105" s="207">
        <f t="shared" ref="S105" si="72">L105-Q105</f>
        <v>47826.729999999981</v>
      </c>
      <c r="V105" s="198"/>
      <c r="W105" s="198"/>
      <c r="X105" s="198"/>
      <c r="Y105" s="198"/>
    </row>
    <row r="106" spans="1:32" ht="15.75" customHeight="1">
      <c r="A106" s="23" t="str">
        <f t="shared" si="35"/>
        <v>Véhicules usagés</v>
      </c>
      <c r="B106" s="184" t="s">
        <v>73</v>
      </c>
      <c r="C106" s="1"/>
      <c r="F106" s="222"/>
      <c r="G106" s="152"/>
      <c r="H106" s="31"/>
      <c r="I106" s="222"/>
      <c r="J106" s="152"/>
      <c r="L106" s="222"/>
      <c r="M106" s="170"/>
      <c r="N106" s="171">
        <f>N105/F105</f>
        <v>0.15458510765550235</v>
      </c>
      <c r="O106" s="152"/>
      <c r="Q106" s="222"/>
      <c r="R106" s="223"/>
      <c r="S106" s="209">
        <f>IF(Q105=0,0,(S105/Q105))</f>
        <v>0.32934005601160704</v>
      </c>
    </row>
    <row r="107" spans="1:32" ht="15.75" customHeight="1" thickBot="1">
      <c r="A107" s="23" t="str">
        <f t="shared" si="35"/>
        <v>Véhicules usagés</v>
      </c>
      <c r="B107" s="184" t="s">
        <v>73</v>
      </c>
      <c r="C107" s="1"/>
      <c r="F107" s="222"/>
      <c r="G107" s="152"/>
      <c r="H107" s="31"/>
      <c r="I107" s="222"/>
      <c r="J107" s="152"/>
      <c r="K107" s="198"/>
      <c r="L107" s="222"/>
      <c r="M107" s="170"/>
      <c r="N107" s="171"/>
      <c r="O107" s="152"/>
      <c r="Q107" s="222"/>
      <c r="R107" s="223"/>
      <c r="S107" s="209"/>
    </row>
    <row r="108" spans="1:32" ht="15.75" customHeight="1" thickTop="1">
      <c r="A108" s="23" t="str">
        <f t="shared" si="35"/>
        <v>Véhicules usagésTotal Dépt. Usagés</v>
      </c>
      <c r="B108" s="184" t="s">
        <v>73</v>
      </c>
      <c r="C108" s="225" t="s">
        <v>79</v>
      </c>
      <c r="D108" s="226">
        <f>D97+D100</f>
        <v>185</v>
      </c>
      <c r="E108" s="230">
        <f>IF(D108&lt;=0,0,F108/D108)</f>
        <v>1803.2432432432433</v>
      </c>
      <c r="F108" s="228">
        <f>F97+F105+F100</f>
        <v>333600</v>
      </c>
      <c r="G108" s="229">
        <f>G97+G100</f>
        <v>0</v>
      </c>
      <c r="H108" s="230">
        <f>IF(G108&lt;=0,0,I108/G108)</f>
        <v>0</v>
      </c>
      <c r="I108" s="228">
        <f>I97+I105+I100</f>
        <v>0</v>
      </c>
      <c r="J108" s="229">
        <f>J97+J100+J99</f>
        <v>203</v>
      </c>
      <c r="K108" s="230">
        <f>IF(J108&lt;=0,0,L108/J108)</f>
        <v>1823.4672413793114</v>
      </c>
      <c r="L108" s="228">
        <f>L97+L105+L100+L99</f>
        <v>370163.85000000021</v>
      </c>
      <c r="M108" s="229">
        <f>M97+M100+M99</f>
        <v>18</v>
      </c>
      <c r="N108" s="228">
        <f>N97+N105+N100+N99</f>
        <v>36563.850000000195</v>
      </c>
      <c r="O108" s="229">
        <f>O97+O100+O99</f>
        <v>180</v>
      </c>
      <c r="P108" s="230">
        <f>IF(O108&lt;=0,0,Q108/O108)</f>
        <v>1415.0916666666658</v>
      </c>
      <c r="Q108" s="228">
        <f>Q97+Q105+Q100+Q99</f>
        <v>254716.49999999985</v>
      </c>
      <c r="R108" s="229">
        <f>J108-O108</f>
        <v>23</v>
      </c>
      <c r="S108" s="231">
        <f>L108-Q108</f>
        <v>115447.35000000036</v>
      </c>
      <c r="V108" s="198"/>
      <c r="W108" s="198"/>
      <c r="X108" s="198"/>
      <c r="Y108" s="198"/>
    </row>
    <row r="109" spans="1:32" ht="19.5" customHeight="1" thickBot="1">
      <c r="A109" s="23" t="str">
        <f t="shared" si="35"/>
        <v>Véhicules usagés</v>
      </c>
      <c r="B109" s="184" t="s">
        <v>73</v>
      </c>
      <c r="C109" s="232"/>
      <c r="D109" s="233"/>
      <c r="E109" s="233"/>
      <c r="F109" s="234"/>
      <c r="G109" s="235"/>
      <c r="H109" s="233"/>
      <c r="I109" s="234"/>
      <c r="J109" s="235"/>
      <c r="K109" s="233"/>
      <c r="L109" s="234"/>
      <c r="M109" s="236">
        <f>M108/D108</f>
        <v>9.7297297297297303E-2</v>
      </c>
      <c r="N109" s="166">
        <f>N108/F108</f>
        <v>0.1096038669064754</v>
      </c>
      <c r="O109" s="235"/>
      <c r="P109" s="233"/>
      <c r="Q109" s="234"/>
      <c r="R109" s="236">
        <f>O108/R108</f>
        <v>7.8260869565217392</v>
      </c>
      <c r="S109" s="287">
        <f>IF(Q108=0,0,(S108/Q108))</f>
        <v>0.45323860056180271</v>
      </c>
    </row>
    <row r="110" spans="1:32" ht="15.75" customHeight="1" thickTop="1">
      <c r="A110" s="23" t="str">
        <f t="shared" si="35"/>
        <v>Véhicules usagés</v>
      </c>
      <c r="B110" s="184" t="s">
        <v>73</v>
      </c>
      <c r="C110" s="22"/>
      <c r="D110" s="73"/>
      <c r="E110" s="73"/>
      <c r="F110" s="238"/>
      <c r="G110" s="156"/>
      <c r="H110" s="73"/>
      <c r="I110" s="238"/>
      <c r="J110" s="156"/>
      <c r="K110" s="73"/>
      <c r="L110" s="238"/>
      <c r="M110" s="170"/>
      <c r="N110" s="171"/>
      <c r="O110" s="156"/>
      <c r="P110" s="73"/>
      <c r="Q110" s="238"/>
      <c r="R110" s="170"/>
      <c r="S110" s="209"/>
    </row>
    <row r="111" spans="1:32" ht="15.75" customHeight="1">
      <c r="A111" s="23" t="str">
        <f t="shared" si="35"/>
        <v>Véhicules usagésDEPENSES</v>
      </c>
      <c r="B111" s="184" t="s">
        <v>73</v>
      </c>
      <c r="C111" s="239" t="s">
        <v>30</v>
      </c>
      <c r="E111" s="175"/>
      <c r="F111" s="222"/>
      <c r="G111" s="152"/>
      <c r="H111" s="175"/>
      <c r="I111" s="222"/>
      <c r="J111" s="152"/>
      <c r="K111" s="175"/>
      <c r="L111" s="208"/>
      <c r="M111" s="152"/>
      <c r="N111" s="208"/>
      <c r="O111" s="152"/>
      <c r="P111" s="175"/>
      <c r="Q111" s="208"/>
      <c r="R111" s="152"/>
      <c r="S111" s="224"/>
    </row>
    <row r="112" spans="1:32" ht="15.75" customHeight="1">
      <c r="A112" s="23" t="str">
        <f t="shared" si="35"/>
        <v>Véhicules usagésComm. vendeurs</v>
      </c>
      <c r="B112" s="184" t="s">
        <v>73</v>
      </c>
      <c r="C112" s="1" t="s">
        <v>31</v>
      </c>
      <c r="D112" s="30"/>
      <c r="E112" s="26">
        <f>F112/D$97</f>
        <v>513.59960793923062</v>
      </c>
      <c r="F112" s="198">
        <f>+SUM(START:END!F112)</f>
        <v>45196.76549865229</v>
      </c>
      <c r="G112" s="288" t="e">
        <f>I112/I97</f>
        <v>#DIV/0!</v>
      </c>
      <c r="H112" s="26" t="e">
        <f>I112/G$97</f>
        <v>#DIV/0!</v>
      </c>
      <c r="I112" s="198">
        <f>+SUM(START:END!I112)</f>
        <v>0</v>
      </c>
      <c r="J112" s="288">
        <f>L112/L97</f>
        <v>0.32422584189094239</v>
      </c>
      <c r="K112" s="26">
        <f>IF($J$97=0,0,L112/(J$94+J$95))</f>
        <v>525.76405063291145</v>
      </c>
      <c r="L112" s="201">
        <f>+SUM(START:END!L112)</f>
        <v>41535.360000000001</v>
      </c>
      <c r="M112" s="152"/>
      <c r="N112" s="222">
        <f t="shared" ref="N112:N118" si="73">L112-F112</f>
        <v>-3661.4054986522897</v>
      </c>
      <c r="O112" s="152"/>
      <c r="P112" s="26">
        <f>IF($J$97=0,0,Q112/(O$94+O$95))</f>
        <v>695.42579710144935</v>
      </c>
      <c r="Q112" s="201">
        <f>+SUM(START:END!Q112)</f>
        <v>47984.380000000005</v>
      </c>
      <c r="R112" s="152"/>
      <c r="S112" s="242">
        <f t="shared" ref="S112:S122" si="74">L112-Q112</f>
        <v>-6449.0200000000041</v>
      </c>
    </row>
    <row r="113" spans="1:19" ht="15.75" customHeight="1">
      <c r="A113" s="23" t="str">
        <f t="shared" si="35"/>
        <v>Véhicules usagésComm. F&amp;I</v>
      </c>
      <c r="B113" s="184" t="s">
        <v>73</v>
      </c>
      <c r="C113" s="2" t="s">
        <v>32</v>
      </c>
      <c r="D113" s="34"/>
      <c r="E113" s="10">
        <f>F113/D$97</f>
        <v>570</v>
      </c>
      <c r="F113" s="193">
        <f>+SUM(START:END!F113)</f>
        <v>50160</v>
      </c>
      <c r="G113" s="246" t="e">
        <f>I113/I98</f>
        <v>#DIV/0!</v>
      </c>
      <c r="H113" s="10" t="e">
        <f>I113/G$97</f>
        <v>#DIV/0!</v>
      </c>
      <c r="I113" s="193">
        <f>+SUM(START:END!I113)</f>
        <v>0</v>
      </c>
      <c r="J113" s="246" t="e">
        <f>L113/L98</f>
        <v>#DIV/0!</v>
      </c>
      <c r="K113" s="10">
        <f>IF($J$97=0,0,L113/(J$94+J$95))</f>
        <v>-64.640253164556938</v>
      </c>
      <c r="L113" s="201">
        <f>+SUM(START:END!L113)</f>
        <v>-5106.5799999999981</v>
      </c>
      <c r="M113" s="153"/>
      <c r="N113" s="247">
        <f t="shared" si="73"/>
        <v>-55266.58</v>
      </c>
      <c r="O113" s="153"/>
      <c r="P113" s="10">
        <f>IF($J$97=0,0,Q113/(O$94+O$95))</f>
        <v>601.57608695652175</v>
      </c>
      <c r="Q113" s="201">
        <f>+SUM(START:END!Q113)</f>
        <v>41508.75</v>
      </c>
      <c r="R113" s="153"/>
      <c r="S113" s="248">
        <f t="shared" ref="S113" si="75">L113-Q113</f>
        <v>-46615.33</v>
      </c>
    </row>
    <row r="114" spans="1:19" ht="15.75" customHeight="1">
      <c r="A114" s="23" t="str">
        <f t="shared" si="35"/>
        <v>Véhicules usagésFrais de livraison</v>
      </c>
      <c r="B114" s="184" t="s">
        <v>73</v>
      </c>
      <c r="C114" s="1" t="s">
        <v>33</v>
      </c>
      <c r="D114" s="30"/>
      <c r="E114" s="26">
        <f>F114/D$97</f>
        <v>8</v>
      </c>
      <c r="F114" s="198">
        <f>+SUM(START:END!F114)</f>
        <v>704</v>
      </c>
      <c r="G114" s="240"/>
      <c r="H114" s="26" t="e">
        <f>I114/G$97</f>
        <v>#DIV/0!</v>
      </c>
      <c r="I114" s="198">
        <f>+SUM(START:END!I114)</f>
        <v>0</v>
      </c>
      <c r="J114" s="152"/>
      <c r="K114" s="26">
        <f>IF($J$97=0,0,L114/(J$94+J$95))</f>
        <v>-81.774430379746846</v>
      </c>
      <c r="L114" s="257">
        <f>+SUM(START:END!L114)</f>
        <v>-6460.18</v>
      </c>
      <c r="M114" s="152"/>
      <c r="N114" s="222">
        <f t="shared" si="73"/>
        <v>-7164.18</v>
      </c>
      <c r="O114" s="152"/>
      <c r="P114" s="26">
        <f>IF($J$97=0,0,Q114/(O$94+O$95))</f>
        <v>7.1644927536231906</v>
      </c>
      <c r="Q114" s="257">
        <f>+SUM(START:END!Q114)</f>
        <v>494.35000000000014</v>
      </c>
      <c r="R114" s="152"/>
      <c r="S114" s="242">
        <f t="shared" si="74"/>
        <v>-6954.5300000000007</v>
      </c>
    </row>
    <row r="115" spans="1:19" ht="15.75" customHeight="1">
      <c r="A115" s="23" t="str">
        <f t="shared" si="35"/>
        <v>Véhicules usagésService gratuit 1</v>
      </c>
      <c r="B115" s="184" t="s">
        <v>73</v>
      </c>
      <c r="C115" s="1" t="s">
        <v>34</v>
      </c>
      <c r="D115" s="30"/>
      <c r="E115" s="26">
        <f t="shared" ref="E115:E121" si="76">F115/D$97</f>
        <v>45</v>
      </c>
      <c r="F115" s="198">
        <f>+SUM(START:END!F115)</f>
        <v>3960</v>
      </c>
      <c r="G115" s="240"/>
      <c r="H115" s="26" t="e">
        <f t="shared" ref="H115:H121" si="77">I115/G$97</f>
        <v>#DIV/0!</v>
      </c>
      <c r="I115" s="198">
        <f>+SUM(START:END!I115)</f>
        <v>0</v>
      </c>
      <c r="J115" s="152"/>
      <c r="K115" s="26">
        <f t="shared" ref="K115:K121" si="78">IF($J$97=0,0,L115/(J$94+J$95))</f>
        <v>127.85683544303795</v>
      </c>
      <c r="L115" s="201">
        <f>+SUM(START:END!L115)</f>
        <v>10100.689999999999</v>
      </c>
      <c r="M115" s="152"/>
      <c r="N115" s="222">
        <f t="shared" si="73"/>
        <v>6140.6899999999987</v>
      </c>
      <c r="O115" s="152"/>
      <c r="P115" s="26">
        <f t="shared" ref="P115:P121" si="79">IF($J$97=0,0,Q115/(O$94+O$95))</f>
        <v>115.37782608695652</v>
      </c>
      <c r="Q115" s="201">
        <f>+SUM(START:END!Q115)</f>
        <v>7961.07</v>
      </c>
      <c r="R115" s="152"/>
      <c r="S115" s="242">
        <f t="shared" ref="S115:S118" si="80">L115-Q115</f>
        <v>2139.619999999999</v>
      </c>
    </row>
    <row r="116" spans="1:19" ht="15.75" customHeight="1">
      <c r="A116" s="23" t="str">
        <f t="shared" si="35"/>
        <v>Véhicules usagésEntretien stock</v>
      </c>
      <c r="B116" s="184" t="s">
        <v>73</v>
      </c>
      <c r="C116" s="2" t="s">
        <v>35</v>
      </c>
      <c r="D116" s="34"/>
      <c r="E116" s="10">
        <f t="shared" si="76"/>
        <v>160</v>
      </c>
      <c r="F116" s="193">
        <f>+SUM(START:END!F116)</f>
        <v>14080</v>
      </c>
      <c r="G116" s="244"/>
      <c r="H116" s="10" t="e">
        <f t="shared" si="77"/>
        <v>#DIV/0!</v>
      </c>
      <c r="I116" s="193">
        <f>+SUM(START:END!I116)</f>
        <v>0</v>
      </c>
      <c r="J116" s="153"/>
      <c r="K116" s="10">
        <f t="shared" si="78"/>
        <v>135.80430379746835</v>
      </c>
      <c r="L116" s="213">
        <f>+SUM(START:END!L116)</f>
        <v>10728.539999999999</v>
      </c>
      <c r="M116" s="153"/>
      <c r="N116" s="247">
        <f t="shared" si="73"/>
        <v>-3351.4600000000009</v>
      </c>
      <c r="O116" s="153"/>
      <c r="P116" s="10">
        <f t="shared" si="79"/>
        <v>213.05014492753622</v>
      </c>
      <c r="Q116" s="213">
        <f>+SUM(START:END!Q116)</f>
        <v>14700.46</v>
      </c>
      <c r="R116" s="153"/>
      <c r="S116" s="248">
        <f t="shared" si="80"/>
        <v>-3971.92</v>
      </c>
    </row>
    <row r="117" spans="1:19" ht="15.75" customHeight="1">
      <c r="A117" s="23" t="str">
        <f t="shared" si="35"/>
        <v>Véhicules usagésPublicité 1</v>
      </c>
      <c r="B117" s="184" t="s">
        <v>73</v>
      </c>
      <c r="C117" s="1" t="s">
        <v>36</v>
      </c>
      <c r="D117" s="30"/>
      <c r="E117" s="26">
        <f t="shared" si="76"/>
        <v>420.97727272727275</v>
      </c>
      <c r="F117" s="198">
        <f>+SUM(START:END!F117)</f>
        <v>37046</v>
      </c>
      <c r="G117" s="240"/>
      <c r="H117" s="26" t="e">
        <f t="shared" si="77"/>
        <v>#DIV/0!</v>
      </c>
      <c r="I117" s="198">
        <f>+SUM(START:END!I117)</f>
        <v>0</v>
      </c>
      <c r="J117" s="152"/>
      <c r="K117" s="26">
        <f t="shared" si="78"/>
        <v>442.08316455696212</v>
      </c>
      <c r="L117" s="201">
        <f>+SUM(START:END!L117)</f>
        <v>34924.570000000007</v>
      </c>
      <c r="M117" s="152"/>
      <c r="N117" s="222">
        <f t="shared" si="73"/>
        <v>-2121.429999999993</v>
      </c>
      <c r="O117" s="152"/>
      <c r="P117" s="26">
        <f t="shared" si="79"/>
        <v>537.76826086956373</v>
      </c>
      <c r="Q117" s="201">
        <f>+SUM(START:END!Q117)</f>
        <v>37106.0099999999</v>
      </c>
      <c r="R117" s="152"/>
      <c r="S117" s="242">
        <f t="shared" si="80"/>
        <v>-2181.4399999998932</v>
      </c>
    </row>
    <row r="118" spans="1:19" ht="15.75" customHeight="1">
      <c r="A118" s="23" t="str">
        <f t="shared" si="35"/>
        <v>Véhicules usagésIntérêt de gros</v>
      </c>
      <c r="B118" s="184" t="s">
        <v>73</v>
      </c>
      <c r="C118" s="1" t="s">
        <v>37</v>
      </c>
      <c r="D118" s="30"/>
      <c r="E118" s="26">
        <f t="shared" si="76"/>
        <v>255.58092485549133</v>
      </c>
      <c r="F118" s="198">
        <f>+SUM(START:END!F118)</f>
        <v>22491.121387283238</v>
      </c>
      <c r="G118" s="240"/>
      <c r="H118" s="26" t="e">
        <f t="shared" si="77"/>
        <v>#DIV/0!</v>
      </c>
      <c r="I118" s="198">
        <f>+SUM(START:END!I118)</f>
        <v>0</v>
      </c>
      <c r="J118" s="152"/>
      <c r="K118" s="26">
        <f t="shared" si="78"/>
        <v>88.011645569620256</v>
      </c>
      <c r="L118" s="201">
        <f>+SUM(START:END!L118)</f>
        <v>6952.92</v>
      </c>
      <c r="M118" s="152"/>
      <c r="N118" s="222">
        <f t="shared" si="73"/>
        <v>-15538.201387283238</v>
      </c>
      <c r="O118" s="152"/>
      <c r="P118" s="26">
        <f t="shared" si="79"/>
        <v>120.43985507246377</v>
      </c>
      <c r="Q118" s="201">
        <f>+SUM(START:END!Q118)</f>
        <v>8310.35</v>
      </c>
      <c r="R118" s="152"/>
      <c r="S118" s="242">
        <f t="shared" si="80"/>
        <v>-1357.4300000000003</v>
      </c>
    </row>
    <row r="119" spans="1:19" ht="15.75" hidden="1" customHeight="1">
      <c r="A119" s="23" t="str">
        <f t="shared" si="35"/>
        <v>Véhicules usagés[...]</v>
      </c>
      <c r="B119" s="184" t="s">
        <v>73</v>
      </c>
      <c r="C119" s="1" t="s">
        <v>20</v>
      </c>
      <c r="D119" s="30"/>
      <c r="E119" s="26">
        <f t="shared" si="76"/>
        <v>0</v>
      </c>
      <c r="F119" s="198">
        <f>+SUM(START:END!F119)</f>
        <v>0</v>
      </c>
      <c r="G119" s="240"/>
      <c r="H119" s="26" t="e">
        <f t="shared" si="77"/>
        <v>#DIV/0!</v>
      </c>
      <c r="I119" s="198">
        <f>+SUM(START:END!I119)</f>
        <v>0</v>
      </c>
      <c r="J119" s="152"/>
      <c r="K119" s="26">
        <f t="shared" si="78"/>
        <v>0</v>
      </c>
      <c r="L119" s="201">
        <f>+SUM(START:END!L119)</f>
        <v>0</v>
      </c>
      <c r="M119" s="152"/>
      <c r="N119" s="222">
        <f t="shared" ref="N119:N121" si="81">L119-I119</f>
        <v>0</v>
      </c>
      <c r="O119" s="152"/>
      <c r="P119" s="26">
        <f t="shared" si="79"/>
        <v>0</v>
      </c>
      <c r="Q119" s="201">
        <f>+SUM(START:END!Q119)</f>
        <v>0</v>
      </c>
      <c r="R119" s="152"/>
      <c r="S119" s="242">
        <f t="shared" ref="S119:S121" si="82">L119-Q119</f>
        <v>0</v>
      </c>
    </row>
    <row r="120" spans="1:19" ht="15.75" hidden="1" customHeight="1">
      <c r="A120" s="23" t="str">
        <f t="shared" si="35"/>
        <v>Véhicules usagés[...]</v>
      </c>
      <c r="B120" s="184" t="s">
        <v>73</v>
      </c>
      <c r="C120" s="1" t="s">
        <v>20</v>
      </c>
      <c r="D120" s="30"/>
      <c r="E120" s="26">
        <f t="shared" si="76"/>
        <v>0</v>
      </c>
      <c r="F120" s="198">
        <f>+SUM(START:END!F120)</f>
        <v>0</v>
      </c>
      <c r="G120" s="240"/>
      <c r="H120" s="26" t="e">
        <f t="shared" si="77"/>
        <v>#DIV/0!</v>
      </c>
      <c r="I120" s="198">
        <f>+SUM(START:END!I120)</f>
        <v>0</v>
      </c>
      <c r="J120" s="152"/>
      <c r="K120" s="26">
        <f t="shared" si="78"/>
        <v>0</v>
      </c>
      <c r="L120" s="201">
        <f>+SUM(START:END!L120)</f>
        <v>0</v>
      </c>
      <c r="M120" s="152"/>
      <c r="N120" s="222">
        <f t="shared" si="81"/>
        <v>0</v>
      </c>
      <c r="O120" s="152"/>
      <c r="P120" s="26">
        <f t="shared" si="79"/>
        <v>0</v>
      </c>
      <c r="Q120" s="201">
        <f>+SUM(START:END!Q120)</f>
        <v>0</v>
      </c>
      <c r="R120" s="152"/>
      <c r="S120" s="242">
        <f t="shared" si="82"/>
        <v>0</v>
      </c>
    </row>
    <row r="121" spans="1:19" ht="15.75" hidden="1" customHeight="1">
      <c r="A121" s="23" t="str">
        <f t="shared" si="35"/>
        <v>Véhicules usagés[...]</v>
      </c>
      <c r="B121" s="184" t="s">
        <v>73</v>
      </c>
      <c r="C121" s="1" t="s">
        <v>20</v>
      </c>
      <c r="D121" s="30"/>
      <c r="E121" s="26">
        <f t="shared" si="76"/>
        <v>0</v>
      </c>
      <c r="F121" s="198">
        <f>+SUM(START:END!F121)</f>
        <v>0</v>
      </c>
      <c r="G121" s="240"/>
      <c r="H121" s="26" t="e">
        <f t="shared" si="77"/>
        <v>#DIV/0!</v>
      </c>
      <c r="I121" s="198">
        <f>+SUM(START:END!I121)</f>
        <v>0</v>
      </c>
      <c r="J121" s="152"/>
      <c r="K121" s="26">
        <f t="shared" si="78"/>
        <v>0</v>
      </c>
      <c r="L121" s="201">
        <f>+SUM(START:END!L121)</f>
        <v>0</v>
      </c>
      <c r="M121" s="152"/>
      <c r="N121" s="222">
        <f t="shared" si="81"/>
        <v>0</v>
      </c>
      <c r="O121" s="152"/>
      <c r="P121" s="26">
        <f t="shared" si="79"/>
        <v>0</v>
      </c>
      <c r="Q121" s="201">
        <f>+SUM(START:END!Q121)</f>
        <v>0</v>
      </c>
      <c r="R121" s="152"/>
      <c r="S121" s="242">
        <f t="shared" si="82"/>
        <v>0</v>
      </c>
    </row>
    <row r="122" spans="1:19" ht="15.75" customHeight="1">
      <c r="A122" s="23" t="str">
        <f t="shared" si="35"/>
        <v>Véhicules usagésTOTAL VARIABLES</v>
      </c>
      <c r="B122" s="184" t="s">
        <v>73</v>
      </c>
      <c r="C122" s="40" t="s">
        <v>38</v>
      </c>
      <c r="D122" s="250" t="s">
        <v>39</v>
      </c>
      <c r="E122" s="42">
        <f>F122/F$108</f>
        <v>0.52049726284752851</v>
      </c>
      <c r="F122" s="251">
        <f>SUM(F112:F121)</f>
        <v>173637.88688593553</v>
      </c>
      <c r="G122" s="252" t="s">
        <v>39</v>
      </c>
      <c r="H122" s="42" t="e">
        <f>I122/I$108</f>
        <v>#DIV/0!</v>
      </c>
      <c r="I122" s="251">
        <f>SUM(I112:I121)</f>
        <v>0</v>
      </c>
      <c r="J122" s="252" t="s">
        <v>39</v>
      </c>
      <c r="K122" s="42">
        <f>L122/L$108</f>
        <v>0.25036296764257215</v>
      </c>
      <c r="L122" s="251">
        <f>SUM(L112:L121)</f>
        <v>92675.319999999992</v>
      </c>
      <c r="M122" s="254"/>
      <c r="N122" s="251">
        <f>SUM(N112:N121)</f>
        <v>-80962.566885935521</v>
      </c>
      <c r="O122" s="252" t="s">
        <v>39</v>
      </c>
      <c r="P122" s="42">
        <f>Q122/Q$108</f>
        <v>0.62055410623183027</v>
      </c>
      <c r="Q122" s="251">
        <f>SUM(Q112:Q121)</f>
        <v>158065.36999999991</v>
      </c>
      <c r="R122" s="254"/>
      <c r="S122" s="255">
        <f t="shared" si="74"/>
        <v>-65390.049999999916</v>
      </c>
    </row>
    <row r="123" spans="1:19" ht="15.75" customHeight="1">
      <c r="A123" s="23" t="str">
        <f t="shared" si="35"/>
        <v>Véhicules usagésSalaires cadres</v>
      </c>
      <c r="B123" s="184" t="s">
        <v>73</v>
      </c>
      <c r="C123" s="1" t="s">
        <v>41</v>
      </c>
      <c r="F123" s="198">
        <f>+SUM(START:END!F123)</f>
        <v>28865.225000000002</v>
      </c>
      <c r="G123" s="152"/>
      <c r="I123" s="198">
        <f>+SUM(START:END!I123)</f>
        <v>0</v>
      </c>
      <c r="J123" s="152"/>
      <c r="L123" s="201">
        <f>+SUM(START:END!L123)</f>
        <v>33504.6</v>
      </c>
      <c r="M123" s="152"/>
      <c r="N123" s="222">
        <f t="shared" ref="N123:N133" si="83">L123-F123</f>
        <v>4639.3749999999964</v>
      </c>
      <c r="O123" s="152"/>
      <c r="Q123" s="201">
        <f>+SUM(START:END!Q123)</f>
        <v>30780.190000000002</v>
      </c>
      <c r="R123" s="152"/>
      <c r="S123" s="224"/>
    </row>
    <row r="124" spans="1:19" ht="15.75" customHeight="1">
      <c r="A124" s="23" t="str">
        <f t="shared" si="35"/>
        <v>Véhicules usagésSalaires commis</v>
      </c>
      <c r="B124" s="184" t="s">
        <v>73</v>
      </c>
      <c r="C124" s="2" t="s">
        <v>42</v>
      </c>
      <c r="D124" s="30"/>
      <c r="F124" s="193">
        <f>+SUM(START:END!F124)</f>
        <v>27552.639999999996</v>
      </c>
      <c r="G124" s="240"/>
      <c r="I124" s="193">
        <f>+SUM(START:END!I124)</f>
        <v>0</v>
      </c>
      <c r="J124" s="152"/>
      <c r="L124" s="193">
        <f>+SUM(START:END!L124)</f>
        <v>8154.2500000000009</v>
      </c>
      <c r="M124" s="152"/>
      <c r="N124" s="222">
        <f t="shared" si="83"/>
        <v>-19398.389999999996</v>
      </c>
      <c r="O124" s="152"/>
      <c r="Q124" s="193">
        <f>+SUM(START:END!Q124)</f>
        <v>5435.17</v>
      </c>
      <c r="R124" s="152"/>
      <c r="S124" s="242"/>
    </row>
    <row r="125" spans="1:19" ht="15.75" customHeight="1">
      <c r="A125" s="23" t="str">
        <f t="shared" si="35"/>
        <v>Véhicules usagésSalaires autres</v>
      </c>
      <c r="B125" s="184" t="s">
        <v>73</v>
      </c>
      <c r="C125" s="1" t="s">
        <v>43</v>
      </c>
      <c r="D125" s="52"/>
      <c r="E125" s="53"/>
      <c r="F125" s="198">
        <f>+SUM(START:END!F125)</f>
        <v>10870.9</v>
      </c>
      <c r="G125" s="256"/>
      <c r="H125" s="53"/>
      <c r="I125" s="198">
        <f>+SUM(START:END!I125)</f>
        <v>0</v>
      </c>
      <c r="J125" s="154"/>
      <c r="K125" s="53"/>
      <c r="L125" s="201">
        <f>+SUM(START:END!L125)</f>
        <v>12629.75</v>
      </c>
      <c r="M125" s="154"/>
      <c r="N125" s="258">
        <f t="shared" si="83"/>
        <v>1758.8500000000004</v>
      </c>
      <c r="O125" s="154"/>
      <c r="P125" s="53"/>
      <c r="Q125" s="201">
        <f>+SUM(START:END!Q125)</f>
        <v>15888.58</v>
      </c>
      <c r="R125" s="154"/>
      <c r="S125" s="259"/>
    </row>
    <row r="126" spans="1:19" ht="15.75" customHeight="1">
      <c r="A126" s="23" t="str">
        <f t="shared" si="35"/>
        <v>Véhicules usagésSalaires spécialistes</v>
      </c>
      <c r="B126" s="184" t="s">
        <v>73</v>
      </c>
      <c r="C126" s="1" t="s">
        <v>44</v>
      </c>
      <c r="D126" s="30"/>
      <c r="F126" s="198">
        <f>+SUM(START:END!F126)</f>
        <v>0</v>
      </c>
      <c r="G126" s="240"/>
      <c r="I126" s="198">
        <f>+SUM(START:END!I126)</f>
        <v>0</v>
      </c>
      <c r="J126" s="152"/>
      <c r="L126" s="201">
        <f>+SUM(START:END!L126)</f>
        <v>0</v>
      </c>
      <c r="M126" s="152"/>
      <c r="N126" s="222">
        <f t="shared" si="83"/>
        <v>0</v>
      </c>
      <c r="O126" s="152"/>
      <c r="Q126" s="201">
        <f>+SUM(START:END!Q126)</f>
        <v>0</v>
      </c>
      <c r="R126" s="152"/>
      <c r="S126" s="242"/>
    </row>
    <row r="127" spans="1:19" ht="15.75" hidden="1" customHeight="1">
      <c r="A127" s="23" t="str">
        <f t="shared" si="35"/>
        <v>Véhicules usagés[...]</v>
      </c>
      <c r="B127" s="184" t="s">
        <v>73</v>
      </c>
      <c r="C127" s="1" t="s">
        <v>20</v>
      </c>
      <c r="D127" s="30"/>
      <c r="F127" s="198">
        <f>+SUM(START:END!F127)</f>
        <v>0</v>
      </c>
      <c r="G127" s="240"/>
      <c r="I127" s="198">
        <f>+SUM(START:END!I127)</f>
        <v>0</v>
      </c>
      <c r="J127" s="152"/>
      <c r="L127" s="201">
        <f>+SUM(START:END!L127)</f>
        <v>0</v>
      </c>
      <c r="M127" s="152"/>
      <c r="N127" s="222">
        <f t="shared" si="83"/>
        <v>0</v>
      </c>
      <c r="O127" s="152"/>
      <c r="Q127" s="201">
        <f>+SUM(START:END!Q127)</f>
        <v>0</v>
      </c>
      <c r="R127" s="152"/>
      <c r="S127" s="242"/>
    </row>
    <row r="128" spans="1:19" ht="15.75" hidden="1" customHeight="1">
      <c r="A128" s="23" t="str">
        <f t="shared" si="35"/>
        <v>Véhicules usagés[...]</v>
      </c>
      <c r="B128" s="184" t="s">
        <v>73</v>
      </c>
      <c r="C128" s="1" t="s">
        <v>20</v>
      </c>
      <c r="D128" s="30"/>
      <c r="F128" s="198">
        <f>+SUM(START:END!F128)</f>
        <v>0</v>
      </c>
      <c r="G128" s="240"/>
      <c r="I128" s="198">
        <f>+SUM(START:END!I128)</f>
        <v>0</v>
      </c>
      <c r="J128" s="152"/>
      <c r="L128" s="201">
        <f>+SUM(START:END!L128)</f>
        <v>0</v>
      </c>
      <c r="M128" s="152"/>
      <c r="N128" s="222">
        <f t="shared" si="83"/>
        <v>0</v>
      </c>
      <c r="O128" s="152"/>
      <c r="Q128" s="201">
        <f>+SUM(START:END!Q128)</f>
        <v>0</v>
      </c>
      <c r="R128" s="152"/>
      <c r="S128" s="242"/>
    </row>
    <row r="129" spans="1:20" ht="15.75" hidden="1" customHeight="1">
      <c r="A129" s="23" t="str">
        <f t="shared" si="35"/>
        <v>Véhicules usagés[...]</v>
      </c>
      <c r="B129" s="184" t="s">
        <v>73</v>
      </c>
      <c r="C129" s="1" t="s">
        <v>20</v>
      </c>
      <c r="D129" s="30"/>
      <c r="F129" s="198">
        <f>+SUM(START:END!F129)</f>
        <v>0</v>
      </c>
      <c r="G129" s="240"/>
      <c r="I129" s="198">
        <f>+SUM(START:END!I129)</f>
        <v>0</v>
      </c>
      <c r="J129" s="152"/>
      <c r="L129" s="201">
        <f>+SUM(START:END!L129)</f>
        <v>0</v>
      </c>
      <c r="M129" s="152"/>
      <c r="N129" s="222">
        <f t="shared" si="83"/>
        <v>0</v>
      </c>
      <c r="O129" s="152"/>
      <c r="Q129" s="201">
        <f>+SUM(START:END!Q129)</f>
        <v>0</v>
      </c>
      <c r="R129" s="152"/>
      <c r="S129" s="242"/>
    </row>
    <row r="130" spans="1:20" ht="15.75" customHeight="1">
      <c r="A130" s="23" t="str">
        <f t="shared" si="35"/>
        <v>Véhicules usagésSalaires en absences</v>
      </c>
      <c r="B130" s="184" t="s">
        <v>73</v>
      </c>
      <c r="C130" s="2" t="s">
        <v>45</v>
      </c>
      <c r="D130" s="30"/>
      <c r="F130" s="198">
        <f>+SUM(START:END!F130)</f>
        <v>23919.076827500001</v>
      </c>
      <c r="G130" s="240"/>
      <c r="I130" s="198">
        <f>+SUM(START:END!I130)</f>
        <v>0</v>
      </c>
      <c r="J130" s="152"/>
      <c r="L130" s="201">
        <f>+SUM(START:END!L130)</f>
        <v>15619.31</v>
      </c>
      <c r="M130" s="152"/>
      <c r="N130" s="222">
        <f t="shared" si="83"/>
        <v>-8299.7668275000015</v>
      </c>
      <c r="O130" s="152"/>
      <c r="Q130" s="201">
        <f>+SUM(START:END!Q130)</f>
        <v>21282.720000000001</v>
      </c>
      <c r="R130" s="152"/>
      <c r="S130" s="242"/>
    </row>
    <row r="131" spans="1:20" ht="15.75" customHeight="1">
      <c r="A131" s="23" t="str">
        <f t="shared" si="35"/>
        <v>Véhicules usagésDéduction à la source</v>
      </c>
      <c r="B131" s="184" t="s">
        <v>73</v>
      </c>
      <c r="C131" s="1" t="s">
        <v>46</v>
      </c>
      <c r="D131" s="52"/>
      <c r="E131" s="53"/>
      <c r="F131" s="218">
        <f>+SUM(START:END!F131)</f>
        <v>29082.225570000002</v>
      </c>
      <c r="G131" s="256"/>
      <c r="H131" s="53"/>
      <c r="I131" s="218">
        <f>+SUM(START:END!I131)</f>
        <v>0</v>
      </c>
      <c r="J131" s="154"/>
      <c r="K131" s="53"/>
      <c r="L131" s="219">
        <f>+SUM(START:END!L131)</f>
        <v>16714.370000000003</v>
      </c>
      <c r="M131" s="154"/>
      <c r="N131" s="258">
        <f t="shared" si="83"/>
        <v>-12367.85557</v>
      </c>
      <c r="O131" s="154"/>
      <c r="P131" s="53"/>
      <c r="Q131" s="219">
        <f>+SUM(START:END!Q131)</f>
        <v>24682.879999999997</v>
      </c>
      <c r="R131" s="154"/>
      <c r="S131" s="259"/>
    </row>
    <row r="132" spans="1:20" ht="15.75" customHeight="1">
      <c r="A132" s="23" t="str">
        <f t="shared" si="35"/>
        <v>Véhicules usagésBénéfices marginaux</v>
      </c>
      <c r="B132" s="184" t="s">
        <v>73</v>
      </c>
      <c r="C132" s="1" t="s">
        <v>47</v>
      </c>
      <c r="D132" s="30"/>
      <c r="F132" s="198">
        <f>+SUM(START:END!F132)</f>
        <v>14983.668391499999</v>
      </c>
      <c r="G132" s="240"/>
      <c r="I132" s="198">
        <f>+SUM(START:END!I132)</f>
        <v>0</v>
      </c>
      <c r="J132" s="152"/>
      <c r="L132" s="201">
        <f>+SUM(START:END!L132)</f>
        <v>7969.4</v>
      </c>
      <c r="M132" s="152"/>
      <c r="N132" s="222">
        <f t="shared" si="83"/>
        <v>-7014.2683914999998</v>
      </c>
      <c r="O132" s="152"/>
      <c r="Q132" s="201">
        <f>+SUM(START:END!Q132)</f>
        <v>11583.6</v>
      </c>
      <c r="R132" s="152"/>
      <c r="S132" s="242"/>
    </row>
    <row r="133" spans="1:20" ht="15.75" customHeight="1">
      <c r="A133" s="23" t="str">
        <f t="shared" si="35"/>
        <v>Véhicules usagésCsst</v>
      </c>
      <c r="B133" s="184" t="s">
        <v>73</v>
      </c>
      <c r="C133" s="1" t="s">
        <v>48</v>
      </c>
      <c r="D133" s="30"/>
      <c r="F133" s="198">
        <f>+SUM(START:END!F133)</f>
        <v>6532.9637149999999</v>
      </c>
      <c r="G133" s="240"/>
      <c r="I133" s="198">
        <f>+SUM(START:END!I133)</f>
        <v>0</v>
      </c>
      <c r="J133" s="152"/>
      <c r="L133" s="201">
        <f>+SUM(START:END!L133)</f>
        <v>1735.6399999999999</v>
      </c>
      <c r="M133" s="152"/>
      <c r="N133" s="222">
        <f t="shared" si="83"/>
        <v>-4797.3237150000004</v>
      </c>
      <c r="O133" s="152"/>
      <c r="Q133" s="201">
        <f>+SUM(START:END!Q133)</f>
        <v>2906.74</v>
      </c>
      <c r="R133" s="152"/>
      <c r="S133" s="242"/>
    </row>
    <row r="134" spans="1:20" ht="15.75" hidden="1" customHeight="1">
      <c r="A134" s="23" t="str">
        <f t="shared" si="35"/>
        <v>Véhicules usagés[...]</v>
      </c>
      <c r="B134" s="184" t="s">
        <v>73</v>
      </c>
      <c r="C134" s="1" t="s">
        <v>20</v>
      </c>
      <c r="D134" s="34"/>
      <c r="E134" s="7"/>
      <c r="F134" s="198">
        <f>+SUM(START:END!F134)</f>
        <v>0</v>
      </c>
      <c r="G134" s="240"/>
      <c r="I134" s="198">
        <f>+SUM(START:END!I134)</f>
        <v>0</v>
      </c>
      <c r="J134" s="152"/>
      <c r="L134" s="201">
        <f>+SUM(START:END!L134)</f>
        <v>0</v>
      </c>
      <c r="M134" s="152"/>
      <c r="N134" s="222">
        <f t="shared" ref="N134" si="84">L134-I134</f>
        <v>0</v>
      </c>
      <c r="O134" s="152"/>
      <c r="Q134" s="201">
        <f>+SUM(START:END!Q134)</f>
        <v>0</v>
      </c>
      <c r="R134" s="152"/>
      <c r="S134" s="242"/>
    </row>
    <row r="135" spans="1:20" ht="15.75" customHeight="1">
      <c r="A135" s="23" t="str">
        <f t="shared" si="35"/>
        <v>Véhicules usagésTOTAL PERSONNEL</v>
      </c>
      <c r="B135" s="184" t="s">
        <v>73</v>
      </c>
      <c r="C135" s="40" t="s">
        <v>49</v>
      </c>
      <c r="D135" s="250" t="s">
        <v>39</v>
      </c>
      <c r="E135" s="42">
        <f>F135/F$108</f>
        <v>0.42508003448441245</v>
      </c>
      <c r="F135" s="251">
        <f>+SUM(F123:F134)</f>
        <v>141806.69950399999</v>
      </c>
      <c r="G135" s="252" t="s">
        <v>39</v>
      </c>
      <c r="H135" s="42" t="e">
        <f>I135/I$108</f>
        <v>#DIV/0!</v>
      </c>
      <c r="I135" s="251">
        <f>+SUM(I123:I134)</f>
        <v>0</v>
      </c>
      <c r="J135" s="252" t="s">
        <v>39</v>
      </c>
      <c r="K135" s="42">
        <f>L135/L$108</f>
        <v>0.26022886891845309</v>
      </c>
      <c r="L135" s="251">
        <f>SUM(L123:L134)</f>
        <v>96327.319999999992</v>
      </c>
      <c r="M135" s="289"/>
      <c r="N135" s="251">
        <f>SUM(N123:N134)</f>
        <v>-45479.379503999997</v>
      </c>
      <c r="O135" s="252" t="s">
        <v>39</v>
      </c>
      <c r="P135" s="42">
        <f>Q135/Q$108</f>
        <v>0.44190258581599579</v>
      </c>
      <c r="Q135" s="251">
        <f>SUM(Q123:Q134)</f>
        <v>112559.88000000002</v>
      </c>
      <c r="R135" s="289"/>
      <c r="S135" s="260">
        <f t="shared" ref="S135:S153" si="85">L135-Q135</f>
        <v>-16232.560000000027</v>
      </c>
    </row>
    <row r="136" spans="1:20" ht="15.75" customHeight="1">
      <c r="A136" s="23" t="str">
        <f t="shared" si="35"/>
        <v>Véhicules usagésPublicité 2</v>
      </c>
      <c r="B136" s="184" t="s">
        <v>73</v>
      </c>
      <c r="C136" s="1" t="s">
        <v>50</v>
      </c>
      <c r="D136" s="30"/>
      <c r="F136" s="198">
        <f>+SUM(START:END!F136)</f>
        <v>0</v>
      </c>
      <c r="G136" s="240"/>
      <c r="I136" s="198">
        <f>+SUM(START:END!I136)</f>
        <v>0</v>
      </c>
      <c r="J136" s="152"/>
      <c r="L136" s="201">
        <f>+SUM(START:END!L136)</f>
        <v>0</v>
      </c>
      <c r="M136" s="152"/>
      <c r="N136" s="222">
        <f t="shared" ref="N136:N149" si="86">L136-F136</f>
        <v>0</v>
      </c>
      <c r="O136" s="152"/>
      <c r="Q136" s="201">
        <f>+SUM(START:END!Q136)</f>
        <v>0</v>
      </c>
      <c r="R136" s="152"/>
      <c r="S136" s="242"/>
    </row>
    <row r="137" spans="1:20" ht="15.75" customHeight="1">
      <c r="A137" s="23" t="str">
        <f t="shared" si="35"/>
        <v>Véhicules usagésService gratuit 2</v>
      </c>
      <c r="B137" s="184" t="s">
        <v>73</v>
      </c>
      <c r="C137" s="1" t="s">
        <v>51</v>
      </c>
      <c r="D137" s="30"/>
      <c r="F137" s="198">
        <f>+SUM(START:END!F137)</f>
        <v>0</v>
      </c>
      <c r="G137" s="240"/>
      <c r="I137" s="198">
        <f>+SUM(START:END!I137)</f>
        <v>0</v>
      </c>
      <c r="J137" s="152"/>
      <c r="L137" s="201">
        <f>+SUM(START:END!L137)</f>
        <v>0</v>
      </c>
      <c r="M137" s="152"/>
      <c r="N137" s="222">
        <f t="shared" si="86"/>
        <v>0</v>
      </c>
      <c r="O137" s="152"/>
      <c r="Q137" s="201">
        <f>+SUM(START:END!Q137)</f>
        <v>0</v>
      </c>
      <c r="R137" s="152"/>
      <c r="S137" s="242"/>
    </row>
    <row r="138" spans="1:20" ht="15.75" customHeight="1">
      <c r="A138" s="23" t="str">
        <f t="shared" si="35"/>
        <v>Véhicules usagésFrais véhicules de cie</v>
      </c>
      <c r="B138" s="184" t="s">
        <v>73</v>
      </c>
      <c r="C138" s="2" t="s">
        <v>52</v>
      </c>
      <c r="D138" s="34"/>
      <c r="E138" s="7"/>
      <c r="F138" s="193">
        <f>+SUM(START:END!F138)</f>
        <v>3852.459866666667</v>
      </c>
      <c r="G138" s="244"/>
      <c r="H138" s="7"/>
      <c r="I138" s="193">
        <f>+SUM(START:END!I138)</f>
        <v>0</v>
      </c>
      <c r="J138" s="153"/>
      <c r="K138" s="7"/>
      <c r="L138" s="193">
        <f>+SUM(START:END!L138)</f>
        <v>4309.2000000000007</v>
      </c>
      <c r="M138" s="153"/>
      <c r="N138" s="247">
        <f t="shared" si="86"/>
        <v>456.74013333333369</v>
      </c>
      <c r="O138" s="153"/>
      <c r="P138" s="7"/>
      <c r="Q138" s="193">
        <f>+SUM(START:END!Q138)</f>
        <v>2303.5500000000002</v>
      </c>
      <c r="R138" s="153"/>
      <c r="S138" s="248"/>
    </row>
    <row r="139" spans="1:20" ht="15.75" customHeight="1">
      <c r="A139" s="23" t="str">
        <f t="shared" si="35"/>
        <v>Véhicules usagésInformatique</v>
      </c>
      <c r="B139" s="184" t="s">
        <v>73</v>
      </c>
      <c r="C139" s="1" t="s">
        <v>53</v>
      </c>
      <c r="D139" s="30"/>
      <c r="F139" s="198">
        <f>+SUM(START:END!F139)</f>
        <v>11273.056868079997</v>
      </c>
      <c r="G139" s="240"/>
      <c r="I139" s="198">
        <f>+SUM(START:END!I139)</f>
        <v>0</v>
      </c>
      <c r="J139" s="152"/>
      <c r="L139" s="201">
        <f>+SUM(START:END!L139)</f>
        <v>13461.46</v>
      </c>
      <c r="M139" s="152"/>
      <c r="N139" s="222">
        <f t="shared" si="86"/>
        <v>2188.4031319200021</v>
      </c>
      <c r="O139" s="152"/>
      <c r="Q139" s="201">
        <f>+SUM(START:END!Q139)</f>
        <v>11657.85</v>
      </c>
      <c r="R139" s="152"/>
      <c r="S139" s="242"/>
    </row>
    <row r="140" spans="1:20" ht="15.75" customHeight="1">
      <c r="A140" s="23" t="str">
        <f t="shared" si="35"/>
        <v>Véhicules usagésFrais de déplacement</v>
      </c>
      <c r="B140" s="184" t="s">
        <v>73</v>
      </c>
      <c r="C140" s="1" t="s">
        <v>54</v>
      </c>
      <c r="D140" s="30"/>
      <c r="F140" s="198">
        <f>+SUM(START:END!F140)</f>
        <v>1667.0107313221488</v>
      </c>
      <c r="G140" s="240"/>
      <c r="I140" s="198">
        <f>+SUM(START:END!I140)</f>
        <v>0</v>
      </c>
      <c r="J140" s="152"/>
      <c r="L140" s="201">
        <f>+SUM(START:END!L140)</f>
        <v>2011.61</v>
      </c>
      <c r="M140" s="152"/>
      <c r="N140" s="222">
        <f t="shared" si="86"/>
        <v>344.59926867785111</v>
      </c>
      <c r="O140" s="152"/>
      <c r="Q140" s="201">
        <f>+SUM(START:END!Q140)</f>
        <v>2677.62</v>
      </c>
      <c r="R140" s="152"/>
      <c r="S140" s="242"/>
      <c r="T140" s="27"/>
    </row>
    <row r="141" spans="1:20" ht="15.75" customHeight="1">
      <c r="A141" s="23" t="str">
        <f t="shared" si="35"/>
        <v>Véhicules usagésServices extérieurs</v>
      </c>
      <c r="B141" s="184" t="s">
        <v>73</v>
      </c>
      <c r="C141" s="2" t="s">
        <v>55</v>
      </c>
      <c r="D141" s="34"/>
      <c r="E141" s="7"/>
      <c r="F141" s="193">
        <f>+SUM(START:END!F141)</f>
        <v>4196.548392160973</v>
      </c>
      <c r="G141" s="244"/>
      <c r="H141" s="7"/>
      <c r="I141" s="193">
        <f>+SUM(START:END!I141)</f>
        <v>0</v>
      </c>
      <c r="J141" s="153"/>
      <c r="K141" s="7"/>
      <c r="L141" s="193">
        <f>+SUM(START:END!L141)</f>
        <v>5862.4</v>
      </c>
      <c r="M141" s="153"/>
      <c r="N141" s="247">
        <f t="shared" si="86"/>
        <v>1665.8516078390267</v>
      </c>
      <c r="O141" s="153"/>
      <c r="P141" s="7"/>
      <c r="Q141" s="193">
        <f>+SUM(START:END!Q141)</f>
        <v>5698.45</v>
      </c>
      <c r="R141" s="153"/>
      <c r="S141" s="248"/>
    </row>
    <row r="142" spans="1:20" ht="15.75" customHeight="1">
      <c r="A142" s="23" t="str">
        <f t="shared" si="35"/>
        <v>Véhicules usagésFournitures autres</v>
      </c>
      <c r="B142" s="184" t="s">
        <v>73</v>
      </c>
      <c r="C142" s="1" t="s">
        <v>56</v>
      </c>
      <c r="D142" s="30"/>
      <c r="F142" s="198">
        <f>+SUM(START:END!F142)</f>
        <v>251.65659999999997</v>
      </c>
      <c r="G142" s="240"/>
      <c r="I142" s="198">
        <f>+SUM(START:END!I142)</f>
        <v>0</v>
      </c>
      <c r="J142" s="152"/>
      <c r="L142" s="201">
        <f>+SUM(START:END!L142)</f>
        <v>19.239999999999998</v>
      </c>
      <c r="M142" s="152"/>
      <c r="N142" s="222">
        <f t="shared" si="86"/>
        <v>-232.41659999999996</v>
      </c>
      <c r="O142" s="152"/>
      <c r="Q142" s="201">
        <f>+SUM(START:END!Q142)</f>
        <v>422.91</v>
      </c>
      <c r="R142" s="152"/>
      <c r="S142" s="242"/>
    </row>
    <row r="143" spans="1:20" ht="15.75" customHeight="1">
      <c r="A143" s="23" t="str">
        <f t="shared" si="35"/>
        <v>Véhicules usagésUniformes</v>
      </c>
      <c r="B143" s="184" t="s">
        <v>73</v>
      </c>
      <c r="C143" s="1" t="s">
        <v>57</v>
      </c>
      <c r="D143" s="30"/>
      <c r="F143" s="198">
        <f>+SUM(START:END!F143)</f>
        <v>85</v>
      </c>
      <c r="G143" s="240"/>
      <c r="I143" s="198">
        <f>+SUM(START:END!I143)</f>
        <v>0</v>
      </c>
      <c r="J143" s="152"/>
      <c r="L143" s="201">
        <f>+SUM(START:END!L143)</f>
        <v>0</v>
      </c>
      <c r="M143" s="152"/>
      <c r="N143" s="222">
        <f t="shared" si="86"/>
        <v>-85</v>
      </c>
      <c r="O143" s="152"/>
      <c r="Q143" s="201">
        <f>+SUM(START:END!Q143)</f>
        <v>0</v>
      </c>
      <c r="R143" s="152"/>
      <c r="S143" s="242"/>
    </row>
    <row r="144" spans="1:20" ht="15.75" customHeight="1">
      <c r="A144" s="23" t="str">
        <f t="shared" si="35"/>
        <v>Véhicules usagésPapeterie</v>
      </c>
      <c r="B144" s="184" t="s">
        <v>73</v>
      </c>
      <c r="C144" s="1" t="s">
        <v>58</v>
      </c>
      <c r="D144" s="30"/>
      <c r="F144" s="198">
        <f>+SUM(START:END!F144)</f>
        <v>970.85819212775982</v>
      </c>
      <c r="G144" s="240"/>
      <c r="I144" s="198">
        <f>+SUM(START:END!I144)</f>
        <v>0</v>
      </c>
      <c r="J144" s="152"/>
      <c r="L144" s="200">
        <f>+SUM(START:END!L144)</f>
        <v>306.59999999999997</v>
      </c>
      <c r="M144" s="152"/>
      <c r="N144" s="222">
        <f t="shared" si="86"/>
        <v>-664.25819212775991</v>
      </c>
      <c r="O144" s="152"/>
      <c r="Q144" s="200">
        <f>+SUM(START:END!Q144)</f>
        <v>1100.8400000000001</v>
      </c>
      <c r="R144" s="152"/>
      <c r="S144" s="242"/>
    </row>
    <row r="145" spans="1:20" ht="15.75" customHeight="1">
      <c r="A145" s="23" t="str">
        <f t="shared" si="35"/>
        <v>Véhicules usagésTéléphone</v>
      </c>
      <c r="B145" s="184" t="s">
        <v>73</v>
      </c>
      <c r="C145" s="1" t="s">
        <v>59</v>
      </c>
      <c r="D145" s="30"/>
      <c r="F145" s="198">
        <f>+SUM(START:END!F145)</f>
        <v>188.29366453272999</v>
      </c>
      <c r="G145" s="240"/>
      <c r="I145" s="198">
        <f>+SUM(START:END!I145)</f>
        <v>0</v>
      </c>
      <c r="J145" s="152"/>
      <c r="L145" s="201">
        <f>+SUM(START:END!L145)</f>
        <v>231.07999999999998</v>
      </c>
      <c r="M145" s="152"/>
      <c r="N145" s="222">
        <f t="shared" si="86"/>
        <v>42.786335467269993</v>
      </c>
      <c r="O145" s="152"/>
      <c r="Q145" s="201">
        <f>+SUM(START:END!Q145)</f>
        <v>205.03</v>
      </c>
      <c r="R145" s="152"/>
      <c r="S145" s="242"/>
    </row>
    <row r="146" spans="1:20" ht="15.75" customHeight="1">
      <c r="A146" s="23" t="str">
        <f t="shared" si="35"/>
        <v>Véhicules usagésFrais postaux</v>
      </c>
      <c r="B146" s="184" t="s">
        <v>73</v>
      </c>
      <c r="C146" s="1" t="s">
        <v>60</v>
      </c>
      <c r="D146" s="30"/>
      <c r="F146" s="198">
        <f>+SUM(START:END!F146)</f>
        <v>144.65053241446998</v>
      </c>
      <c r="G146" s="240"/>
      <c r="I146" s="198">
        <f>+SUM(START:END!I146)</f>
        <v>0</v>
      </c>
      <c r="J146" s="152"/>
      <c r="L146" s="201">
        <f>+SUM(START:END!L146)</f>
        <v>79.12</v>
      </c>
      <c r="M146" s="152"/>
      <c r="N146" s="222">
        <f t="shared" si="86"/>
        <v>-65.530532414469974</v>
      </c>
      <c r="O146" s="152"/>
      <c r="Q146" s="201">
        <f>+SUM(START:END!Q146)</f>
        <v>28.68</v>
      </c>
      <c r="R146" s="152"/>
      <c r="S146" s="242"/>
    </row>
    <row r="147" spans="1:20" ht="15.75" customHeight="1">
      <c r="A147" s="23" t="str">
        <f t="shared" si="35"/>
        <v>Véhicules usagésDivers</v>
      </c>
      <c r="B147" s="184" t="s">
        <v>73</v>
      </c>
      <c r="C147" s="1" t="s">
        <v>61</v>
      </c>
      <c r="D147" s="30"/>
      <c r="F147" s="198">
        <f>+SUM(START:END!F147)</f>
        <v>322.05485231393004</v>
      </c>
      <c r="G147" s="240"/>
      <c r="I147" s="198">
        <f>+SUM(START:END!I147)</f>
        <v>0</v>
      </c>
      <c r="J147" s="152"/>
      <c r="L147" s="201">
        <f>+SUM(START:END!L147)</f>
        <v>97.56</v>
      </c>
      <c r="M147" s="152"/>
      <c r="N147" s="222">
        <f t="shared" si="86"/>
        <v>-224.49485231393004</v>
      </c>
      <c r="O147" s="152"/>
      <c r="Q147" s="201">
        <f>+SUM(START:END!Q147)</f>
        <v>147.34</v>
      </c>
      <c r="R147" s="152"/>
      <c r="S147" s="242"/>
    </row>
    <row r="148" spans="1:20" ht="15.75" customHeight="1">
      <c r="A148" s="23" t="str">
        <f t="shared" si="35"/>
        <v>Véhicules usagésFormation</v>
      </c>
      <c r="B148" s="184" t="s">
        <v>73</v>
      </c>
      <c r="C148" s="1" t="s">
        <v>62</v>
      </c>
      <c r="D148" s="30"/>
      <c r="F148" s="198">
        <f>+SUM(START:END!F148)</f>
        <v>655.39311509095455</v>
      </c>
      <c r="G148" s="240"/>
      <c r="I148" s="198">
        <f>+SUM(START:END!I148)</f>
        <v>0</v>
      </c>
      <c r="J148" s="152"/>
      <c r="L148" s="201">
        <f>+SUM(START:END!L148)</f>
        <v>1940.18</v>
      </c>
      <c r="M148" s="152"/>
      <c r="N148" s="222">
        <f t="shared" si="86"/>
        <v>1284.7868849090455</v>
      </c>
      <c r="O148" s="152"/>
      <c r="Q148" s="201">
        <f>+SUM(START:END!Q148)</f>
        <v>327.02</v>
      </c>
      <c r="R148" s="152"/>
      <c r="S148" s="242"/>
    </row>
    <row r="149" spans="1:20" ht="15.75" customHeight="1">
      <c r="A149" s="23" t="str">
        <f t="shared" si="35"/>
        <v>Véhicules usagésFrais bancaires</v>
      </c>
      <c r="B149" s="184" t="s">
        <v>73</v>
      </c>
      <c r="C149" s="1" t="s">
        <v>63</v>
      </c>
      <c r="D149" s="30"/>
      <c r="F149" s="198">
        <f>+SUM(START:END!F149)</f>
        <v>2431.0215759315311</v>
      </c>
      <c r="G149" s="240"/>
      <c r="I149" s="198">
        <f>+SUM(START:END!I149)</f>
        <v>0</v>
      </c>
      <c r="J149" s="152"/>
      <c r="L149" s="201">
        <f>+SUM(START:END!L149)</f>
        <v>2652.3</v>
      </c>
      <c r="M149" s="152"/>
      <c r="N149" s="222">
        <f t="shared" si="86"/>
        <v>221.27842406846912</v>
      </c>
      <c r="O149" s="152"/>
      <c r="Q149" s="201">
        <f>+SUM(START:END!Q149)</f>
        <v>2391.54</v>
      </c>
      <c r="R149" s="152"/>
      <c r="S149" s="242"/>
      <c r="T149" s="26"/>
    </row>
    <row r="150" spans="1:20" ht="15.75" hidden="1" customHeight="1">
      <c r="A150" s="23" t="str">
        <f t="shared" si="35"/>
        <v>Véhicules usagés[...]</v>
      </c>
      <c r="B150" s="184" t="s">
        <v>73</v>
      </c>
      <c r="C150" s="1" t="s">
        <v>20</v>
      </c>
      <c r="D150" s="30"/>
      <c r="F150" s="198">
        <f>+SUM(START:END!F150)</f>
        <v>0</v>
      </c>
      <c r="G150" s="240"/>
      <c r="I150" s="198">
        <f>+SUM(START:END!I150)</f>
        <v>0</v>
      </c>
      <c r="J150" s="152"/>
      <c r="L150" s="201">
        <f>+SUM(START:END!L150)</f>
        <v>0</v>
      </c>
      <c r="M150" s="152"/>
      <c r="N150" s="222">
        <f t="shared" ref="N150:N152" si="87">L150-I150</f>
        <v>0</v>
      </c>
      <c r="O150" s="152"/>
      <c r="Q150" s="201">
        <f>+SUM(START:END!Q150)</f>
        <v>0</v>
      </c>
      <c r="R150" s="152"/>
      <c r="S150" s="242"/>
    </row>
    <row r="151" spans="1:20" ht="15.75" hidden="1" customHeight="1">
      <c r="A151" s="23" t="str">
        <f t="shared" si="35"/>
        <v>Véhicules usagés[...]</v>
      </c>
      <c r="B151" s="184" t="s">
        <v>73</v>
      </c>
      <c r="C151" s="1" t="s">
        <v>20</v>
      </c>
      <c r="D151" s="30"/>
      <c r="F151" s="198">
        <f>+SUM(START:END!F151)</f>
        <v>0</v>
      </c>
      <c r="G151" s="240"/>
      <c r="I151" s="198">
        <f>+SUM(START:END!I151)</f>
        <v>0</v>
      </c>
      <c r="J151" s="152"/>
      <c r="L151" s="201">
        <f>+SUM(START:END!L151)</f>
        <v>0</v>
      </c>
      <c r="M151" s="152"/>
      <c r="N151" s="222">
        <f t="shared" si="87"/>
        <v>0</v>
      </c>
      <c r="O151" s="152"/>
      <c r="Q151" s="201">
        <f>+SUM(START:END!Q151)</f>
        <v>0</v>
      </c>
      <c r="R151" s="152"/>
      <c r="S151" s="242"/>
    </row>
    <row r="152" spans="1:20" ht="15.75" hidden="1" customHeight="1">
      <c r="A152" s="23" t="str">
        <f t="shared" si="35"/>
        <v>Véhicules usagés[...]</v>
      </c>
      <c r="B152" s="184" t="s">
        <v>73</v>
      </c>
      <c r="C152" s="1" t="s">
        <v>20</v>
      </c>
      <c r="D152" s="30"/>
      <c r="F152" s="198">
        <f>+SUM(START:END!F152)</f>
        <v>0</v>
      </c>
      <c r="G152" s="240"/>
      <c r="I152" s="198">
        <f>+SUM(START:END!I152)</f>
        <v>0</v>
      </c>
      <c r="J152" s="152"/>
      <c r="L152" s="201">
        <f>+SUM(START:END!L152)</f>
        <v>0</v>
      </c>
      <c r="M152" s="152"/>
      <c r="N152" s="222">
        <f t="shared" si="87"/>
        <v>0</v>
      </c>
      <c r="O152" s="152"/>
      <c r="Q152" s="201">
        <f>+SUM(START:END!Q152)</f>
        <v>0</v>
      </c>
      <c r="R152" s="152"/>
      <c r="S152" s="242"/>
      <c r="T152" s="26"/>
    </row>
    <row r="153" spans="1:20" ht="15.75" customHeight="1">
      <c r="A153" s="23" t="str">
        <f t="shared" si="35"/>
        <v>Véhicules usagésTOTAL SEMI-FIXES</v>
      </c>
      <c r="B153" s="184" t="s">
        <v>73</v>
      </c>
      <c r="C153" s="40" t="s">
        <v>64</v>
      </c>
      <c r="D153" s="250" t="s">
        <v>39</v>
      </c>
      <c r="E153" s="42">
        <f>F153/F$108</f>
        <v>7.8051571914391979E-2</v>
      </c>
      <c r="F153" s="251">
        <f>+SUM(F136:F152)</f>
        <v>26038.004390641163</v>
      </c>
      <c r="G153" s="252" t="s">
        <v>39</v>
      </c>
      <c r="H153" s="42" t="e">
        <f>I153/I$108</f>
        <v>#DIV/0!</v>
      </c>
      <c r="I153" s="251">
        <f>+SUM(I136:I152)</f>
        <v>0</v>
      </c>
      <c r="J153" s="252" t="s">
        <v>39</v>
      </c>
      <c r="K153" s="42">
        <f>L153/L$108</f>
        <v>8.3667678515878793E-2</v>
      </c>
      <c r="L153" s="251">
        <f>+SUM(L136:L152)</f>
        <v>30970.75</v>
      </c>
      <c r="M153" s="254"/>
      <c r="N153" s="251">
        <f>+SUM(N136:N152)</f>
        <v>4932.7456093588389</v>
      </c>
      <c r="O153" s="252" t="s">
        <v>39</v>
      </c>
      <c r="P153" s="42">
        <f>Q153/Q$108</f>
        <v>0.10584642141361089</v>
      </c>
      <c r="Q153" s="251">
        <f>+SUM(Q136:Q152)</f>
        <v>26960.83</v>
      </c>
      <c r="R153" s="254"/>
      <c r="S153" s="255">
        <f t="shared" si="85"/>
        <v>4009.9199999999983</v>
      </c>
      <c r="T153" s="87"/>
    </row>
    <row r="154" spans="1:20" ht="15.75" customHeight="1">
      <c r="A154" s="23" t="str">
        <f t="shared" si="35"/>
        <v>Véhicules usagés</v>
      </c>
      <c r="B154" s="184" t="s">
        <v>73</v>
      </c>
      <c r="C154" s="2"/>
      <c r="D154" s="34"/>
      <c r="E154" s="7"/>
      <c r="F154" s="222"/>
      <c r="G154" s="244"/>
      <c r="H154" s="7"/>
      <c r="I154" s="222"/>
      <c r="J154" s="153"/>
      <c r="K154" s="7"/>
      <c r="L154" s="247"/>
      <c r="M154" s="153"/>
      <c r="N154" s="247"/>
      <c r="O154" s="153"/>
      <c r="P154" s="7"/>
      <c r="Q154" s="247"/>
      <c r="R154" s="153"/>
      <c r="S154" s="248"/>
      <c r="T154" s="87"/>
    </row>
    <row r="155" spans="1:20" ht="15.75" customHeight="1">
      <c r="A155" s="23" t="str">
        <f t="shared" si="35"/>
        <v>Véhicules usagésTOTAL DES DÉPENSES</v>
      </c>
      <c r="B155" s="184" t="s">
        <v>73</v>
      </c>
      <c r="C155" s="40" t="s">
        <v>65</v>
      </c>
      <c r="D155" s="250" t="s">
        <v>39</v>
      </c>
      <c r="E155" s="42">
        <f>F155/F$108</f>
        <v>1.0236288692463331</v>
      </c>
      <c r="F155" s="251">
        <f>F122+F135+F153</f>
        <v>341482.59078057669</v>
      </c>
      <c r="G155" s="252" t="s">
        <v>39</v>
      </c>
      <c r="H155" s="42" t="e">
        <f>I155/I$108</f>
        <v>#DIV/0!</v>
      </c>
      <c r="I155" s="251">
        <f>I122+I135+I153</f>
        <v>0</v>
      </c>
      <c r="J155" s="252" t="s">
        <v>39</v>
      </c>
      <c r="K155" s="42">
        <f>L155/L$108</f>
        <v>0.59425951507690411</v>
      </c>
      <c r="L155" s="251">
        <f>L122+L135+L153</f>
        <v>219973.38999999998</v>
      </c>
      <c r="M155" s="254"/>
      <c r="N155" s="251">
        <f>N122+N135+N153</f>
        <v>-121509.20078057668</v>
      </c>
      <c r="O155" s="252" t="s">
        <v>39</v>
      </c>
      <c r="P155" s="42">
        <f>Q155/Q$108</f>
        <v>1.168303113461437</v>
      </c>
      <c r="Q155" s="251">
        <f>Q122+Q135+Q153</f>
        <v>297586.07999999996</v>
      </c>
      <c r="R155" s="254"/>
      <c r="S155" s="260">
        <f>L155-Q155</f>
        <v>-77612.689999999973</v>
      </c>
      <c r="T155" s="87"/>
    </row>
    <row r="156" spans="1:20" ht="15.75" customHeight="1">
      <c r="A156" s="23" t="str">
        <f t="shared" si="35"/>
        <v>Véhicules usagésRemarketing Bonus</v>
      </c>
      <c r="B156" s="184" t="s">
        <v>73</v>
      </c>
      <c r="C156" s="1" t="s">
        <v>80</v>
      </c>
      <c r="D156" s="176"/>
      <c r="E156" s="72"/>
      <c r="F156" s="198">
        <f>+SUM(START:END!F156)</f>
        <v>0</v>
      </c>
      <c r="G156" s="290"/>
      <c r="H156" s="72"/>
      <c r="I156" s="198">
        <f>+SUM(START:END!I156)</f>
        <v>0</v>
      </c>
      <c r="J156" s="290"/>
      <c r="K156" s="72"/>
      <c r="L156" s="200">
        <f>+SUM(START:END!L156)</f>
        <v>0</v>
      </c>
      <c r="M156" s="152"/>
      <c r="N156" s="222">
        <f t="shared" ref="N156:N159" si="88">L156-F156</f>
        <v>0</v>
      </c>
      <c r="O156" s="290"/>
      <c r="P156" s="72"/>
      <c r="Q156" s="201">
        <f>+SUM(START:END!Q156)</f>
        <v>0</v>
      </c>
      <c r="R156" s="152"/>
      <c r="S156" s="242"/>
      <c r="T156" s="87"/>
    </row>
    <row r="157" spans="1:20" ht="15.75" customHeight="1">
      <c r="A157" s="23" t="str">
        <f t="shared" si="35"/>
        <v>Véhicules usagésProgramme used 2</v>
      </c>
      <c r="B157" s="184" t="s">
        <v>73</v>
      </c>
      <c r="C157" s="1" t="s">
        <v>81</v>
      </c>
      <c r="D157" s="176"/>
      <c r="E157" s="72"/>
      <c r="F157" s="198">
        <f>+SUM(START:END!F157)</f>
        <v>0</v>
      </c>
      <c r="G157" s="290"/>
      <c r="H157" s="72"/>
      <c r="I157" s="198">
        <f>+SUM(START:END!I157)</f>
        <v>0</v>
      </c>
      <c r="J157" s="290"/>
      <c r="K157" s="72"/>
      <c r="L157" s="201">
        <f>+SUM(START:END!L157)</f>
        <v>0</v>
      </c>
      <c r="M157" s="152"/>
      <c r="N157" s="222">
        <f t="shared" si="88"/>
        <v>0</v>
      </c>
      <c r="O157" s="290"/>
      <c r="P157" s="72"/>
      <c r="Q157" s="201">
        <f>+SUM(START:END!Q157)</f>
        <v>0</v>
      </c>
      <c r="R157" s="152"/>
      <c r="S157" s="242"/>
      <c r="T157" s="87"/>
    </row>
    <row r="158" spans="1:20" ht="15.75" customHeight="1">
      <c r="A158" s="23" t="str">
        <f t="shared" si="35"/>
        <v>Véhicules usagésProgramme used 3</v>
      </c>
      <c r="B158" s="184" t="s">
        <v>73</v>
      </c>
      <c r="C158" s="1" t="s">
        <v>82</v>
      </c>
      <c r="D158" s="30"/>
      <c r="F158" s="198">
        <f>+SUM(START:END!F158)</f>
        <v>0</v>
      </c>
      <c r="G158" s="240"/>
      <c r="I158" s="198">
        <f>+SUM(START:END!I158)</f>
        <v>0</v>
      </c>
      <c r="J158" s="152"/>
      <c r="L158" s="201">
        <f>+SUM(START:END!L158)</f>
        <v>0</v>
      </c>
      <c r="M158" s="152"/>
      <c r="N158" s="222">
        <f t="shared" si="88"/>
        <v>0</v>
      </c>
      <c r="O158" s="152"/>
      <c r="Q158" s="201">
        <f>+SUM(START:END!Q158)</f>
        <v>0</v>
      </c>
      <c r="R158" s="152"/>
      <c r="S158" s="242"/>
      <c r="T158" s="87"/>
    </row>
    <row r="159" spans="1:20" ht="15.75" customHeight="1">
      <c r="A159" s="23" t="str">
        <f t="shared" ref="A159:A162" si="89">+B159&amp;C159</f>
        <v>Véhicules usagésFrais administration</v>
      </c>
      <c r="B159" s="184" t="s">
        <v>73</v>
      </c>
      <c r="C159" s="1" t="s">
        <v>70</v>
      </c>
      <c r="D159" s="30"/>
      <c r="F159" s="198">
        <f>+SUM(START:END!F159)</f>
        <v>33356.399999999994</v>
      </c>
      <c r="G159" s="240"/>
      <c r="I159" s="198">
        <f>+SUM(START:END!I159)</f>
        <v>0</v>
      </c>
      <c r="J159" s="152"/>
      <c r="L159" s="200">
        <f>+SUM(START:END!L159)</f>
        <v>34119</v>
      </c>
      <c r="M159" s="152"/>
      <c r="N159" s="222">
        <f t="shared" si="88"/>
        <v>762.60000000000582</v>
      </c>
      <c r="O159" s="152"/>
      <c r="Q159" s="201">
        <f>+SUM(START:END!Q159)</f>
        <v>36834</v>
      </c>
      <c r="R159" s="152"/>
      <c r="S159" s="242"/>
      <c r="T159" s="87"/>
    </row>
    <row r="160" spans="1:20" ht="15.75" hidden="1" customHeight="1">
      <c r="A160" s="23" t="str">
        <f t="shared" si="89"/>
        <v>Véhicules usagés[...]</v>
      </c>
      <c r="B160" s="184" t="s">
        <v>73</v>
      </c>
      <c r="C160" s="1" t="s">
        <v>20</v>
      </c>
      <c r="D160" s="30"/>
      <c r="F160" s="198">
        <f>+SUM(START:END!F160)</f>
        <v>0</v>
      </c>
      <c r="G160" s="240"/>
      <c r="I160" s="198">
        <f>+SUM(START:END!I160)</f>
        <v>0</v>
      </c>
      <c r="J160" s="152"/>
      <c r="L160" s="200">
        <f>+SUM(START:END!L160)</f>
        <v>0</v>
      </c>
      <c r="M160" s="152"/>
      <c r="N160" s="222">
        <f t="shared" ref="N160:N162" si="90">L160-I160</f>
        <v>0</v>
      </c>
      <c r="O160" s="152"/>
      <c r="Q160" s="201">
        <f>+SUM(START:END!Q160)</f>
        <v>0</v>
      </c>
      <c r="R160" s="152"/>
      <c r="S160" s="242"/>
      <c r="T160" s="87"/>
    </row>
    <row r="161" spans="1:40" ht="15.75" hidden="1" customHeight="1">
      <c r="A161" s="23" t="str">
        <f t="shared" si="89"/>
        <v>Véhicules usagés[...]</v>
      </c>
      <c r="B161" s="184" t="s">
        <v>73</v>
      </c>
      <c r="C161" s="1" t="s">
        <v>20</v>
      </c>
      <c r="D161" s="30"/>
      <c r="F161" s="198">
        <f>+SUM(START:END!F161)</f>
        <v>0</v>
      </c>
      <c r="G161" s="240"/>
      <c r="I161" s="198">
        <f>+SUM(START:END!I161)</f>
        <v>0</v>
      </c>
      <c r="J161" s="152"/>
      <c r="L161" s="200">
        <f>+SUM(START:END!L161)</f>
        <v>0</v>
      </c>
      <c r="M161" s="152"/>
      <c r="N161" s="222">
        <f t="shared" si="90"/>
        <v>0</v>
      </c>
      <c r="O161" s="152"/>
      <c r="Q161" s="201">
        <f>+SUM(START:END!Q161)</f>
        <v>0</v>
      </c>
      <c r="R161" s="152"/>
      <c r="S161" s="242"/>
      <c r="T161" s="87"/>
    </row>
    <row r="162" spans="1:40" ht="15.75" hidden="1" customHeight="1">
      <c r="A162" s="23" t="str">
        <f t="shared" si="89"/>
        <v>Véhicules usagés[...]</v>
      </c>
      <c r="B162" s="184" t="s">
        <v>73</v>
      </c>
      <c r="C162" s="2" t="s">
        <v>20</v>
      </c>
      <c r="D162" s="34"/>
      <c r="E162" s="7"/>
      <c r="F162" s="198">
        <f>+SUM(START:END!F162)</f>
        <v>0</v>
      </c>
      <c r="G162" s="240"/>
      <c r="I162" s="198">
        <f>+SUM(START:END!I162)</f>
        <v>0</v>
      </c>
      <c r="J162" s="152"/>
      <c r="L162" s="200">
        <f>+SUM(START:END!L162)</f>
        <v>0</v>
      </c>
      <c r="M162" s="152"/>
      <c r="N162" s="222">
        <f t="shared" si="90"/>
        <v>0</v>
      </c>
      <c r="O162" s="152"/>
      <c r="Q162" s="201">
        <f>+SUM(START:END!Q162)</f>
        <v>0</v>
      </c>
      <c r="R162" s="152"/>
      <c r="S162" s="242"/>
      <c r="T162" s="87"/>
    </row>
    <row r="163" spans="1:40" ht="15.75" customHeight="1">
      <c r="B163" s="184"/>
      <c r="C163" s="40" t="s">
        <v>71</v>
      </c>
      <c r="D163" s="250"/>
      <c r="E163" s="42"/>
      <c r="F163" s="251">
        <f>+SUM(F156:F162)</f>
        <v>33356.399999999994</v>
      </c>
      <c r="G163" s="252"/>
      <c r="H163" s="42"/>
      <c r="I163" s="251">
        <f>+SUM(I156:I162)</f>
        <v>0</v>
      </c>
      <c r="J163" s="252"/>
      <c r="K163" s="42"/>
      <c r="L163" s="251">
        <f>+SUM(L156:L162)</f>
        <v>34119</v>
      </c>
      <c r="M163" s="254"/>
      <c r="N163" s="251">
        <f>+SUM(N156:N162)</f>
        <v>762.60000000000582</v>
      </c>
      <c r="O163" s="252"/>
      <c r="P163" s="42"/>
      <c r="Q163" s="251">
        <f>+SUM(Q156:Q162)</f>
        <v>36834</v>
      </c>
      <c r="R163" s="254"/>
      <c r="S163" s="255">
        <f>+SUM(S156:S162)</f>
        <v>0</v>
      </c>
      <c r="T163" s="87"/>
    </row>
    <row r="164" spans="1:40" ht="15.75" customHeight="1">
      <c r="B164" s="184"/>
      <c r="C164" s="1"/>
      <c r="D164" s="30"/>
      <c r="F164" s="222"/>
      <c r="G164" s="240"/>
      <c r="I164" s="222"/>
      <c r="J164" s="152"/>
      <c r="L164" s="222"/>
      <c r="M164" s="152"/>
      <c r="N164" s="222"/>
      <c r="O164" s="152"/>
      <c r="Q164" s="222"/>
      <c r="R164" s="152"/>
      <c r="S164" s="242"/>
      <c r="T164" s="72"/>
    </row>
    <row r="165" spans="1:40" ht="15.75" customHeight="1" thickBot="1">
      <c r="B165" s="184"/>
      <c r="C165" s="270" t="s">
        <v>72</v>
      </c>
      <c r="D165" s="291"/>
      <c r="E165" s="271"/>
      <c r="F165" s="273">
        <f>F108-F155+F163</f>
        <v>25473.809219423303</v>
      </c>
      <c r="G165" s="292"/>
      <c r="H165" s="271"/>
      <c r="I165" s="273">
        <f>I108-I155+I163</f>
        <v>0</v>
      </c>
      <c r="J165" s="293"/>
      <c r="K165" s="272"/>
      <c r="L165" s="273">
        <f>L108-L155+L163</f>
        <v>184309.46000000022</v>
      </c>
      <c r="M165" s="293"/>
      <c r="N165" s="273">
        <f>N108-N155+N163</f>
        <v>158835.65078057689</v>
      </c>
      <c r="O165" s="293"/>
      <c r="P165" s="272"/>
      <c r="Q165" s="273">
        <f>Q108-Q155+Q163</f>
        <v>-6035.5800000001036</v>
      </c>
      <c r="R165" s="293"/>
      <c r="S165" s="275">
        <f>L165-Q165</f>
        <v>190345.04000000033</v>
      </c>
      <c r="T165" s="26"/>
    </row>
    <row r="166" spans="1:40" ht="15.75" customHeight="1" thickTop="1">
      <c r="B166" s="184"/>
      <c r="F166" s="26" t="e">
        <f>+F165-#REF!-#REF!-#REF!</f>
        <v>#REF!</v>
      </c>
      <c r="L166" s="26" t="e">
        <f>+L165-#REF!-#REF!-#REF!</f>
        <v>#REF!</v>
      </c>
      <c r="N166" s="26" t="e">
        <f>+N165-#REF!-#REF!-#REF!</f>
        <v>#REF!</v>
      </c>
      <c r="Q166" s="26" t="e">
        <f>+Q165-#REF!-#REF!-#REF!</f>
        <v>#REF!</v>
      </c>
      <c r="S166" s="26" t="e">
        <f>+S165-#REF!-#REF!-#REF!</f>
        <v>#REF!</v>
      </c>
      <c r="T166" s="26"/>
    </row>
    <row r="167" spans="1:40" ht="15.75" customHeight="1">
      <c r="B167" s="184"/>
      <c r="T167" s="26"/>
    </row>
    <row r="168" spans="1:40" ht="33.75" customHeight="1">
      <c r="B168" s="184"/>
      <c r="C168" s="73" t="str">
        <f>C1</f>
        <v>Conso</v>
      </c>
      <c r="D168" s="6"/>
      <c r="E168" s="6"/>
      <c r="F168" s="6"/>
      <c r="G168" s="6"/>
      <c r="H168" s="177"/>
      <c r="I168" s="177"/>
      <c r="J168" s="177"/>
      <c r="K168" s="178" t="s">
        <v>83</v>
      </c>
      <c r="L168" s="6"/>
      <c r="M168" s="6"/>
      <c r="N168" s="177"/>
      <c r="O168" s="177"/>
      <c r="P168" s="6"/>
      <c r="Q168" s="177"/>
      <c r="R168" s="6"/>
      <c r="S168" s="180" t="str">
        <f>$S$1</f>
        <v xml:space="preserve">Réalisé  </v>
      </c>
      <c r="T168" s="6"/>
      <c r="U168" s="73"/>
    </row>
    <row r="169" spans="1:40" ht="15.75" customHeight="1" thickBot="1">
      <c r="B169" s="184"/>
      <c r="C169" s="182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/>
      <c r="AJ169" s="73"/>
      <c r="AK169" s="73"/>
      <c r="AL169" s="73"/>
      <c r="AM169" s="73"/>
      <c r="AN169" s="73"/>
    </row>
    <row r="170" spans="1:40" ht="15.75" customHeight="1" thickTop="1">
      <c r="B170" s="184"/>
      <c r="C170" s="439"/>
      <c r="D170" s="872" t="s">
        <v>5</v>
      </c>
      <c r="E170" s="872"/>
      <c r="F170" s="873"/>
      <c r="G170" s="864" t="s">
        <v>74</v>
      </c>
      <c r="H170" s="865"/>
      <c r="I170" s="866"/>
      <c r="J170" s="867" t="s">
        <v>7</v>
      </c>
      <c r="K170" s="865"/>
      <c r="L170" s="866"/>
      <c r="M170" s="867" t="s">
        <v>9</v>
      </c>
      <c r="N170" s="866"/>
      <c r="O170" s="864" t="s">
        <v>8</v>
      </c>
      <c r="P170" s="865"/>
      <c r="Q170" s="866"/>
      <c r="R170" s="867" t="s">
        <v>217</v>
      </c>
      <c r="S170" s="868"/>
      <c r="T170" s="176"/>
    </row>
    <row r="171" spans="1:40" ht="15.75" customHeight="1">
      <c r="A171" s="23" t="str">
        <f t="shared" ref="A171:A228" si="91">+B171&amp;C171</f>
        <v>Service</v>
      </c>
      <c r="B171" s="184" t="s">
        <v>83</v>
      </c>
      <c r="C171" s="440"/>
      <c r="D171" s="175" t="s">
        <v>40</v>
      </c>
      <c r="E171" s="175" t="s">
        <v>84</v>
      </c>
      <c r="F171" s="441" t="s">
        <v>12</v>
      </c>
      <c r="G171" s="276" t="s">
        <v>40</v>
      </c>
      <c r="H171" s="276" t="s">
        <v>84</v>
      </c>
      <c r="I171" s="295" t="s">
        <v>12</v>
      </c>
      <c r="J171" s="175" t="s">
        <v>40</v>
      </c>
      <c r="K171" s="175" t="s">
        <v>84</v>
      </c>
      <c r="L171" s="277" t="s">
        <v>12</v>
      </c>
      <c r="M171" s="278" t="s">
        <v>40</v>
      </c>
      <c r="N171" s="277" t="s">
        <v>12</v>
      </c>
      <c r="O171" s="175" t="s">
        <v>40</v>
      </c>
      <c r="P171" s="175" t="s">
        <v>84</v>
      </c>
      <c r="Q171" s="277" t="s">
        <v>12</v>
      </c>
      <c r="R171" s="278" t="s">
        <v>85</v>
      </c>
      <c r="S171" s="279" t="s">
        <v>12</v>
      </c>
      <c r="T171" s="175"/>
    </row>
    <row r="172" spans="1:40" ht="15.75" customHeight="1">
      <c r="A172" s="23" t="str">
        <f t="shared" si="91"/>
        <v>ServiceM/O Client</v>
      </c>
      <c r="B172" s="184" t="s">
        <v>83</v>
      </c>
      <c r="C172" s="440" t="s">
        <v>86</v>
      </c>
      <c r="D172" s="174">
        <f>+SUM(START:END!D172)</f>
        <v>1229.18</v>
      </c>
      <c r="E172" s="26">
        <f>+SUM(START:END!E172)</f>
        <v>417921.20000000007</v>
      </c>
      <c r="F172" s="442">
        <f>+SUM(START:END!F172)</f>
        <v>325978.53600000008</v>
      </c>
      <c r="G172" s="174">
        <f>+SUM(START:END!G172)</f>
        <v>0</v>
      </c>
      <c r="H172" s="26">
        <f>+SUM(START:END!H172)</f>
        <v>0</v>
      </c>
      <c r="I172" s="222">
        <f>+SUM(START:END!I172)</f>
        <v>0</v>
      </c>
      <c r="J172" s="174">
        <f>+SUM(START:END!J172)</f>
        <v>1072</v>
      </c>
      <c r="K172" s="26">
        <f>+SUM(START:END!K172)</f>
        <v>393425.8</v>
      </c>
      <c r="L172" s="26">
        <f>+SUM(START:END!L172)</f>
        <v>313478.89</v>
      </c>
      <c r="M172" s="296">
        <f>(K172-E172)/E172</f>
        <v>-5.8612484841640188E-2</v>
      </c>
      <c r="N172" s="222">
        <f t="shared" ref="N172" si="92">L172-F172</f>
        <v>-12499.646000000066</v>
      </c>
      <c r="O172" s="174">
        <f>+SUM(START:END!O172)</f>
        <v>1009</v>
      </c>
      <c r="P172" s="26">
        <f>+SUM(START:END!P172)</f>
        <v>384212.81999999902</v>
      </c>
      <c r="Q172" s="26">
        <f>+SUM(START:END!Q172)</f>
        <v>310101.99999999895</v>
      </c>
      <c r="R172" s="296">
        <f>IF(O172=0,0,J172/O172)</f>
        <v>1.0624380574826562</v>
      </c>
      <c r="S172" s="242">
        <f>L172-Q172</f>
        <v>3376.8900000010617</v>
      </c>
      <c r="T172" s="26"/>
      <c r="V172" s="198"/>
      <c r="W172" s="198"/>
      <c r="X172" s="198"/>
      <c r="Y172" s="198"/>
    </row>
    <row r="173" spans="1:40" ht="15.75" customHeight="1">
      <c r="A173" s="23" t="str">
        <f t="shared" si="91"/>
        <v>Service% profit / ventes</v>
      </c>
      <c r="B173" s="184" t="s">
        <v>83</v>
      </c>
      <c r="C173" s="440" t="s">
        <v>87</v>
      </c>
      <c r="E173" s="31"/>
      <c r="F173" s="443">
        <f>F172/E172</f>
        <v>0.78</v>
      </c>
      <c r="H173" s="31"/>
      <c r="I173" s="157" t="e">
        <f>I172/H172</f>
        <v>#DIV/0!</v>
      </c>
      <c r="K173" s="31"/>
      <c r="L173" s="157">
        <f>L172/K172</f>
        <v>0.79679291495372195</v>
      </c>
      <c r="M173" s="296"/>
      <c r="N173" s="222"/>
      <c r="P173" s="31"/>
      <c r="Q173" s="157">
        <f>Q172/P172</f>
        <v>0.80710997618455249</v>
      </c>
      <c r="R173" s="223"/>
      <c r="S173" s="242"/>
      <c r="T173" s="26"/>
    </row>
    <row r="174" spans="1:40" ht="15.75" customHeight="1">
      <c r="A174" s="23" t="str">
        <f t="shared" si="91"/>
        <v>Service</v>
      </c>
      <c r="B174" s="184" t="s">
        <v>83</v>
      </c>
      <c r="C174" s="444"/>
      <c r="D174" s="7"/>
      <c r="E174" s="35">
        <f t="shared" ref="E174" si="93">IFERROR(E172/D172,0)</f>
        <v>340.00000000000006</v>
      </c>
      <c r="F174" s="445"/>
      <c r="G174" s="7"/>
      <c r="H174" s="35">
        <f t="shared" ref="H174" si="94">IFERROR(H172/G172,0)</f>
        <v>0</v>
      </c>
      <c r="I174" s="155"/>
      <c r="J174" s="7"/>
      <c r="K174" s="35">
        <f t="shared" ref="K174" si="95">IFERROR(K172/J172,0)</f>
        <v>367.0016791044776</v>
      </c>
      <c r="L174" s="155"/>
      <c r="M174" s="297"/>
      <c r="N174" s="247"/>
      <c r="O174" s="7"/>
      <c r="P174" s="35">
        <f t="shared" ref="P174" si="96">IFERROR(P172/O172,0)</f>
        <v>380.78574826560856</v>
      </c>
      <c r="Q174" s="155"/>
      <c r="R174" s="298"/>
      <c r="S174" s="248"/>
      <c r="T174" s="26"/>
    </row>
    <row r="175" spans="1:40" ht="18" customHeight="1">
      <c r="A175" s="23" t="str">
        <f t="shared" si="91"/>
        <v>ServiceM/O Garantie</v>
      </c>
      <c r="B175" s="184" t="s">
        <v>83</v>
      </c>
      <c r="C175" s="446" t="s">
        <v>88</v>
      </c>
      <c r="D175" s="57">
        <f>+SUM(START:END!D175)</f>
        <v>443.88</v>
      </c>
      <c r="E175" s="26">
        <f>+SUM(START:END!E175)</f>
        <v>119847.6</v>
      </c>
      <c r="F175" s="442">
        <f>+SUM(START:END!F175)</f>
        <v>76702.463999999993</v>
      </c>
      <c r="G175" s="57">
        <f>+SUM(START:END!G175)</f>
        <v>0</v>
      </c>
      <c r="H175" s="26">
        <f>+SUM(START:END!H175)</f>
        <v>0</v>
      </c>
      <c r="I175" s="222">
        <f>+SUM(START:END!I175)</f>
        <v>0</v>
      </c>
      <c r="J175" s="57">
        <f>+SUM(START:END!J175)</f>
        <v>561</v>
      </c>
      <c r="K175" s="26">
        <f>+SUM(START:END!K175)</f>
        <v>211129.72999999998</v>
      </c>
      <c r="L175" s="26">
        <f>+SUM(START:END!L175)</f>
        <v>137501.43</v>
      </c>
      <c r="M175" s="296">
        <f>(K175-E175)/E175</f>
        <v>0.76165171434388312</v>
      </c>
      <c r="N175" s="258">
        <f t="shared" ref="N175" si="97">L175-F175</f>
        <v>60798.966</v>
      </c>
      <c r="O175" s="57">
        <f>+SUM(START:END!O175)</f>
        <v>500</v>
      </c>
      <c r="P175" s="26">
        <f>+SUM(START:END!P175)</f>
        <v>136655.21</v>
      </c>
      <c r="Q175" s="26">
        <f>+SUM(START:END!Q175)</f>
        <v>92802.789999999892</v>
      </c>
      <c r="R175" s="296">
        <f>IF(O175=0,0,J175/O175)</f>
        <v>1.1220000000000001</v>
      </c>
      <c r="S175" s="242">
        <f>L175-Q175</f>
        <v>44698.640000000101</v>
      </c>
      <c r="T175" s="26"/>
      <c r="V175" s="198"/>
      <c r="W175" s="198"/>
      <c r="X175" s="198"/>
      <c r="Y175" s="198"/>
    </row>
    <row r="176" spans="1:40" ht="15.75" customHeight="1">
      <c r="A176" s="23" t="str">
        <f t="shared" si="91"/>
        <v>Service% profit / ventes</v>
      </c>
      <c r="B176" s="184" t="s">
        <v>83</v>
      </c>
      <c r="C176" s="440" t="s">
        <v>87</v>
      </c>
      <c r="F176" s="443">
        <f>F175/E175</f>
        <v>0.6399999999999999</v>
      </c>
      <c r="I176" s="157" t="e">
        <f>I175/H175</f>
        <v>#DIV/0!</v>
      </c>
      <c r="L176" s="157">
        <f>L175/K175</f>
        <v>0.65126512500158085</v>
      </c>
      <c r="M176" s="170"/>
      <c r="N176" s="171"/>
      <c r="Q176" s="157">
        <f>Q175/P175</f>
        <v>0.6791017334794619</v>
      </c>
      <c r="R176" s="170"/>
      <c r="S176" s="209"/>
    </row>
    <row r="177" spans="1:25" ht="15.75" customHeight="1">
      <c r="A177" s="23" t="str">
        <f t="shared" si="91"/>
        <v>Service</v>
      </c>
      <c r="B177" s="184" t="s">
        <v>83</v>
      </c>
      <c r="C177" s="444"/>
      <c r="D177" s="300"/>
      <c r="E177" s="7"/>
      <c r="F177" s="445"/>
      <c r="G177" s="7"/>
      <c r="H177" s="7"/>
      <c r="I177" s="155"/>
      <c r="J177" s="7"/>
      <c r="K177" s="7"/>
      <c r="L177" s="155"/>
      <c r="M177" s="301"/>
      <c r="N177" s="302"/>
      <c r="O177" s="7"/>
      <c r="P177" s="7"/>
      <c r="Q177" s="155"/>
      <c r="R177" s="301"/>
      <c r="S177" s="303"/>
    </row>
    <row r="178" spans="1:25" ht="15.75" customHeight="1">
      <c r="A178" s="23" t="str">
        <f t="shared" si="91"/>
        <v>ServiceM/O Interne</v>
      </c>
      <c r="B178" s="184" t="s">
        <v>83</v>
      </c>
      <c r="C178" s="440" t="s">
        <v>89</v>
      </c>
      <c r="D178" s="174">
        <f>+SUM(START:END!D178)</f>
        <v>846.44</v>
      </c>
      <c r="E178" s="26">
        <f>+SUM(START:END!E178)</f>
        <v>259874.00879999998</v>
      </c>
      <c r="F178" s="442">
        <f>+SUM(START:END!F178)</f>
        <v>192306.766512</v>
      </c>
      <c r="G178" s="174">
        <f>+SUM(START:END!G178)</f>
        <v>0</v>
      </c>
      <c r="H178" s="26">
        <f>+SUM(START:END!H178)</f>
        <v>0</v>
      </c>
      <c r="I178" s="222">
        <f>+SUM(START:END!I178)</f>
        <v>0</v>
      </c>
      <c r="J178" s="23">
        <f>+SUM(START:END!J178)</f>
        <v>905</v>
      </c>
      <c r="K178" s="26">
        <f>+SUM(START:END!K178)</f>
        <v>315775.36000000004</v>
      </c>
      <c r="L178" s="26">
        <f>+SUM(START:END!L178)</f>
        <v>249690.75000000003</v>
      </c>
      <c r="M178" s="296">
        <f>(K178-E178)/E178</f>
        <v>0.21510943498401933</v>
      </c>
      <c r="N178" s="222">
        <f t="shared" ref="N178" si="98">L178-F178</f>
        <v>57383.983488000027</v>
      </c>
      <c r="O178" s="23">
        <f>+SUM(START:END!O178)</f>
        <v>700</v>
      </c>
      <c r="P178" s="26">
        <f>+SUM(START:END!P178)</f>
        <v>234773.12999999989</v>
      </c>
      <c r="Q178" s="26">
        <f>+SUM(START:END!Q178)</f>
        <v>175194.53999999992</v>
      </c>
      <c r="R178" s="296">
        <f>IF(O178=0,0,J178/O178)</f>
        <v>1.2928571428571429</v>
      </c>
      <c r="S178" s="242">
        <f>L178-Q178</f>
        <v>74496.210000000108</v>
      </c>
      <c r="T178" s="26"/>
      <c r="V178" s="198"/>
      <c r="W178" s="198"/>
      <c r="X178" s="198"/>
      <c r="Y178" s="198"/>
    </row>
    <row r="179" spans="1:25" ht="15.75" customHeight="1">
      <c r="A179" s="23" t="str">
        <f t="shared" si="91"/>
        <v>Service% profit / ventes</v>
      </c>
      <c r="B179" s="184" t="s">
        <v>83</v>
      </c>
      <c r="C179" s="440" t="s">
        <v>87</v>
      </c>
      <c r="E179" s="31"/>
      <c r="F179" s="443">
        <f>F178/E178</f>
        <v>0.7400000000000001</v>
      </c>
      <c r="H179" s="31"/>
      <c r="I179" s="157" t="e">
        <f>I178/H178</f>
        <v>#DIV/0!</v>
      </c>
      <c r="K179" s="31"/>
      <c r="L179" s="157">
        <f>L178/K178</f>
        <v>0.79072271503387725</v>
      </c>
      <c r="M179" s="296"/>
      <c r="N179" s="222">
        <f>L179-F179</f>
        <v>5.0722715033877153E-2</v>
      </c>
      <c r="P179" s="31"/>
      <c r="Q179" s="157">
        <f>Q178/P178</f>
        <v>0.7462290935934619</v>
      </c>
      <c r="R179" s="223">
        <f>O179-K179</f>
        <v>0</v>
      </c>
      <c r="S179" s="242"/>
      <c r="T179" s="26"/>
    </row>
    <row r="180" spans="1:25" ht="15.75" customHeight="1">
      <c r="A180" s="23" t="str">
        <f t="shared" si="91"/>
        <v>Service</v>
      </c>
      <c r="B180" s="184" t="s">
        <v>83</v>
      </c>
      <c r="C180" s="440"/>
      <c r="E180" s="304"/>
      <c r="F180" s="447"/>
      <c r="H180" s="304"/>
      <c r="I180" s="306"/>
      <c r="K180" s="304"/>
      <c r="L180" s="306"/>
      <c r="M180" s="296"/>
      <c r="N180" s="222"/>
      <c r="P180" s="304"/>
      <c r="Q180" s="306"/>
      <c r="R180" s="307"/>
      <c r="S180" s="242"/>
      <c r="T180" s="26"/>
    </row>
    <row r="181" spans="1:25" ht="15.75" customHeight="1">
      <c r="A181" s="23" t="str">
        <f t="shared" si="91"/>
        <v>ServiceM/O Esthétique</v>
      </c>
      <c r="B181" s="184" t="s">
        <v>83</v>
      </c>
      <c r="C181" s="446" t="s">
        <v>90</v>
      </c>
      <c r="D181" s="308">
        <f>+SUM(START:END!D181)</f>
        <v>97.34</v>
      </c>
      <c r="E181" s="26">
        <f>+SUM(START:END!E181)</f>
        <v>26281.8</v>
      </c>
      <c r="F181" s="442">
        <f>+SUM(START:END!F181)</f>
        <v>19711.349999999999</v>
      </c>
      <c r="G181" s="308">
        <f>+SUM(START:END!G181)</f>
        <v>0</v>
      </c>
      <c r="H181" s="26">
        <f>+SUM(START:END!H181)</f>
        <v>0</v>
      </c>
      <c r="I181" s="222">
        <f>+SUM(START:END!I181)</f>
        <v>0</v>
      </c>
      <c r="J181" s="53">
        <f>+SUM(START:END!J181)</f>
        <v>0</v>
      </c>
      <c r="K181" s="26">
        <f>+SUM(START:END!K181)</f>
        <v>24479.48</v>
      </c>
      <c r="L181" s="26">
        <f>+SUM(START:END!L181)</f>
        <v>18930.03</v>
      </c>
      <c r="M181" s="310">
        <f>IF(H181=0,0,(K181-H181)/H181)</f>
        <v>0</v>
      </c>
      <c r="N181" s="258">
        <f t="shared" ref="N181" si="99">L181-F181</f>
        <v>-781.31999999999971</v>
      </c>
      <c r="O181" s="53">
        <f>+SUM(START:END!O181)</f>
        <v>0</v>
      </c>
      <c r="P181" s="26">
        <f>+SUM(START:END!P181)</f>
        <v>24157.739999999998</v>
      </c>
      <c r="Q181" s="26">
        <f>+SUM(START:END!Q181)</f>
        <v>19393.37</v>
      </c>
      <c r="R181" s="296">
        <f>IF(O181=0,0,J181/O181)</f>
        <v>0</v>
      </c>
      <c r="S181" s="259">
        <f>L181-Q181</f>
        <v>-463.34000000000015</v>
      </c>
      <c r="T181" s="26"/>
      <c r="V181" s="198"/>
      <c r="W181" s="198"/>
      <c r="X181" s="198"/>
      <c r="Y181" s="198"/>
    </row>
    <row r="182" spans="1:25" ht="15.75" customHeight="1">
      <c r="A182" s="23" t="str">
        <f t="shared" si="91"/>
        <v>Service% profit / ventes</v>
      </c>
      <c r="B182" s="184" t="s">
        <v>83</v>
      </c>
      <c r="C182" s="440" t="s">
        <v>87</v>
      </c>
      <c r="D182" s="73"/>
      <c r="E182" s="311"/>
      <c r="F182" s="443">
        <f>IFERROR(F181/E181,0)</f>
        <v>0.75</v>
      </c>
      <c r="G182" s="73"/>
      <c r="H182" s="311"/>
      <c r="I182" s="157">
        <f>IFERROR(I181/H181,0)</f>
        <v>0</v>
      </c>
      <c r="J182" s="73"/>
      <c r="K182" s="311"/>
      <c r="L182" s="157">
        <f>IFERROR(L181/K181,0)</f>
        <v>0.77330196556462794</v>
      </c>
      <c r="M182" s="223">
        <f>J182-G182</f>
        <v>0</v>
      </c>
      <c r="N182" s="312"/>
      <c r="O182" s="73"/>
      <c r="P182" s="311"/>
      <c r="Q182" s="157">
        <f>IFERROR(Q181/P181,0)</f>
        <v>0.80278080648272565</v>
      </c>
      <c r="R182" s="152"/>
      <c r="S182" s="313"/>
      <c r="T182" s="87"/>
    </row>
    <row r="183" spans="1:25" ht="15.75" customHeight="1">
      <c r="A183" s="23" t="str">
        <f t="shared" si="91"/>
        <v>Service</v>
      </c>
      <c r="B183" s="184" t="s">
        <v>83</v>
      </c>
      <c r="C183" s="444"/>
      <c r="D183" s="314"/>
      <c r="E183" s="315"/>
      <c r="F183" s="445"/>
      <c r="G183" s="314"/>
      <c r="H183" s="315"/>
      <c r="I183" s="155"/>
      <c r="J183" s="314"/>
      <c r="K183" s="315"/>
      <c r="L183" s="155"/>
      <c r="M183" s="298"/>
      <c r="N183" s="316"/>
      <c r="O183" s="314"/>
      <c r="P183" s="315"/>
      <c r="Q183" s="155"/>
      <c r="R183" s="153"/>
      <c r="S183" s="317"/>
      <c r="T183" s="87"/>
    </row>
    <row r="184" spans="1:25" ht="26.25" customHeight="1" thickBot="1">
      <c r="A184" s="23" t="str">
        <f t="shared" si="91"/>
        <v>ServiceAjustement M/O</v>
      </c>
      <c r="B184" s="184" t="s">
        <v>83</v>
      </c>
      <c r="C184" s="440" t="s">
        <v>91</v>
      </c>
      <c r="F184" s="442">
        <f>+SUM(START:END!F184)</f>
        <v>-9938.7178820817007</v>
      </c>
      <c r="I184" s="222">
        <f>+SUM(START:END!I184)</f>
        <v>0</v>
      </c>
      <c r="L184" s="222">
        <f>+SUM(START:END!L184)</f>
        <v>-2472.4899999999998</v>
      </c>
      <c r="M184" s="318"/>
      <c r="N184" s="222">
        <f t="shared" ref="N184" si="100">L184-F184</f>
        <v>7466.227882081701</v>
      </c>
      <c r="Q184" s="222">
        <f>+SUM(START:END!Q184)</f>
        <v>-4891.87</v>
      </c>
      <c r="R184" s="319"/>
      <c r="S184" s="242">
        <f t="shared" ref="S184:S185" si="101">L184-Q184</f>
        <v>2419.38</v>
      </c>
    </row>
    <row r="185" spans="1:25" ht="15.75" customHeight="1" thickTop="1">
      <c r="A185" s="23" t="str">
        <f t="shared" si="91"/>
        <v>ServiceSous-total M/O</v>
      </c>
      <c r="B185" s="184" t="s">
        <v>83</v>
      </c>
      <c r="C185" s="448" t="s">
        <v>92</v>
      </c>
      <c r="D185" s="320"/>
      <c r="E185" s="320">
        <f t="shared" ref="E185" si="102">E172+E175+E178+E181+E184</f>
        <v>823924.60880000005</v>
      </c>
      <c r="F185" s="449">
        <f>F172+F175+F178+F181+F184</f>
        <v>604760.39862991823</v>
      </c>
      <c r="G185" s="320"/>
      <c r="H185" s="320">
        <f t="shared" ref="H185:I185" si="103">H172+H175+H178+H181+H184</f>
        <v>0</v>
      </c>
      <c r="I185" s="321">
        <f t="shared" si="103"/>
        <v>0</v>
      </c>
      <c r="J185" s="320"/>
      <c r="K185" s="320">
        <f t="shared" ref="K185:L185" si="104">K172+K175+K178+K181+K184</f>
        <v>944810.37000000011</v>
      </c>
      <c r="L185" s="321">
        <f t="shared" si="104"/>
        <v>717128.6100000001</v>
      </c>
      <c r="M185" s="322">
        <f>(K185-E185)/E185</f>
        <v>0.14671944484831373</v>
      </c>
      <c r="N185" s="321">
        <f t="shared" ref="N185" si="105">N172+N175+N178+N181+N184</f>
        <v>112368.21137008167</v>
      </c>
      <c r="O185" s="320"/>
      <c r="P185" s="320">
        <f t="shared" ref="P185:Q185" si="106">P172+P175+P178+P181+P184</f>
        <v>779798.89999999886</v>
      </c>
      <c r="Q185" s="321">
        <f t="shared" si="106"/>
        <v>592600.82999999879</v>
      </c>
      <c r="R185" s="170">
        <f>IF(O185=0,0,J185/O185)</f>
        <v>0</v>
      </c>
      <c r="S185" s="323">
        <f t="shared" si="101"/>
        <v>124527.78000000131</v>
      </c>
      <c r="T185" s="87"/>
    </row>
    <row r="186" spans="1:25" ht="15.75" customHeight="1">
      <c r="A186" s="23" t="str">
        <f t="shared" si="91"/>
        <v>Service% protit / ventes</v>
      </c>
      <c r="B186" s="184" t="s">
        <v>83</v>
      </c>
      <c r="C186" s="450" t="s">
        <v>93</v>
      </c>
      <c r="D186" s="324"/>
      <c r="E186" s="324"/>
      <c r="F186" s="451">
        <f>F185/E185</f>
        <v>0.73399967930405408</v>
      </c>
      <c r="G186" s="324"/>
      <c r="H186" s="324"/>
      <c r="I186" s="326" t="e">
        <f>I185/H185</f>
        <v>#DIV/0!</v>
      </c>
      <c r="J186" s="324"/>
      <c r="K186" s="324"/>
      <c r="L186" s="326">
        <f>L185/K185</f>
        <v>0.75901856369336851</v>
      </c>
      <c r="M186" s="325"/>
      <c r="N186" s="326"/>
      <c r="O186" s="324"/>
      <c r="P186" s="324"/>
      <c r="Q186" s="326">
        <f>Q185/P185</f>
        <v>0.75994058211674786</v>
      </c>
      <c r="R186" s="325"/>
      <c r="S186" s="209">
        <f>IF(R185=0,0,S185/R185)</f>
        <v>0</v>
      </c>
      <c r="T186" s="87"/>
    </row>
    <row r="187" spans="1:25" ht="15.75" customHeight="1">
      <c r="A187" s="23" t="str">
        <f t="shared" si="91"/>
        <v>Service</v>
      </c>
      <c r="B187" s="184" t="s">
        <v>83</v>
      </c>
      <c r="C187" s="452"/>
      <c r="D187" s="83"/>
      <c r="E187" s="327"/>
      <c r="F187" s="453"/>
      <c r="G187" s="83"/>
      <c r="H187" s="327"/>
      <c r="I187" s="329"/>
      <c r="J187" s="83"/>
      <c r="K187" s="327"/>
      <c r="L187" s="329"/>
      <c r="M187" s="328"/>
      <c r="N187" s="329"/>
      <c r="O187" s="83"/>
      <c r="P187" s="327"/>
      <c r="Q187" s="329"/>
      <c r="R187" s="328"/>
      <c r="S187" s="330"/>
      <c r="T187" s="87"/>
    </row>
    <row r="188" spans="1:25" ht="15.75" customHeight="1">
      <c r="A188" s="23" t="str">
        <f t="shared" si="91"/>
        <v>ServiceSous-traitement</v>
      </c>
      <c r="B188" s="184" t="s">
        <v>83</v>
      </c>
      <c r="C188" s="440" t="s">
        <v>94</v>
      </c>
      <c r="D188" s="26"/>
      <c r="E188" s="26">
        <f>+SUM(START:END!E188)</f>
        <v>59401.440000000002</v>
      </c>
      <c r="F188" s="442">
        <f>+SUM(START:END!F188)</f>
        <v>10454.65344</v>
      </c>
      <c r="G188" s="26"/>
      <c r="H188" s="26">
        <f>+SUM(START:END!H188)</f>
        <v>0</v>
      </c>
      <c r="I188" s="222">
        <f>+SUM(START:END!I188)</f>
        <v>0</v>
      </c>
      <c r="J188" s="26"/>
      <c r="K188" s="26">
        <f>+SUM(START:END!K188)</f>
        <v>65433.389999999992</v>
      </c>
      <c r="L188" s="26">
        <f>+SUM(START:END!L188)</f>
        <v>12700.859999999993</v>
      </c>
      <c r="M188" s="241">
        <f>IF(H188=0,0,(K188-H188)/H188)</f>
        <v>0</v>
      </c>
      <c r="N188" s="222">
        <f t="shared" ref="N188" si="107">L188-F188</f>
        <v>2246.2065599999933</v>
      </c>
      <c r="O188" s="26"/>
      <c r="P188" s="26">
        <f>+SUM(START:END!P188)</f>
        <v>46679.05999999999</v>
      </c>
      <c r="Q188" s="26">
        <f>+SUM(START:END!Q188)</f>
        <v>10762.319999999991</v>
      </c>
      <c r="R188" s="296">
        <f>IF(O188=0,0,J188/O188)</f>
        <v>0</v>
      </c>
      <c r="S188" s="242">
        <f>L188-Q188</f>
        <v>1938.5400000000027</v>
      </c>
      <c r="T188" s="87"/>
    </row>
    <row r="189" spans="1:25" ht="15.75" customHeight="1">
      <c r="A189" s="23" t="str">
        <f t="shared" si="91"/>
        <v>Service% profit / ventes</v>
      </c>
      <c r="B189" s="184" t="s">
        <v>83</v>
      </c>
      <c r="C189" s="440" t="s">
        <v>87</v>
      </c>
      <c r="E189" s="31"/>
      <c r="F189" s="443">
        <f>IFERROR(F188/E188,0)</f>
        <v>0.17599999999999999</v>
      </c>
      <c r="H189" s="31"/>
      <c r="I189" s="157">
        <f>IFERROR(I188/H188,0)</f>
        <v>0</v>
      </c>
      <c r="K189" s="31"/>
      <c r="L189" s="157">
        <f>IFERROR(L188/K188,0)</f>
        <v>0.19410365258471241</v>
      </c>
      <c r="M189" s="318"/>
      <c r="N189" s="312"/>
      <c r="P189" s="31"/>
      <c r="Q189" s="157">
        <f>IFERROR(Q188/P188,0)</f>
        <v>0.23055991273174722</v>
      </c>
      <c r="R189" s="318"/>
      <c r="S189" s="313"/>
      <c r="T189" s="87"/>
    </row>
    <row r="190" spans="1:25" ht="15.75" customHeight="1">
      <c r="A190" s="23" t="str">
        <f t="shared" si="91"/>
        <v>Service</v>
      </c>
      <c r="B190" s="184" t="s">
        <v>83</v>
      </c>
      <c r="C190" s="440"/>
      <c r="E190" s="31"/>
      <c r="F190" s="443"/>
      <c r="H190" s="31"/>
      <c r="I190" s="157"/>
      <c r="K190" s="31"/>
      <c r="L190" s="157"/>
      <c r="M190" s="318"/>
      <c r="N190" s="312"/>
      <c r="P190" s="31"/>
      <c r="Q190" s="157"/>
      <c r="R190" s="318"/>
      <c r="S190" s="313"/>
      <c r="T190" s="87"/>
    </row>
    <row r="191" spans="1:25" ht="15.75" customHeight="1">
      <c r="A191" s="23" t="str">
        <f t="shared" si="91"/>
        <v>ServiceM.O. Recond. MCPA</v>
      </c>
      <c r="B191" s="184" t="s">
        <v>83</v>
      </c>
      <c r="C191" s="440" t="s">
        <v>95</v>
      </c>
      <c r="E191" s="26">
        <f>+SUM(START:END!E191)</f>
        <v>20150</v>
      </c>
      <c r="F191" s="442">
        <f>+SUM(START:END!F191)</f>
        <v>14105</v>
      </c>
      <c r="H191" s="26">
        <f>+SUM(START:END!H191)</f>
        <v>0</v>
      </c>
      <c r="I191" s="222">
        <f>+SUM(START:END!I191)</f>
        <v>0</v>
      </c>
      <c r="K191" s="26">
        <f>+SUM(START:END!K191)</f>
        <v>22240</v>
      </c>
      <c r="L191" s="26">
        <f>+SUM(START:END!L191)</f>
        <v>17818.91</v>
      </c>
      <c r="M191" s="318"/>
      <c r="N191" s="222">
        <f t="shared" ref="N191" si="108">L191-F191</f>
        <v>3713.91</v>
      </c>
      <c r="P191" s="26">
        <f>+SUM(START:END!P191)</f>
        <v>24173.599999999999</v>
      </c>
      <c r="Q191" s="26">
        <f>+SUM(START:END!Q191)</f>
        <v>17574.669999999998</v>
      </c>
      <c r="R191" s="318"/>
      <c r="S191" s="313"/>
      <c r="T191" s="87"/>
    </row>
    <row r="192" spans="1:25" ht="15.75" customHeight="1">
      <c r="A192" s="23" t="str">
        <f t="shared" si="91"/>
        <v>Service% profit / ventes</v>
      </c>
      <c r="B192" s="184" t="s">
        <v>83</v>
      </c>
      <c r="C192" s="440" t="s">
        <v>87</v>
      </c>
      <c r="E192" s="31"/>
      <c r="F192" s="443">
        <f>IF(F191=0,0,F191/E191)</f>
        <v>0.7</v>
      </c>
      <c r="H192" s="31"/>
      <c r="I192" s="157">
        <f>IF(I191=0,0,I191/H191)</f>
        <v>0</v>
      </c>
      <c r="K192" s="31"/>
      <c r="L192" s="157">
        <f>IF(L191=0,0,L191/K191)</f>
        <v>0.80120998201438853</v>
      </c>
      <c r="M192" s="318"/>
      <c r="N192" s="312"/>
      <c r="P192" s="31"/>
      <c r="Q192" s="157">
        <f>IF(Q191=0,0,Q191/P191)</f>
        <v>0.72701914485223551</v>
      </c>
      <c r="R192" s="318"/>
      <c r="S192" s="313"/>
      <c r="T192" s="87"/>
    </row>
    <row r="193" spans="1:20" ht="15.75" customHeight="1" thickBot="1">
      <c r="A193" s="23" t="str">
        <f t="shared" si="91"/>
        <v>Service</v>
      </c>
      <c r="B193" s="184" t="s">
        <v>83</v>
      </c>
      <c r="C193" s="454"/>
      <c r="D193" s="93"/>
      <c r="E193" s="331"/>
      <c r="F193" s="455"/>
      <c r="G193" s="93"/>
      <c r="H193" s="331"/>
      <c r="I193" s="333"/>
      <c r="J193" s="93"/>
      <c r="K193" s="331"/>
      <c r="L193" s="333"/>
      <c r="M193" s="332"/>
      <c r="N193" s="333"/>
      <c r="O193" s="93"/>
      <c r="P193" s="331"/>
      <c r="Q193" s="333"/>
      <c r="R193" s="332"/>
      <c r="S193" s="334"/>
      <c r="T193" s="87"/>
    </row>
    <row r="194" spans="1:20" ht="15.75" customHeight="1" thickTop="1">
      <c r="A194" s="23" t="str">
        <f t="shared" si="91"/>
        <v>ServiceTotal Mécanique</v>
      </c>
      <c r="B194" s="184" t="s">
        <v>83</v>
      </c>
      <c r="C194" s="456" t="s">
        <v>96</v>
      </c>
      <c r="D194" s="226"/>
      <c r="E194" s="226">
        <f t="shared" ref="E194:F194" si="109">E185+E188+E191</f>
        <v>903476.04879999999</v>
      </c>
      <c r="F194" s="457">
        <f t="shared" si="109"/>
        <v>629320.05206991825</v>
      </c>
      <c r="G194" s="226"/>
      <c r="H194" s="226">
        <f t="shared" ref="H194:I194" si="110">H185+H188+H191</f>
        <v>0</v>
      </c>
      <c r="I194" s="228">
        <f t="shared" si="110"/>
        <v>0</v>
      </c>
      <c r="J194" s="226"/>
      <c r="K194" s="226">
        <f t="shared" ref="K194:N194" si="111">K185+K188+K191</f>
        <v>1032483.7600000001</v>
      </c>
      <c r="L194" s="228">
        <f t="shared" si="111"/>
        <v>747648.38000000012</v>
      </c>
      <c r="M194" s="335">
        <f>L195-F195</f>
        <v>2.7571826042612102E-2</v>
      </c>
      <c r="N194" s="228">
        <f t="shared" si="111"/>
        <v>118328.32793008166</v>
      </c>
      <c r="O194" s="226"/>
      <c r="P194" s="226">
        <f t="shared" ref="P194:Q194" si="112">P185+P188+P191</f>
        <v>850651.55999999878</v>
      </c>
      <c r="Q194" s="228">
        <f t="shared" si="112"/>
        <v>620937.81999999878</v>
      </c>
      <c r="R194" s="335">
        <f>L195-Q195</f>
        <v>-5.8294979769284438E-3</v>
      </c>
      <c r="S194" s="231">
        <f>L194-Q194</f>
        <v>126710.56000000134</v>
      </c>
      <c r="T194" s="87"/>
    </row>
    <row r="195" spans="1:20" ht="15.75" customHeight="1" thickBot="1">
      <c r="A195" s="23" t="str">
        <f t="shared" si="91"/>
        <v>Service</v>
      </c>
      <c r="B195" s="184" t="s">
        <v>83</v>
      </c>
      <c r="C195" s="458"/>
      <c r="D195" s="233"/>
      <c r="E195" s="233"/>
      <c r="F195" s="459">
        <f>F194/E194</f>
        <v>0.69655421735394463</v>
      </c>
      <c r="G195" s="233"/>
      <c r="H195" s="233"/>
      <c r="I195" s="166" t="e">
        <f>I194/H194</f>
        <v>#DIV/0!</v>
      </c>
      <c r="J195" s="233"/>
      <c r="K195" s="233"/>
      <c r="L195" s="166">
        <f>L194/K194</f>
        <v>0.72412604339655673</v>
      </c>
      <c r="M195" s="236"/>
      <c r="N195" s="166">
        <f>N194/F194</f>
        <v>0.1880256755539314</v>
      </c>
      <c r="O195" s="233"/>
      <c r="P195" s="233"/>
      <c r="Q195" s="166">
        <f>Q194/P194</f>
        <v>0.72995554137348517</v>
      </c>
      <c r="R195" s="236"/>
      <c r="S195" s="237">
        <f>L194/S194</f>
        <v>5.900442551907215</v>
      </c>
      <c r="T195" s="73"/>
    </row>
    <row r="196" spans="1:20" ht="15.75" customHeight="1" thickTop="1">
      <c r="A196" s="23" t="str">
        <f t="shared" si="91"/>
        <v>Service</v>
      </c>
      <c r="B196" s="184" t="s">
        <v>83</v>
      </c>
      <c r="C196" s="460"/>
      <c r="D196" s="73"/>
      <c r="E196" s="73"/>
      <c r="F196" s="461"/>
      <c r="G196" s="73"/>
      <c r="H196" s="73"/>
      <c r="I196" s="171"/>
      <c r="J196" s="73"/>
      <c r="K196" s="73"/>
      <c r="L196" s="171"/>
      <c r="M196" s="170"/>
      <c r="N196" s="171"/>
      <c r="O196" s="73"/>
      <c r="P196" s="73"/>
      <c r="Q196" s="171"/>
      <c r="R196" s="170"/>
      <c r="S196" s="209"/>
      <c r="T196" s="73"/>
    </row>
    <row r="197" spans="1:20" ht="15.75" customHeight="1">
      <c r="A197" s="23" t="str">
        <f t="shared" si="91"/>
        <v>ServiceDEPENSES</v>
      </c>
      <c r="B197" s="184" t="s">
        <v>83</v>
      </c>
      <c r="C197" s="462" t="s">
        <v>30</v>
      </c>
      <c r="F197" s="442"/>
      <c r="I197" s="222"/>
      <c r="L197" s="222"/>
      <c r="M197" s="152"/>
      <c r="N197" s="208"/>
      <c r="Q197" s="222"/>
      <c r="R197" s="152"/>
      <c r="S197" s="224"/>
    </row>
    <row r="198" spans="1:20" ht="15.75" customHeight="1">
      <c r="A198" s="23" t="str">
        <f t="shared" si="91"/>
        <v>ServiceSalaires cadres</v>
      </c>
      <c r="B198" s="184" t="s">
        <v>83</v>
      </c>
      <c r="C198" s="440" t="s">
        <v>41</v>
      </c>
      <c r="F198" s="463">
        <f>+SUM(START:END!F198)</f>
        <v>49999.206250000003</v>
      </c>
      <c r="G198" s="437"/>
      <c r="H198" s="337"/>
      <c r="I198" s="339">
        <f>+SUM(START:END!I198)</f>
        <v>0</v>
      </c>
      <c r="J198" s="337"/>
      <c r="K198" s="337"/>
      <c r="L198" s="337">
        <f>+SUM(START:END!L198)</f>
        <v>37027.579999999994</v>
      </c>
      <c r="M198" s="338"/>
      <c r="N198" s="339">
        <f t="shared" ref="N198:N208" si="113">L198-F198</f>
        <v>-12971.626250000008</v>
      </c>
      <c r="O198" s="337"/>
      <c r="P198" s="337"/>
      <c r="Q198" s="337">
        <f>+SUM(START:END!Q198)</f>
        <v>41403.11</v>
      </c>
      <c r="R198" s="338"/>
      <c r="S198" s="340">
        <f>L198-Q198</f>
        <v>-4375.5300000000061</v>
      </c>
    </row>
    <row r="199" spans="1:20" ht="15.75" customHeight="1">
      <c r="A199" s="23" t="str">
        <f t="shared" si="91"/>
        <v>ServiceSalaires commis</v>
      </c>
      <c r="B199" s="184" t="s">
        <v>83</v>
      </c>
      <c r="C199" s="444" t="s">
        <v>42</v>
      </c>
      <c r="D199" s="30"/>
      <c r="F199" s="464">
        <f>+SUM(START:END!F199)</f>
        <v>27134.095600000001</v>
      </c>
      <c r="G199" s="438"/>
      <c r="H199" s="337"/>
      <c r="I199" s="341">
        <f>+SUM(START:END!I199)</f>
        <v>0</v>
      </c>
      <c r="J199" s="342"/>
      <c r="K199" s="337"/>
      <c r="L199" s="341">
        <f>+SUM(START:END!L199)</f>
        <v>30654.22</v>
      </c>
      <c r="M199" s="338"/>
      <c r="N199" s="339">
        <f t="shared" si="113"/>
        <v>3520.1244000000006</v>
      </c>
      <c r="O199" s="342"/>
      <c r="P199" s="337"/>
      <c r="Q199" s="341">
        <f>+SUM(START:END!Q199)</f>
        <v>25555.15</v>
      </c>
      <c r="R199" s="338"/>
      <c r="S199" s="340">
        <f t="shared" ref="S199:S208" si="114">L199-Q199</f>
        <v>5099.07</v>
      </c>
    </row>
    <row r="200" spans="1:20" ht="15.75" customHeight="1">
      <c r="A200" s="23" t="str">
        <f t="shared" si="91"/>
        <v>ServiceSalaires autres</v>
      </c>
      <c r="B200" s="184" t="s">
        <v>83</v>
      </c>
      <c r="C200" s="440" t="s">
        <v>43</v>
      </c>
      <c r="D200" s="52"/>
      <c r="E200" s="53"/>
      <c r="F200" s="463">
        <f>+SUM(START:END!F200)</f>
        <v>50920.274999999994</v>
      </c>
      <c r="G200" s="344"/>
      <c r="H200" s="343"/>
      <c r="I200" s="339">
        <f>+SUM(START:END!I200)</f>
        <v>0</v>
      </c>
      <c r="J200" s="344"/>
      <c r="K200" s="343"/>
      <c r="L200" s="337">
        <f>+SUM(START:END!L200)</f>
        <v>47522.05</v>
      </c>
      <c r="M200" s="345"/>
      <c r="N200" s="346">
        <f t="shared" si="113"/>
        <v>-3398.2249999999913</v>
      </c>
      <c r="O200" s="344"/>
      <c r="P200" s="343"/>
      <c r="Q200" s="337">
        <f>+SUM(START:END!Q200)</f>
        <v>46524.57</v>
      </c>
      <c r="R200" s="345"/>
      <c r="S200" s="347">
        <f t="shared" si="114"/>
        <v>997.4800000000032</v>
      </c>
    </row>
    <row r="201" spans="1:20" ht="15.75" customHeight="1">
      <c r="A201" s="23" t="str">
        <f t="shared" si="91"/>
        <v>ServiceSalaires spécialistes</v>
      </c>
      <c r="B201" s="184" t="s">
        <v>83</v>
      </c>
      <c r="C201" s="440" t="s">
        <v>44</v>
      </c>
      <c r="D201" s="30"/>
      <c r="F201" s="463">
        <f>+SUM(START:END!F201)</f>
        <v>82354.219760000007</v>
      </c>
      <c r="G201" s="438"/>
      <c r="H201" s="337"/>
      <c r="I201" s="339">
        <f>+SUM(START:END!I201)</f>
        <v>0</v>
      </c>
      <c r="J201" s="342"/>
      <c r="K201" s="337"/>
      <c r="L201" s="337">
        <f>+SUM(START:END!L201)</f>
        <v>55439.81</v>
      </c>
      <c r="M201" s="338"/>
      <c r="N201" s="339">
        <f t="shared" si="113"/>
        <v>-26914.40976000001</v>
      </c>
      <c r="O201" s="342"/>
      <c r="P201" s="337"/>
      <c r="Q201" s="337">
        <f>+SUM(START:END!Q201)</f>
        <v>86556.25</v>
      </c>
      <c r="R201" s="338"/>
      <c r="S201" s="340">
        <f t="shared" si="114"/>
        <v>-31116.440000000002</v>
      </c>
    </row>
    <row r="202" spans="1:20" ht="15.75" hidden="1" customHeight="1">
      <c r="A202" s="23" t="str">
        <f t="shared" si="91"/>
        <v>Service[...]</v>
      </c>
      <c r="B202" s="184" t="s">
        <v>83</v>
      </c>
      <c r="C202" s="440" t="s">
        <v>20</v>
      </c>
      <c r="D202" s="30"/>
      <c r="F202" s="463">
        <f>+SUM(START:END!F202)</f>
        <v>0</v>
      </c>
      <c r="G202" s="438"/>
      <c r="H202" s="337"/>
      <c r="I202" s="339">
        <f>+SUM(START:END!I202)</f>
        <v>0</v>
      </c>
      <c r="J202" s="342"/>
      <c r="K202" s="337"/>
      <c r="L202" s="337">
        <f>+SUM(START:END!L202)</f>
        <v>0</v>
      </c>
      <c r="M202" s="338"/>
      <c r="N202" s="339">
        <f t="shared" si="113"/>
        <v>0</v>
      </c>
      <c r="O202" s="342"/>
      <c r="P202" s="337"/>
      <c r="Q202" s="337">
        <f>+SUM(START:END!Q202)</f>
        <v>0</v>
      </c>
      <c r="R202" s="338"/>
      <c r="S202" s="340">
        <f t="shared" si="114"/>
        <v>0</v>
      </c>
    </row>
    <row r="203" spans="1:20" ht="15.75" hidden="1" customHeight="1">
      <c r="A203" s="23" t="str">
        <f t="shared" si="91"/>
        <v>Service[...]</v>
      </c>
      <c r="B203" s="184" t="s">
        <v>83</v>
      </c>
      <c r="C203" s="440" t="s">
        <v>20</v>
      </c>
      <c r="D203" s="30"/>
      <c r="F203" s="463">
        <f>+SUM(START:END!F203)</f>
        <v>0</v>
      </c>
      <c r="G203" s="438"/>
      <c r="H203" s="337"/>
      <c r="I203" s="339">
        <f>+SUM(START:END!I203)</f>
        <v>0</v>
      </c>
      <c r="J203" s="342"/>
      <c r="K203" s="337"/>
      <c r="L203" s="337">
        <f>+SUM(START:END!L203)</f>
        <v>0</v>
      </c>
      <c r="M203" s="338"/>
      <c r="N203" s="339">
        <f t="shared" si="113"/>
        <v>0</v>
      </c>
      <c r="O203" s="342"/>
      <c r="P203" s="337"/>
      <c r="Q203" s="337">
        <f>+SUM(START:END!Q203)</f>
        <v>0</v>
      </c>
      <c r="R203" s="338"/>
      <c r="S203" s="340">
        <f t="shared" si="114"/>
        <v>0</v>
      </c>
    </row>
    <row r="204" spans="1:20" ht="15.75" hidden="1" customHeight="1">
      <c r="A204" s="23" t="str">
        <f t="shared" si="91"/>
        <v>Service[...]</v>
      </c>
      <c r="B204" s="184" t="s">
        <v>83</v>
      </c>
      <c r="C204" s="440" t="s">
        <v>20</v>
      </c>
      <c r="D204" s="30"/>
      <c r="F204" s="463">
        <f>+SUM(START:END!F204)</f>
        <v>0</v>
      </c>
      <c r="G204" s="438"/>
      <c r="H204" s="337"/>
      <c r="I204" s="339">
        <f>+SUM(START:END!I204)</f>
        <v>0</v>
      </c>
      <c r="J204" s="342"/>
      <c r="K204" s="337"/>
      <c r="L204" s="337">
        <f>+SUM(START:END!L204)</f>
        <v>0</v>
      </c>
      <c r="M204" s="338"/>
      <c r="N204" s="339">
        <f t="shared" si="113"/>
        <v>0</v>
      </c>
      <c r="O204" s="342"/>
      <c r="P204" s="337"/>
      <c r="Q204" s="337">
        <f>+SUM(START:END!Q204)</f>
        <v>0</v>
      </c>
      <c r="R204" s="338"/>
      <c r="S204" s="340">
        <f t="shared" si="114"/>
        <v>0</v>
      </c>
    </row>
    <row r="205" spans="1:20" ht="15.75" customHeight="1">
      <c r="A205" s="23" t="str">
        <f t="shared" si="91"/>
        <v>ServiceSalaires en absences</v>
      </c>
      <c r="B205" s="184" t="s">
        <v>83</v>
      </c>
      <c r="C205" s="444" t="s">
        <v>45</v>
      </c>
      <c r="D205" s="30"/>
      <c r="F205" s="463">
        <f>+SUM(START:END!F205)</f>
        <v>49944.68264453928</v>
      </c>
      <c r="G205" s="438"/>
      <c r="H205" s="337"/>
      <c r="I205" s="339">
        <f>+SUM(START:END!I205)</f>
        <v>0</v>
      </c>
      <c r="J205" s="342"/>
      <c r="K205" s="337"/>
      <c r="L205" s="337">
        <f>+SUM(START:END!L205)</f>
        <v>46708.17</v>
      </c>
      <c r="M205" s="338"/>
      <c r="N205" s="339">
        <f t="shared" si="113"/>
        <v>-3236.5126445392816</v>
      </c>
      <c r="O205" s="342"/>
      <c r="P205" s="337"/>
      <c r="Q205" s="337">
        <f>+SUM(START:END!Q205)</f>
        <v>47258.95</v>
      </c>
      <c r="R205" s="338"/>
      <c r="S205" s="340">
        <f t="shared" si="114"/>
        <v>-550.77999999999884</v>
      </c>
    </row>
    <row r="206" spans="1:20" ht="15.75" customHeight="1">
      <c r="A206" s="23" t="str">
        <f t="shared" si="91"/>
        <v>ServiceDéduction à la source</v>
      </c>
      <c r="B206" s="184" t="s">
        <v>83</v>
      </c>
      <c r="C206" s="440" t="s">
        <v>46</v>
      </c>
      <c r="D206" s="52"/>
      <c r="E206" s="53"/>
      <c r="F206" s="465">
        <f>+SUM(START:END!F206)</f>
        <v>60725.693435651294</v>
      </c>
      <c r="G206" s="344"/>
      <c r="H206" s="343"/>
      <c r="I206" s="346">
        <f>+SUM(START:END!I206)</f>
        <v>0</v>
      </c>
      <c r="J206" s="344"/>
      <c r="K206" s="343"/>
      <c r="L206" s="346">
        <f>+SUM(START:END!L206)</f>
        <v>56676.009999999995</v>
      </c>
      <c r="M206" s="345"/>
      <c r="N206" s="346">
        <f t="shared" si="113"/>
        <v>-4049.6834356512991</v>
      </c>
      <c r="O206" s="344"/>
      <c r="P206" s="343"/>
      <c r="Q206" s="346">
        <f>+SUM(START:END!Q206)</f>
        <v>56633.97</v>
      </c>
      <c r="R206" s="345"/>
      <c r="S206" s="347">
        <f t="shared" si="114"/>
        <v>42.039999999993597</v>
      </c>
    </row>
    <row r="207" spans="1:20" ht="15.75" customHeight="1">
      <c r="A207" s="23" t="str">
        <f t="shared" si="91"/>
        <v>ServiceBénéfices marginaux</v>
      </c>
      <c r="B207" s="184" t="s">
        <v>83</v>
      </c>
      <c r="C207" s="440" t="s">
        <v>47</v>
      </c>
      <c r="D207" s="30"/>
      <c r="F207" s="463">
        <f>+SUM(START:END!F207)</f>
        <v>31286.933357063812</v>
      </c>
      <c r="G207" s="438"/>
      <c r="H207" s="337"/>
      <c r="I207" s="339">
        <f>+SUM(START:END!I207)</f>
        <v>0</v>
      </c>
      <c r="J207" s="342"/>
      <c r="K207" s="337"/>
      <c r="L207" s="337">
        <f>+SUM(START:END!L207)</f>
        <v>28856.559999999998</v>
      </c>
      <c r="M207" s="338"/>
      <c r="N207" s="339">
        <f t="shared" si="113"/>
        <v>-2430.3733570638142</v>
      </c>
      <c r="O207" s="342"/>
      <c r="P207" s="337"/>
      <c r="Q207" s="337">
        <f>+SUM(START:END!Q207)</f>
        <v>30668.510000000002</v>
      </c>
      <c r="R207" s="338"/>
      <c r="S207" s="340">
        <f t="shared" si="114"/>
        <v>-1811.9500000000044</v>
      </c>
    </row>
    <row r="208" spans="1:20" ht="15.75" customHeight="1">
      <c r="A208" s="23" t="str">
        <f t="shared" si="91"/>
        <v>ServiceCsst</v>
      </c>
      <c r="B208" s="184" t="s">
        <v>83</v>
      </c>
      <c r="C208" s="440" t="s">
        <v>48</v>
      </c>
      <c r="D208" s="30"/>
      <c r="F208" s="463">
        <f>+SUM(START:END!F208)</f>
        <v>13641.278960182535</v>
      </c>
      <c r="G208" s="438"/>
      <c r="H208" s="337"/>
      <c r="I208" s="339">
        <f>+SUM(START:END!I208)</f>
        <v>0</v>
      </c>
      <c r="J208" s="342"/>
      <c r="K208" s="337"/>
      <c r="L208" s="337">
        <f>+SUM(START:END!L208)</f>
        <v>11346.75</v>
      </c>
      <c r="M208" s="338"/>
      <c r="N208" s="339">
        <f t="shared" si="113"/>
        <v>-2294.5289601825352</v>
      </c>
      <c r="O208" s="342"/>
      <c r="P208" s="337"/>
      <c r="Q208" s="337">
        <f>+SUM(START:END!Q208)</f>
        <v>12797.42</v>
      </c>
      <c r="R208" s="338"/>
      <c r="S208" s="340">
        <f t="shared" si="114"/>
        <v>-1450.67</v>
      </c>
    </row>
    <row r="209" spans="1:19" ht="15.75" hidden="1" customHeight="1">
      <c r="A209" s="23" t="str">
        <f t="shared" si="91"/>
        <v>Service[...]</v>
      </c>
      <c r="B209" s="184" t="s">
        <v>83</v>
      </c>
      <c r="C209" s="440" t="s">
        <v>20</v>
      </c>
      <c r="D209" s="34"/>
      <c r="E209" s="7"/>
      <c r="F209" s="463">
        <f>+SUM(START:END!F209)</f>
        <v>0</v>
      </c>
      <c r="G209" s="349"/>
      <c r="H209" s="348"/>
      <c r="I209" s="339">
        <f>+SUM(START:END!I209)</f>
        <v>0</v>
      </c>
      <c r="J209" s="349"/>
      <c r="K209" s="348"/>
      <c r="L209" s="337">
        <f>+SUM(START:END!L209)</f>
        <v>0</v>
      </c>
      <c r="M209" s="350"/>
      <c r="N209" s="351"/>
      <c r="O209" s="349"/>
      <c r="P209" s="348"/>
      <c r="Q209" s="337">
        <f>+SUM(START:END!Q209)</f>
        <v>0</v>
      </c>
      <c r="R209" s="350"/>
      <c r="S209" s="352">
        <f t="shared" ref="S209" si="115">L209-Q209</f>
        <v>0</v>
      </c>
    </row>
    <row r="210" spans="1:19" ht="15.75" customHeight="1">
      <c r="A210" s="23" t="str">
        <f t="shared" si="91"/>
        <v>ServiceTOTAL PERSONNEL</v>
      </c>
      <c r="B210" s="184" t="s">
        <v>83</v>
      </c>
      <c r="C210" s="466" t="s">
        <v>49</v>
      </c>
      <c r="D210" s="250" t="s">
        <v>97</v>
      </c>
      <c r="E210" s="42">
        <f>F210/F$194</f>
        <v>0.58159021598563843</v>
      </c>
      <c r="F210" s="467">
        <f>+SUM(F198:F209)</f>
        <v>366006.38500743697</v>
      </c>
      <c r="G210" s="355" t="s">
        <v>97</v>
      </c>
      <c r="H210" s="353" t="e">
        <f>I210/I$194</f>
        <v>#DIV/0!</v>
      </c>
      <c r="I210" s="354">
        <f>+SUM(I198:I209)</f>
        <v>0</v>
      </c>
      <c r="J210" s="355" t="s">
        <v>97</v>
      </c>
      <c r="K210" s="353">
        <f>L210/L$194</f>
        <v>0.42029269159922467</v>
      </c>
      <c r="L210" s="354">
        <f>+SUM(L198:L209)</f>
        <v>314231.14999999997</v>
      </c>
      <c r="M210" s="356"/>
      <c r="N210" s="354">
        <f>+SUM(N198:N209)</f>
        <v>-51775.235007436939</v>
      </c>
      <c r="O210" s="355" t="s">
        <v>97</v>
      </c>
      <c r="P210" s="353">
        <f>Q210/Q$194</f>
        <v>0.55947297589314282</v>
      </c>
      <c r="Q210" s="354">
        <f>+SUM(Q198:Q209)</f>
        <v>347397.93</v>
      </c>
      <c r="R210" s="356"/>
      <c r="S210" s="357">
        <f t="shared" ref="S210:S229" si="116">L210-Q210</f>
        <v>-33166.780000000028</v>
      </c>
    </row>
    <row r="211" spans="1:19" ht="15.75" customHeight="1">
      <c r="A211" s="23" t="str">
        <f t="shared" si="91"/>
        <v>ServicePublicité 2</v>
      </c>
      <c r="B211" s="184" t="s">
        <v>83</v>
      </c>
      <c r="C211" s="440" t="s">
        <v>50</v>
      </c>
      <c r="D211" s="30"/>
      <c r="F211" s="463">
        <f>+SUM(START:END!F211)</f>
        <v>29974.094056969687</v>
      </c>
      <c r="G211" s="438"/>
      <c r="H211" s="337"/>
      <c r="I211" s="339">
        <f>+SUM(START:END!I211)</f>
        <v>0</v>
      </c>
      <c r="J211" s="342"/>
      <c r="K211" s="337"/>
      <c r="L211" s="337">
        <f>+SUM(START:END!L211)</f>
        <v>24979.32</v>
      </c>
      <c r="M211" s="338"/>
      <c r="N211" s="339">
        <f t="shared" ref="N211:N225" si="117">L211-F211</f>
        <v>-4994.7740569696871</v>
      </c>
      <c r="O211" s="342"/>
      <c r="P211" s="337"/>
      <c r="Q211" s="337">
        <f>+SUM(START:END!Q211)</f>
        <v>29841.800000000003</v>
      </c>
      <c r="R211" s="338"/>
      <c r="S211" s="340">
        <f t="shared" si="116"/>
        <v>-4862.4800000000032</v>
      </c>
    </row>
    <row r="212" spans="1:19" ht="15.75" customHeight="1">
      <c r="A212" s="23" t="str">
        <f t="shared" si="91"/>
        <v>ServiceService gratuit 2</v>
      </c>
      <c r="B212" s="184" t="s">
        <v>83</v>
      </c>
      <c r="C212" s="440" t="s">
        <v>51</v>
      </c>
      <c r="D212" s="30"/>
      <c r="F212" s="463">
        <f>+SUM(START:END!F212)</f>
        <v>10266.532209971128</v>
      </c>
      <c r="G212" s="438"/>
      <c r="H212" s="337"/>
      <c r="I212" s="339">
        <f>+SUM(START:END!I212)</f>
        <v>0</v>
      </c>
      <c r="J212" s="342"/>
      <c r="K212" s="337"/>
      <c r="L212" s="337">
        <f>+SUM(START:END!L212)</f>
        <v>5815.65</v>
      </c>
      <c r="M212" s="338"/>
      <c r="N212" s="339">
        <f t="shared" si="117"/>
        <v>-4450.8822099711288</v>
      </c>
      <c r="O212" s="342"/>
      <c r="P212" s="337"/>
      <c r="Q212" s="337">
        <f>+SUM(START:END!Q212)</f>
        <v>12505.099999999989</v>
      </c>
      <c r="R212" s="338"/>
      <c r="S212" s="340">
        <f t="shared" ref="S212:S225" si="118">L212-Q212</f>
        <v>-6689.4499999999898</v>
      </c>
    </row>
    <row r="213" spans="1:19" ht="15.75" customHeight="1">
      <c r="A213" s="23" t="str">
        <f t="shared" si="91"/>
        <v>ServiceFrais véhicules de cie</v>
      </c>
      <c r="B213" s="184" t="s">
        <v>83</v>
      </c>
      <c r="C213" s="444" t="s">
        <v>52</v>
      </c>
      <c r="D213" s="34"/>
      <c r="E213" s="7"/>
      <c r="F213" s="464">
        <f>+SUM(START:END!F213)</f>
        <v>33251.218066666668</v>
      </c>
      <c r="G213" s="349"/>
      <c r="H213" s="348"/>
      <c r="I213" s="341">
        <f>+SUM(START:END!I213)</f>
        <v>0</v>
      </c>
      <c r="J213" s="349"/>
      <c r="K213" s="348"/>
      <c r="L213" s="341">
        <f>+SUM(START:END!L213)</f>
        <v>31200.21</v>
      </c>
      <c r="M213" s="350"/>
      <c r="N213" s="351">
        <f t="shared" si="117"/>
        <v>-2051.008066666669</v>
      </c>
      <c r="O213" s="349"/>
      <c r="P213" s="348"/>
      <c r="Q213" s="341">
        <f>+SUM(START:END!Q213)</f>
        <v>34687.82</v>
      </c>
      <c r="R213" s="350"/>
      <c r="S213" s="352">
        <f t="shared" si="118"/>
        <v>-3487.6100000000006</v>
      </c>
    </row>
    <row r="214" spans="1:19" ht="15.75" customHeight="1">
      <c r="A214" s="23" t="str">
        <f t="shared" si="91"/>
        <v>ServiceInformatique</v>
      </c>
      <c r="B214" s="184" t="s">
        <v>83</v>
      </c>
      <c r="C214" s="440" t="s">
        <v>53</v>
      </c>
      <c r="D214" s="30"/>
      <c r="F214" s="463">
        <f>+SUM(START:END!F214)</f>
        <v>14349.948412159998</v>
      </c>
      <c r="G214" s="438"/>
      <c r="H214" s="337"/>
      <c r="I214" s="339">
        <f>+SUM(START:END!I214)</f>
        <v>0</v>
      </c>
      <c r="J214" s="342"/>
      <c r="K214" s="337"/>
      <c r="L214" s="337">
        <f>+SUM(START:END!L214)</f>
        <v>14601.060000000001</v>
      </c>
      <c r="M214" s="338"/>
      <c r="N214" s="339">
        <f t="shared" si="117"/>
        <v>251.11158784000327</v>
      </c>
      <c r="O214" s="342"/>
      <c r="P214" s="337"/>
      <c r="Q214" s="337">
        <f>+SUM(START:END!Q214)</f>
        <v>15871.28</v>
      </c>
      <c r="R214" s="338"/>
      <c r="S214" s="340">
        <f t="shared" si="118"/>
        <v>-1270.2199999999993</v>
      </c>
    </row>
    <row r="215" spans="1:19" ht="15.75" customHeight="1">
      <c r="A215" s="23" t="str">
        <f t="shared" si="91"/>
        <v>ServiceFrais de déplacement</v>
      </c>
      <c r="B215" s="184" t="s">
        <v>83</v>
      </c>
      <c r="C215" s="440" t="s">
        <v>54</v>
      </c>
      <c r="D215" s="30"/>
      <c r="F215" s="463">
        <f>+SUM(START:END!F215)</f>
        <v>3152.6255417810712</v>
      </c>
      <c r="G215" s="438"/>
      <c r="H215" s="337"/>
      <c r="I215" s="339">
        <f>+SUM(START:END!I215)</f>
        <v>0</v>
      </c>
      <c r="J215" s="342"/>
      <c r="K215" s="337"/>
      <c r="L215" s="337">
        <f>+SUM(START:END!L215)</f>
        <v>1946.5700000000002</v>
      </c>
      <c r="M215" s="338"/>
      <c r="N215" s="339">
        <f t="shared" si="117"/>
        <v>-1206.055541781071</v>
      </c>
      <c r="O215" s="342"/>
      <c r="P215" s="337"/>
      <c r="Q215" s="337">
        <f>+SUM(START:END!Q215)</f>
        <v>3775.88</v>
      </c>
      <c r="R215" s="338"/>
      <c r="S215" s="340">
        <f t="shared" si="118"/>
        <v>-1829.31</v>
      </c>
    </row>
    <row r="216" spans="1:19" ht="15.75" customHeight="1">
      <c r="A216" s="23" t="str">
        <f t="shared" si="91"/>
        <v>ServiceServices extérieurs</v>
      </c>
      <c r="B216" s="184" t="s">
        <v>83</v>
      </c>
      <c r="C216" s="444" t="s">
        <v>55</v>
      </c>
      <c r="D216" s="34"/>
      <c r="E216" s="7"/>
      <c r="F216" s="464">
        <f>+SUM(START:END!F216)</f>
        <v>37384.695365051113</v>
      </c>
      <c r="G216" s="349"/>
      <c r="H216" s="348"/>
      <c r="I216" s="341">
        <f>+SUM(START:END!I216)</f>
        <v>0</v>
      </c>
      <c r="J216" s="349"/>
      <c r="K216" s="348"/>
      <c r="L216" s="341">
        <f>+SUM(START:END!L216)</f>
        <v>46641.45</v>
      </c>
      <c r="M216" s="350"/>
      <c r="N216" s="351">
        <f t="shared" si="117"/>
        <v>9256.7546349488839</v>
      </c>
      <c r="O216" s="349"/>
      <c r="P216" s="348"/>
      <c r="Q216" s="341">
        <f>+SUM(START:END!Q216)</f>
        <v>38451.01</v>
      </c>
      <c r="R216" s="350"/>
      <c r="S216" s="352">
        <f t="shared" si="118"/>
        <v>8190.4399999999951</v>
      </c>
    </row>
    <row r="217" spans="1:19" ht="15.75" customHeight="1">
      <c r="A217" s="23" t="str">
        <f t="shared" si="91"/>
        <v>ServiceFournitures d'atelier</v>
      </c>
      <c r="B217" s="184" t="s">
        <v>83</v>
      </c>
      <c r="C217" s="440" t="s">
        <v>98</v>
      </c>
      <c r="D217" s="30"/>
      <c r="F217" s="463">
        <f>+SUM(START:END!F217)</f>
        <v>0</v>
      </c>
      <c r="G217" s="438"/>
      <c r="H217" s="337"/>
      <c r="I217" s="339">
        <f>+SUM(START:END!I217)</f>
        <v>0</v>
      </c>
      <c r="J217" s="342"/>
      <c r="K217" s="337"/>
      <c r="L217" s="337">
        <f>+SUM(START:END!L217)</f>
        <v>0</v>
      </c>
      <c r="M217" s="338"/>
      <c r="N217" s="339">
        <f t="shared" si="117"/>
        <v>0</v>
      </c>
      <c r="O217" s="342"/>
      <c r="P217" s="337"/>
      <c r="Q217" s="337">
        <f>+SUM(START:END!Q217)</f>
        <v>0</v>
      </c>
      <c r="R217" s="338"/>
      <c r="S217" s="340">
        <f t="shared" si="118"/>
        <v>0</v>
      </c>
    </row>
    <row r="218" spans="1:19" ht="15.75" customHeight="1">
      <c r="A218" s="23" t="str">
        <f t="shared" si="91"/>
        <v>ServiceFournitures autres</v>
      </c>
      <c r="B218" s="184" t="s">
        <v>83</v>
      </c>
      <c r="C218" s="440" t="s">
        <v>56</v>
      </c>
      <c r="D218" s="30"/>
      <c r="F218" s="463">
        <f>+SUM(START:END!F218)</f>
        <v>14309.76126666667</v>
      </c>
      <c r="G218" s="438"/>
      <c r="H218" s="337"/>
      <c r="I218" s="339">
        <f>+SUM(START:END!I218)</f>
        <v>0</v>
      </c>
      <c r="J218" s="342"/>
      <c r="K218" s="337"/>
      <c r="L218" s="337">
        <f>+SUM(START:END!L218)</f>
        <v>11828.130000000001</v>
      </c>
      <c r="M218" s="338"/>
      <c r="N218" s="339">
        <f t="shared" si="117"/>
        <v>-2481.631266666669</v>
      </c>
      <c r="O218" s="342"/>
      <c r="P218" s="337"/>
      <c r="Q218" s="337">
        <f>+SUM(START:END!Q218)</f>
        <v>11561.810000000001</v>
      </c>
      <c r="R218" s="338"/>
      <c r="S218" s="340">
        <f t="shared" si="118"/>
        <v>266.31999999999971</v>
      </c>
    </row>
    <row r="219" spans="1:19" ht="15.75" customHeight="1">
      <c r="A219" s="23" t="str">
        <f t="shared" si="91"/>
        <v>ServiceUniformes</v>
      </c>
      <c r="B219" s="184" t="s">
        <v>83</v>
      </c>
      <c r="C219" s="440" t="s">
        <v>57</v>
      </c>
      <c r="D219" s="30"/>
      <c r="F219" s="463">
        <f>+SUM(START:END!F219)</f>
        <v>3661.3962203592514</v>
      </c>
      <c r="G219" s="438"/>
      <c r="H219" s="337"/>
      <c r="I219" s="339">
        <f>+SUM(START:END!I219)</f>
        <v>0</v>
      </c>
      <c r="J219" s="342"/>
      <c r="K219" s="337"/>
      <c r="L219" s="337">
        <f>+SUM(START:END!L219)</f>
        <v>2701.57</v>
      </c>
      <c r="M219" s="338"/>
      <c r="N219" s="339">
        <f t="shared" si="117"/>
        <v>-959.82622035925124</v>
      </c>
      <c r="O219" s="342"/>
      <c r="P219" s="337"/>
      <c r="Q219" s="337">
        <f>+SUM(START:END!Q219)</f>
        <v>3035.8999999999996</v>
      </c>
      <c r="R219" s="338"/>
      <c r="S219" s="340">
        <f t="shared" si="118"/>
        <v>-334.32999999999947</v>
      </c>
    </row>
    <row r="220" spans="1:19" ht="15.75" customHeight="1">
      <c r="A220" s="23" t="str">
        <f t="shared" si="91"/>
        <v>ServicePapeterie</v>
      </c>
      <c r="B220" s="184" t="s">
        <v>83</v>
      </c>
      <c r="C220" s="440" t="s">
        <v>58</v>
      </c>
      <c r="D220" s="30"/>
      <c r="F220" s="463">
        <f>+SUM(START:END!F220)</f>
        <v>2499.1624492555202</v>
      </c>
      <c r="G220" s="438"/>
      <c r="H220" s="337"/>
      <c r="I220" s="339">
        <f>+SUM(START:END!I220)</f>
        <v>0</v>
      </c>
      <c r="J220" s="342"/>
      <c r="K220" s="337"/>
      <c r="L220" s="337">
        <f>+SUM(START:END!L220)</f>
        <v>3443.36</v>
      </c>
      <c r="M220" s="338"/>
      <c r="N220" s="339">
        <f t="shared" si="117"/>
        <v>944.19755074447994</v>
      </c>
      <c r="O220" s="342"/>
      <c r="P220" s="337"/>
      <c r="Q220" s="337">
        <f>+SUM(START:END!Q220)</f>
        <v>3838.52</v>
      </c>
      <c r="R220" s="338"/>
      <c r="S220" s="340">
        <f t="shared" si="118"/>
        <v>-395.15999999999985</v>
      </c>
    </row>
    <row r="221" spans="1:19" ht="15.75" customHeight="1">
      <c r="A221" s="23" t="str">
        <f t="shared" si="91"/>
        <v>ServiceTéléphone</v>
      </c>
      <c r="B221" s="184" t="s">
        <v>83</v>
      </c>
      <c r="C221" s="440" t="s">
        <v>59</v>
      </c>
      <c r="D221" s="30"/>
      <c r="F221" s="463">
        <f>+SUM(START:END!F221)</f>
        <v>537.61350506546012</v>
      </c>
      <c r="G221" s="438"/>
      <c r="H221" s="337"/>
      <c r="I221" s="339">
        <f>+SUM(START:END!I221)</f>
        <v>0</v>
      </c>
      <c r="J221" s="342"/>
      <c r="K221" s="337"/>
      <c r="L221" s="337">
        <f>+SUM(START:END!L221)</f>
        <v>563.63</v>
      </c>
      <c r="M221" s="338"/>
      <c r="N221" s="339">
        <f t="shared" si="117"/>
        <v>26.016494934539878</v>
      </c>
      <c r="O221" s="342"/>
      <c r="P221" s="337"/>
      <c r="Q221" s="337">
        <f>+SUM(START:END!Q221)</f>
        <v>456.21000000000004</v>
      </c>
      <c r="R221" s="338"/>
      <c r="S221" s="340">
        <f t="shared" si="118"/>
        <v>107.41999999999996</v>
      </c>
    </row>
    <row r="222" spans="1:19" ht="15.75" customHeight="1">
      <c r="A222" s="23" t="str">
        <f t="shared" si="91"/>
        <v>ServiceFrais postaux</v>
      </c>
      <c r="B222" s="184" t="s">
        <v>83</v>
      </c>
      <c r="C222" s="440" t="s">
        <v>60</v>
      </c>
      <c r="D222" s="30"/>
      <c r="F222" s="463">
        <f>+SUM(START:END!F222)</f>
        <v>278.37171382893996</v>
      </c>
      <c r="G222" s="438"/>
      <c r="H222" s="337"/>
      <c r="I222" s="339">
        <f>+SUM(START:END!I222)</f>
        <v>0</v>
      </c>
      <c r="J222" s="342"/>
      <c r="K222" s="337"/>
      <c r="L222" s="337">
        <f>+SUM(START:END!L222)</f>
        <v>158.21</v>
      </c>
      <c r="M222" s="338"/>
      <c r="N222" s="339">
        <f t="shared" si="117"/>
        <v>-120.16171382893995</v>
      </c>
      <c r="O222" s="342"/>
      <c r="P222" s="337"/>
      <c r="Q222" s="337">
        <f>+SUM(START:END!Q222)</f>
        <v>71.259999999999991</v>
      </c>
      <c r="R222" s="338"/>
      <c r="S222" s="340">
        <f t="shared" si="118"/>
        <v>86.950000000000017</v>
      </c>
    </row>
    <row r="223" spans="1:19" ht="15.75" customHeight="1">
      <c r="A223" s="23" t="str">
        <f t="shared" si="91"/>
        <v>ServiceDivers</v>
      </c>
      <c r="B223" s="184" t="s">
        <v>83</v>
      </c>
      <c r="C223" s="440" t="s">
        <v>61</v>
      </c>
      <c r="D223" s="30"/>
      <c r="F223" s="463">
        <f>+SUM(START:END!F223)</f>
        <v>457.35285562785998</v>
      </c>
      <c r="G223" s="438"/>
      <c r="H223" s="337"/>
      <c r="I223" s="339">
        <f>+SUM(START:END!I223)</f>
        <v>0</v>
      </c>
      <c r="J223" s="342"/>
      <c r="K223" s="337"/>
      <c r="L223" s="337">
        <f>+SUM(START:END!L223)</f>
        <v>195.12</v>
      </c>
      <c r="M223" s="338"/>
      <c r="N223" s="339">
        <f t="shared" si="117"/>
        <v>-262.23285562785998</v>
      </c>
      <c r="O223" s="342"/>
      <c r="P223" s="337"/>
      <c r="Q223" s="337">
        <f>+SUM(START:END!Q223)</f>
        <v>294.73</v>
      </c>
      <c r="R223" s="338"/>
      <c r="S223" s="340">
        <f t="shared" si="118"/>
        <v>-99.610000000000014</v>
      </c>
    </row>
    <row r="224" spans="1:19" ht="15.75" customHeight="1">
      <c r="A224" s="23" t="str">
        <f t="shared" si="91"/>
        <v>ServiceFormation</v>
      </c>
      <c r="B224" s="184" t="s">
        <v>83</v>
      </c>
      <c r="C224" s="440" t="s">
        <v>62</v>
      </c>
      <c r="D224" s="30"/>
      <c r="F224" s="463">
        <f>+SUM(START:END!F224)</f>
        <v>9199.5401965574583</v>
      </c>
      <c r="G224" s="438"/>
      <c r="H224" s="337"/>
      <c r="I224" s="339">
        <f>+SUM(START:END!I224)</f>
        <v>0</v>
      </c>
      <c r="J224" s="342"/>
      <c r="K224" s="337"/>
      <c r="L224" s="337">
        <f>+SUM(START:END!L224)</f>
        <v>2160.34</v>
      </c>
      <c r="M224" s="338"/>
      <c r="N224" s="339">
        <f t="shared" si="117"/>
        <v>-7039.2001965574582</v>
      </c>
      <c r="O224" s="342"/>
      <c r="P224" s="337"/>
      <c r="Q224" s="337">
        <f>+SUM(START:END!Q224)</f>
        <v>5967.05</v>
      </c>
      <c r="R224" s="338"/>
      <c r="S224" s="340">
        <f t="shared" si="118"/>
        <v>-3806.71</v>
      </c>
    </row>
    <row r="225" spans="1:40" ht="15.75" customHeight="1">
      <c r="A225" s="23" t="str">
        <f t="shared" si="91"/>
        <v>ServiceFrais bancaires</v>
      </c>
      <c r="B225" s="184" t="s">
        <v>83</v>
      </c>
      <c r="C225" s="440" t="s">
        <v>63</v>
      </c>
      <c r="D225" s="30"/>
      <c r="F225" s="463">
        <f>+SUM(START:END!F225)</f>
        <v>5612.6172740901666</v>
      </c>
      <c r="G225" s="438"/>
      <c r="H225" s="337"/>
      <c r="I225" s="339">
        <f>+SUM(START:END!I225)</f>
        <v>0</v>
      </c>
      <c r="J225" s="342"/>
      <c r="K225" s="337"/>
      <c r="L225" s="337">
        <f>+SUM(START:END!L225)</f>
        <v>5967.67</v>
      </c>
      <c r="M225" s="338"/>
      <c r="N225" s="339">
        <f t="shared" si="117"/>
        <v>355.0527259098335</v>
      </c>
      <c r="O225" s="342"/>
      <c r="P225" s="337"/>
      <c r="Q225" s="337">
        <f>+SUM(START:END!Q225)</f>
        <v>5281.08</v>
      </c>
      <c r="R225" s="338"/>
      <c r="S225" s="340">
        <f t="shared" si="118"/>
        <v>686.59000000000015</v>
      </c>
    </row>
    <row r="226" spans="1:40" ht="15.75" hidden="1" customHeight="1">
      <c r="A226" s="23" t="str">
        <f t="shared" si="91"/>
        <v>Service[...]</v>
      </c>
      <c r="B226" s="184" t="s">
        <v>83</v>
      </c>
      <c r="C226" s="440" t="s">
        <v>20</v>
      </c>
      <c r="D226" s="30"/>
      <c r="F226" s="468">
        <f>+SUM(START:END!F226)</f>
        <v>0</v>
      </c>
      <c r="G226" s="30"/>
      <c r="I226" s="201">
        <f>+SUM(START:END!I226)</f>
        <v>0</v>
      </c>
      <c r="J226" s="30"/>
      <c r="L226" s="198">
        <f>+SUM(START:END!L226)</f>
        <v>0</v>
      </c>
      <c r="M226" s="152"/>
      <c r="N226" s="222">
        <f t="shared" ref="N226:N228" si="119">L226-I226</f>
        <v>0</v>
      </c>
      <c r="O226" s="30"/>
      <c r="Q226" s="198">
        <f>+SUM(START:END!Q226)</f>
        <v>0</v>
      </c>
      <c r="R226" s="152"/>
      <c r="S226" s="242">
        <f t="shared" ref="S226:S228" si="120">L226-Q226</f>
        <v>0</v>
      </c>
    </row>
    <row r="227" spans="1:40" ht="15.75" hidden="1" customHeight="1">
      <c r="B227" s="184" t="s">
        <v>83</v>
      </c>
      <c r="C227" s="440" t="s">
        <v>20</v>
      </c>
      <c r="D227" s="30"/>
      <c r="F227" s="468">
        <f>+SUM(START:END!F227)</f>
        <v>0</v>
      </c>
      <c r="G227" s="30"/>
      <c r="I227" s="201">
        <f>+SUM(START:END!I227)</f>
        <v>0</v>
      </c>
      <c r="J227" s="30"/>
      <c r="L227" s="198">
        <f>+SUM(START:END!L227)</f>
        <v>0</v>
      </c>
      <c r="M227" s="152"/>
      <c r="N227" s="222">
        <f t="shared" si="119"/>
        <v>0</v>
      </c>
      <c r="O227" s="30"/>
      <c r="Q227" s="198">
        <f>+SUM(START:END!Q227)</f>
        <v>0</v>
      </c>
      <c r="R227" s="152"/>
      <c r="S227" s="242">
        <f t="shared" si="120"/>
        <v>0</v>
      </c>
    </row>
    <row r="228" spans="1:40" ht="15.75" hidden="1" customHeight="1">
      <c r="A228" s="23" t="str">
        <f t="shared" si="91"/>
        <v>Service[...]</v>
      </c>
      <c r="B228" s="184" t="s">
        <v>83</v>
      </c>
      <c r="C228" s="440" t="s">
        <v>20</v>
      </c>
      <c r="D228" s="30"/>
      <c r="F228" s="468">
        <f>+SUM(START:END!F228)</f>
        <v>0</v>
      </c>
      <c r="G228" s="30"/>
      <c r="I228" s="201">
        <f>+SUM(START:END!I228)</f>
        <v>0</v>
      </c>
      <c r="J228" s="30"/>
      <c r="L228" s="198">
        <f>+SUM(START:END!L228)</f>
        <v>0</v>
      </c>
      <c r="M228" s="152"/>
      <c r="N228" s="222">
        <f t="shared" si="119"/>
        <v>0</v>
      </c>
      <c r="O228" s="30"/>
      <c r="Q228" s="198">
        <f>+SUM(START:END!Q228)</f>
        <v>0</v>
      </c>
      <c r="R228" s="152"/>
      <c r="S228" s="242">
        <f t="shared" si="120"/>
        <v>0</v>
      </c>
    </row>
    <row r="229" spans="1:40" ht="15.75" customHeight="1">
      <c r="B229" s="184"/>
      <c r="C229" s="466" t="s">
        <v>64</v>
      </c>
      <c r="D229" s="250" t="s">
        <v>97</v>
      </c>
      <c r="E229" s="42">
        <f>F229/F$194</f>
        <v>0.26208433783661883</v>
      </c>
      <c r="F229" s="469">
        <f>+SUM(F211:F228)</f>
        <v>164934.92913405102</v>
      </c>
      <c r="G229" s="250" t="s">
        <v>97</v>
      </c>
      <c r="H229" s="42" t="e">
        <f>I229/I$194</f>
        <v>#DIV/0!</v>
      </c>
      <c r="I229" s="251">
        <f>+SUM(I211:I228)</f>
        <v>0</v>
      </c>
      <c r="J229" s="250" t="s">
        <v>97</v>
      </c>
      <c r="K229" s="42">
        <f>L229/L$194</f>
        <v>0.20357469376179213</v>
      </c>
      <c r="L229" s="251">
        <f>+SUM(L211:L228)</f>
        <v>152202.29</v>
      </c>
      <c r="M229" s="254"/>
      <c r="N229" s="251">
        <f>+SUM(N211:N228)</f>
        <v>-12732.639134050991</v>
      </c>
      <c r="O229" s="252" t="s">
        <v>97</v>
      </c>
      <c r="P229" s="42">
        <f>Q229/Q$194</f>
        <v>0.26675690329186313</v>
      </c>
      <c r="Q229" s="251">
        <f>+SUM(Q211:Q228)</f>
        <v>165639.44999999998</v>
      </c>
      <c r="R229" s="254"/>
      <c r="S229" s="255">
        <f t="shared" si="116"/>
        <v>-13437.159999999974</v>
      </c>
    </row>
    <row r="230" spans="1:40" ht="15.75" customHeight="1">
      <c r="B230" s="184"/>
      <c r="C230" s="444"/>
      <c r="D230" s="34"/>
      <c r="E230" s="7"/>
      <c r="F230" s="470"/>
      <c r="G230" s="34"/>
      <c r="H230" s="7"/>
      <c r="I230" s="222"/>
      <c r="J230" s="7"/>
      <c r="K230" s="7"/>
      <c r="L230" s="247"/>
      <c r="M230" s="153"/>
      <c r="N230" s="247"/>
      <c r="O230" s="153"/>
      <c r="P230" s="7"/>
      <c r="Q230" s="247"/>
      <c r="R230" s="153"/>
      <c r="S230" s="248"/>
    </row>
    <row r="231" spans="1:40" ht="15.75" customHeight="1">
      <c r="B231" s="184"/>
      <c r="C231" s="466" t="s">
        <v>65</v>
      </c>
      <c r="D231" s="250" t="s">
        <v>39</v>
      </c>
      <c r="E231" s="42">
        <f>F231/F$194</f>
        <v>0.8436745538222572</v>
      </c>
      <c r="F231" s="469">
        <f>F210+F229</f>
        <v>530941.31414148794</v>
      </c>
      <c r="G231" s="250" t="s">
        <v>39</v>
      </c>
      <c r="H231" s="42" t="e">
        <f>I231/I$194</f>
        <v>#DIV/0!</v>
      </c>
      <c r="I231" s="251">
        <f>I210+I229</f>
        <v>0</v>
      </c>
      <c r="J231" s="250" t="s">
        <v>39</v>
      </c>
      <c r="K231" s="42">
        <f>L231/L$194</f>
        <v>0.62386738536101671</v>
      </c>
      <c r="L231" s="251">
        <f>L210+L229</f>
        <v>466433.43999999994</v>
      </c>
      <c r="M231" s="254"/>
      <c r="N231" s="251">
        <f>N210+N229</f>
        <v>-64507.874141487933</v>
      </c>
      <c r="O231" s="252" t="s">
        <v>39</v>
      </c>
      <c r="P231" s="42">
        <f>Q231/Q$194</f>
        <v>0.82622987918500601</v>
      </c>
      <c r="Q231" s="251">
        <f>Q210+Q229</f>
        <v>513037.38</v>
      </c>
      <c r="R231" s="254"/>
      <c r="S231" s="260">
        <f>L231-Q231</f>
        <v>-46603.940000000061</v>
      </c>
    </row>
    <row r="232" spans="1:40" ht="15.75" customHeight="1">
      <c r="B232" s="184"/>
      <c r="C232" s="440"/>
      <c r="D232" s="30"/>
      <c r="F232" s="442"/>
      <c r="G232" s="30"/>
      <c r="I232" s="222"/>
      <c r="L232" s="222"/>
      <c r="M232" s="152"/>
      <c r="N232" s="222"/>
      <c r="O232" s="152"/>
      <c r="Q232" s="222"/>
      <c r="R232" s="152"/>
      <c r="S232" s="242"/>
    </row>
    <row r="233" spans="1:40" ht="15.75" customHeight="1" thickBot="1">
      <c r="B233" s="184"/>
      <c r="C233" s="471" t="s">
        <v>72</v>
      </c>
      <c r="D233" s="472"/>
      <c r="E233" s="473"/>
      <c r="F233" s="474">
        <f>F194-F231</f>
        <v>98378.737928430317</v>
      </c>
      <c r="G233" s="291"/>
      <c r="H233" s="271"/>
      <c r="I233" s="273">
        <f>I194-I231</f>
        <v>0</v>
      </c>
      <c r="J233" s="272"/>
      <c r="K233" s="272"/>
      <c r="L233" s="273">
        <f>L194-L231</f>
        <v>281214.94000000018</v>
      </c>
      <c r="M233" s="293"/>
      <c r="N233" s="273">
        <f>N194-N231</f>
        <v>182836.2020715696</v>
      </c>
      <c r="O233" s="293"/>
      <c r="P233" s="272"/>
      <c r="Q233" s="273">
        <f>Q194-Q231</f>
        <v>107900.43999999878</v>
      </c>
      <c r="R233" s="293"/>
      <c r="S233" s="275">
        <f>L233-Q233</f>
        <v>173314.5000000014</v>
      </c>
    </row>
    <row r="234" spans="1:40" ht="15.75" customHeight="1">
      <c r="B234" s="184"/>
      <c r="F234" s="26" t="e">
        <f>+F233-#REF!-#REF!-#REF!</f>
        <v>#REF!</v>
      </c>
      <c r="L234" s="26" t="e">
        <f>+L233-#REF!-#REF!-#REF!</f>
        <v>#REF!</v>
      </c>
      <c r="M234" s="26"/>
      <c r="N234" s="26" t="e">
        <f>+N233-#REF!-#REF!-#REF!</f>
        <v>#REF!</v>
      </c>
      <c r="O234" s="26"/>
      <c r="Q234" s="26" t="e">
        <f>+Q233-#REF!-#REF!-#REF!</f>
        <v>#REF!</v>
      </c>
      <c r="S234" s="26" t="e">
        <f>+S233-#REF!-#REF!-#REF!</f>
        <v>#REF!</v>
      </c>
    </row>
    <row r="235" spans="1:40" ht="15.75" customHeight="1">
      <c r="B235" s="184"/>
      <c r="L235" s="26"/>
      <c r="M235" s="26"/>
      <c r="O235" s="26"/>
      <c r="Q235" s="26"/>
    </row>
    <row r="236" spans="1:40" ht="33" customHeight="1">
      <c r="B236" s="184"/>
      <c r="C236" s="73" t="str">
        <f>C1</f>
        <v>Conso</v>
      </c>
      <c r="D236" s="6"/>
      <c r="E236" s="6"/>
      <c r="F236" s="6"/>
      <c r="G236" s="6"/>
      <c r="H236" s="177"/>
      <c r="I236" s="177"/>
      <c r="J236" s="177"/>
      <c r="K236" s="178" t="s">
        <v>99</v>
      </c>
      <c r="L236" s="6"/>
      <c r="M236" s="6"/>
      <c r="N236" s="177"/>
      <c r="O236" s="177"/>
      <c r="P236" s="6"/>
      <c r="Q236" s="177"/>
      <c r="R236" s="6"/>
      <c r="S236" s="180" t="str">
        <f>$S$1</f>
        <v xml:space="preserve">Réalisé  </v>
      </c>
      <c r="T236" s="6"/>
      <c r="U236" s="73"/>
    </row>
    <row r="237" spans="1:40" ht="24" customHeight="1" thickBot="1">
      <c r="B237" s="184"/>
      <c r="C237" s="182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  <c r="AI237" s="73"/>
      <c r="AJ237" s="73"/>
      <c r="AK237" s="73"/>
      <c r="AL237" s="73"/>
      <c r="AM237" s="73"/>
      <c r="AN237" s="73"/>
    </row>
    <row r="238" spans="1:40" ht="15.75" customHeight="1" thickTop="1">
      <c r="B238" s="184"/>
      <c r="C238" s="185"/>
      <c r="D238" s="864" t="s">
        <v>5</v>
      </c>
      <c r="E238" s="865"/>
      <c r="F238" s="865"/>
      <c r="G238" s="871" t="s">
        <v>74</v>
      </c>
      <c r="H238" s="865"/>
      <c r="I238" s="866"/>
      <c r="J238" s="867" t="s">
        <v>7</v>
      </c>
      <c r="K238" s="865"/>
      <c r="L238" s="866"/>
      <c r="M238" s="867" t="s">
        <v>9</v>
      </c>
      <c r="N238" s="866"/>
      <c r="O238" s="864" t="s">
        <v>8</v>
      </c>
      <c r="P238" s="865"/>
      <c r="Q238" s="866"/>
      <c r="R238" s="867" t="s">
        <v>217</v>
      </c>
      <c r="S238" s="868"/>
      <c r="T238" s="176"/>
    </row>
    <row r="239" spans="1:40" ht="15.75" customHeight="1">
      <c r="A239" s="23" t="str">
        <f t="shared" ref="A239:A284" si="121">+B239&amp;C239</f>
        <v>Carrosserie</v>
      </c>
      <c r="B239" s="184" t="s">
        <v>99</v>
      </c>
      <c r="C239" s="1"/>
      <c r="D239" s="175" t="s">
        <v>40</v>
      </c>
      <c r="E239" s="175" t="s">
        <v>84</v>
      </c>
      <c r="F239" s="175" t="s">
        <v>12</v>
      </c>
      <c r="G239" s="294" t="s">
        <v>40</v>
      </c>
      <c r="H239" s="175" t="s">
        <v>84</v>
      </c>
      <c r="I239" s="277" t="s">
        <v>12</v>
      </c>
      <c r="J239" s="278" t="s">
        <v>40</v>
      </c>
      <c r="K239" s="175" t="s">
        <v>84</v>
      </c>
      <c r="L239" s="277" t="s">
        <v>12</v>
      </c>
      <c r="M239" s="278" t="s">
        <v>40</v>
      </c>
      <c r="N239" s="277" t="s">
        <v>12</v>
      </c>
      <c r="O239" s="175" t="s">
        <v>40</v>
      </c>
      <c r="P239" s="175" t="s">
        <v>84</v>
      </c>
      <c r="Q239" s="277" t="s">
        <v>12</v>
      </c>
      <c r="R239" s="278" t="s">
        <v>85</v>
      </c>
      <c r="S239" s="279" t="s">
        <v>12</v>
      </c>
      <c r="T239" s="175"/>
    </row>
    <row r="240" spans="1:40" ht="15.75" customHeight="1">
      <c r="A240" s="23" t="str">
        <f t="shared" si="121"/>
        <v>Carrosserie</v>
      </c>
      <c r="B240" s="184" t="s">
        <v>99</v>
      </c>
      <c r="C240" s="1"/>
      <c r="D240" s="175"/>
      <c r="E240" s="175"/>
      <c r="F240" s="175"/>
      <c r="G240" s="278"/>
      <c r="H240" s="175"/>
      <c r="I240" s="175"/>
      <c r="J240" s="278"/>
      <c r="K240" s="198"/>
      <c r="L240" s="201"/>
      <c r="M240" s="278"/>
      <c r="N240" s="277"/>
      <c r="O240" s="175"/>
      <c r="P240" s="175"/>
      <c r="Q240" s="277"/>
      <c r="R240" s="278"/>
      <c r="S240" s="279"/>
      <c r="T240" s="175"/>
      <c r="V240" s="198"/>
      <c r="W240" s="198"/>
      <c r="X240" s="198"/>
      <c r="Y240" s="198"/>
    </row>
    <row r="241" spans="1:25" ht="15.75" customHeight="1">
      <c r="A241" s="23" t="str">
        <f t="shared" si="121"/>
        <v>CarrosserieM/O Sous-traitement</v>
      </c>
      <c r="B241" s="184" t="s">
        <v>99</v>
      </c>
      <c r="C241" s="1" t="s">
        <v>100</v>
      </c>
      <c r="D241" s="359">
        <f>+SUM(START:END!D241)</f>
        <v>0</v>
      </c>
      <c r="E241" s="26">
        <f>+SUM(START:END!E241)</f>
        <v>156000</v>
      </c>
      <c r="F241" s="26">
        <f>+SUM(START:END!F241)</f>
        <v>34320</v>
      </c>
      <c r="G241" s="360">
        <f>+SUM(START:END!G241)</f>
        <v>0</v>
      </c>
      <c r="H241" s="26">
        <f>+SUM(START:END!H241)</f>
        <v>0</v>
      </c>
      <c r="I241" s="26">
        <f>+SUM(START:END!I241)</f>
        <v>0</v>
      </c>
      <c r="J241" s="223">
        <f>+SUM(START:END!J241)</f>
        <v>70</v>
      </c>
      <c r="K241" s="198">
        <f>+SUM(START:END!K241)</f>
        <v>235161.61</v>
      </c>
      <c r="L241" s="201">
        <f>+SUM(START:END!L241)</f>
        <v>35686.589999999997</v>
      </c>
      <c r="M241" s="296">
        <f>IFERROR((K241-E241)/E241,0)</f>
        <v>0.5074462179487178</v>
      </c>
      <c r="N241" s="222">
        <f t="shared" ref="N241:N242" si="122">L241-F241</f>
        <v>1366.5899999999965</v>
      </c>
      <c r="O241" s="223">
        <f>+SUM(START:END!O241)</f>
        <v>7</v>
      </c>
      <c r="P241" s="198">
        <f>+SUM(START:END!P241)</f>
        <v>17554.4399999999</v>
      </c>
      <c r="Q241" s="201">
        <f>+SUM(START:END!Q241)</f>
        <v>6154.6799999999903</v>
      </c>
      <c r="R241" s="296">
        <f>IF(O241=0,0,J241/O241)</f>
        <v>10</v>
      </c>
      <c r="S241" s="242">
        <f>L241-Q241</f>
        <v>29531.910000000007</v>
      </c>
      <c r="T241" s="175"/>
      <c r="V241" s="198"/>
      <c r="W241" s="198"/>
      <c r="X241" s="198"/>
      <c r="Y241" s="198"/>
    </row>
    <row r="242" spans="1:25" ht="15.75" customHeight="1">
      <c r="A242" s="23" t="str">
        <f t="shared" si="121"/>
        <v>Carrosserie% profit / ventes</v>
      </c>
      <c r="B242" s="184" t="s">
        <v>99</v>
      </c>
      <c r="C242" s="1" t="s">
        <v>87</v>
      </c>
      <c r="D242" s="175"/>
      <c r="E242" s="31"/>
      <c r="F242" s="27">
        <f>IFERROR(F241/E241,0)</f>
        <v>0.22</v>
      </c>
      <c r="G242" s="278"/>
      <c r="H242" s="31"/>
      <c r="I242" s="27">
        <f>IFERROR(I241/H241,0)</f>
        <v>0</v>
      </c>
      <c r="J242" s="223"/>
      <c r="L242" s="157">
        <f>IFERROR(L241/K241,0)</f>
        <v>0.15175346860399536</v>
      </c>
      <c r="M242" s="296"/>
      <c r="N242" s="222">
        <f t="shared" si="122"/>
        <v>-6.8246531396004645E-2</v>
      </c>
      <c r="O242" s="223"/>
      <c r="Q242" s="157">
        <f>IFERROR(Q241/P241,0)</f>
        <v>0.35060531694545799</v>
      </c>
      <c r="R242" s="223"/>
      <c r="S242" s="242">
        <f>IFERROR(S241/R241,0)</f>
        <v>2953.1910000000007</v>
      </c>
      <c r="T242" s="175"/>
    </row>
    <row r="243" spans="1:25" ht="15.75" customHeight="1">
      <c r="A243" s="23" t="str">
        <f t="shared" si="121"/>
        <v>Carrosserie</v>
      </c>
      <c r="B243" s="184" t="s">
        <v>99</v>
      </c>
      <c r="C243" s="1"/>
      <c r="D243" s="175"/>
      <c r="E243" s="361"/>
      <c r="F243" s="361"/>
      <c r="G243" s="278"/>
      <c r="H243" s="361"/>
      <c r="I243" s="361"/>
      <c r="J243" s="278"/>
      <c r="K243" s="175"/>
      <c r="L243" s="277"/>
      <c r="M243" s="278"/>
      <c r="N243" s="277"/>
      <c r="O243" s="278"/>
      <c r="P243" s="175"/>
      <c r="Q243" s="277"/>
      <c r="R243" s="362"/>
      <c r="S243" s="279"/>
      <c r="T243" s="175"/>
    </row>
    <row r="244" spans="1:25" ht="15.75" customHeight="1">
      <c r="A244" s="23" t="str">
        <f t="shared" si="121"/>
        <v>CarrosserieM/O Carrosserie</v>
      </c>
      <c r="B244" s="184" t="s">
        <v>99</v>
      </c>
      <c r="C244" s="3" t="s">
        <v>101</v>
      </c>
      <c r="D244" s="308">
        <f>+SUM(START:END!D244)</f>
        <v>0</v>
      </c>
      <c r="E244" s="26">
        <f>+SUM(START:END!E244)</f>
        <v>0</v>
      </c>
      <c r="F244" s="26">
        <f>+SUM(START:END!F244)</f>
        <v>0</v>
      </c>
      <c r="G244" s="309">
        <f>+SUM(START:END!G244)</f>
        <v>0</v>
      </c>
      <c r="H244" s="26">
        <f>+SUM(START:END!H244)</f>
        <v>0</v>
      </c>
      <c r="I244" s="26">
        <f>+SUM(START:END!I244)</f>
        <v>0</v>
      </c>
      <c r="J244" s="299">
        <f>+SUM(START:END!J244)</f>
        <v>0</v>
      </c>
      <c r="K244" s="363">
        <f>+SUM(START:END!K244)</f>
        <v>0</v>
      </c>
      <c r="L244" s="257">
        <f>+SUM(START:END!L244)</f>
        <v>0</v>
      </c>
      <c r="M244" s="310">
        <f>IFERROR((K244-E244)/E244,0)</f>
        <v>0</v>
      </c>
      <c r="N244" s="258">
        <f t="shared" ref="N244" si="123">L244-F244</f>
        <v>0</v>
      </c>
      <c r="O244" s="299">
        <f>+SUM(START:END!O244)</f>
        <v>0</v>
      </c>
      <c r="P244" s="363">
        <f>+SUM(START:END!P244)</f>
        <v>0</v>
      </c>
      <c r="Q244" s="257">
        <f>+SUM(START:END!Q244)</f>
        <v>0</v>
      </c>
      <c r="R244" s="296">
        <f>IF(O244=0,0,J244/O244)</f>
        <v>0</v>
      </c>
      <c r="S244" s="259">
        <f>L244-Q244</f>
        <v>0</v>
      </c>
      <c r="T244" s="27"/>
      <c r="V244" s="198"/>
      <c r="W244" s="198"/>
      <c r="X244" s="198"/>
      <c r="Y244" s="198"/>
    </row>
    <row r="245" spans="1:25" ht="15.75" customHeight="1">
      <c r="A245" s="23" t="str">
        <f t="shared" si="121"/>
        <v>Carrosserie% profit / ventes</v>
      </c>
      <c r="B245" s="184" t="s">
        <v>99</v>
      </c>
      <c r="C245" s="1" t="s">
        <v>87</v>
      </c>
      <c r="E245" s="31"/>
      <c r="F245" s="27" t="e">
        <f>F244/E244</f>
        <v>#DIV/0!</v>
      </c>
      <c r="G245" s="152"/>
      <c r="H245" s="31"/>
      <c r="I245" s="27" t="e">
        <f>I244/H244</f>
        <v>#DIV/0!</v>
      </c>
      <c r="J245" s="223"/>
      <c r="L245" s="157">
        <f>IFERROR(L244/K244,0)</f>
        <v>0</v>
      </c>
      <c r="M245" s="296"/>
      <c r="N245" s="222" t="e">
        <f>N244/F244</f>
        <v>#DIV/0!</v>
      </c>
      <c r="O245" s="223"/>
      <c r="Q245" s="157">
        <f>IFERROR(Q244/P244,0)</f>
        <v>0</v>
      </c>
      <c r="R245" s="223"/>
      <c r="S245" s="242">
        <f>IF(Q244=0,0,S244/Q244)</f>
        <v>0</v>
      </c>
      <c r="T245" s="27"/>
    </row>
    <row r="246" spans="1:25" ht="15.75" customHeight="1">
      <c r="A246" s="23" t="str">
        <f t="shared" si="121"/>
        <v>Carrosserie</v>
      </c>
      <c r="B246" s="184" t="s">
        <v>99</v>
      </c>
      <c r="C246" s="2"/>
      <c r="D246" s="7"/>
      <c r="E246" s="35"/>
      <c r="F246" s="11"/>
      <c r="G246" s="153"/>
      <c r="H246" s="35"/>
      <c r="I246" s="11"/>
      <c r="J246" s="298"/>
      <c r="K246" s="364"/>
      <c r="L246" s="155"/>
      <c r="M246" s="297"/>
      <c r="N246" s="247"/>
      <c r="O246" s="298"/>
      <c r="P246" s="364"/>
      <c r="Q246" s="155"/>
      <c r="R246" s="298"/>
      <c r="S246" s="248"/>
      <c r="T246" s="27"/>
    </row>
    <row r="247" spans="1:25" ht="15.75" customHeight="1">
      <c r="A247" s="23" t="str">
        <f t="shared" si="121"/>
        <v>CarrosserieM/O Esthétique Carr.</v>
      </c>
      <c r="B247" s="184" t="s">
        <v>99</v>
      </c>
      <c r="C247" s="3" t="s">
        <v>102</v>
      </c>
      <c r="D247" s="57">
        <f>+SUM(START:END!D247)</f>
        <v>0</v>
      </c>
      <c r="E247" s="26">
        <f>+SUM(START:END!E247)</f>
        <v>0</v>
      </c>
      <c r="F247" s="26">
        <f>+SUM(START:END!F247)</f>
        <v>0</v>
      </c>
      <c r="G247" s="299">
        <f>+SUM(START:END!G247)</f>
        <v>0</v>
      </c>
      <c r="H247" s="26">
        <f>+SUM(START:END!H247)</f>
        <v>0</v>
      </c>
      <c r="I247" s="26">
        <f>+SUM(START:END!I247)</f>
        <v>0</v>
      </c>
      <c r="J247" s="299">
        <f>+SUM(START:END!J247)</f>
        <v>0</v>
      </c>
      <c r="K247" s="198">
        <f>+SUM(START:END!K247)</f>
        <v>0</v>
      </c>
      <c r="L247" s="201">
        <f>+SUM(START:END!L247)</f>
        <v>0</v>
      </c>
      <c r="M247" s="296">
        <f>IFERROR((K247-E247)/E247,0)</f>
        <v>0</v>
      </c>
      <c r="N247" s="258">
        <f t="shared" ref="N247" si="124">L247-F247</f>
        <v>0</v>
      </c>
      <c r="O247" s="299">
        <f>+SUM(START:END!O247)</f>
        <v>0</v>
      </c>
      <c r="P247" s="198">
        <f>+SUM(START:END!P247)</f>
        <v>0</v>
      </c>
      <c r="Q247" s="201">
        <f>+SUM(START:END!Q247)</f>
        <v>0</v>
      </c>
      <c r="R247" s="296">
        <f>IF(O247=0,0,J247/O247)</f>
        <v>0</v>
      </c>
      <c r="S247" s="242">
        <f>L247-Q247</f>
        <v>0</v>
      </c>
      <c r="T247" s="27"/>
      <c r="V247" s="198"/>
      <c r="W247" s="198"/>
      <c r="X247" s="198"/>
      <c r="Y247" s="198"/>
    </row>
    <row r="248" spans="1:25" ht="15.75" customHeight="1">
      <c r="A248" s="23" t="str">
        <f t="shared" si="121"/>
        <v>Carrosserie% profit / ventes</v>
      </c>
      <c r="B248" s="184" t="s">
        <v>99</v>
      </c>
      <c r="C248" s="1" t="s">
        <v>87</v>
      </c>
      <c r="F248" s="27" t="e">
        <f>F247/E247</f>
        <v>#DIV/0!</v>
      </c>
      <c r="G248" s="152"/>
      <c r="I248" s="27" t="e">
        <f>I247/H247</f>
        <v>#DIV/0!</v>
      </c>
      <c r="J248" s="152"/>
      <c r="L248" s="157">
        <f>IFERROR(L247/K247,0)</f>
        <v>0</v>
      </c>
      <c r="M248" s="170"/>
      <c r="N248" s="171" t="e">
        <f>N247/F247</f>
        <v>#DIV/0!</v>
      </c>
      <c r="O248" s="152"/>
      <c r="Q248" s="157">
        <f>IFERROR(Q247/P247,0)</f>
        <v>0</v>
      </c>
      <c r="R248" s="170"/>
      <c r="S248" s="209">
        <f>IF(Q247=0,0,S247/Q247)</f>
        <v>0</v>
      </c>
      <c r="T248" s="27"/>
    </row>
    <row r="249" spans="1:25" ht="15.75" customHeight="1" thickBot="1">
      <c r="A249" s="23" t="str">
        <f t="shared" si="121"/>
        <v>Carrosserie</v>
      </c>
      <c r="B249" s="184" t="s">
        <v>99</v>
      </c>
      <c r="C249" s="1"/>
      <c r="F249" s="27"/>
      <c r="G249" s="152"/>
      <c r="I249" s="27"/>
      <c r="J249" s="152"/>
      <c r="L249" s="157"/>
      <c r="M249" s="170"/>
      <c r="N249" s="171"/>
      <c r="O249" s="152"/>
      <c r="Q249" s="157"/>
      <c r="R249" s="170"/>
      <c r="S249" s="209"/>
      <c r="T249" s="27"/>
    </row>
    <row r="250" spans="1:25" ht="15.75" customHeight="1" thickTop="1">
      <c r="A250" s="23" t="str">
        <f t="shared" si="121"/>
        <v>CarrosserieTotal Mécanique</v>
      </c>
      <c r="B250" s="184" t="s">
        <v>99</v>
      </c>
      <c r="C250" s="225" t="s">
        <v>96</v>
      </c>
      <c r="D250" s="226"/>
      <c r="E250" s="226">
        <f t="shared" ref="E250:F250" si="125">E244+E247+E241</f>
        <v>156000</v>
      </c>
      <c r="F250" s="226">
        <f t="shared" si="125"/>
        <v>34320</v>
      </c>
      <c r="G250" s="229"/>
      <c r="H250" s="226">
        <f t="shared" ref="H250:I250" si="126">H244+H247+H241</f>
        <v>0</v>
      </c>
      <c r="I250" s="226">
        <f t="shared" si="126"/>
        <v>0</v>
      </c>
      <c r="J250" s="229"/>
      <c r="K250" s="226">
        <f t="shared" ref="K250:N250" si="127">K244+K247+K241</f>
        <v>235161.61</v>
      </c>
      <c r="L250" s="228">
        <f t="shared" si="127"/>
        <v>35686.589999999997</v>
      </c>
      <c r="M250" s="335">
        <f>L251-F251</f>
        <v>-6.8246531396004645E-2</v>
      </c>
      <c r="N250" s="228">
        <f t="shared" si="127"/>
        <v>1366.5899999999965</v>
      </c>
      <c r="O250" s="229"/>
      <c r="P250" s="226">
        <f t="shared" ref="P250:Q250" si="128">P244+P247+P241</f>
        <v>17554.4399999999</v>
      </c>
      <c r="Q250" s="228">
        <f t="shared" si="128"/>
        <v>6154.6799999999903</v>
      </c>
      <c r="R250" s="335">
        <f>L251-Q251</f>
        <v>-0.19885184834146263</v>
      </c>
      <c r="S250" s="231">
        <f>L250-Q250</f>
        <v>29531.910000000007</v>
      </c>
      <c r="T250" s="27"/>
    </row>
    <row r="251" spans="1:25" ht="23.25" customHeight="1" thickBot="1">
      <c r="A251" s="23" t="str">
        <f t="shared" si="121"/>
        <v>Carrosserie</v>
      </c>
      <c r="B251" s="184" t="s">
        <v>99</v>
      </c>
      <c r="C251" s="232"/>
      <c r="D251" s="233"/>
      <c r="E251" s="233"/>
      <c r="F251" s="336">
        <f>F250/E250</f>
        <v>0.22</v>
      </c>
      <c r="G251" s="235"/>
      <c r="H251" s="233"/>
      <c r="I251" s="336" t="e">
        <f>I250/H250</f>
        <v>#DIV/0!</v>
      </c>
      <c r="J251" s="235"/>
      <c r="K251" s="233"/>
      <c r="L251" s="166">
        <f>IF(K250=0,0,L250/K250)</f>
        <v>0.15175346860399536</v>
      </c>
      <c r="M251" s="236"/>
      <c r="N251" s="166">
        <f>N250/F250</f>
        <v>3.9819055944055839E-2</v>
      </c>
      <c r="O251" s="235"/>
      <c r="P251" s="233"/>
      <c r="Q251" s="166">
        <f>IF(P250=0,0,Q250/P250)</f>
        <v>0.35060531694545799</v>
      </c>
      <c r="R251" s="236"/>
      <c r="S251" s="237">
        <f>IF(R250=0,0,S250/R250)</f>
        <v>-148512.12219706737</v>
      </c>
      <c r="T251" s="27"/>
    </row>
    <row r="252" spans="1:25" ht="15.75" customHeight="1" thickTop="1">
      <c r="A252" s="23" t="str">
        <f t="shared" si="121"/>
        <v>Carrosserie</v>
      </c>
      <c r="B252" s="184" t="s">
        <v>99</v>
      </c>
      <c r="C252" s="1"/>
      <c r="F252" s="26"/>
      <c r="G252" s="152"/>
      <c r="I252" s="26"/>
      <c r="J252" s="152"/>
      <c r="L252" s="208"/>
      <c r="M252" s="152"/>
      <c r="N252" s="208"/>
      <c r="O252" s="152"/>
      <c r="Q252" s="208"/>
      <c r="R252" s="152"/>
      <c r="S252" s="224"/>
    </row>
    <row r="253" spans="1:25" ht="15.75" customHeight="1">
      <c r="A253" s="23" t="str">
        <f t="shared" si="121"/>
        <v>CarrosserieDEPENSES</v>
      </c>
      <c r="B253" s="184" t="s">
        <v>99</v>
      </c>
      <c r="C253" s="239" t="s">
        <v>30</v>
      </c>
      <c r="F253" s="26"/>
      <c r="G253" s="152"/>
      <c r="I253" s="26"/>
      <c r="J253" s="152"/>
      <c r="L253" s="208"/>
      <c r="M253" s="152"/>
      <c r="N253" s="208"/>
      <c r="O253" s="152"/>
      <c r="Q253" s="208"/>
      <c r="R253" s="152"/>
      <c r="S253" s="224"/>
    </row>
    <row r="254" spans="1:25" ht="15.75" customHeight="1">
      <c r="A254" s="23" t="str">
        <f t="shared" si="121"/>
        <v>CarrosserieSalaires cadres</v>
      </c>
      <c r="B254" s="184" t="s">
        <v>99</v>
      </c>
      <c r="C254" s="1" t="s">
        <v>41</v>
      </c>
      <c r="F254" s="198">
        <f>+SUM(START:END!F254)</f>
        <v>966.30625000000009</v>
      </c>
      <c r="G254" s="152"/>
      <c r="I254" s="198">
        <f>+SUM(START:END!I254)</f>
        <v>0</v>
      </c>
      <c r="J254" s="152"/>
      <c r="L254" s="201">
        <f>+SUM(START:END!L254)</f>
        <v>2705.64</v>
      </c>
      <c r="M254" s="152"/>
      <c r="N254" s="202">
        <f t="shared" ref="N254:N264" si="129">L254-F254</f>
        <v>1739.3337499999998</v>
      </c>
      <c r="O254" s="152"/>
      <c r="Q254" s="201">
        <f>+SUM(START:END!Q254)</f>
        <v>2705.64</v>
      </c>
      <c r="R254" s="152"/>
      <c r="S254" s="202">
        <f>L254-Q254</f>
        <v>0</v>
      </c>
    </row>
    <row r="255" spans="1:25" ht="15.75" customHeight="1">
      <c r="A255" s="23" t="str">
        <f t="shared" si="121"/>
        <v>CarrosserieSalaires commis</v>
      </c>
      <c r="B255" s="184" t="s">
        <v>99</v>
      </c>
      <c r="C255" s="2" t="s">
        <v>42</v>
      </c>
      <c r="D255" s="30"/>
      <c r="F255" s="194">
        <f>+SUM(START:END!F255)</f>
        <v>15622.989999999998</v>
      </c>
      <c r="G255" s="240"/>
      <c r="I255" s="194">
        <f>+SUM(START:END!I255)</f>
        <v>0</v>
      </c>
      <c r="J255" s="152"/>
      <c r="L255" s="201">
        <f>+SUM(START:END!L255)</f>
        <v>11514.32</v>
      </c>
      <c r="M255" s="152"/>
      <c r="N255" s="242">
        <f t="shared" si="129"/>
        <v>-4108.6699999999983</v>
      </c>
      <c r="O255" s="152"/>
      <c r="Q255" s="201">
        <f>+SUM(START:END!Q255)</f>
        <v>3014.78</v>
      </c>
      <c r="R255" s="152"/>
      <c r="S255" s="242">
        <f t="shared" ref="S255:S264" si="130">L255-Q255</f>
        <v>8499.5399999999991</v>
      </c>
    </row>
    <row r="256" spans="1:25" ht="15.75" customHeight="1">
      <c r="A256" s="23" t="str">
        <f t="shared" si="121"/>
        <v>CarrosserieSalaires autres</v>
      </c>
      <c r="B256" s="184" t="s">
        <v>99</v>
      </c>
      <c r="C256" s="1" t="s">
        <v>43</v>
      </c>
      <c r="D256" s="52"/>
      <c r="E256" s="53"/>
      <c r="F256" s="198">
        <f>+SUM(START:END!F256)</f>
        <v>56.975000000000001</v>
      </c>
      <c r="G256" s="256"/>
      <c r="H256" s="53"/>
      <c r="I256" s="198">
        <f>+SUM(START:END!I256)</f>
        <v>0</v>
      </c>
      <c r="J256" s="154"/>
      <c r="K256" s="53"/>
      <c r="L256" s="257">
        <f>+SUM(START:END!L256)</f>
        <v>0.24</v>
      </c>
      <c r="M256" s="154"/>
      <c r="N256" s="259">
        <f t="shared" si="129"/>
        <v>-56.734999999999999</v>
      </c>
      <c r="O256" s="154"/>
      <c r="P256" s="53"/>
      <c r="Q256" s="257">
        <f>+SUM(START:END!Q256)</f>
        <v>0.24</v>
      </c>
      <c r="R256" s="154"/>
      <c r="S256" s="259">
        <f t="shared" si="130"/>
        <v>0</v>
      </c>
    </row>
    <row r="257" spans="1:19" ht="15.75" customHeight="1">
      <c r="A257" s="23" t="str">
        <f t="shared" si="121"/>
        <v>CarrosserieSalaires spécialistes</v>
      </c>
      <c r="B257" s="184" t="s">
        <v>99</v>
      </c>
      <c r="C257" s="1" t="s">
        <v>44</v>
      </c>
      <c r="D257" s="30"/>
      <c r="F257" s="198">
        <f>+SUM(START:END!F257)</f>
        <v>0</v>
      </c>
      <c r="G257" s="240"/>
      <c r="I257" s="198">
        <f>+SUM(START:END!I257)</f>
        <v>0</v>
      </c>
      <c r="J257" s="152"/>
      <c r="L257" s="201">
        <f>+SUM(START:END!L257)</f>
        <v>0</v>
      </c>
      <c r="M257" s="152"/>
      <c r="N257" s="242">
        <f t="shared" si="129"/>
        <v>0</v>
      </c>
      <c r="O257" s="152"/>
      <c r="Q257" s="201">
        <f>+SUM(START:END!Q257)</f>
        <v>0</v>
      </c>
      <c r="R257" s="152"/>
      <c r="S257" s="242">
        <f t="shared" si="130"/>
        <v>0</v>
      </c>
    </row>
    <row r="258" spans="1:19" ht="15.75" hidden="1" customHeight="1">
      <c r="A258" s="23" t="str">
        <f t="shared" si="121"/>
        <v>Carrosserie[...]</v>
      </c>
      <c r="B258" s="184" t="s">
        <v>99</v>
      </c>
      <c r="C258" s="1" t="s">
        <v>20</v>
      </c>
      <c r="D258" s="30"/>
      <c r="F258" s="198">
        <f>+SUM(START:END!F258)</f>
        <v>0</v>
      </c>
      <c r="G258" s="240"/>
      <c r="I258" s="198">
        <f>+SUM(START:END!I258)</f>
        <v>0</v>
      </c>
      <c r="J258" s="152"/>
      <c r="L258" s="201">
        <f>+SUM(START:END!L258)</f>
        <v>0</v>
      </c>
      <c r="M258" s="152"/>
      <c r="N258" s="242">
        <f t="shared" si="129"/>
        <v>0</v>
      </c>
      <c r="O258" s="152"/>
      <c r="Q258" s="201">
        <f>+SUM(START:END!Q258)</f>
        <v>0</v>
      </c>
      <c r="R258" s="152"/>
      <c r="S258" s="242">
        <f t="shared" si="130"/>
        <v>0</v>
      </c>
    </row>
    <row r="259" spans="1:19" ht="15.75" hidden="1" customHeight="1">
      <c r="A259" s="23" t="str">
        <f t="shared" si="121"/>
        <v>Carrosserie[...]</v>
      </c>
      <c r="B259" s="184" t="s">
        <v>99</v>
      </c>
      <c r="C259" s="1" t="s">
        <v>20</v>
      </c>
      <c r="D259" s="30"/>
      <c r="F259" s="198">
        <f>+SUM(START:END!F259)</f>
        <v>0</v>
      </c>
      <c r="G259" s="240"/>
      <c r="I259" s="198">
        <f>+SUM(START:END!I259)</f>
        <v>0</v>
      </c>
      <c r="J259" s="152"/>
      <c r="L259" s="201">
        <f>+SUM(START:END!L259)</f>
        <v>0</v>
      </c>
      <c r="M259" s="152"/>
      <c r="N259" s="242">
        <f t="shared" si="129"/>
        <v>0</v>
      </c>
      <c r="O259" s="152"/>
      <c r="Q259" s="201">
        <f>+SUM(START:END!Q259)</f>
        <v>0</v>
      </c>
      <c r="R259" s="152"/>
      <c r="S259" s="242">
        <f t="shared" si="130"/>
        <v>0</v>
      </c>
    </row>
    <row r="260" spans="1:19" ht="15.75" hidden="1" customHeight="1">
      <c r="A260" s="23" t="str">
        <f t="shared" si="121"/>
        <v>Carrosserie[...]</v>
      </c>
      <c r="B260" s="184" t="s">
        <v>99</v>
      </c>
      <c r="C260" s="1" t="s">
        <v>20</v>
      </c>
      <c r="D260" s="30"/>
      <c r="F260" s="198">
        <f>+SUM(START:END!F260)</f>
        <v>0</v>
      </c>
      <c r="G260" s="240"/>
      <c r="I260" s="198">
        <f>+SUM(START:END!I260)</f>
        <v>0</v>
      </c>
      <c r="J260" s="152"/>
      <c r="L260" s="201">
        <f>+SUM(START:END!L260)</f>
        <v>0</v>
      </c>
      <c r="M260" s="152"/>
      <c r="N260" s="242">
        <f t="shared" si="129"/>
        <v>0</v>
      </c>
      <c r="O260" s="152"/>
      <c r="Q260" s="201">
        <f>+SUM(START:END!Q260)</f>
        <v>0</v>
      </c>
      <c r="R260" s="152"/>
      <c r="S260" s="242">
        <f t="shared" si="130"/>
        <v>0</v>
      </c>
    </row>
    <row r="261" spans="1:19" ht="15.75" customHeight="1">
      <c r="A261" s="23" t="str">
        <f t="shared" si="121"/>
        <v>CarrosserieSalaires en absences</v>
      </c>
      <c r="B261" s="184" t="s">
        <v>99</v>
      </c>
      <c r="C261" s="2" t="s">
        <v>45</v>
      </c>
      <c r="D261" s="30"/>
      <c r="F261" s="194">
        <f>+SUM(START:END!F261)</f>
        <v>1999.3758493749995</v>
      </c>
      <c r="G261" s="240"/>
      <c r="I261" s="194">
        <f>+SUM(START:END!I261)</f>
        <v>0</v>
      </c>
      <c r="J261" s="152"/>
      <c r="L261" s="201">
        <f>+SUM(START:END!L261)</f>
        <v>1901.6399999999999</v>
      </c>
      <c r="M261" s="152"/>
      <c r="N261" s="242">
        <f t="shared" si="129"/>
        <v>-97.735849374999589</v>
      </c>
      <c r="O261" s="152"/>
      <c r="Q261" s="201">
        <f>+SUM(START:END!Q261)</f>
        <v>603.08000000000004</v>
      </c>
      <c r="R261" s="152"/>
      <c r="S261" s="242">
        <f t="shared" si="130"/>
        <v>1298.56</v>
      </c>
    </row>
    <row r="262" spans="1:19" ht="15.75" customHeight="1">
      <c r="A262" s="23" t="str">
        <f t="shared" si="121"/>
        <v>CarrosserieDéduction à la source</v>
      </c>
      <c r="B262" s="184" t="s">
        <v>99</v>
      </c>
      <c r="C262" s="1" t="s">
        <v>46</v>
      </c>
      <c r="D262" s="52"/>
      <c r="E262" s="53"/>
      <c r="F262" s="198">
        <f>+SUM(START:END!F262)</f>
        <v>2430.9591824999998</v>
      </c>
      <c r="G262" s="256"/>
      <c r="H262" s="53"/>
      <c r="I262" s="198">
        <f>+SUM(START:END!I262)</f>
        <v>0</v>
      </c>
      <c r="J262" s="154"/>
      <c r="K262" s="53"/>
      <c r="L262" s="257">
        <f>+SUM(START:END!L262)</f>
        <v>4160.92</v>
      </c>
      <c r="M262" s="154"/>
      <c r="N262" s="259">
        <f t="shared" si="129"/>
        <v>1729.9608175000003</v>
      </c>
      <c r="O262" s="154"/>
      <c r="P262" s="53"/>
      <c r="Q262" s="257">
        <f>+SUM(START:END!Q262)</f>
        <v>2669.63</v>
      </c>
      <c r="R262" s="154"/>
      <c r="S262" s="259">
        <f t="shared" si="130"/>
        <v>1491.29</v>
      </c>
    </row>
    <row r="263" spans="1:19" ht="15.75" customHeight="1">
      <c r="A263" s="23" t="str">
        <f t="shared" si="121"/>
        <v>CarrosserieBénéfices marginaux</v>
      </c>
      <c r="B263" s="184" t="s">
        <v>99</v>
      </c>
      <c r="C263" s="1" t="s">
        <v>47</v>
      </c>
      <c r="D263" s="30"/>
      <c r="F263" s="198">
        <f>+SUM(START:END!F263)</f>
        <v>1252.4724483749997</v>
      </c>
      <c r="G263" s="240"/>
      <c r="I263" s="198">
        <f>+SUM(START:END!I263)</f>
        <v>0</v>
      </c>
      <c r="J263" s="152"/>
      <c r="L263" s="201">
        <f>+SUM(START:END!L263)</f>
        <v>307.97000000000003</v>
      </c>
      <c r="M263" s="152"/>
      <c r="N263" s="242">
        <f t="shared" si="129"/>
        <v>-944.50244837499963</v>
      </c>
      <c r="O263" s="152"/>
      <c r="Q263" s="201">
        <f>+SUM(START:END!Q263)</f>
        <v>333.08</v>
      </c>
      <c r="R263" s="152"/>
      <c r="S263" s="242">
        <f t="shared" si="130"/>
        <v>-25.109999999999957</v>
      </c>
    </row>
    <row r="264" spans="1:19" ht="15.75" customHeight="1">
      <c r="A264" s="23" t="str">
        <f t="shared" si="121"/>
        <v>CarrosserieCsst</v>
      </c>
      <c r="B264" s="184" t="s">
        <v>99</v>
      </c>
      <c r="C264" s="1" t="s">
        <v>48</v>
      </c>
      <c r="D264" s="30"/>
      <c r="F264" s="198">
        <f>+SUM(START:END!F264)</f>
        <v>546.08503374999987</v>
      </c>
      <c r="G264" s="240"/>
      <c r="I264" s="198">
        <f>+SUM(START:END!I264)</f>
        <v>0</v>
      </c>
      <c r="J264" s="152"/>
      <c r="L264" s="201">
        <f>+SUM(START:END!L264)</f>
        <v>577.23</v>
      </c>
      <c r="M264" s="152"/>
      <c r="N264" s="242">
        <f t="shared" si="129"/>
        <v>31.144966250000152</v>
      </c>
      <c r="O264" s="152"/>
      <c r="Q264" s="201">
        <f>+SUM(START:END!Q264)</f>
        <v>315.99</v>
      </c>
      <c r="R264" s="152"/>
      <c r="S264" s="242">
        <f t="shared" si="130"/>
        <v>261.24</v>
      </c>
    </row>
    <row r="265" spans="1:19" ht="15.75" hidden="1" customHeight="1">
      <c r="A265" s="23" t="str">
        <f t="shared" si="121"/>
        <v>Carrosserie[...]</v>
      </c>
      <c r="B265" s="184" t="s">
        <v>99</v>
      </c>
      <c r="C265" s="1" t="s">
        <v>20</v>
      </c>
      <c r="D265" s="34"/>
      <c r="E265" s="7"/>
      <c r="F265" s="198">
        <f>+SUM(START:END!F264)</f>
        <v>546.08503374999987</v>
      </c>
      <c r="G265" s="244"/>
      <c r="H265" s="7"/>
      <c r="I265" s="198">
        <f>+SUM(START:END!I264)</f>
        <v>0</v>
      </c>
      <c r="J265" s="153"/>
      <c r="K265" s="7"/>
      <c r="L265" s="201">
        <f>+SUM(START:END!L264)</f>
        <v>577.23</v>
      </c>
      <c r="M265" s="153"/>
      <c r="N265" s="248">
        <f t="shared" ref="N265" si="131">L265-I265</f>
        <v>577.23</v>
      </c>
      <c r="O265" s="153"/>
      <c r="P265" s="7"/>
      <c r="Q265" s="201">
        <f>+SUM(START:END!Q264)</f>
        <v>315.99</v>
      </c>
      <c r="R265" s="153"/>
      <c r="S265" s="248">
        <f t="shared" ref="S265:S285" si="132">L265-Q265</f>
        <v>261.24</v>
      </c>
    </row>
    <row r="266" spans="1:19" ht="15.75" customHeight="1">
      <c r="A266" s="23" t="str">
        <f t="shared" si="121"/>
        <v>CarrosserieTOTAL PERSONNEL</v>
      </c>
      <c r="B266" s="184" t="s">
        <v>99</v>
      </c>
      <c r="C266" s="40" t="s">
        <v>49</v>
      </c>
      <c r="D266" s="250" t="s">
        <v>39</v>
      </c>
      <c r="E266" s="42" t="e">
        <f>F266/F$244</f>
        <v>#DIV/0!</v>
      </c>
      <c r="F266" s="46">
        <f>+SUM(F254:F265)</f>
        <v>23421.248797749999</v>
      </c>
      <c r="G266" s="252" t="s">
        <v>39</v>
      </c>
      <c r="H266" s="42" t="e">
        <f>I266/I$244</f>
        <v>#DIV/0!</v>
      </c>
      <c r="I266" s="46">
        <f>+SUM(I254:I265)</f>
        <v>0</v>
      </c>
      <c r="J266" s="252" t="s">
        <v>39</v>
      </c>
      <c r="K266" s="42">
        <f>IF(L244=0,0,L266/L$244)</f>
        <v>0</v>
      </c>
      <c r="L266" s="251">
        <f>+SUM(L254:L265)</f>
        <v>21745.19</v>
      </c>
      <c r="M266" s="289"/>
      <c r="N266" s="260">
        <f>L266-F266</f>
        <v>-1676.0587977499999</v>
      </c>
      <c r="O266" s="252" t="s">
        <v>39</v>
      </c>
      <c r="P266" s="42">
        <f>IF(Q244=0,0,Q266/Q$244)</f>
        <v>0</v>
      </c>
      <c r="Q266" s="251">
        <f>+SUM(Q254:Q265)</f>
        <v>9958.4299999999985</v>
      </c>
      <c r="R266" s="289"/>
      <c r="S266" s="260">
        <f t="shared" si="132"/>
        <v>11786.76</v>
      </c>
    </row>
    <row r="267" spans="1:19" ht="15.75" customHeight="1">
      <c r="A267" s="23" t="str">
        <f t="shared" si="121"/>
        <v>CarrosseriePublicité 2</v>
      </c>
      <c r="B267" s="184" t="s">
        <v>99</v>
      </c>
      <c r="C267" s="3" t="s">
        <v>50</v>
      </c>
      <c r="D267" s="30"/>
      <c r="F267" s="198">
        <f>+SUM(START:END!F267)</f>
        <v>145</v>
      </c>
      <c r="G267" s="240"/>
      <c r="I267" s="198">
        <f>+SUM(START:END!I267)</f>
        <v>0</v>
      </c>
      <c r="J267" s="152"/>
      <c r="L267" s="201">
        <f>+SUM(START:END!L267)</f>
        <v>117.88</v>
      </c>
      <c r="M267" s="152"/>
      <c r="N267" s="242">
        <f t="shared" ref="N267:N281" si="133">L267-F267</f>
        <v>-27.120000000000005</v>
      </c>
      <c r="O267" s="152"/>
      <c r="Q267" s="201">
        <f>+SUM(START:END!Q267)</f>
        <v>204.66</v>
      </c>
      <c r="R267" s="152"/>
      <c r="S267" s="242">
        <f>L267-Q267</f>
        <v>-86.78</v>
      </c>
    </row>
    <row r="268" spans="1:19" ht="15.75" customHeight="1">
      <c r="A268" s="23" t="str">
        <f t="shared" si="121"/>
        <v>CarrosserieService gratuit 2</v>
      </c>
      <c r="B268" s="184" t="s">
        <v>99</v>
      </c>
      <c r="C268" s="1" t="s">
        <v>51</v>
      </c>
      <c r="D268" s="30"/>
      <c r="F268" s="198">
        <f>+SUM(START:END!F268)</f>
        <v>1685.0339438417132</v>
      </c>
      <c r="G268" s="240"/>
      <c r="I268" s="198">
        <f>+SUM(START:END!I268)</f>
        <v>0</v>
      </c>
      <c r="J268" s="152"/>
      <c r="L268" s="201">
        <f>+SUM(START:END!L268)</f>
        <v>177.9</v>
      </c>
      <c r="M268" s="152"/>
      <c r="N268" s="242">
        <f t="shared" si="133"/>
        <v>-1507.1339438417131</v>
      </c>
      <c r="O268" s="152"/>
      <c r="Q268" s="201">
        <f>+SUM(START:END!Q268)</f>
        <v>4180.68</v>
      </c>
      <c r="R268" s="152"/>
      <c r="S268" s="242">
        <f t="shared" ref="S268:S281" si="134">L268-Q268</f>
        <v>-4002.78</v>
      </c>
    </row>
    <row r="269" spans="1:19" ht="15.75" customHeight="1">
      <c r="A269" s="23" t="str">
        <f t="shared" si="121"/>
        <v>CarrosserieFrais véhicules de cie</v>
      </c>
      <c r="B269" s="184" t="s">
        <v>99</v>
      </c>
      <c r="C269" s="2" t="s">
        <v>52</v>
      </c>
      <c r="D269" s="34"/>
      <c r="E269" s="7"/>
      <c r="F269" s="194">
        <f>+SUM(START:END!F269)</f>
        <v>373.51080000000002</v>
      </c>
      <c r="G269" s="244"/>
      <c r="H269" s="7"/>
      <c r="I269" s="194">
        <f>+SUM(START:END!I269)</f>
        <v>0</v>
      </c>
      <c r="J269" s="153"/>
      <c r="K269" s="7"/>
      <c r="L269" s="201">
        <f>+SUM(START:END!L269)</f>
        <v>473.31000000000006</v>
      </c>
      <c r="M269" s="153"/>
      <c r="N269" s="248">
        <f t="shared" si="133"/>
        <v>99.799200000000042</v>
      </c>
      <c r="O269" s="153"/>
      <c r="P269" s="7"/>
      <c r="Q269" s="201">
        <f>+SUM(START:END!Q269)</f>
        <v>607.45000000000005</v>
      </c>
      <c r="R269" s="153"/>
      <c r="S269" s="248">
        <f t="shared" si="134"/>
        <v>-134.13999999999999</v>
      </c>
    </row>
    <row r="270" spans="1:19" ht="15.75" customHeight="1">
      <c r="A270" s="23" t="str">
        <f t="shared" si="121"/>
        <v>CarrosserieInformatique</v>
      </c>
      <c r="B270" s="184" t="s">
        <v>99</v>
      </c>
      <c r="C270" s="1" t="s">
        <v>53</v>
      </c>
      <c r="D270" s="30"/>
      <c r="F270" s="198">
        <f>+SUM(START:END!F270)</f>
        <v>4351.2806587133327</v>
      </c>
      <c r="G270" s="240"/>
      <c r="I270" s="198">
        <f>+SUM(START:END!I270)</f>
        <v>0</v>
      </c>
      <c r="J270" s="152"/>
      <c r="L270" s="257">
        <f>+SUM(START:END!L270)</f>
        <v>3973.76</v>
      </c>
      <c r="M270" s="152"/>
      <c r="N270" s="242">
        <f t="shared" si="133"/>
        <v>-377.52065871333252</v>
      </c>
      <c r="O270" s="152"/>
      <c r="Q270" s="257">
        <f>+SUM(START:END!Q270)</f>
        <v>3720.96</v>
      </c>
      <c r="R270" s="152"/>
      <c r="S270" s="242">
        <f t="shared" si="134"/>
        <v>252.80000000000018</v>
      </c>
    </row>
    <row r="271" spans="1:19" ht="15.75" customHeight="1">
      <c r="A271" s="23" t="str">
        <f t="shared" si="121"/>
        <v>CarrosserieFrais de déplacement</v>
      </c>
      <c r="B271" s="184" t="s">
        <v>99</v>
      </c>
      <c r="C271" s="1" t="s">
        <v>54</v>
      </c>
      <c r="D271" s="30"/>
      <c r="F271" s="198">
        <f>+SUM(START:END!F271)</f>
        <v>642.114715135746</v>
      </c>
      <c r="G271" s="240"/>
      <c r="I271" s="198">
        <f>+SUM(START:END!I271)</f>
        <v>0</v>
      </c>
      <c r="J271" s="152"/>
      <c r="L271" s="201">
        <f>+SUM(START:END!L271)</f>
        <v>552.17999999999995</v>
      </c>
      <c r="M271" s="152"/>
      <c r="N271" s="242">
        <f t="shared" si="133"/>
        <v>-89.934715135746046</v>
      </c>
      <c r="O271" s="152"/>
      <c r="Q271" s="201">
        <f>+SUM(START:END!Q271)</f>
        <v>930.09</v>
      </c>
      <c r="R271" s="152"/>
      <c r="S271" s="242">
        <f t="shared" si="134"/>
        <v>-377.91000000000008</v>
      </c>
    </row>
    <row r="272" spans="1:19" ht="15.75" customHeight="1">
      <c r="A272" s="23" t="str">
        <f t="shared" si="121"/>
        <v>CarrosserieServices extérieurs</v>
      </c>
      <c r="B272" s="184" t="s">
        <v>99</v>
      </c>
      <c r="C272" s="1" t="s">
        <v>55</v>
      </c>
      <c r="D272" s="34"/>
      <c r="E272" s="7"/>
      <c r="F272" s="194">
        <f>+SUM(START:END!F272)</f>
        <v>2061.4402330574421</v>
      </c>
      <c r="G272" s="244"/>
      <c r="H272" s="7"/>
      <c r="I272" s="194">
        <f>+SUM(START:END!I272)</f>
        <v>0</v>
      </c>
      <c r="J272" s="153"/>
      <c r="K272" s="7"/>
      <c r="L272" s="201">
        <f>+SUM(START:END!L272)</f>
        <v>2930.48</v>
      </c>
      <c r="M272" s="153"/>
      <c r="N272" s="248">
        <f t="shared" si="133"/>
        <v>869.03976694255789</v>
      </c>
      <c r="O272" s="153"/>
      <c r="P272" s="7"/>
      <c r="Q272" s="201">
        <f>+SUM(START:END!Q272)</f>
        <v>2094.9299999999998</v>
      </c>
      <c r="R272" s="153"/>
      <c r="S272" s="248">
        <f t="shared" si="134"/>
        <v>835.55000000000018</v>
      </c>
    </row>
    <row r="273" spans="1:20" ht="15.75" customHeight="1">
      <c r="A273" s="23" t="str">
        <f t="shared" si="121"/>
        <v>CarrosserieFournitures d'atelier</v>
      </c>
      <c r="B273" s="184" t="s">
        <v>99</v>
      </c>
      <c r="C273" s="4" t="s">
        <v>98</v>
      </c>
      <c r="D273" s="30"/>
      <c r="F273" s="198">
        <f>+SUM(START:END!F273)</f>
        <v>0</v>
      </c>
      <c r="G273" s="240"/>
      <c r="I273" s="198">
        <f>+SUM(START:END!I273)</f>
        <v>0</v>
      </c>
      <c r="J273" s="152"/>
      <c r="L273" s="219">
        <f>+SUM(START:END!L273)</f>
        <v>0</v>
      </c>
      <c r="M273" s="152"/>
      <c r="N273" s="242">
        <f t="shared" si="133"/>
        <v>0</v>
      </c>
      <c r="O273" s="152"/>
      <c r="Q273" s="219">
        <f>+SUM(START:END!Q273)</f>
        <v>0</v>
      </c>
      <c r="R273" s="152"/>
      <c r="S273" s="242">
        <f t="shared" si="134"/>
        <v>0</v>
      </c>
    </row>
    <row r="274" spans="1:20" ht="15.75" customHeight="1">
      <c r="A274" s="23" t="str">
        <f t="shared" si="121"/>
        <v>CarrosserieFournitures autres</v>
      </c>
      <c r="B274" s="184" t="s">
        <v>99</v>
      </c>
      <c r="C274" s="1" t="s">
        <v>56</v>
      </c>
      <c r="D274" s="30"/>
      <c r="F274" s="198">
        <f>+SUM(START:END!F274)</f>
        <v>137.8546</v>
      </c>
      <c r="G274" s="240"/>
      <c r="I274" s="198">
        <f>+SUM(START:END!I274)</f>
        <v>0</v>
      </c>
      <c r="J274" s="152"/>
      <c r="L274" s="201">
        <f>+SUM(START:END!L274)</f>
        <v>11.22</v>
      </c>
      <c r="M274" s="152"/>
      <c r="N274" s="242">
        <f t="shared" si="133"/>
        <v>-126.63460000000001</v>
      </c>
      <c r="O274" s="152"/>
      <c r="Q274" s="201">
        <f>+SUM(START:END!Q274)</f>
        <v>21.28</v>
      </c>
      <c r="R274" s="152"/>
      <c r="S274" s="242">
        <f t="shared" si="134"/>
        <v>-10.06</v>
      </c>
    </row>
    <row r="275" spans="1:20" ht="15.75" customHeight="1">
      <c r="A275" s="23" t="str">
        <f t="shared" si="121"/>
        <v>CarrosserieUniformes</v>
      </c>
      <c r="B275" s="184" t="s">
        <v>99</v>
      </c>
      <c r="C275" s="1" t="s">
        <v>57</v>
      </c>
      <c r="D275" s="30"/>
      <c r="F275" s="198">
        <f>+SUM(START:END!F275)</f>
        <v>85</v>
      </c>
      <c r="G275" s="240"/>
      <c r="I275" s="198">
        <f>+SUM(START:END!I275)</f>
        <v>0</v>
      </c>
      <c r="J275" s="152"/>
      <c r="L275" s="201">
        <f>+SUM(START:END!L275)</f>
        <v>0</v>
      </c>
      <c r="M275" s="152"/>
      <c r="N275" s="242">
        <f t="shared" si="133"/>
        <v>-85</v>
      </c>
      <c r="O275" s="152"/>
      <c r="Q275" s="201">
        <f>+SUM(START:END!Q275)</f>
        <v>0</v>
      </c>
      <c r="R275" s="152"/>
      <c r="S275" s="242">
        <f t="shared" si="134"/>
        <v>0</v>
      </c>
    </row>
    <row r="276" spans="1:20" ht="15.75" customHeight="1">
      <c r="A276" s="23" t="str">
        <f t="shared" si="121"/>
        <v>CarrosseriePapeterie</v>
      </c>
      <c r="B276" s="184" t="s">
        <v>99</v>
      </c>
      <c r="C276" s="1" t="s">
        <v>58</v>
      </c>
      <c r="D276" s="30"/>
      <c r="F276" s="198">
        <f>+SUM(START:END!F276)</f>
        <v>438.71069115785986</v>
      </c>
      <c r="G276" s="240"/>
      <c r="I276" s="198">
        <f>+SUM(START:END!I276)</f>
        <v>0</v>
      </c>
      <c r="J276" s="152"/>
      <c r="L276" s="200">
        <f>+SUM(START:END!L276)</f>
        <v>178.83999999999997</v>
      </c>
      <c r="M276" s="152"/>
      <c r="N276" s="242">
        <f t="shared" si="133"/>
        <v>-259.87069115785988</v>
      </c>
      <c r="O276" s="152"/>
      <c r="Q276" s="200">
        <f>+SUM(START:END!Q276)</f>
        <v>440.67</v>
      </c>
      <c r="R276" s="152"/>
      <c r="S276" s="242">
        <f t="shared" si="134"/>
        <v>-261.83000000000004</v>
      </c>
    </row>
    <row r="277" spans="1:20" ht="15.75" customHeight="1">
      <c r="A277" s="23" t="str">
        <f t="shared" si="121"/>
        <v>CarrosserieTéléphone</v>
      </c>
      <c r="B277" s="184" t="s">
        <v>99</v>
      </c>
      <c r="C277" s="1" t="s">
        <v>59</v>
      </c>
      <c r="D277" s="30"/>
      <c r="F277" s="198">
        <f>+SUM(START:END!F277)</f>
        <v>97.106925977425846</v>
      </c>
      <c r="G277" s="240"/>
      <c r="I277" s="198">
        <f>+SUM(START:END!I277)</f>
        <v>0</v>
      </c>
      <c r="J277" s="152"/>
      <c r="L277" s="201">
        <f>+SUM(START:END!L277)</f>
        <v>70.150000000000006</v>
      </c>
      <c r="M277" s="152"/>
      <c r="N277" s="242">
        <f t="shared" si="133"/>
        <v>-26.95692597742584</v>
      </c>
      <c r="O277" s="152"/>
      <c r="Q277" s="201">
        <f>+SUM(START:END!Q277)</f>
        <v>98.100000000000009</v>
      </c>
      <c r="R277" s="152"/>
      <c r="S277" s="242">
        <f t="shared" si="134"/>
        <v>-27.950000000000003</v>
      </c>
    </row>
    <row r="278" spans="1:20" ht="15.75" customHeight="1">
      <c r="A278" s="23" t="str">
        <f t="shared" si="121"/>
        <v>CarrosserieFrais postaux</v>
      </c>
      <c r="B278" s="184" t="s">
        <v>99</v>
      </c>
      <c r="C278" s="1" t="s">
        <v>60</v>
      </c>
      <c r="D278" s="30"/>
      <c r="F278" s="198">
        <f>+SUM(START:END!F278)</f>
        <v>67.476296491774178</v>
      </c>
      <c r="G278" s="240"/>
      <c r="I278" s="198">
        <f>+SUM(START:END!I278)</f>
        <v>0</v>
      </c>
      <c r="J278" s="152"/>
      <c r="L278" s="201">
        <f>+SUM(START:END!L278)</f>
        <v>46.16</v>
      </c>
      <c r="M278" s="152"/>
      <c r="N278" s="242">
        <f t="shared" si="133"/>
        <v>-21.316296491774182</v>
      </c>
      <c r="O278" s="152"/>
      <c r="Q278" s="201">
        <f>+SUM(START:END!Q278)</f>
        <v>16.73</v>
      </c>
      <c r="R278" s="152"/>
      <c r="S278" s="242">
        <f t="shared" si="134"/>
        <v>29.429999999999996</v>
      </c>
    </row>
    <row r="279" spans="1:20" ht="15.75" customHeight="1">
      <c r="A279" s="23" t="str">
        <f t="shared" si="121"/>
        <v>CarrosserieDivers</v>
      </c>
      <c r="B279" s="184" t="s">
        <v>99</v>
      </c>
      <c r="C279" s="1" t="s">
        <v>61</v>
      </c>
      <c r="D279" s="30"/>
      <c r="F279" s="198">
        <f>+SUM(START:END!F279)</f>
        <v>308.71520251645916</v>
      </c>
      <c r="G279" s="240"/>
      <c r="I279" s="198">
        <f>+SUM(START:END!I279)</f>
        <v>0</v>
      </c>
      <c r="J279" s="152"/>
      <c r="L279" s="201">
        <f>+SUM(START:END!L279)</f>
        <v>56.91</v>
      </c>
      <c r="M279" s="152"/>
      <c r="N279" s="242">
        <f t="shared" si="133"/>
        <v>-251.80520251645916</v>
      </c>
      <c r="O279" s="152"/>
      <c r="Q279" s="201">
        <f>+SUM(START:END!Q279)</f>
        <v>85.990000000000009</v>
      </c>
      <c r="R279" s="152"/>
      <c r="S279" s="242">
        <f t="shared" si="134"/>
        <v>-29.080000000000013</v>
      </c>
    </row>
    <row r="280" spans="1:20" ht="15.75" customHeight="1">
      <c r="A280" s="23" t="str">
        <f t="shared" si="121"/>
        <v>CarrosserieFormation</v>
      </c>
      <c r="B280" s="184" t="s">
        <v>99</v>
      </c>
      <c r="C280" s="1" t="s">
        <v>62</v>
      </c>
      <c r="D280" s="30"/>
      <c r="F280" s="198">
        <f>+SUM(START:END!F280)</f>
        <v>526.49610536094769</v>
      </c>
      <c r="G280" s="240"/>
      <c r="I280" s="198">
        <f>+SUM(START:END!I280)</f>
        <v>0</v>
      </c>
      <c r="J280" s="152"/>
      <c r="L280" s="201">
        <f>+SUM(START:END!L280)</f>
        <v>313.22000000000003</v>
      </c>
      <c r="M280" s="152"/>
      <c r="N280" s="242">
        <f t="shared" si="133"/>
        <v>-213.27610536094767</v>
      </c>
      <c r="O280" s="152"/>
      <c r="Q280" s="201">
        <f>+SUM(START:END!Q280)</f>
        <v>190.76</v>
      </c>
      <c r="R280" s="152"/>
      <c r="S280" s="242">
        <f t="shared" si="134"/>
        <v>122.46000000000004</v>
      </c>
    </row>
    <row r="281" spans="1:20" ht="15.75" customHeight="1">
      <c r="A281" s="23" t="str">
        <f t="shared" si="121"/>
        <v>CarrosserieFrais bancaires</v>
      </c>
      <c r="B281" s="184" t="s">
        <v>99</v>
      </c>
      <c r="C281" s="1" t="s">
        <v>63</v>
      </c>
      <c r="D281" s="30"/>
      <c r="F281" s="198">
        <f>+SUM(START:END!F281)</f>
        <v>612.03671362432146</v>
      </c>
      <c r="G281" s="240"/>
      <c r="I281" s="198">
        <f>+SUM(START:END!I281)</f>
        <v>0</v>
      </c>
      <c r="J281" s="152"/>
      <c r="L281" s="201">
        <f>+SUM(START:END!L281)</f>
        <v>663.08999999999992</v>
      </c>
      <c r="M281" s="152"/>
      <c r="N281" s="242">
        <f t="shared" si="133"/>
        <v>51.053286375678454</v>
      </c>
      <c r="O281" s="152"/>
      <c r="Q281" s="201">
        <f>+SUM(START:END!Q281)</f>
        <v>586.79999999999995</v>
      </c>
      <c r="R281" s="152"/>
      <c r="S281" s="242">
        <f t="shared" si="134"/>
        <v>76.289999999999964</v>
      </c>
    </row>
    <row r="282" spans="1:20" ht="15.75" hidden="1" customHeight="1">
      <c r="A282" s="23" t="str">
        <f t="shared" si="121"/>
        <v>Carrosserie[...]</v>
      </c>
      <c r="B282" s="184" t="s">
        <v>99</v>
      </c>
      <c r="C282" s="1" t="s">
        <v>20</v>
      </c>
      <c r="D282" s="30"/>
      <c r="F282" s="198">
        <f>+SUM(START:END!F282)</f>
        <v>0</v>
      </c>
      <c r="G282" s="240"/>
      <c r="I282" s="198">
        <f>+SUM(START:END!I282)</f>
        <v>0</v>
      </c>
      <c r="J282" s="152"/>
      <c r="L282" s="201">
        <f>+SUM(START:END!L282)</f>
        <v>0</v>
      </c>
      <c r="M282" s="152"/>
      <c r="N282" s="242"/>
      <c r="O282" s="152"/>
      <c r="Q282" s="201">
        <f>+SUM(START:END!Q282)</f>
        <v>0</v>
      </c>
      <c r="R282" s="152"/>
      <c r="S282" s="242">
        <f t="shared" ref="S282:S284" si="135">L282-Q282</f>
        <v>0</v>
      </c>
    </row>
    <row r="283" spans="1:20" ht="15.75" hidden="1" customHeight="1">
      <c r="A283" s="23" t="str">
        <f t="shared" si="121"/>
        <v>Carrosserie[...]</v>
      </c>
      <c r="B283" s="184" t="s">
        <v>99</v>
      </c>
      <c r="C283" s="1" t="s">
        <v>20</v>
      </c>
      <c r="D283" s="30"/>
      <c r="F283" s="198">
        <f>+SUM(START:END!F283)</f>
        <v>0</v>
      </c>
      <c r="G283" s="240"/>
      <c r="I283" s="198">
        <f>+SUM(START:END!I283)</f>
        <v>0</v>
      </c>
      <c r="J283" s="152"/>
      <c r="L283" s="201">
        <f>+SUM(START:END!L283)</f>
        <v>0</v>
      </c>
      <c r="M283" s="152"/>
      <c r="N283" s="242"/>
      <c r="O283" s="152"/>
      <c r="Q283" s="201">
        <f>+SUM(START:END!Q283)</f>
        <v>0</v>
      </c>
      <c r="R283" s="152"/>
      <c r="S283" s="242">
        <f t="shared" si="135"/>
        <v>0</v>
      </c>
    </row>
    <row r="284" spans="1:20" ht="15.75" hidden="1" customHeight="1">
      <c r="A284" s="23" t="str">
        <f t="shared" si="121"/>
        <v>Carrosserie[...]</v>
      </c>
      <c r="B284" s="184" t="s">
        <v>99</v>
      </c>
      <c r="C284" s="1" t="s">
        <v>20</v>
      </c>
      <c r="D284" s="30"/>
      <c r="F284" s="198">
        <f>+SUM(START:END!F284)</f>
        <v>0</v>
      </c>
      <c r="G284" s="240"/>
      <c r="I284" s="198">
        <f>+SUM(START:END!I284)</f>
        <v>0</v>
      </c>
      <c r="J284" s="152"/>
      <c r="L284" s="201">
        <f>+SUM(START:END!L284)</f>
        <v>0</v>
      </c>
      <c r="M284" s="152"/>
      <c r="N284" s="242"/>
      <c r="O284" s="152"/>
      <c r="Q284" s="201">
        <f>+SUM(START:END!Q284)</f>
        <v>0</v>
      </c>
      <c r="R284" s="152"/>
      <c r="S284" s="242">
        <f t="shared" si="135"/>
        <v>0</v>
      </c>
    </row>
    <row r="285" spans="1:20" ht="15.75" customHeight="1">
      <c r="B285" s="184"/>
      <c r="C285" s="40" t="s">
        <v>64</v>
      </c>
      <c r="D285" s="250" t="s">
        <v>39</v>
      </c>
      <c r="E285" s="42">
        <f>F285/F$250</f>
        <v>0.33600748501972677</v>
      </c>
      <c r="F285" s="46">
        <f>+SUM(F267:F284)</f>
        <v>11531.776885877023</v>
      </c>
      <c r="G285" s="252" t="s">
        <v>39</v>
      </c>
      <c r="H285" s="42" t="e">
        <f>I285/I$250</f>
        <v>#DIV/0!</v>
      </c>
      <c r="I285" s="46">
        <f>+SUM(I267:I284)</f>
        <v>0</v>
      </c>
      <c r="J285" s="252" t="s">
        <v>39</v>
      </c>
      <c r="K285" s="42">
        <f>L285/L$250</f>
        <v>0.26803065241033114</v>
      </c>
      <c r="L285" s="251">
        <f>+SUM(L267:L284)</f>
        <v>9565.0999999999985</v>
      </c>
      <c r="M285" s="254"/>
      <c r="N285" s="255">
        <f>+SUM(N267:N284)</f>
        <v>-1966.676885877022</v>
      </c>
      <c r="O285" s="252" t="s">
        <v>39</v>
      </c>
      <c r="P285" s="42">
        <f>Q285/Q$250</f>
        <v>2.1413136020069317</v>
      </c>
      <c r="Q285" s="251">
        <f>+SUM(Q267:Q284)</f>
        <v>13179.1</v>
      </c>
      <c r="R285" s="254"/>
      <c r="S285" s="255">
        <f t="shared" si="132"/>
        <v>-3614.0000000000018</v>
      </c>
      <c r="T285" s="73"/>
    </row>
    <row r="286" spans="1:20" ht="15.75" customHeight="1">
      <c r="B286" s="184"/>
      <c r="C286" s="2"/>
      <c r="D286" s="34"/>
      <c r="E286" s="7"/>
      <c r="F286" s="26"/>
      <c r="G286" s="244"/>
      <c r="H286" s="7"/>
      <c r="I286" s="26"/>
      <c r="J286" s="153"/>
      <c r="K286" s="7"/>
      <c r="L286" s="247"/>
      <c r="M286" s="153"/>
      <c r="N286" s="248"/>
      <c r="O286" s="153"/>
      <c r="P286" s="7"/>
      <c r="Q286" s="247"/>
      <c r="R286" s="153"/>
      <c r="S286" s="248"/>
      <c r="T286" s="73"/>
    </row>
    <row r="287" spans="1:20" ht="15.75" customHeight="1">
      <c r="B287" s="184"/>
      <c r="C287" s="40" t="s">
        <v>65</v>
      </c>
      <c r="D287" s="250" t="s">
        <v>39</v>
      </c>
      <c r="E287" s="42">
        <f>F287/F$250</f>
        <v>1.0184448043014867</v>
      </c>
      <c r="F287" s="46">
        <f>F266+F285</f>
        <v>34953.02568362702</v>
      </c>
      <c r="G287" s="252" t="s">
        <v>39</v>
      </c>
      <c r="H287" s="42" t="e">
        <f>I287/I$250</f>
        <v>#DIV/0!</v>
      </c>
      <c r="I287" s="46">
        <f>I266+I285</f>
        <v>0</v>
      </c>
      <c r="J287" s="252" t="s">
        <v>39</v>
      </c>
      <c r="K287" s="42">
        <f>L287/L$250</f>
        <v>0.87736850172571823</v>
      </c>
      <c r="L287" s="251">
        <f>L266+L285</f>
        <v>31310.289999999997</v>
      </c>
      <c r="M287" s="254"/>
      <c r="N287" s="260">
        <f>N266+N285</f>
        <v>-3642.7356836270219</v>
      </c>
      <c r="O287" s="252" t="s">
        <v>39</v>
      </c>
      <c r="P287" s="42">
        <f>Q287/Q$250</f>
        <v>3.7593392345337264</v>
      </c>
      <c r="Q287" s="251">
        <f>Q266+Q285</f>
        <v>23137.53</v>
      </c>
      <c r="R287" s="254"/>
      <c r="S287" s="260">
        <f>L287-Q287</f>
        <v>8172.7599999999984</v>
      </c>
      <c r="T287" s="73"/>
    </row>
    <row r="288" spans="1:20" ht="15.75" customHeight="1">
      <c r="B288" s="184"/>
      <c r="C288" s="1"/>
      <c r="D288" s="30"/>
      <c r="F288" s="26"/>
      <c r="G288" s="240"/>
      <c r="I288" s="222"/>
      <c r="J288" s="152"/>
      <c r="L288" s="222"/>
      <c r="M288" s="152"/>
      <c r="N288" s="242"/>
      <c r="O288" s="152"/>
      <c r="Q288" s="222"/>
      <c r="R288" s="152"/>
      <c r="S288" s="242"/>
    </row>
    <row r="289" spans="1:20" ht="15.75" customHeight="1" thickBot="1">
      <c r="B289" s="184"/>
      <c r="C289" s="270" t="s">
        <v>72</v>
      </c>
      <c r="D289" s="291"/>
      <c r="E289" s="271"/>
      <c r="F289" s="358">
        <f>F250-F287</f>
        <v>-633.02568362702004</v>
      </c>
      <c r="G289" s="292"/>
      <c r="H289" s="271"/>
      <c r="I289" s="273">
        <f>I250-I287</f>
        <v>0</v>
      </c>
      <c r="J289" s="293"/>
      <c r="K289" s="272"/>
      <c r="L289" s="273">
        <f>L250-L287</f>
        <v>4376.2999999999993</v>
      </c>
      <c r="M289" s="293"/>
      <c r="N289" s="275">
        <f>N250-N287</f>
        <v>5009.3256836270184</v>
      </c>
      <c r="O289" s="293"/>
      <c r="P289" s="272"/>
      <c r="Q289" s="273">
        <f>Q250-Q287</f>
        <v>-16982.850000000009</v>
      </c>
      <c r="R289" s="293"/>
      <c r="S289" s="275">
        <f>L289-Q289</f>
        <v>21359.150000000009</v>
      </c>
      <c r="T289" s="73"/>
    </row>
    <row r="290" spans="1:20" ht="15.75" customHeight="1" thickTop="1">
      <c r="B290" s="184"/>
      <c r="F290" s="26" t="e">
        <f>+F289-#REF!-#REF!-#REF!</f>
        <v>#REF!</v>
      </c>
      <c r="L290" s="26" t="e">
        <f>+L289-#REF!-#REF!-#REF!</f>
        <v>#REF!</v>
      </c>
      <c r="N290" s="26" t="e">
        <f>+N289-#REF!-#REF!-#REF!</f>
        <v>#REF!</v>
      </c>
      <c r="Q290" s="26" t="e">
        <f>+Q289-#REF!-#REF!-#REF!</f>
        <v>#REF!</v>
      </c>
      <c r="S290" s="26" t="e">
        <f>+S289-#REF!-#REF!-#REF!</f>
        <v>#REF!</v>
      </c>
    </row>
    <row r="291" spans="1:20" ht="36" customHeight="1">
      <c r="B291" s="184"/>
      <c r="C291" s="73" t="str">
        <f>C1</f>
        <v>Conso</v>
      </c>
      <c r="D291" s="6"/>
      <c r="E291" s="6"/>
      <c r="F291" s="6"/>
      <c r="G291" s="6"/>
      <c r="H291" s="177"/>
      <c r="I291" s="177"/>
      <c r="J291" s="177"/>
      <c r="K291" s="178" t="s">
        <v>103</v>
      </c>
      <c r="L291" s="6"/>
      <c r="M291" s="6"/>
      <c r="N291" s="177"/>
      <c r="O291" s="177"/>
      <c r="P291" s="6"/>
      <c r="Q291" s="177"/>
      <c r="R291" s="6"/>
      <c r="S291" s="180" t="str">
        <f>$S$1</f>
        <v xml:space="preserve">Réalisé  </v>
      </c>
    </row>
    <row r="292" spans="1:20" ht="15.75" customHeight="1" thickBot="1">
      <c r="B292" s="184"/>
      <c r="C292" s="182"/>
    </row>
    <row r="293" spans="1:20" ht="15.75" customHeight="1" thickTop="1">
      <c r="B293" s="184"/>
      <c r="C293" s="185"/>
      <c r="D293" s="864" t="s">
        <v>5</v>
      </c>
      <c r="E293" s="865"/>
      <c r="F293" s="866"/>
      <c r="G293" s="867" t="s">
        <v>74</v>
      </c>
      <c r="H293" s="865"/>
      <c r="I293" s="866"/>
      <c r="J293" s="867" t="s">
        <v>7</v>
      </c>
      <c r="K293" s="865"/>
      <c r="L293" s="866"/>
      <c r="M293" s="867" t="s">
        <v>9</v>
      </c>
      <c r="N293" s="866"/>
      <c r="O293" s="864" t="s">
        <v>8</v>
      </c>
      <c r="P293" s="865"/>
      <c r="Q293" s="866"/>
      <c r="R293" s="867" t="s">
        <v>217</v>
      </c>
      <c r="S293" s="868"/>
    </row>
    <row r="294" spans="1:20" ht="15.75" customHeight="1">
      <c r="A294" s="23" t="str">
        <f t="shared" ref="A294:A347" si="136">+B294&amp;C294</f>
        <v>Pièces</v>
      </c>
      <c r="B294" s="184" t="s">
        <v>103</v>
      </c>
      <c r="C294" s="1"/>
      <c r="D294" s="175" t="s">
        <v>84</v>
      </c>
      <c r="E294" s="175" t="s">
        <v>104</v>
      </c>
      <c r="F294" s="277" t="s">
        <v>12</v>
      </c>
      <c r="G294" s="278" t="s">
        <v>84</v>
      </c>
      <c r="H294" s="175" t="s">
        <v>104</v>
      </c>
      <c r="I294" s="277" t="s">
        <v>12</v>
      </c>
      <c r="J294" s="278" t="s">
        <v>84</v>
      </c>
      <c r="K294" s="175" t="s">
        <v>104</v>
      </c>
      <c r="L294" s="277" t="s">
        <v>12</v>
      </c>
      <c r="M294" s="278" t="s">
        <v>40</v>
      </c>
      <c r="N294" s="277" t="s">
        <v>12</v>
      </c>
      <c r="O294" s="175" t="s">
        <v>84</v>
      </c>
      <c r="P294" s="175" t="s">
        <v>104</v>
      </c>
      <c r="Q294" s="277" t="s">
        <v>12</v>
      </c>
      <c r="R294" s="278" t="s">
        <v>85</v>
      </c>
      <c r="S294" s="279" t="s">
        <v>12</v>
      </c>
    </row>
    <row r="295" spans="1:20" ht="15.75" customHeight="1">
      <c r="A295" s="23" t="str">
        <f t="shared" si="136"/>
        <v>PiècesPièces Ro Clients</v>
      </c>
      <c r="B295" s="184" t="s">
        <v>103</v>
      </c>
      <c r="C295" s="1" t="s">
        <v>105</v>
      </c>
      <c r="D295" s="26">
        <f>+SUM(START:END!D295)</f>
        <v>237504.61796</v>
      </c>
      <c r="E295" s="27">
        <f>IF(D295=0,0,F295/D295)</f>
        <v>0.35700000000000004</v>
      </c>
      <c r="F295" s="242">
        <f>+SUM(START:END!F295)</f>
        <v>84789.148611720011</v>
      </c>
      <c r="G295" s="26">
        <f>+SUM(START:END!G295)</f>
        <v>0</v>
      </c>
      <c r="H295" s="27">
        <f>IF(G295=0,0,I295/G295)</f>
        <v>0</v>
      </c>
      <c r="I295" s="242">
        <f>+SUM(START:END!I295)</f>
        <v>0</v>
      </c>
      <c r="J295" s="198">
        <f>+SUM(START:END!J295)</f>
        <v>259610.86</v>
      </c>
      <c r="K295" s="27">
        <f>IF(J295=0,0,L295/J295)</f>
        <v>0.37393736148017848</v>
      </c>
      <c r="L295" s="201">
        <f>+SUM(START:END!L295)</f>
        <v>97078.2</v>
      </c>
      <c r="M295" s="296">
        <f>(+J295-D295)/D295</f>
        <v>9.3077104057501178E-2</v>
      </c>
      <c r="N295" s="222">
        <f t="shared" ref="N295:N303" si="137">L295-F295</f>
        <v>12289.051388279986</v>
      </c>
      <c r="O295" s="198">
        <f>+SUM(START:END!O295)</f>
        <v>292637.88999999897</v>
      </c>
      <c r="P295" s="27">
        <f>IF(O295=0,0,Q295/O295)</f>
        <v>0.36089178335724154</v>
      </c>
      <c r="Q295" s="201">
        <f>+SUM(START:END!Q295)</f>
        <v>105610.6099999999</v>
      </c>
      <c r="R295" s="296">
        <f>IF(O295=0,0,(J295-O295)/O295)</f>
        <v>-0.11285971888328984</v>
      </c>
      <c r="S295" s="242">
        <f t="shared" ref="S295:S304" si="138">L295-Q295</f>
        <v>-8532.4099999999016</v>
      </c>
    </row>
    <row r="296" spans="1:20" ht="15.75" customHeight="1">
      <c r="A296" s="23" t="str">
        <f t="shared" si="136"/>
        <v>PiècesPièces Ro Carrosserie</v>
      </c>
      <c r="B296" s="184" t="s">
        <v>103</v>
      </c>
      <c r="C296" s="1" t="s">
        <v>106</v>
      </c>
      <c r="D296" s="26">
        <f>+SUM(START:END!D296)</f>
        <v>93600</v>
      </c>
      <c r="E296" s="27">
        <f t="shared" ref="E296:E303" si="139">IF(D296=0,0,F296/D296)</f>
        <v>0.248</v>
      </c>
      <c r="F296" s="242">
        <f>+SUM(START:END!F296)</f>
        <v>23212.799999999999</v>
      </c>
      <c r="G296" s="26">
        <f>+SUM(START:END!G296)</f>
        <v>0</v>
      </c>
      <c r="H296" s="27">
        <f t="shared" ref="H296:H303" si="140">IF(G296=0,0,I296/G296)</f>
        <v>0</v>
      </c>
      <c r="I296" s="242">
        <f>+SUM(START:END!I296)</f>
        <v>0</v>
      </c>
      <c r="J296" s="198">
        <f>+SUM(START:END!J296)</f>
        <v>142721.71</v>
      </c>
      <c r="K296" s="27">
        <f t="shared" ref="K296:K303" si="141">IF(J296=0,0,L296/J296)</f>
        <v>0.23418490431483763</v>
      </c>
      <c r="L296" s="201">
        <f>+SUM(START:END!L296)</f>
        <v>33423.270000000004</v>
      </c>
      <c r="M296" s="296">
        <f t="shared" ref="M296:M303" si="142">(+J296-D296)/D296</f>
        <v>0.52480459401709389</v>
      </c>
      <c r="N296" s="222">
        <f t="shared" si="137"/>
        <v>10210.470000000005</v>
      </c>
      <c r="O296" s="198">
        <f>+SUM(START:END!O296)</f>
        <v>11119.5</v>
      </c>
      <c r="P296" s="27">
        <f t="shared" ref="P296:P303" si="143">IF(O296=0,0,Q296/O296)</f>
        <v>0.23089707271010207</v>
      </c>
      <c r="Q296" s="201">
        <f>+SUM(START:END!Q296)</f>
        <v>2567.45999999998</v>
      </c>
      <c r="R296" s="296">
        <f t="shared" ref="R296:R303" si="144">IF(O296=0,0,(J296-O296)/O296)</f>
        <v>11.835263276226449</v>
      </c>
      <c r="S296" s="242">
        <f t="shared" ref="S296:S303" si="145">L296-Q296</f>
        <v>30855.810000000023</v>
      </c>
    </row>
    <row r="297" spans="1:20" ht="15.75" customHeight="1">
      <c r="A297" s="23" t="str">
        <f t="shared" si="136"/>
        <v>PiècesP/A Garantie</v>
      </c>
      <c r="B297" s="184" t="s">
        <v>103</v>
      </c>
      <c r="C297" s="1" t="s">
        <v>107</v>
      </c>
      <c r="D297" s="26">
        <f>+SUM(START:END!D297)</f>
        <v>180867.33</v>
      </c>
      <c r="E297" s="27">
        <f t="shared" si="139"/>
        <v>0.23700000000000002</v>
      </c>
      <c r="F297" s="242">
        <f>+SUM(START:END!F297)</f>
        <v>42865.557209999999</v>
      </c>
      <c r="G297" s="26">
        <f>+SUM(START:END!G297)</f>
        <v>0</v>
      </c>
      <c r="H297" s="27">
        <f t="shared" si="140"/>
        <v>0</v>
      </c>
      <c r="I297" s="242">
        <f>+SUM(START:END!I297)</f>
        <v>0</v>
      </c>
      <c r="J297" s="198">
        <f>+SUM(START:END!J297)</f>
        <v>290791.01</v>
      </c>
      <c r="K297" s="27">
        <f t="shared" si="141"/>
        <v>0.23242929690295441</v>
      </c>
      <c r="L297" s="201">
        <f>+SUM(START:END!L297)</f>
        <v>67588.349999999991</v>
      </c>
      <c r="M297" s="296">
        <f t="shared" si="142"/>
        <v>0.60775862617090681</v>
      </c>
      <c r="N297" s="222">
        <f t="shared" si="137"/>
        <v>24722.792789999992</v>
      </c>
      <c r="O297" s="198">
        <f>+SUM(START:END!O297)</f>
        <v>167274.63999999998</v>
      </c>
      <c r="P297" s="27">
        <f t="shared" si="143"/>
        <v>0.23019514494247248</v>
      </c>
      <c r="Q297" s="201">
        <f>+SUM(START:END!Q297)</f>
        <v>38505.809999999903</v>
      </c>
      <c r="R297" s="296">
        <f>IF(O297=0,0,(J297-O297)/O297)</f>
        <v>0.73840463802522627</v>
      </c>
      <c r="S297" s="242">
        <f t="shared" si="145"/>
        <v>29082.540000000088</v>
      </c>
    </row>
    <row r="298" spans="1:20" ht="15.75" customHeight="1">
      <c r="A298" s="23" t="str">
        <f t="shared" si="136"/>
        <v>PiècesVentes Internes</v>
      </c>
      <c r="B298" s="184" t="s">
        <v>103</v>
      </c>
      <c r="C298" s="1" t="s">
        <v>108</v>
      </c>
      <c r="D298" s="26">
        <f>+SUM(START:END!D298)</f>
        <v>203308.64399999997</v>
      </c>
      <c r="E298" s="27">
        <f t="shared" si="139"/>
        <v>0.29399999999999998</v>
      </c>
      <c r="F298" s="242">
        <f>+SUM(START:END!F298)</f>
        <v>59772.741335999992</v>
      </c>
      <c r="G298" s="26">
        <f>+SUM(START:END!G298)</f>
        <v>0</v>
      </c>
      <c r="H298" s="27">
        <f t="shared" si="140"/>
        <v>0</v>
      </c>
      <c r="I298" s="242">
        <f>+SUM(START:END!I298)</f>
        <v>0</v>
      </c>
      <c r="J298" s="198">
        <f>+SUM(START:END!J298)</f>
        <v>237687.93</v>
      </c>
      <c r="K298" s="27">
        <f t="shared" si="141"/>
        <v>0.28416011700720351</v>
      </c>
      <c r="L298" s="201">
        <f>+SUM(START:END!L298)</f>
        <v>67541.429999999993</v>
      </c>
      <c r="M298" s="296">
        <f t="shared" si="142"/>
        <v>0.16909898823583727</v>
      </c>
      <c r="N298" s="222">
        <f t="shared" si="137"/>
        <v>7768.6886640000012</v>
      </c>
      <c r="O298" s="198">
        <f>+SUM(START:END!O298)</f>
        <v>187734.22000000003</v>
      </c>
      <c r="P298" s="27">
        <f t="shared" si="143"/>
        <v>0.30815234430888516</v>
      </c>
      <c r="Q298" s="201">
        <f>+SUM(START:END!Q298)</f>
        <v>57850.740000000005</v>
      </c>
      <c r="R298" s="296">
        <f t="shared" si="144"/>
        <v>0.26608739738551634</v>
      </c>
      <c r="S298" s="242">
        <f t="shared" si="145"/>
        <v>9690.6899999999878</v>
      </c>
    </row>
    <row r="299" spans="1:20" ht="15.75" customHeight="1">
      <c r="A299" s="23" t="str">
        <f t="shared" si="136"/>
        <v>PiècesVentes Détails</v>
      </c>
      <c r="B299" s="184" t="s">
        <v>103</v>
      </c>
      <c r="C299" s="1" t="s">
        <v>109</v>
      </c>
      <c r="D299" s="26">
        <f>+SUM(START:END!D299)</f>
        <v>62197.597999999998</v>
      </c>
      <c r="E299" s="27">
        <f t="shared" si="139"/>
        <v>0.27700000000000002</v>
      </c>
      <c r="F299" s="242">
        <f>+SUM(START:END!F299)</f>
        <v>17228.734646000001</v>
      </c>
      <c r="G299" s="26">
        <f>+SUM(START:END!G299)</f>
        <v>0</v>
      </c>
      <c r="H299" s="27">
        <f t="shared" si="140"/>
        <v>0</v>
      </c>
      <c r="I299" s="242">
        <f>+SUM(START:END!I299)</f>
        <v>0</v>
      </c>
      <c r="J299" s="198">
        <f>+SUM(START:END!J299)</f>
        <v>66902.64</v>
      </c>
      <c r="K299" s="27">
        <f t="shared" si="141"/>
        <v>0.29535441351791208</v>
      </c>
      <c r="L299" s="201">
        <f>+SUM(START:END!L299)</f>
        <v>19759.990000000005</v>
      </c>
      <c r="M299" s="296">
        <f t="shared" si="142"/>
        <v>7.5646683333333894E-2</v>
      </c>
      <c r="N299" s="222">
        <f t="shared" si="137"/>
        <v>2531.2553540000044</v>
      </c>
      <c r="O299" s="198">
        <f>+SUM(START:END!O299)</f>
        <v>58665.439999999995</v>
      </c>
      <c r="P299" s="27">
        <f t="shared" si="143"/>
        <v>0.24736574037457129</v>
      </c>
      <c r="Q299" s="201">
        <f>+SUM(START:END!Q299)</f>
        <v>14511.819999999989</v>
      </c>
      <c r="R299" s="296">
        <f t="shared" si="144"/>
        <v>0.14040975402212963</v>
      </c>
      <c r="S299" s="242">
        <f t="shared" si="145"/>
        <v>5248.1700000000164</v>
      </c>
    </row>
    <row r="300" spans="1:20" ht="15.75" customHeight="1">
      <c r="A300" s="23" t="str">
        <f t="shared" si="136"/>
        <v>PiècesVentes de Gros</v>
      </c>
      <c r="B300" s="184" t="s">
        <v>103</v>
      </c>
      <c r="C300" s="1" t="s">
        <v>110</v>
      </c>
      <c r="D300" s="26">
        <f>+SUM(START:END!D300)</f>
        <v>489501.91499999998</v>
      </c>
      <c r="E300" s="27">
        <f t="shared" si="139"/>
        <v>0.13500000000000004</v>
      </c>
      <c r="F300" s="242">
        <f>+SUM(START:END!F300)</f>
        <v>66082.758525000012</v>
      </c>
      <c r="G300" s="26">
        <f>+SUM(START:END!G300)</f>
        <v>0</v>
      </c>
      <c r="H300" s="27">
        <f t="shared" si="140"/>
        <v>0</v>
      </c>
      <c r="I300" s="242">
        <f>+SUM(START:END!I300)</f>
        <v>0</v>
      </c>
      <c r="J300" s="198">
        <f>+SUM(START:END!J300)</f>
        <v>572822.93000000005</v>
      </c>
      <c r="K300" s="27">
        <f t="shared" si="141"/>
        <v>0.12811061875613117</v>
      </c>
      <c r="L300" s="201">
        <f>+SUM(START:END!L300)</f>
        <v>73384.700000000012</v>
      </c>
      <c r="M300" s="296">
        <f t="shared" si="142"/>
        <v>0.17021591222988386</v>
      </c>
      <c r="N300" s="222">
        <f t="shared" si="137"/>
        <v>7301.9414749999996</v>
      </c>
      <c r="O300" s="198">
        <f>+SUM(START:END!O300)</f>
        <v>459110.22</v>
      </c>
      <c r="P300" s="27">
        <f t="shared" si="143"/>
        <v>0.13581555644742543</v>
      </c>
      <c r="Q300" s="201">
        <f>+SUM(START:END!Q300)</f>
        <v>62354.30999999991</v>
      </c>
      <c r="R300" s="296">
        <f t="shared" si="144"/>
        <v>0.24768063320393977</v>
      </c>
      <c r="S300" s="242">
        <f t="shared" si="145"/>
        <v>11030.390000000101</v>
      </c>
    </row>
    <row r="301" spans="1:20" ht="15.75" hidden="1" customHeight="1">
      <c r="A301" s="23" t="str">
        <f t="shared" si="136"/>
        <v>Pièces[...]</v>
      </c>
      <c r="B301" s="184" t="s">
        <v>103</v>
      </c>
      <c r="C301" s="1" t="s">
        <v>20</v>
      </c>
      <c r="D301" s="26">
        <f>+SUM(START:END!D301)</f>
        <v>0</v>
      </c>
      <c r="E301" s="27">
        <f t="shared" si="139"/>
        <v>0</v>
      </c>
      <c r="F301" s="242">
        <f>+SUM(START:END!F301)</f>
        <v>0</v>
      </c>
      <c r="G301" s="26">
        <f>+SUM(START:END!G301)</f>
        <v>0</v>
      </c>
      <c r="H301" s="27">
        <f t="shared" si="140"/>
        <v>0</v>
      </c>
      <c r="I301" s="242">
        <f>+SUM(START:END!I301)</f>
        <v>0</v>
      </c>
      <c r="J301" s="198">
        <f>+SUM(START:END!J301)</f>
        <v>0</v>
      </c>
      <c r="K301" s="27">
        <f t="shared" si="141"/>
        <v>0</v>
      </c>
      <c r="L301" s="201">
        <f>+SUM(START:END!L301)</f>
        <v>0</v>
      </c>
      <c r="M301" s="296" t="e">
        <f t="shared" si="142"/>
        <v>#DIV/0!</v>
      </c>
      <c r="N301" s="222">
        <f t="shared" si="137"/>
        <v>0</v>
      </c>
      <c r="O301" s="198">
        <f>+SUM(START:END!O301)</f>
        <v>0</v>
      </c>
      <c r="P301" s="27">
        <f t="shared" si="143"/>
        <v>0</v>
      </c>
      <c r="Q301" s="201">
        <f>+SUM(START:END!Q301)</f>
        <v>0</v>
      </c>
      <c r="R301" s="296">
        <f t="shared" si="144"/>
        <v>0</v>
      </c>
      <c r="S301" s="242">
        <f t="shared" si="145"/>
        <v>0</v>
      </c>
    </row>
    <row r="302" spans="1:20" ht="15.75" customHeight="1">
      <c r="A302" s="23" t="str">
        <f t="shared" si="136"/>
        <v>PiècesEscomptes</v>
      </c>
      <c r="B302" s="184" t="s">
        <v>103</v>
      </c>
      <c r="C302" s="1" t="s">
        <v>111</v>
      </c>
      <c r="D302" s="26">
        <f>+SUM(START:END!D302)</f>
        <v>0</v>
      </c>
      <c r="E302" s="27">
        <f t="shared" si="139"/>
        <v>0</v>
      </c>
      <c r="F302" s="242">
        <f>+SUM(START:END!F302)</f>
        <v>32483.042788041839</v>
      </c>
      <c r="G302" s="26">
        <f>+SUM(START:END!G302)</f>
        <v>0</v>
      </c>
      <c r="H302" s="27">
        <f t="shared" si="140"/>
        <v>0</v>
      </c>
      <c r="I302" s="242">
        <f>+SUM(START:END!I302)</f>
        <v>0</v>
      </c>
      <c r="J302" s="198">
        <f>+SUM(START:END!J302)</f>
        <v>0</v>
      </c>
      <c r="K302" s="27">
        <f t="shared" si="141"/>
        <v>0</v>
      </c>
      <c r="L302" s="201">
        <f>+SUM(START:END!L302)</f>
        <v>18608.27</v>
      </c>
      <c r="M302" s="296" t="e">
        <f t="shared" si="142"/>
        <v>#DIV/0!</v>
      </c>
      <c r="N302" s="222">
        <f t="shared" si="137"/>
        <v>-13874.772788041839</v>
      </c>
      <c r="O302" s="198">
        <f>+SUM(START:END!O302)</f>
        <v>0</v>
      </c>
      <c r="P302" s="27">
        <f t="shared" si="143"/>
        <v>0</v>
      </c>
      <c r="Q302" s="201">
        <f>+SUM(START:END!Q302)</f>
        <v>16164.79</v>
      </c>
      <c r="R302" s="296">
        <f t="shared" si="144"/>
        <v>0</v>
      </c>
      <c r="S302" s="242">
        <f t="shared" si="145"/>
        <v>2443.4799999999996</v>
      </c>
    </row>
    <row r="303" spans="1:20" ht="15.75" customHeight="1">
      <c r="A303" s="23" t="str">
        <f t="shared" si="136"/>
        <v>PiècesRectif. Inventaire</v>
      </c>
      <c r="B303" s="184" t="s">
        <v>103</v>
      </c>
      <c r="C303" s="2" t="s">
        <v>112</v>
      </c>
      <c r="D303" s="26">
        <f>+SUM(START:END!D303)</f>
        <v>0</v>
      </c>
      <c r="E303" s="27">
        <f t="shared" si="139"/>
        <v>0</v>
      </c>
      <c r="F303" s="242">
        <f>+SUM(START:END!F303)</f>
        <v>0</v>
      </c>
      <c r="G303" s="26">
        <f>+SUM(START:END!G303)</f>
        <v>0</v>
      </c>
      <c r="H303" s="27">
        <f t="shared" si="140"/>
        <v>0</v>
      </c>
      <c r="I303" s="242">
        <f>+SUM(START:END!I303)</f>
        <v>0</v>
      </c>
      <c r="J303" s="198">
        <f>+SUM(START:END!J303)</f>
        <v>0</v>
      </c>
      <c r="K303" s="27">
        <f t="shared" si="141"/>
        <v>0</v>
      </c>
      <c r="L303" s="201">
        <f>+SUM(START:END!L303)</f>
        <v>0</v>
      </c>
      <c r="M303" s="296" t="e">
        <f t="shared" si="142"/>
        <v>#DIV/0!</v>
      </c>
      <c r="N303" s="222">
        <f t="shared" si="137"/>
        <v>0</v>
      </c>
      <c r="O303" s="198">
        <f>+SUM(START:END!O303)</f>
        <v>0</v>
      </c>
      <c r="P303" s="27">
        <f t="shared" si="143"/>
        <v>0</v>
      </c>
      <c r="Q303" s="201">
        <f>+SUM(START:END!Q303)</f>
        <v>0</v>
      </c>
      <c r="R303" s="296">
        <f t="shared" si="144"/>
        <v>0</v>
      </c>
      <c r="S303" s="242">
        <f t="shared" si="145"/>
        <v>0</v>
      </c>
    </row>
    <row r="304" spans="1:20" ht="15.75" customHeight="1">
      <c r="A304" s="23" t="str">
        <f t="shared" si="136"/>
        <v>PiècesSous-total Pièces</v>
      </c>
      <c r="B304" s="184" t="s">
        <v>103</v>
      </c>
      <c r="C304" s="22" t="s">
        <v>113</v>
      </c>
      <c r="D304" s="83">
        <f>SUM(D295:D303)</f>
        <v>1266980.1049599999</v>
      </c>
      <c r="E304" s="78">
        <f>IF(D304&lt;=0,0,F304/D304)</f>
        <v>0.25764791557407107</v>
      </c>
      <c r="F304" s="330">
        <f>SUM(F295:F303)</f>
        <v>326434.78311676177</v>
      </c>
      <c r="G304" s="83">
        <f>SUM(G295:G303)</f>
        <v>0</v>
      </c>
      <c r="H304" s="78">
        <f>IF(G304&lt;=0,0,I304/G304)</f>
        <v>0</v>
      </c>
      <c r="I304" s="330">
        <f>SUM(I295:I303)</f>
        <v>0</v>
      </c>
      <c r="J304" s="83">
        <f>SUM(J295:J303)</f>
        <v>1570537.08</v>
      </c>
      <c r="K304" s="78">
        <f>IF(J304&lt;=0,0,L304/J304)</f>
        <v>0.24028990770469424</v>
      </c>
      <c r="L304" s="329">
        <f>SUM(L295:L303)</f>
        <v>377384.21</v>
      </c>
      <c r="M304" s="365">
        <f>(+J304-D304)/D304</f>
        <v>0.23959095636279454</v>
      </c>
      <c r="N304" s="329">
        <f>SUM(N295:N303)</f>
        <v>50949.426883238149</v>
      </c>
      <c r="O304" s="83">
        <f>SUM(O295:O303)</f>
        <v>1176541.909999999</v>
      </c>
      <c r="P304" s="78">
        <f>IF(O304&lt;=0,0,Q304/O304)</f>
        <v>0.25291537638467965</v>
      </c>
      <c r="Q304" s="329">
        <f>SUM(Q295:Q303)</f>
        <v>297565.53999999963</v>
      </c>
      <c r="R304" s="365">
        <f>IF(O304=0,0,(J304-O304)/O304)</f>
        <v>0.33487559316947868</v>
      </c>
      <c r="S304" s="330">
        <f t="shared" si="138"/>
        <v>79818.670000000391</v>
      </c>
    </row>
    <row r="305" spans="1:19" ht="15.75" customHeight="1">
      <c r="A305" s="23" t="str">
        <f t="shared" si="136"/>
        <v>Pièces</v>
      </c>
      <c r="B305" s="184" t="s">
        <v>103</v>
      </c>
      <c r="C305" s="1"/>
      <c r="F305" s="208"/>
      <c r="G305" s="152"/>
      <c r="I305" s="208"/>
      <c r="J305" s="152"/>
      <c r="L305" s="208"/>
      <c r="M305" s="152"/>
      <c r="N305" s="171">
        <f>N304/F304</f>
        <v>0.15607842521185666</v>
      </c>
      <c r="O305" s="152"/>
      <c r="Q305" s="208"/>
      <c r="R305" s="152"/>
      <c r="S305" s="209">
        <f>IF(Q304=0,0,S304/Q304)</f>
        <v>0.26823895670177567</v>
      </c>
    </row>
    <row r="306" spans="1:19" ht="15.75" customHeight="1">
      <c r="A306" s="23" t="str">
        <f t="shared" si="136"/>
        <v>Pièces</v>
      </c>
      <c r="B306" s="184" t="s">
        <v>103</v>
      </c>
      <c r="C306" s="2"/>
      <c r="D306" s="7"/>
      <c r="E306" s="7"/>
      <c r="F306" s="366"/>
      <c r="G306" s="153"/>
      <c r="H306" s="367"/>
      <c r="I306" s="366"/>
      <c r="J306" s="153"/>
      <c r="K306" s="7"/>
      <c r="L306" s="366"/>
      <c r="M306" s="153"/>
      <c r="N306" s="302"/>
      <c r="O306" s="153"/>
      <c r="P306" s="7"/>
      <c r="Q306" s="366"/>
      <c r="R306" s="153"/>
      <c r="S306" s="303"/>
    </row>
    <row r="307" spans="1:19" ht="15.75" customHeight="1">
      <c r="A307" s="23" t="str">
        <f t="shared" si="136"/>
        <v>PiècesVentes Pneus</v>
      </c>
      <c r="B307" s="184" t="s">
        <v>103</v>
      </c>
      <c r="C307" s="1" t="s">
        <v>114</v>
      </c>
      <c r="D307" s="26">
        <f>+SUM(START:END!D307)</f>
        <v>86305.65</v>
      </c>
      <c r="E307" s="27">
        <f t="shared" ref="E307:E308" si="146">IF(D307=0,0,F307/D307)</f>
        <v>0.17100000000000004</v>
      </c>
      <c r="F307" s="259">
        <f>+SUM(START:END!F307)</f>
        <v>14758.266150000003</v>
      </c>
      <c r="G307" s="26">
        <f>+SUM(START:END!G307)</f>
        <v>0</v>
      </c>
      <c r="H307" s="27">
        <f t="shared" ref="H307:H308" si="147">IF(G307=0,0,I307/G307)</f>
        <v>0</v>
      </c>
      <c r="I307" s="259">
        <f>+SUM(START:END!I307)</f>
        <v>0</v>
      </c>
      <c r="J307" s="198">
        <f>+SUM(START:END!J307)</f>
        <v>113975.85999999999</v>
      </c>
      <c r="K307" s="27">
        <f t="shared" ref="K307:K308" si="148">IF(J307=0,0,L307/J307)</f>
        <v>0.19133990302858869</v>
      </c>
      <c r="L307" s="201">
        <f>+SUM(START:END!L307)</f>
        <v>21808.129999999997</v>
      </c>
      <c r="M307" s="296">
        <f t="shared" ref="M307:M308" si="149">(+J307-D307)/D307</f>
        <v>0.32060716766515279</v>
      </c>
      <c r="N307" s="222">
        <f t="shared" ref="N307:N308" si="150">L307-F307</f>
        <v>7049.8638499999943</v>
      </c>
      <c r="O307" s="198">
        <f>+SUM(START:END!O307)</f>
        <v>67090.049999999988</v>
      </c>
      <c r="P307" s="27">
        <f t="shared" ref="P307:P308" si="151">IF(O307=0,0,Q307/O307)</f>
        <v>0.14645629269914082</v>
      </c>
      <c r="Q307" s="201">
        <f>+SUM(START:END!Q307)</f>
        <v>9825.7599999999911</v>
      </c>
      <c r="R307" s="296">
        <f t="shared" ref="R307:R308" si="152">IF(O307=0,0,(J307-O307)/O307)</f>
        <v>0.69884893512525337</v>
      </c>
      <c r="S307" s="242">
        <f t="shared" ref="S307:S308" si="153">L307-Q307</f>
        <v>11982.370000000006</v>
      </c>
    </row>
    <row r="308" spans="1:19" ht="15.75" customHeight="1">
      <c r="A308" s="23" t="str">
        <f t="shared" si="136"/>
        <v>PiècesHuiles et Graisse</v>
      </c>
      <c r="B308" s="184" t="s">
        <v>103</v>
      </c>
      <c r="C308" s="2" t="s">
        <v>115</v>
      </c>
      <c r="D308" s="26">
        <f>+SUM(START:END!D308)</f>
        <v>62940.923547115046</v>
      </c>
      <c r="E308" s="27">
        <f t="shared" si="146"/>
        <v>0.25600000000000001</v>
      </c>
      <c r="F308" s="248">
        <f>+SUM(START:END!F308)</f>
        <v>16112.876428061452</v>
      </c>
      <c r="G308" s="26">
        <f>+SUM(START:END!G308)</f>
        <v>0</v>
      </c>
      <c r="H308" s="27">
        <f t="shared" si="147"/>
        <v>0</v>
      </c>
      <c r="I308" s="248">
        <f>+SUM(START:END!I308)</f>
        <v>0</v>
      </c>
      <c r="J308" s="198">
        <f>+SUM(START:END!J308)</f>
        <v>73289.040000000008</v>
      </c>
      <c r="K308" s="27">
        <f t="shared" si="148"/>
        <v>0.28700635183650919</v>
      </c>
      <c r="L308" s="201">
        <f>+SUM(START:END!L308)</f>
        <v>21034.42</v>
      </c>
      <c r="M308" s="296">
        <f t="shared" si="149"/>
        <v>0.1644099874883275</v>
      </c>
      <c r="N308" s="222">
        <f t="shared" si="150"/>
        <v>4921.5435719385459</v>
      </c>
      <c r="O308" s="198">
        <f>+SUM(START:END!O308)</f>
        <v>65671.28</v>
      </c>
      <c r="P308" s="27">
        <f t="shared" si="151"/>
        <v>0.25476052849891129</v>
      </c>
      <c r="Q308" s="201">
        <f>+SUM(START:END!Q308)</f>
        <v>16730.449999999983</v>
      </c>
      <c r="R308" s="296">
        <f t="shared" si="152"/>
        <v>0.11599834813635443</v>
      </c>
      <c r="S308" s="242">
        <f t="shared" si="153"/>
        <v>4303.9700000000157</v>
      </c>
    </row>
    <row r="309" spans="1:19" ht="15.75" customHeight="1">
      <c r="A309" s="23" t="str">
        <f t="shared" si="136"/>
        <v>PiècesSous-total Pièces et Acc.</v>
      </c>
      <c r="B309" s="184" t="s">
        <v>103</v>
      </c>
      <c r="C309" s="22" t="s">
        <v>116</v>
      </c>
      <c r="D309" s="83">
        <f>D304+D307+D308</f>
        <v>1416226.6785071148</v>
      </c>
      <c r="E309" s="78">
        <f>IF(D309&lt;=0,0,F309/D309)</f>
        <v>0.25229430508361106</v>
      </c>
      <c r="F309" s="329">
        <f t="shared" ref="F309" si="154">F304+F307+F308</f>
        <v>357305.92569482321</v>
      </c>
      <c r="G309" s="328">
        <f>G304+G307+G308</f>
        <v>0</v>
      </c>
      <c r="H309" s="78">
        <f>IF(G309&lt;=0,0,I309/G309)</f>
        <v>0</v>
      </c>
      <c r="I309" s="329">
        <f t="shared" ref="I309" si="155">I304+I307+I308</f>
        <v>0</v>
      </c>
      <c r="J309" s="328">
        <f>J304+J307+J308</f>
        <v>1757801.98</v>
      </c>
      <c r="K309" s="78">
        <f>IF(J309&lt;=0,0,L309/J309)</f>
        <v>0.23906376530535028</v>
      </c>
      <c r="L309" s="329">
        <f t="shared" ref="L309:N309" si="156">L304+L307+L308</f>
        <v>420226.76</v>
      </c>
      <c r="M309" s="365">
        <f>(+J309-D309)/D309</f>
        <v>0.24118688531764532</v>
      </c>
      <c r="N309" s="329">
        <f t="shared" si="156"/>
        <v>62920.834305176686</v>
      </c>
      <c r="O309" s="328">
        <f>O304+O307+O308</f>
        <v>1309303.2399999991</v>
      </c>
      <c r="P309" s="78">
        <f>IF(O309&lt;=0,0,Q309/O309)</f>
        <v>0.24755285108742256</v>
      </c>
      <c r="Q309" s="329">
        <f t="shared" ref="Q309" si="157">Q304+Q307+Q308</f>
        <v>324121.74999999965</v>
      </c>
      <c r="R309" s="365">
        <f>IF(O309=0,0,(J309-O309)/O309)</f>
        <v>0.34254764389034986</v>
      </c>
      <c r="S309" s="330">
        <f t="shared" ref="S309" si="158">L309-Q309</f>
        <v>96105.010000000359</v>
      </c>
    </row>
    <row r="310" spans="1:19" ht="15.75" customHeight="1">
      <c r="A310" s="23" t="str">
        <f t="shared" si="136"/>
        <v>Pièces</v>
      </c>
      <c r="B310" s="184" t="s">
        <v>103</v>
      </c>
      <c r="C310" s="1"/>
      <c r="F310" s="208"/>
      <c r="G310" s="152"/>
      <c r="I310" s="208"/>
      <c r="J310" s="152"/>
      <c r="L310" s="208"/>
      <c r="M310" s="152"/>
      <c r="N310" s="171">
        <f>N309/F309</f>
        <v>0.1760979311575081</v>
      </c>
      <c r="O310" s="152"/>
      <c r="Q310" s="208"/>
      <c r="R310" s="152"/>
      <c r="S310" s="209">
        <f>IF(Q309=0,0,S309/Q309)</f>
        <v>0.29650898157868288</v>
      </c>
    </row>
    <row r="311" spans="1:19" ht="15.75" hidden="1" customHeight="1">
      <c r="A311" s="23" t="str">
        <f t="shared" si="136"/>
        <v>PiècesPièces recond. MCPA</v>
      </c>
      <c r="B311" s="184" t="s">
        <v>103</v>
      </c>
      <c r="C311" s="1" t="s">
        <v>196</v>
      </c>
      <c r="D311" s="26">
        <f>+SUM(START:END!D311)</f>
        <v>0</v>
      </c>
      <c r="E311" s="27">
        <f t="shared" ref="E311:E312" si="159">IF(D311=0,0,F311/D311)</f>
        <v>0</v>
      </c>
      <c r="F311" s="222">
        <f>+SUM(START:END!F311)</f>
        <v>0</v>
      </c>
      <c r="G311" s="223">
        <f>+SUM(START:END!G311)</f>
        <v>0</v>
      </c>
      <c r="H311" s="27">
        <f t="shared" ref="H311:H312" si="160">IF(G311=0,0,I311/G311)</f>
        <v>0</v>
      </c>
      <c r="I311" s="222">
        <f>+SUM(START:END!I311)</f>
        <v>0</v>
      </c>
      <c r="J311" s="199">
        <f>+SUM(START:END!J311)</f>
        <v>0</v>
      </c>
      <c r="K311" s="27">
        <f t="shared" ref="K311:K312" si="161">IF(J311=0,0,L311/J311)</f>
        <v>0</v>
      </c>
      <c r="L311" s="201">
        <f>+SUM(START:END!L311)</f>
        <v>0</v>
      </c>
      <c r="M311" s="27" t="e">
        <f t="shared" ref="M311:M312" si="162">(+J311-D311)/D311</f>
        <v>#DIV/0!</v>
      </c>
      <c r="N311" s="222">
        <f t="shared" ref="N311:N312" si="163">L311-F311</f>
        <v>0</v>
      </c>
      <c r="O311" s="199">
        <f>+SUM(START:END!O311)</f>
        <v>0</v>
      </c>
      <c r="P311" s="27">
        <f t="shared" ref="P311:P312" si="164">IF(O311=0,0,Q311/O311)</f>
        <v>0</v>
      </c>
      <c r="Q311" s="201">
        <f>+SUM(START:END!Q311)</f>
        <v>0</v>
      </c>
      <c r="R311" s="27">
        <f t="shared" ref="R311:R312" si="165">IF(O311=0,0,(J311-O311)/O311)</f>
        <v>0</v>
      </c>
      <c r="S311" s="242">
        <f t="shared" ref="S311:S312" si="166">L311-Q311</f>
        <v>0</v>
      </c>
    </row>
    <row r="312" spans="1:19" ht="15.75" hidden="1" customHeight="1">
      <c r="A312" s="23" t="str">
        <f t="shared" si="136"/>
        <v>PiècesAutostock</v>
      </c>
      <c r="B312" s="184" t="s">
        <v>103</v>
      </c>
      <c r="C312" s="2" t="s">
        <v>117</v>
      </c>
      <c r="D312" s="245">
        <f>+SUM(START:END!D312)</f>
        <v>0</v>
      </c>
      <c r="E312" s="305">
        <f t="shared" si="159"/>
        <v>0</v>
      </c>
      <c r="F312" s="368">
        <f>+SUM(START:END!F312)</f>
        <v>0</v>
      </c>
      <c r="G312" s="307">
        <f>+SUM(START:END!G312)</f>
        <v>0</v>
      </c>
      <c r="H312" s="305">
        <f t="shared" si="160"/>
        <v>0</v>
      </c>
      <c r="I312" s="368">
        <f>+SUM(START:END!I312)</f>
        <v>0</v>
      </c>
      <c r="J312" s="211">
        <f>+SUM(START:END!J312)</f>
        <v>0</v>
      </c>
      <c r="K312" s="11">
        <f t="shared" si="161"/>
        <v>0</v>
      </c>
      <c r="L312" s="193">
        <f>+SUM(START:END!L312)</f>
        <v>0</v>
      </c>
      <c r="M312" s="11" t="e">
        <f t="shared" si="162"/>
        <v>#DIV/0!</v>
      </c>
      <c r="N312" s="247">
        <f t="shared" si="163"/>
        <v>0</v>
      </c>
      <c r="O312" s="211">
        <f>+SUM(START:END!O312)</f>
        <v>0</v>
      </c>
      <c r="P312" s="11">
        <f t="shared" si="164"/>
        <v>0</v>
      </c>
      <c r="Q312" s="193">
        <f>+SUM(START:END!Q312)</f>
        <v>0</v>
      </c>
      <c r="R312" s="11">
        <f t="shared" si="165"/>
        <v>0</v>
      </c>
      <c r="S312" s="248">
        <f t="shared" si="166"/>
        <v>0</v>
      </c>
    </row>
    <row r="313" spans="1:19" ht="15.75" customHeight="1" thickBot="1">
      <c r="A313" s="23" t="str">
        <f t="shared" si="136"/>
        <v>Pièces</v>
      </c>
      <c r="B313" s="184" t="s">
        <v>103</v>
      </c>
      <c r="C313" s="1"/>
      <c r="D313" s="26"/>
      <c r="E313" s="27"/>
      <c r="F313" s="222"/>
      <c r="G313" s="223"/>
      <c r="H313" s="27"/>
      <c r="I313" s="222"/>
      <c r="J313" s="223"/>
      <c r="K313" s="27"/>
      <c r="L313" s="222"/>
      <c r="M313" s="296"/>
      <c r="N313" s="222"/>
      <c r="O313" s="223"/>
      <c r="P313" s="27"/>
      <c r="Q313" s="222"/>
      <c r="R313" s="296"/>
      <c r="S313" s="242"/>
    </row>
    <row r="314" spans="1:19" ht="15.75" customHeight="1" thickTop="1">
      <c r="A314" s="23" t="str">
        <f t="shared" si="136"/>
        <v>PiècesTotal Dépt. Pièces</v>
      </c>
      <c r="B314" s="184" t="s">
        <v>103</v>
      </c>
      <c r="C314" s="225" t="s">
        <v>118</v>
      </c>
      <c r="D314" s="226">
        <f>D309+D312+D311</f>
        <v>1416226.6785071148</v>
      </c>
      <c r="E314" s="369">
        <f>IF(D314&lt;=0,0,F314/D314)</f>
        <v>0.25229430508361106</v>
      </c>
      <c r="F314" s="228">
        <f>F309+F312+F311</f>
        <v>357305.92569482321</v>
      </c>
      <c r="G314" s="229">
        <f>G309+G312+G311</f>
        <v>0</v>
      </c>
      <c r="H314" s="369">
        <f>IF(G314&lt;=0,0,I314/G314)</f>
        <v>0</v>
      </c>
      <c r="I314" s="228">
        <f>I309+I312+I311</f>
        <v>0</v>
      </c>
      <c r="J314" s="229">
        <f>J309+J312+J311</f>
        <v>1757801.98</v>
      </c>
      <c r="K314" s="369">
        <f>IF(J314&lt;=0,0,L314/J314)</f>
        <v>0.23906376530535028</v>
      </c>
      <c r="L314" s="228">
        <f>L309+L312+L311</f>
        <v>420226.76</v>
      </c>
      <c r="M314" s="370">
        <f>(+J314-D314)/D314</f>
        <v>0.24118688531764532</v>
      </c>
      <c r="N314" s="372">
        <f>N309+N312+N311</f>
        <v>62920.834305176686</v>
      </c>
      <c r="O314" s="229">
        <f>O309+O312+O311</f>
        <v>1309303.2399999991</v>
      </c>
      <c r="P314" s="369">
        <f>IF(O314&lt;=0,0,Q314/O314)</f>
        <v>0.24755285108742256</v>
      </c>
      <c r="Q314" s="228">
        <f>Q309+Q312+Q311</f>
        <v>324121.74999999965</v>
      </c>
      <c r="R314" s="370">
        <f>IF(O314=0,0,(J314-O314)/O314)</f>
        <v>0.34254764389034986</v>
      </c>
      <c r="S314" s="372">
        <f>L314-Q314</f>
        <v>96105.010000000359</v>
      </c>
    </row>
    <row r="315" spans="1:19" ht="15.75" customHeight="1" thickBot="1">
      <c r="A315" s="23" t="str">
        <f t="shared" si="136"/>
        <v>Pièces</v>
      </c>
      <c r="B315" s="184" t="s">
        <v>103</v>
      </c>
      <c r="C315" s="373"/>
      <c r="D315" s="374"/>
      <c r="E315" s="375"/>
      <c r="F315" s="376"/>
      <c r="G315" s="377"/>
      <c r="H315" s="375"/>
      <c r="I315" s="376"/>
      <c r="J315" s="377"/>
      <c r="K315" s="375"/>
      <c r="L315" s="376"/>
      <c r="M315" s="378"/>
      <c r="N315" s="237">
        <f>N314/F314</f>
        <v>0.1760979311575081</v>
      </c>
      <c r="O315" s="377"/>
      <c r="P315" s="375"/>
      <c r="Q315" s="376"/>
      <c r="R315" s="378"/>
      <c r="S315" s="237">
        <f>IF(Q314=0,0,S314/Q314)</f>
        <v>0.29650898157868288</v>
      </c>
    </row>
    <row r="316" spans="1:19" ht="15.75" customHeight="1" thickTop="1">
      <c r="A316" s="23" t="str">
        <f t="shared" si="136"/>
        <v>Pièces</v>
      </c>
      <c r="B316" s="184" t="s">
        <v>103</v>
      </c>
      <c r="C316" s="22"/>
      <c r="D316" s="87"/>
      <c r="E316" s="311"/>
      <c r="F316" s="312"/>
      <c r="G316" s="318"/>
      <c r="H316" s="311"/>
      <c r="I316" s="312"/>
      <c r="J316" s="318"/>
      <c r="K316" s="311"/>
      <c r="L316" s="312"/>
      <c r="M316" s="152"/>
      <c r="N316" s="171"/>
      <c r="O316" s="318"/>
      <c r="P316" s="311"/>
      <c r="Q316" s="312"/>
      <c r="R316" s="152"/>
      <c r="S316" s="209"/>
    </row>
    <row r="317" spans="1:19" ht="15.75" customHeight="1">
      <c r="A317" s="23" t="str">
        <f t="shared" si="136"/>
        <v>PiècesDEPENSES</v>
      </c>
      <c r="B317" s="184" t="s">
        <v>103</v>
      </c>
      <c r="C317" s="239" t="s">
        <v>30</v>
      </c>
      <c r="F317" s="222"/>
      <c r="G317" s="152"/>
      <c r="I317" s="222"/>
      <c r="J317" s="152"/>
      <c r="L317" s="208"/>
      <c r="M317" s="152"/>
      <c r="N317" s="208"/>
      <c r="O317" s="152"/>
      <c r="Q317" s="208"/>
      <c r="R317" s="152"/>
      <c r="S317" s="224"/>
    </row>
    <row r="318" spans="1:19" ht="15.75" customHeight="1">
      <c r="A318" s="23" t="str">
        <f t="shared" si="136"/>
        <v>PiècesSalaires cadres</v>
      </c>
      <c r="B318" s="184" t="s">
        <v>103</v>
      </c>
      <c r="C318" s="1" t="s">
        <v>41</v>
      </c>
      <c r="F318" s="198">
        <f>+SUM(START:END!F318)</f>
        <v>22063.75</v>
      </c>
      <c r="G318" s="152"/>
      <c r="I318" s="198">
        <f>+SUM(START:END!I318)</f>
        <v>0</v>
      </c>
      <c r="J318" s="152"/>
      <c r="L318" s="201">
        <f>+SUM(START:END!L318)</f>
        <v>23739.620000000003</v>
      </c>
      <c r="M318" s="152"/>
      <c r="N318" s="379">
        <f t="shared" ref="N318:N328" si="167">L318-F318</f>
        <v>1675.8700000000026</v>
      </c>
      <c r="O318" s="152"/>
      <c r="Q318" s="201">
        <f>+SUM(START:END!Q318)</f>
        <v>28093.32</v>
      </c>
      <c r="R318" s="152"/>
      <c r="S318" s="202">
        <f>L318-Q318</f>
        <v>-4353.6999999999971</v>
      </c>
    </row>
    <row r="319" spans="1:19" ht="15.75" customHeight="1">
      <c r="A319" s="23" t="str">
        <f t="shared" si="136"/>
        <v>PiècesSalaires commis</v>
      </c>
      <c r="B319" s="184" t="s">
        <v>103</v>
      </c>
      <c r="C319" s="2" t="s">
        <v>42</v>
      </c>
      <c r="D319" s="30"/>
      <c r="F319" s="193">
        <f>+SUM(START:END!F319)</f>
        <v>85337.878400000001</v>
      </c>
      <c r="G319" s="240"/>
      <c r="I319" s="193">
        <f>+SUM(START:END!I319)</f>
        <v>0</v>
      </c>
      <c r="J319" s="152"/>
      <c r="L319" s="201">
        <f>+SUM(START:END!L319)</f>
        <v>74620.479999999996</v>
      </c>
      <c r="M319" s="152"/>
      <c r="N319" s="222">
        <f t="shared" si="167"/>
        <v>-10717.398400000005</v>
      </c>
      <c r="O319" s="152"/>
      <c r="Q319" s="201">
        <f>+SUM(START:END!Q319)</f>
        <v>75467.079999999987</v>
      </c>
      <c r="R319" s="152"/>
      <c r="S319" s="242">
        <f t="shared" ref="S319:S328" si="168">L319-Q319</f>
        <v>-846.59999999999127</v>
      </c>
    </row>
    <row r="320" spans="1:19" ht="15.75" customHeight="1">
      <c r="A320" s="23" t="str">
        <f t="shared" si="136"/>
        <v>PiècesSalaires autres</v>
      </c>
      <c r="B320" s="184" t="s">
        <v>103</v>
      </c>
      <c r="C320" s="1" t="s">
        <v>43</v>
      </c>
      <c r="D320" s="52"/>
      <c r="E320" s="53"/>
      <c r="F320" s="198">
        <f>+SUM(START:END!F320)</f>
        <v>455.8</v>
      </c>
      <c r="G320" s="256"/>
      <c r="H320" s="53"/>
      <c r="I320" s="198">
        <f>+SUM(START:END!I320)</f>
        <v>0</v>
      </c>
      <c r="J320" s="154"/>
      <c r="K320" s="53"/>
      <c r="L320" s="257">
        <f>+SUM(START:END!L320)</f>
        <v>341.76</v>
      </c>
      <c r="M320" s="154"/>
      <c r="N320" s="258">
        <f t="shared" si="167"/>
        <v>-114.04000000000002</v>
      </c>
      <c r="O320" s="154"/>
      <c r="P320" s="53"/>
      <c r="Q320" s="257">
        <f>+SUM(START:END!Q320)</f>
        <v>341.76</v>
      </c>
      <c r="R320" s="154"/>
      <c r="S320" s="259">
        <f t="shared" si="168"/>
        <v>0</v>
      </c>
    </row>
    <row r="321" spans="1:19" ht="15.75" customHeight="1">
      <c r="A321" s="23" t="str">
        <f t="shared" si="136"/>
        <v>PiècesSalaires spécialistes</v>
      </c>
      <c r="B321" s="184" t="s">
        <v>103</v>
      </c>
      <c r="C321" s="1" t="s">
        <v>44</v>
      </c>
      <c r="D321" s="30"/>
      <c r="F321" s="198">
        <f>+SUM(START:END!F321)</f>
        <v>0</v>
      </c>
      <c r="G321" s="240"/>
      <c r="I321" s="198">
        <f>+SUM(START:END!I321)</f>
        <v>0</v>
      </c>
      <c r="J321" s="152"/>
      <c r="L321" s="201">
        <f>+SUM(START:END!L321)</f>
        <v>0</v>
      </c>
      <c r="M321" s="152"/>
      <c r="N321" s="222">
        <f t="shared" si="167"/>
        <v>0</v>
      </c>
      <c r="O321" s="152"/>
      <c r="Q321" s="201">
        <f>+SUM(START:END!Q321)</f>
        <v>0</v>
      </c>
      <c r="R321" s="152"/>
      <c r="S321" s="242">
        <f t="shared" si="168"/>
        <v>0</v>
      </c>
    </row>
    <row r="322" spans="1:19" ht="15.75" hidden="1" customHeight="1">
      <c r="A322" s="23" t="str">
        <f t="shared" si="136"/>
        <v>Pièces[...]</v>
      </c>
      <c r="B322" s="184" t="s">
        <v>103</v>
      </c>
      <c r="C322" s="380" t="s">
        <v>20</v>
      </c>
      <c r="D322" s="30"/>
      <c r="F322" s="198">
        <f>+SUM(START:END!F322)</f>
        <v>0</v>
      </c>
      <c r="G322" s="240"/>
      <c r="I322" s="198">
        <f>+SUM(START:END!I322)</f>
        <v>0</v>
      </c>
      <c r="J322" s="152"/>
      <c r="L322" s="201">
        <f>+SUM(START:END!L322)</f>
        <v>0</v>
      </c>
      <c r="M322" s="152"/>
      <c r="N322" s="222">
        <f t="shared" si="167"/>
        <v>0</v>
      </c>
      <c r="O322" s="152"/>
      <c r="Q322" s="201">
        <f>+SUM(START:END!Q322)</f>
        <v>0</v>
      </c>
      <c r="R322" s="152"/>
      <c r="S322" s="242">
        <f t="shared" si="168"/>
        <v>0</v>
      </c>
    </row>
    <row r="323" spans="1:19" ht="15.75" hidden="1" customHeight="1">
      <c r="A323" s="23" t="str">
        <f t="shared" si="136"/>
        <v>Pièces[...]</v>
      </c>
      <c r="B323" s="184" t="s">
        <v>103</v>
      </c>
      <c r="C323" s="380" t="s">
        <v>20</v>
      </c>
      <c r="D323" s="30"/>
      <c r="F323" s="198">
        <f>+SUM(START:END!F323)</f>
        <v>0</v>
      </c>
      <c r="G323" s="240"/>
      <c r="I323" s="198">
        <f>+SUM(START:END!I323)</f>
        <v>0</v>
      </c>
      <c r="J323" s="152"/>
      <c r="L323" s="201">
        <f>+SUM(START:END!L323)</f>
        <v>0</v>
      </c>
      <c r="M323" s="152"/>
      <c r="N323" s="222">
        <f t="shared" si="167"/>
        <v>0</v>
      </c>
      <c r="O323" s="152"/>
      <c r="Q323" s="201">
        <f>+SUM(START:END!Q323)</f>
        <v>0</v>
      </c>
      <c r="R323" s="152"/>
      <c r="S323" s="242">
        <f t="shared" si="168"/>
        <v>0</v>
      </c>
    </row>
    <row r="324" spans="1:19" ht="15.75" hidden="1" customHeight="1">
      <c r="A324" s="23" t="str">
        <f t="shared" si="136"/>
        <v>Pièces[...]</v>
      </c>
      <c r="B324" s="184" t="s">
        <v>103</v>
      </c>
      <c r="C324" s="380" t="s">
        <v>20</v>
      </c>
      <c r="D324" s="30"/>
      <c r="F324" s="198">
        <f>+SUM(START:END!F324)</f>
        <v>0</v>
      </c>
      <c r="G324" s="240"/>
      <c r="I324" s="198">
        <f>+SUM(START:END!I324)</f>
        <v>0</v>
      </c>
      <c r="J324" s="152"/>
      <c r="L324" s="201">
        <f>+SUM(START:END!L324)</f>
        <v>0</v>
      </c>
      <c r="M324" s="152"/>
      <c r="N324" s="222">
        <f t="shared" si="167"/>
        <v>0</v>
      </c>
      <c r="O324" s="152"/>
      <c r="Q324" s="201">
        <f>+SUM(START:END!Q324)</f>
        <v>0</v>
      </c>
      <c r="R324" s="152"/>
      <c r="S324" s="242">
        <f t="shared" si="168"/>
        <v>0</v>
      </c>
    </row>
    <row r="325" spans="1:19" ht="15.75" customHeight="1">
      <c r="A325" s="23" t="str">
        <f t="shared" si="136"/>
        <v>PiècesSalaires en absences</v>
      </c>
      <c r="B325" s="184" t="s">
        <v>103</v>
      </c>
      <c r="C325" s="2" t="s">
        <v>45</v>
      </c>
      <c r="D325" s="30"/>
      <c r="F325" s="193">
        <f>+SUM(START:END!F325)</f>
        <v>13298.0491234</v>
      </c>
      <c r="G325" s="240"/>
      <c r="I325" s="193">
        <f>+SUM(START:END!I325)</f>
        <v>0</v>
      </c>
      <c r="J325" s="152"/>
      <c r="L325" s="201">
        <f>+SUM(START:END!L325)</f>
        <v>10955.85</v>
      </c>
      <c r="M325" s="152"/>
      <c r="N325" s="222">
        <f t="shared" si="167"/>
        <v>-2342.1991233999997</v>
      </c>
      <c r="O325" s="152"/>
      <c r="Q325" s="201">
        <f>+SUM(START:END!Q325)</f>
        <v>9766.49</v>
      </c>
      <c r="R325" s="152"/>
      <c r="S325" s="242">
        <f t="shared" si="168"/>
        <v>1189.3600000000006</v>
      </c>
    </row>
    <row r="326" spans="1:19" ht="15.75" customHeight="1">
      <c r="A326" s="23" t="str">
        <f t="shared" si="136"/>
        <v>PiècesDéduction à la source</v>
      </c>
      <c r="B326" s="184" t="s">
        <v>103</v>
      </c>
      <c r="C326" s="1" t="s">
        <v>46</v>
      </c>
      <c r="D326" s="52"/>
      <c r="E326" s="53"/>
      <c r="F326" s="198">
        <f>+SUM(START:END!F326)</f>
        <v>16168.553119200002</v>
      </c>
      <c r="G326" s="256"/>
      <c r="H326" s="53"/>
      <c r="I326" s="198">
        <f>+SUM(START:END!I326)</f>
        <v>0</v>
      </c>
      <c r="J326" s="154"/>
      <c r="K326" s="53"/>
      <c r="L326" s="257">
        <f>+SUM(START:END!L326)</f>
        <v>14439.07</v>
      </c>
      <c r="M326" s="154"/>
      <c r="N326" s="258">
        <f t="shared" si="167"/>
        <v>-1729.483119200002</v>
      </c>
      <c r="O326" s="154"/>
      <c r="P326" s="53"/>
      <c r="Q326" s="257">
        <f>+SUM(START:END!Q326)</f>
        <v>21906.1</v>
      </c>
      <c r="R326" s="154"/>
      <c r="S326" s="259">
        <f t="shared" si="168"/>
        <v>-7467.0299999999988</v>
      </c>
    </row>
    <row r="327" spans="1:19" ht="15.75" customHeight="1">
      <c r="A327" s="23" t="str">
        <f t="shared" si="136"/>
        <v>PiècesBénéfices marginaux</v>
      </c>
      <c r="B327" s="184" t="s">
        <v>103</v>
      </c>
      <c r="C327" s="1" t="s">
        <v>47</v>
      </c>
      <c r="D327" s="30"/>
      <c r="F327" s="198">
        <f>+SUM(START:END!F327)</f>
        <v>8330.3197592399993</v>
      </c>
      <c r="G327" s="240"/>
      <c r="I327" s="198">
        <f>+SUM(START:END!I327)</f>
        <v>0</v>
      </c>
      <c r="J327" s="152"/>
      <c r="L327" s="201">
        <f>+SUM(START:END!L327)</f>
        <v>3864.91</v>
      </c>
      <c r="M327" s="152"/>
      <c r="N327" s="222">
        <f t="shared" si="167"/>
        <v>-4465.4097592399994</v>
      </c>
      <c r="O327" s="152"/>
      <c r="Q327" s="201">
        <f>+SUM(START:END!Q327)</f>
        <v>4236.3600000000006</v>
      </c>
      <c r="R327" s="152"/>
      <c r="S327" s="242">
        <f t="shared" si="168"/>
        <v>-371.45000000000073</v>
      </c>
    </row>
    <row r="328" spans="1:19" ht="15.75" customHeight="1">
      <c r="A328" s="23" t="str">
        <f t="shared" si="136"/>
        <v>PiècesCsst</v>
      </c>
      <c r="B328" s="184" t="s">
        <v>103</v>
      </c>
      <c r="C328" s="1" t="s">
        <v>48</v>
      </c>
      <c r="D328" s="30"/>
      <c r="F328" s="198">
        <f>+SUM(START:END!F328)</f>
        <v>3632.0662803999994</v>
      </c>
      <c r="G328" s="240"/>
      <c r="I328" s="198">
        <f>+SUM(START:END!I328)</f>
        <v>0</v>
      </c>
      <c r="J328" s="152"/>
      <c r="L328" s="201">
        <f>+SUM(START:END!L328)</f>
        <v>2816.02</v>
      </c>
      <c r="M328" s="152"/>
      <c r="N328" s="222">
        <f t="shared" si="167"/>
        <v>-816.04628039999943</v>
      </c>
      <c r="O328" s="152"/>
      <c r="Q328" s="201">
        <f>+SUM(START:END!Q328)</f>
        <v>3389.67</v>
      </c>
      <c r="R328" s="152"/>
      <c r="S328" s="242">
        <f t="shared" si="168"/>
        <v>-573.65000000000009</v>
      </c>
    </row>
    <row r="329" spans="1:19" ht="15.75" customHeight="1">
      <c r="A329" s="23" t="str">
        <f t="shared" si="136"/>
        <v>PiècesTOTAL PERSONNEL</v>
      </c>
      <c r="B329" s="184" t="s">
        <v>103</v>
      </c>
      <c r="C329" s="40" t="s">
        <v>49</v>
      </c>
      <c r="D329" s="250" t="s">
        <v>39</v>
      </c>
      <c r="E329" s="42">
        <f>F329/F$314</f>
        <v>0.41781119748275958</v>
      </c>
      <c r="F329" s="251">
        <f>+SUM(F318:F328)</f>
        <v>149286.41668224</v>
      </c>
      <c r="G329" s="252" t="s">
        <v>39</v>
      </c>
      <c r="H329" s="42" t="e">
        <f>I329/I$314</f>
        <v>#DIV/0!</v>
      </c>
      <c r="I329" s="251">
        <f>+SUM(I318:I328)</f>
        <v>0</v>
      </c>
      <c r="J329" s="252" t="s">
        <v>39</v>
      </c>
      <c r="K329" s="42">
        <f>L329/L$314</f>
        <v>0.31120747760090289</v>
      </c>
      <c r="L329" s="251">
        <f>+SUM(L318:L328)</f>
        <v>130777.71</v>
      </c>
      <c r="M329" s="289"/>
      <c r="N329" s="251">
        <f>+SUM(N318:N328)</f>
        <v>-18508.706682240001</v>
      </c>
      <c r="O329" s="252" t="s">
        <v>39</v>
      </c>
      <c r="P329" s="42">
        <f>Q329/Q$314</f>
        <v>0.44181169575938717</v>
      </c>
      <c r="Q329" s="251">
        <f>+SUM(Q318:Q328)</f>
        <v>143200.78</v>
      </c>
      <c r="R329" s="289"/>
      <c r="S329" s="260">
        <f t="shared" ref="S329:S344" si="169">L329-Q329</f>
        <v>-12423.069999999992</v>
      </c>
    </row>
    <row r="330" spans="1:19" ht="15.75" customHeight="1">
      <c r="A330" s="23" t="str">
        <f t="shared" si="136"/>
        <v>PiècesPublicité 2</v>
      </c>
      <c r="B330" s="184" t="s">
        <v>103</v>
      </c>
      <c r="C330" s="3" t="s">
        <v>50</v>
      </c>
      <c r="D330" s="30"/>
      <c r="F330" s="198">
        <f>+SUM(START:END!F331)</f>
        <v>9093.9960779223329</v>
      </c>
      <c r="G330" s="240"/>
      <c r="I330" s="198">
        <f>+SUM(START:END!I331)</f>
        <v>0</v>
      </c>
      <c r="J330" s="152"/>
      <c r="L330" s="201">
        <f>+SUM(START:END!L331)</f>
        <v>3866.11</v>
      </c>
      <c r="M330" s="152"/>
      <c r="N330" s="222">
        <f t="shared" ref="N330:N344" si="170">L330-F330</f>
        <v>-5227.8860779223323</v>
      </c>
      <c r="O330" s="152"/>
      <c r="Q330" s="201">
        <f>+SUM(START:END!Q331)</f>
        <v>9836.56</v>
      </c>
      <c r="R330" s="152"/>
      <c r="S330" s="242">
        <f t="shared" si="169"/>
        <v>-5970.4499999999989</v>
      </c>
    </row>
    <row r="331" spans="1:19" ht="15.75" customHeight="1">
      <c r="A331" s="23" t="str">
        <f t="shared" si="136"/>
        <v>PiècesService gratuit 2</v>
      </c>
      <c r="B331" s="184" t="s">
        <v>103</v>
      </c>
      <c r="C331" s="1" t="s">
        <v>51</v>
      </c>
      <c r="D331" s="30"/>
      <c r="F331" s="198">
        <f>+SUM(START:END!F332)</f>
        <v>1684.577334604282</v>
      </c>
      <c r="G331" s="240"/>
      <c r="I331" s="198">
        <f>+SUM(START:END!I332)</f>
        <v>0</v>
      </c>
      <c r="J331" s="152"/>
      <c r="L331" s="201">
        <f>+SUM(START:END!L332)</f>
        <v>-838.58</v>
      </c>
      <c r="M331" s="152"/>
      <c r="N331" s="222">
        <f t="shared" si="170"/>
        <v>-2523.1573346042819</v>
      </c>
      <c r="O331" s="152"/>
      <c r="Q331" s="201">
        <f>+SUM(START:END!Q332)</f>
        <v>961.66</v>
      </c>
      <c r="R331" s="152"/>
      <c r="S331" s="242">
        <f t="shared" si="169"/>
        <v>-1800.24</v>
      </c>
    </row>
    <row r="332" spans="1:19" ht="15.75" customHeight="1">
      <c r="A332" s="23" t="str">
        <f t="shared" si="136"/>
        <v>PiècesFrais véhicules de cie</v>
      </c>
      <c r="B332" s="184" t="s">
        <v>103</v>
      </c>
      <c r="C332" s="2" t="s">
        <v>52</v>
      </c>
      <c r="D332" s="34"/>
      <c r="E332" s="7"/>
      <c r="F332" s="193">
        <f>+SUM(START:END!F333)</f>
        <v>3792.9614666666675</v>
      </c>
      <c r="G332" s="244"/>
      <c r="H332" s="7"/>
      <c r="I332" s="193">
        <f>+SUM(START:END!I333)</f>
        <v>0</v>
      </c>
      <c r="J332" s="153"/>
      <c r="K332" s="7"/>
      <c r="L332" s="201">
        <f>+SUM(START:END!L333)</f>
        <v>3238.13</v>
      </c>
      <c r="M332" s="153"/>
      <c r="N332" s="247">
        <f t="shared" si="170"/>
        <v>-554.83146666666744</v>
      </c>
      <c r="O332" s="153"/>
      <c r="P332" s="7"/>
      <c r="Q332" s="201">
        <f>+SUM(START:END!Q333)</f>
        <v>3631.26</v>
      </c>
      <c r="R332" s="153"/>
      <c r="S332" s="248">
        <f t="shared" si="169"/>
        <v>-393.13000000000011</v>
      </c>
    </row>
    <row r="333" spans="1:19" ht="15.75" customHeight="1">
      <c r="A333" s="23" t="str">
        <f t="shared" si="136"/>
        <v>PiècesInformatique</v>
      </c>
      <c r="B333" s="184" t="s">
        <v>103</v>
      </c>
      <c r="C333" s="1" t="s">
        <v>53</v>
      </c>
      <c r="D333" s="30"/>
      <c r="F333" s="198">
        <f>+SUM(START:END!F334)</f>
        <v>13348.970216833335</v>
      </c>
      <c r="G333" s="240"/>
      <c r="I333" s="198">
        <f>+SUM(START:END!I334)</f>
        <v>0</v>
      </c>
      <c r="J333" s="152"/>
      <c r="L333" s="257">
        <f>+SUM(START:END!L334)</f>
        <v>16702.75</v>
      </c>
      <c r="M333" s="152"/>
      <c r="N333" s="222">
        <f t="shared" si="170"/>
        <v>3353.7797831666649</v>
      </c>
      <c r="O333" s="152"/>
      <c r="Q333" s="257">
        <f>+SUM(START:END!Q334)</f>
        <v>16097.2</v>
      </c>
      <c r="R333" s="152"/>
      <c r="S333" s="242">
        <f t="shared" si="169"/>
        <v>605.54999999999927</v>
      </c>
    </row>
    <row r="334" spans="1:19" ht="15.75" customHeight="1">
      <c r="A334" s="23" t="str">
        <f t="shared" si="136"/>
        <v>PiècesFrais de déplacement</v>
      </c>
      <c r="B334" s="184" t="s">
        <v>103</v>
      </c>
      <c r="C334" s="1" t="s">
        <v>54</v>
      </c>
      <c r="D334" s="30"/>
      <c r="F334" s="198">
        <f>+SUM(START:END!F335)</f>
        <v>2454.829406630427</v>
      </c>
      <c r="G334" s="240"/>
      <c r="I334" s="198">
        <f>+SUM(START:END!I335)</f>
        <v>0</v>
      </c>
      <c r="J334" s="152"/>
      <c r="L334" s="201">
        <f>+SUM(START:END!L335)</f>
        <v>1971.9800000000002</v>
      </c>
      <c r="M334" s="152"/>
      <c r="N334" s="222">
        <f t="shared" si="170"/>
        <v>-482.84940663042676</v>
      </c>
      <c r="O334" s="152"/>
      <c r="Q334" s="201">
        <f>+SUM(START:END!Q335)</f>
        <v>3321.77</v>
      </c>
      <c r="R334" s="152"/>
      <c r="S334" s="242">
        <f t="shared" si="169"/>
        <v>-1349.7899999999997</v>
      </c>
    </row>
    <row r="335" spans="1:19" ht="15.75" customHeight="1">
      <c r="A335" s="23" t="str">
        <f t="shared" si="136"/>
        <v>PiècesServices extérieurs</v>
      </c>
      <c r="B335" s="184" t="s">
        <v>103</v>
      </c>
      <c r="C335" s="5" t="s">
        <v>55</v>
      </c>
      <c r="D335" s="34"/>
      <c r="E335" s="7"/>
      <c r="F335" s="193">
        <f>+SUM(START:END!F336)</f>
        <v>37464.257631795728</v>
      </c>
      <c r="G335" s="244"/>
      <c r="H335" s="7"/>
      <c r="I335" s="193">
        <f>+SUM(START:END!I336)</f>
        <v>0</v>
      </c>
      <c r="J335" s="153"/>
      <c r="K335" s="7"/>
      <c r="L335" s="213">
        <f>+SUM(START:END!L336)</f>
        <v>48088.800000000003</v>
      </c>
      <c r="M335" s="153"/>
      <c r="N335" s="247">
        <f t="shared" si="170"/>
        <v>10624.542368204275</v>
      </c>
      <c r="O335" s="153"/>
      <c r="P335" s="7"/>
      <c r="Q335" s="213">
        <f>+SUM(START:END!Q336)</f>
        <v>34615.300000000003</v>
      </c>
      <c r="R335" s="153"/>
      <c r="S335" s="248">
        <f t="shared" si="169"/>
        <v>13473.5</v>
      </c>
    </row>
    <row r="336" spans="1:19" ht="15.75" customHeight="1">
      <c r="A336" s="23" t="str">
        <f t="shared" si="136"/>
        <v>PiècesFournitures d'atelier</v>
      </c>
      <c r="B336" s="184" t="s">
        <v>103</v>
      </c>
      <c r="C336" s="1" t="s">
        <v>98</v>
      </c>
      <c r="D336" s="30"/>
      <c r="F336" s="198">
        <f>+SUM(START:END!F337)</f>
        <v>0</v>
      </c>
      <c r="G336" s="240"/>
      <c r="I336" s="198">
        <f>+SUM(START:END!I337)</f>
        <v>0</v>
      </c>
      <c r="J336" s="152"/>
      <c r="L336" s="201">
        <f>+SUM(START:END!L337)</f>
        <v>0</v>
      </c>
      <c r="M336" s="152"/>
      <c r="N336" s="222">
        <f t="shared" si="170"/>
        <v>0</v>
      </c>
      <c r="O336" s="152"/>
      <c r="Q336" s="201">
        <f>+SUM(START:END!Q337)</f>
        <v>0</v>
      </c>
      <c r="R336" s="152"/>
      <c r="S336" s="242">
        <f t="shared" si="169"/>
        <v>0</v>
      </c>
    </row>
    <row r="337" spans="1:19" ht="15.75" customHeight="1">
      <c r="A337" s="23" t="str">
        <f t="shared" si="136"/>
        <v>PiècesFournitures autres</v>
      </c>
      <c r="B337" s="184" t="s">
        <v>103</v>
      </c>
      <c r="C337" s="1" t="s">
        <v>56</v>
      </c>
      <c r="D337" s="30"/>
      <c r="F337" s="198">
        <f>+SUM(START:END!F338)</f>
        <v>767.02599999999995</v>
      </c>
      <c r="G337" s="240"/>
      <c r="I337" s="198">
        <f>+SUM(START:END!I338)</f>
        <v>0</v>
      </c>
      <c r="J337" s="152"/>
      <c r="L337" s="201">
        <f>+SUM(START:END!L338)</f>
        <v>40.08</v>
      </c>
      <c r="M337" s="152"/>
      <c r="N337" s="222">
        <f t="shared" si="170"/>
        <v>-726.94599999999991</v>
      </c>
      <c r="O337" s="152"/>
      <c r="Q337" s="201">
        <f>+SUM(START:END!Q338)</f>
        <v>769.57</v>
      </c>
      <c r="R337" s="152"/>
      <c r="S337" s="242">
        <f t="shared" si="169"/>
        <v>-729.49</v>
      </c>
    </row>
    <row r="338" spans="1:19" ht="15.75" customHeight="1">
      <c r="A338" s="23" t="str">
        <f t="shared" si="136"/>
        <v>PiècesUniformes</v>
      </c>
      <c r="B338" s="184" t="s">
        <v>103</v>
      </c>
      <c r="C338" s="1" t="s">
        <v>57</v>
      </c>
      <c r="D338" s="30"/>
      <c r="F338" s="198">
        <f>+SUM(START:END!F339)</f>
        <v>85</v>
      </c>
      <c r="G338" s="240"/>
      <c r="I338" s="198">
        <f>+SUM(START:END!I339)</f>
        <v>0</v>
      </c>
      <c r="J338" s="152"/>
      <c r="L338" s="201">
        <f>+SUM(START:END!L339)</f>
        <v>0</v>
      </c>
      <c r="M338" s="152"/>
      <c r="N338" s="222">
        <f t="shared" si="170"/>
        <v>-85</v>
      </c>
      <c r="O338" s="152"/>
      <c r="Q338" s="201">
        <f>+SUM(START:END!Q339)</f>
        <v>0</v>
      </c>
      <c r="R338" s="152"/>
      <c r="S338" s="242">
        <f t="shared" si="169"/>
        <v>0</v>
      </c>
    </row>
    <row r="339" spans="1:19" ht="15.75" customHeight="1">
      <c r="A339" s="23" t="str">
        <f t="shared" si="136"/>
        <v>PiècesPapeterie</v>
      </c>
      <c r="B339" s="184" t="s">
        <v>103</v>
      </c>
      <c r="C339" s="1" t="s">
        <v>58</v>
      </c>
      <c r="D339" s="30"/>
      <c r="F339" s="198">
        <f>+SUM(START:END!F340)</f>
        <v>2149.2271398495</v>
      </c>
      <c r="G339" s="240"/>
      <c r="I339" s="198">
        <f>+SUM(START:END!I340)</f>
        <v>0</v>
      </c>
      <c r="J339" s="152"/>
      <c r="L339" s="200">
        <f>+SUM(START:END!L340)</f>
        <v>1267.69</v>
      </c>
      <c r="M339" s="152"/>
      <c r="N339" s="222">
        <f t="shared" si="170"/>
        <v>-881.53713984949991</v>
      </c>
      <c r="O339" s="152"/>
      <c r="Q339" s="200">
        <f>+SUM(START:END!Q340)</f>
        <v>3636.9100000000003</v>
      </c>
      <c r="R339" s="152"/>
      <c r="S339" s="242">
        <f t="shared" si="169"/>
        <v>-2369.2200000000003</v>
      </c>
    </row>
    <row r="340" spans="1:19" ht="15.75" customHeight="1">
      <c r="A340" s="23" t="str">
        <f t="shared" si="136"/>
        <v>PiècesTéléphone</v>
      </c>
      <c r="B340" s="184" t="s">
        <v>103</v>
      </c>
      <c r="C340" s="1" t="s">
        <v>59</v>
      </c>
      <c r="D340" s="30"/>
      <c r="F340" s="198">
        <f>+SUM(START:END!F341)</f>
        <v>346.62223077652089</v>
      </c>
      <c r="G340" s="240"/>
      <c r="I340" s="198">
        <f>+SUM(START:END!I341)</f>
        <v>0</v>
      </c>
      <c r="J340" s="152"/>
      <c r="L340" s="201">
        <f>+SUM(START:END!L341)</f>
        <v>250.55</v>
      </c>
      <c r="M340" s="152"/>
      <c r="N340" s="222">
        <f t="shared" si="170"/>
        <v>-96.072230776520883</v>
      </c>
      <c r="O340" s="152"/>
      <c r="Q340" s="201">
        <f>+SUM(START:END!Q341)</f>
        <v>350.07</v>
      </c>
      <c r="R340" s="152"/>
      <c r="S340" s="242">
        <f t="shared" si="169"/>
        <v>-99.519999999999982</v>
      </c>
    </row>
    <row r="341" spans="1:19" ht="15.75" customHeight="1">
      <c r="A341" s="23" t="str">
        <f t="shared" si="136"/>
        <v>PiècesFrais postaux</v>
      </c>
      <c r="B341" s="184" t="s">
        <v>103</v>
      </c>
      <c r="C341" s="1" t="s">
        <v>60</v>
      </c>
      <c r="D341" s="30"/>
      <c r="F341" s="198">
        <f>+SUM(START:END!F342)</f>
        <v>-93.331042386520863</v>
      </c>
      <c r="G341" s="240"/>
      <c r="I341" s="198">
        <f>+SUM(START:END!I342)</f>
        <v>0</v>
      </c>
      <c r="J341" s="152"/>
      <c r="L341" s="201">
        <f>+SUM(START:END!L342)</f>
        <v>-4798.54</v>
      </c>
      <c r="M341" s="152"/>
      <c r="N341" s="222">
        <f t="shared" si="170"/>
        <v>-4705.2089576134795</v>
      </c>
      <c r="O341" s="152"/>
      <c r="Q341" s="201">
        <f>+SUM(START:END!Q342)</f>
        <v>-556.40000000000009</v>
      </c>
      <c r="R341" s="152"/>
      <c r="S341" s="242">
        <f t="shared" si="169"/>
        <v>-4242.1399999999994</v>
      </c>
    </row>
    <row r="342" spans="1:19" ht="15.75" customHeight="1">
      <c r="A342" s="23" t="str">
        <f t="shared" si="136"/>
        <v>PiècesDivers</v>
      </c>
      <c r="B342" s="184" t="s">
        <v>103</v>
      </c>
      <c r="C342" s="1" t="s">
        <v>61</v>
      </c>
      <c r="D342" s="30"/>
      <c r="F342" s="198">
        <f>+SUM(START:END!F343)</f>
        <v>469.53352998735431</v>
      </c>
      <c r="G342" s="240"/>
      <c r="I342" s="198">
        <f>+SUM(START:END!I343)</f>
        <v>0</v>
      </c>
      <c r="J342" s="152"/>
      <c r="L342" s="201">
        <f>+SUM(START:END!L343)</f>
        <v>203.25</v>
      </c>
      <c r="M342" s="152"/>
      <c r="N342" s="222">
        <f t="shared" si="170"/>
        <v>-266.28352998735431</v>
      </c>
      <c r="O342" s="152"/>
      <c r="Q342" s="201">
        <f>+SUM(START:END!Q343)</f>
        <v>307.01</v>
      </c>
      <c r="R342" s="152"/>
      <c r="S342" s="242">
        <f t="shared" si="169"/>
        <v>-103.75999999999999</v>
      </c>
    </row>
    <row r="343" spans="1:19" ht="15.75" customHeight="1">
      <c r="A343" s="23" t="str">
        <f t="shared" si="136"/>
        <v>PiècesFormation</v>
      </c>
      <c r="B343" s="184" t="s">
        <v>103</v>
      </c>
      <c r="C343" s="1" t="s">
        <v>62</v>
      </c>
      <c r="D343" s="30"/>
      <c r="F343" s="198">
        <f>+SUM(START:END!F344)</f>
        <v>1136.8629636429398</v>
      </c>
      <c r="G343" s="240"/>
      <c r="I343" s="198">
        <f>+SUM(START:END!I344)</f>
        <v>0</v>
      </c>
      <c r="J343" s="152"/>
      <c r="L343" s="201">
        <f>+SUM(START:END!L344)</f>
        <v>1118.6400000000001</v>
      </c>
      <c r="M343" s="152"/>
      <c r="N343" s="222">
        <f t="shared" si="170"/>
        <v>-18.222963642939703</v>
      </c>
      <c r="O343" s="152"/>
      <c r="Q343" s="201">
        <f>+SUM(START:END!Q344)</f>
        <v>681.29</v>
      </c>
      <c r="R343" s="152"/>
      <c r="S343" s="242">
        <f t="shared" si="169"/>
        <v>437.35000000000014</v>
      </c>
    </row>
    <row r="344" spans="1:19" ht="15.75" customHeight="1">
      <c r="A344" s="23" t="str">
        <f t="shared" si="136"/>
        <v>PiècesFrais bancaires</v>
      </c>
      <c r="B344" s="184" t="s">
        <v>103</v>
      </c>
      <c r="C344" s="1" t="s">
        <v>63</v>
      </c>
      <c r="D344" s="30"/>
      <c r="F344" s="198">
        <f>+SUM(START:END!F345)</f>
        <v>4730.3393201103681</v>
      </c>
      <c r="G344" s="240"/>
      <c r="I344" s="198">
        <f>+SUM(START:END!I345)</f>
        <v>0</v>
      </c>
      <c r="J344" s="152"/>
      <c r="L344" s="200">
        <f>+SUM(START:END!L345)</f>
        <v>5303.3</v>
      </c>
      <c r="M344" s="152"/>
      <c r="N344" s="222">
        <f t="shared" si="170"/>
        <v>572.96067988963205</v>
      </c>
      <c r="O344" s="152"/>
      <c r="Q344" s="201">
        <f>+SUM(START:END!Q345)</f>
        <v>4694.22</v>
      </c>
      <c r="R344" s="152"/>
      <c r="S344" s="242">
        <f t="shared" si="169"/>
        <v>609.07999999999993</v>
      </c>
    </row>
    <row r="345" spans="1:19" ht="15.75" hidden="1" customHeight="1">
      <c r="A345" s="23" t="str">
        <f t="shared" si="136"/>
        <v>Pièces[...]</v>
      </c>
      <c r="B345" s="184" t="s">
        <v>103</v>
      </c>
      <c r="C345" s="1" t="s">
        <v>20</v>
      </c>
      <c r="D345" s="30"/>
      <c r="F345" s="198">
        <f>+SUM(START:END!F346)</f>
        <v>0</v>
      </c>
      <c r="G345" s="240"/>
      <c r="I345" s="198">
        <f>+SUM(START:END!I346)</f>
        <v>0</v>
      </c>
      <c r="J345" s="152"/>
      <c r="L345" s="201">
        <f>+SUM(START:END!L346)</f>
        <v>0</v>
      </c>
      <c r="M345" s="152"/>
      <c r="N345" s="222">
        <f t="shared" ref="N345:N347" si="171">L345-I345</f>
        <v>0</v>
      </c>
      <c r="O345" s="152"/>
      <c r="Q345" s="201">
        <f>+SUM(START:END!Q346)</f>
        <v>0</v>
      </c>
      <c r="R345" s="152"/>
      <c r="S345" s="242">
        <f t="shared" ref="S345:S347" si="172">L345-Q345</f>
        <v>0</v>
      </c>
    </row>
    <row r="346" spans="1:19" ht="15.75" hidden="1" customHeight="1">
      <c r="A346" s="23" t="str">
        <f t="shared" si="136"/>
        <v>Pièces[...]</v>
      </c>
      <c r="B346" s="184" t="s">
        <v>103</v>
      </c>
      <c r="C346" s="1" t="s">
        <v>20</v>
      </c>
      <c r="D346" s="30"/>
      <c r="F346" s="198">
        <f>+SUM(START:END!F347)</f>
        <v>0</v>
      </c>
      <c r="G346" s="240"/>
      <c r="I346" s="198">
        <f>+SUM(START:END!I347)</f>
        <v>0</v>
      </c>
      <c r="J346" s="152"/>
      <c r="L346" s="201">
        <f>+SUM(START:END!L347)</f>
        <v>0</v>
      </c>
      <c r="M346" s="152"/>
      <c r="N346" s="222">
        <f t="shared" si="171"/>
        <v>0</v>
      </c>
      <c r="O346" s="152"/>
      <c r="Q346" s="201">
        <f>+SUM(START:END!Q347)</f>
        <v>0</v>
      </c>
      <c r="R346" s="152"/>
      <c r="S346" s="242">
        <f t="shared" si="172"/>
        <v>0</v>
      </c>
    </row>
    <row r="347" spans="1:19" ht="15.75" hidden="1" customHeight="1">
      <c r="A347" s="23" t="str">
        <f t="shared" si="136"/>
        <v>Pièces[...]</v>
      </c>
      <c r="B347" s="184" t="s">
        <v>103</v>
      </c>
      <c r="C347" s="1" t="s">
        <v>20</v>
      </c>
      <c r="D347" s="30"/>
      <c r="F347" s="198">
        <f>+SUM(START:END!F348)</f>
        <v>0</v>
      </c>
      <c r="G347" s="240"/>
      <c r="I347" s="198">
        <f>+SUM(START:END!I348)</f>
        <v>0</v>
      </c>
      <c r="J347" s="152"/>
      <c r="L347" s="201">
        <f>+SUM(START:END!L348)</f>
        <v>0</v>
      </c>
      <c r="M347" s="152"/>
      <c r="N347" s="222">
        <f t="shared" si="171"/>
        <v>0</v>
      </c>
      <c r="O347" s="152"/>
      <c r="Q347" s="201">
        <f>+SUM(START:END!Q348)</f>
        <v>0</v>
      </c>
      <c r="R347" s="152"/>
      <c r="S347" s="242">
        <f t="shared" si="172"/>
        <v>0</v>
      </c>
    </row>
    <row r="348" spans="1:19" ht="15.75" customHeight="1">
      <c r="B348" s="181"/>
      <c r="C348" s="40" t="s">
        <v>64</v>
      </c>
      <c r="D348" s="250" t="s">
        <v>39</v>
      </c>
      <c r="E348" s="42">
        <f>F348/F$314</f>
        <v>0.2167074954770469</v>
      </c>
      <c r="F348" s="251">
        <f>+SUM(F330:F347)</f>
        <v>77430.872276432958</v>
      </c>
      <c r="G348" s="252" t="s">
        <v>39</v>
      </c>
      <c r="H348" s="42" t="e">
        <f>I348/I$314</f>
        <v>#DIV/0!</v>
      </c>
      <c r="I348" s="251">
        <f>+SUM(I330:I347)</f>
        <v>0</v>
      </c>
      <c r="J348" s="252" t="s">
        <v>39</v>
      </c>
      <c r="K348" s="42">
        <f>L348/L$314</f>
        <v>0.18184029974673677</v>
      </c>
      <c r="L348" s="251">
        <f>+SUM(L330:L347)</f>
        <v>76414.160000000018</v>
      </c>
      <c r="M348" s="254"/>
      <c r="N348" s="251">
        <f>+SUM(N330:N347)</f>
        <v>-1016.7122764329304</v>
      </c>
      <c r="O348" s="252" t="s">
        <v>39</v>
      </c>
      <c r="P348" s="42">
        <f>Q348/Q$314</f>
        <v>0.24171910709478797</v>
      </c>
      <c r="Q348" s="251">
        <f>+SUM(Q330:Q347)</f>
        <v>78346.420000000013</v>
      </c>
      <c r="R348" s="254"/>
      <c r="S348" s="255">
        <f>+SUM(S330:S347)</f>
        <v>-1932.2599999999984</v>
      </c>
    </row>
    <row r="349" spans="1:19" ht="15.75" customHeight="1">
      <c r="B349" s="181"/>
      <c r="C349" s="2"/>
      <c r="D349" s="34"/>
      <c r="E349" s="7"/>
      <c r="F349" s="222"/>
      <c r="G349" s="244"/>
      <c r="H349" s="7"/>
      <c r="I349" s="222"/>
      <c r="J349" s="153"/>
      <c r="K349" s="7"/>
      <c r="L349" s="247"/>
      <c r="M349" s="153"/>
      <c r="N349" s="247"/>
      <c r="O349" s="153"/>
      <c r="P349" s="7"/>
      <c r="Q349" s="247"/>
      <c r="R349" s="153"/>
      <c r="S349" s="248"/>
    </row>
    <row r="350" spans="1:19" ht="15.75" customHeight="1">
      <c r="B350" s="181"/>
      <c r="C350" s="40" t="s">
        <v>65</v>
      </c>
      <c r="D350" s="250" t="s">
        <v>39</v>
      </c>
      <c r="E350" s="42">
        <f>F350/F$314</f>
        <v>0.63451869295980645</v>
      </c>
      <c r="F350" s="251">
        <f>F329+F348</f>
        <v>226717.28895867296</v>
      </c>
      <c r="G350" s="252" t="s">
        <v>39</v>
      </c>
      <c r="H350" s="42" t="e">
        <f>I350/I$314</f>
        <v>#DIV/0!</v>
      </c>
      <c r="I350" s="251">
        <f>I329+I348</f>
        <v>0</v>
      </c>
      <c r="J350" s="252" t="s">
        <v>39</v>
      </c>
      <c r="K350" s="42">
        <f>L350/L$314</f>
        <v>0.49304777734763972</v>
      </c>
      <c r="L350" s="251">
        <f>L329+L348</f>
        <v>207191.87000000002</v>
      </c>
      <c r="M350" s="254"/>
      <c r="N350" s="251">
        <f>N329+N348</f>
        <v>-19525.41895867293</v>
      </c>
      <c r="O350" s="252" t="s">
        <v>39</v>
      </c>
      <c r="P350" s="42">
        <f>Q350/Q$314</f>
        <v>0.68353080285417522</v>
      </c>
      <c r="Q350" s="251">
        <f>Q329+Q348</f>
        <v>221547.2</v>
      </c>
      <c r="R350" s="254"/>
      <c r="S350" s="260">
        <f>L350-Q350</f>
        <v>-14355.329999999987</v>
      </c>
    </row>
    <row r="351" spans="1:19" ht="15.75" customHeight="1">
      <c r="B351" s="181"/>
      <c r="C351" s="1"/>
      <c r="D351" s="30"/>
      <c r="F351" s="222"/>
      <c r="G351" s="240"/>
      <c r="I351" s="222"/>
      <c r="J351" s="152"/>
      <c r="L351" s="222"/>
      <c r="M351" s="152"/>
      <c r="N351" s="222"/>
      <c r="O351" s="152"/>
      <c r="Q351" s="222"/>
      <c r="R351" s="152"/>
      <c r="S351" s="242"/>
    </row>
    <row r="352" spans="1:19" ht="15.75" customHeight="1" thickBot="1">
      <c r="B352" s="181"/>
      <c r="C352" s="270" t="s">
        <v>72</v>
      </c>
      <c r="D352" s="291"/>
      <c r="E352" s="271"/>
      <c r="F352" s="273">
        <f>F314-F350</f>
        <v>130588.63673615025</v>
      </c>
      <c r="G352" s="292"/>
      <c r="H352" s="271"/>
      <c r="I352" s="273">
        <f>I314-I350</f>
        <v>0</v>
      </c>
      <c r="J352" s="293"/>
      <c r="K352" s="272"/>
      <c r="L352" s="273">
        <f>L314-L350</f>
        <v>213034.88999999998</v>
      </c>
      <c r="M352" s="293"/>
      <c r="N352" s="273">
        <f>N314-N350</f>
        <v>82446.25326384962</v>
      </c>
      <c r="O352" s="293"/>
      <c r="P352" s="272"/>
      <c r="Q352" s="273">
        <f>Q314-Q350</f>
        <v>102574.54999999964</v>
      </c>
      <c r="R352" s="293"/>
      <c r="S352" s="275">
        <f>L352-Q352</f>
        <v>110460.34000000035</v>
      </c>
    </row>
    <row r="353" spans="1:24" ht="15.75" customHeight="1" thickTop="1">
      <c r="B353" s="181"/>
      <c r="C353" s="73"/>
      <c r="D353" s="30"/>
      <c r="F353" s="26" t="e">
        <f>+F352-#REF!-#REF!-#REF!</f>
        <v>#REF!</v>
      </c>
      <c r="G353" s="30"/>
      <c r="I353" s="87"/>
      <c r="J353" s="73"/>
      <c r="K353" s="73"/>
      <c r="L353" s="26" t="e">
        <f>+L352-#REF!-#REF!-#REF!</f>
        <v>#REF!</v>
      </c>
      <c r="M353" s="73"/>
      <c r="N353" s="26" t="e">
        <f>+N352-#REF!-#REF!-#REF!</f>
        <v>#REF!</v>
      </c>
      <c r="O353" s="73"/>
      <c r="P353" s="73"/>
      <c r="Q353" s="26" t="e">
        <f>+Q352-#REF!-#REF!-#REF!</f>
        <v>#REF!</v>
      </c>
      <c r="R353" s="73"/>
      <c r="S353" s="26" t="e">
        <f>+S352-#REF!-#REF!-#REF!</f>
        <v>#REF!</v>
      </c>
    </row>
    <row r="354" spans="1:24" ht="15.75" customHeight="1">
      <c r="B354" s="181"/>
      <c r="C354" s="73"/>
      <c r="D354" s="30"/>
      <c r="F354" s="87"/>
      <c r="G354" s="30"/>
      <c r="I354" s="87"/>
      <c r="J354" s="73"/>
      <c r="K354" s="73"/>
      <c r="L354" s="87"/>
      <c r="M354" s="73"/>
      <c r="N354" s="87"/>
      <c r="O354" s="73"/>
      <c r="P354" s="73"/>
      <c r="Q354" s="87"/>
      <c r="R354" s="73"/>
      <c r="S354" s="87"/>
    </row>
    <row r="355" spans="1:24" ht="34.5" hidden="1" customHeight="1">
      <c r="B355" s="181"/>
      <c r="C355" s="73" t="str">
        <f>+C291</f>
        <v>Conso</v>
      </c>
      <c r="D355" s="6"/>
      <c r="E355" s="6"/>
      <c r="F355" s="6"/>
      <c r="G355" s="6"/>
      <c r="H355" s="177"/>
      <c r="I355" s="177"/>
      <c r="J355" s="177"/>
      <c r="K355" s="178" t="s">
        <v>119</v>
      </c>
      <c r="L355" s="6"/>
      <c r="M355" s="6"/>
      <c r="N355" s="177"/>
      <c r="O355" s="177"/>
      <c r="P355" s="6"/>
      <c r="Q355" s="177"/>
      <c r="R355" s="6"/>
      <c r="S355" s="180" t="str">
        <f>$S$1</f>
        <v xml:space="preserve">Réalisé  </v>
      </c>
    </row>
    <row r="356" spans="1:24" ht="15.75" hidden="1" customHeight="1" thickBot="1">
      <c r="B356" s="181"/>
      <c r="C356" s="182"/>
    </row>
    <row r="357" spans="1:24" ht="15.75" hidden="1" customHeight="1" thickTop="1">
      <c r="B357" s="181"/>
      <c r="C357" s="185"/>
      <c r="D357" s="864" t="s">
        <v>5</v>
      </c>
      <c r="E357" s="865"/>
      <c r="F357" s="866"/>
      <c r="G357" s="867" t="s">
        <v>74</v>
      </c>
      <c r="H357" s="865"/>
      <c r="I357" s="866"/>
      <c r="J357" s="867" t="s">
        <v>7</v>
      </c>
      <c r="K357" s="865"/>
      <c r="L357" s="866"/>
      <c r="M357" s="867" t="s">
        <v>9</v>
      </c>
      <c r="N357" s="866"/>
      <c r="O357" s="864" t="s">
        <v>8</v>
      </c>
      <c r="P357" s="865"/>
      <c r="Q357" s="866"/>
      <c r="R357" s="867" t="s">
        <v>217</v>
      </c>
      <c r="S357" s="868"/>
    </row>
    <row r="358" spans="1:24" ht="15.75" hidden="1" customHeight="1" thickBot="1">
      <c r="A358" s="23" t="str">
        <f t="shared" ref="A358:A393" si="173">+B358&amp;C358</f>
        <v>Boutique</v>
      </c>
      <c r="B358" s="184" t="s">
        <v>119</v>
      </c>
      <c r="C358" s="1"/>
      <c r="D358" s="381" t="s">
        <v>84</v>
      </c>
      <c r="E358" s="381" t="s">
        <v>104</v>
      </c>
      <c r="F358" s="382" t="s">
        <v>12</v>
      </c>
      <c r="G358" s="383" t="s">
        <v>84</v>
      </c>
      <c r="H358" s="381" t="s">
        <v>104</v>
      </c>
      <c r="I358" s="382" t="s">
        <v>12</v>
      </c>
      <c r="J358" s="278" t="s">
        <v>84</v>
      </c>
      <c r="K358" s="175" t="s">
        <v>104</v>
      </c>
      <c r="L358" s="277" t="s">
        <v>12</v>
      </c>
      <c r="M358" s="278" t="s">
        <v>40</v>
      </c>
      <c r="N358" s="277" t="s">
        <v>12</v>
      </c>
      <c r="O358" s="278" t="s">
        <v>84</v>
      </c>
      <c r="P358" s="175" t="s">
        <v>104</v>
      </c>
      <c r="Q358" s="277" t="s">
        <v>12</v>
      </c>
      <c r="R358" s="278" t="s">
        <v>85</v>
      </c>
      <c r="S358" s="279" t="s">
        <v>12</v>
      </c>
    </row>
    <row r="359" spans="1:24" ht="15.75" hidden="1" customHeight="1" thickTop="1">
      <c r="A359" s="23" t="str">
        <f t="shared" si="173"/>
        <v>BoutiqueBoutique</v>
      </c>
      <c r="B359" s="184" t="s">
        <v>119</v>
      </c>
      <c r="C359" s="225" t="s">
        <v>119</v>
      </c>
      <c r="D359" s="384">
        <f>+SUM(START:END!D360)</f>
        <v>0</v>
      </c>
      <c r="E359" s="385">
        <f>IFERROR(F359/D359,0)</f>
        <v>0</v>
      </c>
      <c r="F359" s="386">
        <f>+SUM(START:END!F360)</f>
        <v>0</v>
      </c>
      <c r="G359" s="384">
        <f>+SUM(START:END!G360)</f>
        <v>0</v>
      </c>
      <c r="H359" s="385">
        <f>IFERROR(I359/G359,0)</f>
        <v>0</v>
      </c>
      <c r="I359" s="384">
        <f>+SUM(START:END!I360)</f>
        <v>0</v>
      </c>
      <c r="J359" s="387">
        <f>+SUM(START:END!J360)</f>
        <v>0</v>
      </c>
      <c r="K359" s="369">
        <f>IFERROR(L359/J359,0)</f>
        <v>0</v>
      </c>
      <c r="L359" s="388">
        <f>+SUM(START:END!L360)</f>
        <v>0</v>
      </c>
      <c r="M359" s="370">
        <f>IF(D359=0,0,(+J359-D359)/D359)</f>
        <v>0</v>
      </c>
      <c r="N359" s="371">
        <f t="shared" ref="N359" si="174">L359-F359</f>
        <v>0</v>
      </c>
      <c r="O359" s="387">
        <f>+SUM(START:END!O360)</f>
        <v>0</v>
      </c>
      <c r="P359" s="369">
        <f>IFERROR(Q359/O359,0)</f>
        <v>0</v>
      </c>
      <c r="Q359" s="388">
        <f>+SUM(START:END!Q360)</f>
        <v>0</v>
      </c>
      <c r="R359" s="370">
        <f>IF(O359=0,0,(J359-O359)/O359)</f>
        <v>0</v>
      </c>
      <c r="S359" s="372">
        <f>L359-Q359</f>
        <v>0</v>
      </c>
      <c r="X359" s="283"/>
    </row>
    <row r="360" spans="1:24" ht="15.75" hidden="1" customHeight="1" thickBot="1">
      <c r="A360" s="23" t="str">
        <f t="shared" si="173"/>
        <v>Boutique</v>
      </c>
      <c r="B360" s="184" t="s">
        <v>119</v>
      </c>
      <c r="C360" s="373"/>
      <c r="D360" s="374"/>
      <c r="E360" s="375"/>
      <c r="F360" s="376"/>
      <c r="G360" s="377"/>
      <c r="H360" s="375"/>
      <c r="I360" s="376"/>
      <c r="J360" s="377"/>
      <c r="K360" s="375"/>
      <c r="L360" s="376"/>
      <c r="M360" s="378"/>
      <c r="N360" s="166"/>
      <c r="O360" s="377"/>
      <c r="P360" s="375"/>
      <c r="Q360" s="376"/>
      <c r="R360" s="378"/>
      <c r="S360" s="237"/>
    </row>
    <row r="361" spans="1:24" ht="15.75" hidden="1" customHeight="1" thickTop="1">
      <c r="A361" s="23" t="str">
        <f t="shared" si="173"/>
        <v>BoutiqueTotal Dépt. Boutique</v>
      </c>
      <c r="B361" s="184" t="s">
        <v>119</v>
      </c>
      <c r="C361" s="22" t="s">
        <v>120</v>
      </c>
      <c r="D361" s="389">
        <f>+D359</f>
        <v>0</v>
      </c>
      <c r="E361" s="311">
        <f>IF(D361&lt;=0,0,F361/D361)</f>
        <v>0</v>
      </c>
      <c r="F361" s="312">
        <f t="shared" ref="F361" si="175">+F359</f>
        <v>0</v>
      </c>
      <c r="G361" s="318">
        <f>+G359</f>
        <v>0</v>
      </c>
      <c r="H361" s="311">
        <f>IF(G361&lt;=0,0,I361/G361)</f>
        <v>0</v>
      </c>
      <c r="I361" s="312">
        <f t="shared" ref="I361" si="176">+I359</f>
        <v>0</v>
      </c>
      <c r="J361" s="318">
        <f>+J359</f>
        <v>0</v>
      </c>
      <c r="K361" s="311">
        <f>IF(J361&lt;=0,0,L361/J361)</f>
        <v>0</v>
      </c>
      <c r="L361" s="312">
        <f t="shared" ref="L361:N361" si="177">+L359</f>
        <v>0</v>
      </c>
      <c r="M361" s="390">
        <f>IF(G361=0,0,(+J361-G361)/G361)</f>
        <v>0</v>
      </c>
      <c r="N361" s="312">
        <f t="shared" si="177"/>
        <v>0</v>
      </c>
      <c r="O361" s="318">
        <f>+O359</f>
        <v>0</v>
      </c>
      <c r="P361" s="311">
        <f>IF(O361&lt;=0,0,Q361/O361)</f>
        <v>0</v>
      </c>
      <c r="Q361" s="312">
        <f t="shared" ref="Q361" si="178">+Q359</f>
        <v>0</v>
      </c>
      <c r="R361" s="152">
        <f>IF(O361=0,0,(J361-O361)/O361)</f>
        <v>0</v>
      </c>
      <c r="S361" s="209">
        <f>L361-Q361</f>
        <v>0</v>
      </c>
    </row>
    <row r="362" spans="1:24" ht="15.75" hidden="1" customHeight="1">
      <c r="A362" s="23" t="str">
        <f t="shared" si="173"/>
        <v>Boutique</v>
      </c>
      <c r="B362" s="184" t="s">
        <v>119</v>
      </c>
      <c r="C362" s="239"/>
      <c r="F362" s="222"/>
      <c r="G362" s="152"/>
      <c r="H362" s="391"/>
      <c r="I362" s="222"/>
      <c r="J362" s="152"/>
      <c r="L362" s="208"/>
      <c r="M362" s="152"/>
      <c r="N362" s="392"/>
      <c r="O362" s="152"/>
      <c r="Q362" s="208"/>
      <c r="R362" s="152"/>
      <c r="S362" s="224">
        <f>IF(Q361=0,0,S361/Q361)</f>
        <v>0</v>
      </c>
    </row>
    <row r="363" spans="1:24" ht="15.75" hidden="1" customHeight="1">
      <c r="A363" s="23" t="str">
        <f t="shared" si="173"/>
        <v>BoutiqueDEPENSES</v>
      </c>
      <c r="B363" s="184" t="s">
        <v>119</v>
      </c>
      <c r="C363" s="239" t="s">
        <v>30</v>
      </c>
      <c r="F363" s="222"/>
      <c r="G363" s="152"/>
      <c r="I363" s="222"/>
      <c r="J363" s="152"/>
      <c r="L363" s="208"/>
      <c r="M363" s="152"/>
      <c r="N363" s="208"/>
      <c r="O363" s="152"/>
      <c r="Q363" s="208"/>
      <c r="R363" s="152"/>
      <c r="S363" s="224"/>
    </row>
    <row r="364" spans="1:24" ht="15.75" hidden="1" customHeight="1">
      <c r="A364" s="23" t="str">
        <f t="shared" si="173"/>
        <v>BoutiqueSalaires cadres</v>
      </c>
      <c r="B364" s="184" t="s">
        <v>119</v>
      </c>
      <c r="C364" s="1" t="s">
        <v>41</v>
      </c>
      <c r="F364" s="198">
        <f>+SUM(START:END!F364)</f>
        <v>0</v>
      </c>
      <c r="G364" s="152"/>
      <c r="I364" s="198">
        <f>+SUM(START:END!I364)</f>
        <v>0</v>
      </c>
      <c r="J364" s="152"/>
      <c r="L364" s="201">
        <f>+SUM(START:END!L364)</f>
        <v>0</v>
      </c>
      <c r="M364" s="152"/>
      <c r="N364" s="208">
        <f t="shared" ref="N364:N374" si="179">L364-F364</f>
        <v>0</v>
      </c>
      <c r="O364" s="152"/>
      <c r="Q364" s="201">
        <f>+SUM(START:END!Q364)</f>
        <v>0</v>
      </c>
      <c r="R364" s="152"/>
      <c r="S364" s="202">
        <f>L364-Q364</f>
        <v>0</v>
      </c>
    </row>
    <row r="365" spans="1:24" ht="15.75" hidden="1" customHeight="1">
      <c r="A365" s="23" t="str">
        <f t="shared" si="173"/>
        <v>BoutiqueSalaires commis</v>
      </c>
      <c r="B365" s="184" t="s">
        <v>119</v>
      </c>
      <c r="C365" s="2" t="s">
        <v>42</v>
      </c>
      <c r="D365" s="30"/>
      <c r="F365" s="193">
        <f>+SUM(START:END!F365)</f>
        <v>0</v>
      </c>
      <c r="G365" s="240"/>
      <c r="I365" s="193">
        <f>+SUM(START:END!I365)</f>
        <v>0</v>
      </c>
      <c r="J365" s="152"/>
      <c r="L365" s="193">
        <f>+SUM(START:END!L365)</f>
        <v>0</v>
      </c>
      <c r="M365" s="152"/>
      <c r="N365" s="222">
        <f t="shared" si="179"/>
        <v>0</v>
      </c>
      <c r="O365" s="152"/>
      <c r="Q365" s="193">
        <f>+SUM(START:END!Q365)</f>
        <v>0</v>
      </c>
      <c r="R365" s="152"/>
      <c r="S365" s="242">
        <f t="shared" ref="S365:S393" si="180">L365-Q365</f>
        <v>0</v>
      </c>
    </row>
    <row r="366" spans="1:24" ht="15.75" hidden="1" customHeight="1">
      <c r="A366" s="23" t="str">
        <f t="shared" si="173"/>
        <v>BoutiqueSalaires autres</v>
      </c>
      <c r="B366" s="184" t="s">
        <v>119</v>
      </c>
      <c r="C366" s="1" t="s">
        <v>43</v>
      </c>
      <c r="D366" s="52"/>
      <c r="E366" s="53"/>
      <c r="F366" s="198">
        <f>+SUM(START:END!F366)</f>
        <v>0</v>
      </c>
      <c r="G366" s="256"/>
      <c r="H366" s="53"/>
      <c r="I366" s="198">
        <f>+SUM(START:END!I366)</f>
        <v>0</v>
      </c>
      <c r="J366" s="154"/>
      <c r="K366" s="53"/>
      <c r="L366" s="201">
        <f>+SUM(START:END!L366)</f>
        <v>0</v>
      </c>
      <c r="M366" s="154"/>
      <c r="N366" s="258">
        <f t="shared" si="179"/>
        <v>0</v>
      </c>
      <c r="O366" s="154"/>
      <c r="P366" s="53"/>
      <c r="Q366" s="201">
        <f>+SUM(START:END!Q366)</f>
        <v>0</v>
      </c>
      <c r="R366" s="154"/>
      <c r="S366" s="259">
        <f t="shared" si="180"/>
        <v>0</v>
      </c>
    </row>
    <row r="367" spans="1:24" ht="15.75" hidden="1" customHeight="1">
      <c r="A367" s="23" t="str">
        <f t="shared" si="173"/>
        <v>BoutiqueSalaires spécialistes</v>
      </c>
      <c r="B367" s="184" t="s">
        <v>119</v>
      </c>
      <c r="C367" s="1" t="s">
        <v>44</v>
      </c>
      <c r="D367" s="30"/>
      <c r="F367" s="198">
        <f>+SUM(START:END!F367)</f>
        <v>0</v>
      </c>
      <c r="G367" s="240"/>
      <c r="I367" s="198">
        <f>+SUM(START:END!I367)</f>
        <v>0</v>
      </c>
      <c r="J367" s="152"/>
      <c r="L367" s="201">
        <f>+SUM(START:END!L367)</f>
        <v>0</v>
      </c>
      <c r="M367" s="152"/>
      <c r="N367" s="222">
        <f t="shared" si="179"/>
        <v>0</v>
      </c>
      <c r="O367" s="152"/>
      <c r="Q367" s="201">
        <f>+SUM(START:END!Q367)</f>
        <v>0</v>
      </c>
      <c r="R367" s="152"/>
      <c r="S367" s="242">
        <f t="shared" si="180"/>
        <v>0</v>
      </c>
    </row>
    <row r="368" spans="1:24" ht="15.75" hidden="1" customHeight="1">
      <c r="A368" s="23" t="str">
        <f t="shared" si="173"/>
        <v>Boutique[...]</v>
      </c>
      <c r="B368" s="184" t="s">
        <v>119</v>
      </c>
      <c r="C368" s="1" t="s">
        <v>20</v>
      </c>
      <c r="D368" s="30"/>
      <c r="F368" s="198">
        <f>+SUM(START:END!F368)</f>
        <v>0</v>
      </c>
      <c r="G368" s="240"/>
      <c r="I368" s="198">
        <f>+SUM(START:END!I368)</f>
        <v>0</v>
      </c>
      <c r="J368" s="152"/>
      <c r="L368" s="201">
        <f>+SUM(START:END!L368)</f>
        <v>0</v>
      </c>
      <c r="M368" s="152"/>
      <c r="N368" s="222">
        <f t="shared" si="179"/>
        <v>0</v>
      </c>
      <c r="O368" s="152"/>
      <c r="Q368" s="201">
        <f>+SUM(START:END!Q368)</f>
        <v>0</v>
      </c>
      <c r="R368" s="152"/>
      <c r="S368" s="242">
        <f t="shared" si="180"/>
        <v>0</v>
      </c>
    </row>
    <row r="369" spans="1:19" ht="15.75" hidden="1" customHeight="1">
      <c r="A369" s="23" t="str">
        <f t="shared" si="173"/>
        <v>Boutique[...]</v>
      </c>
      <c r="B369" s="184" t="s">
        <v>119</v>
      </c>
      <c r="C369" s="1" t="s">
        <v>20</v>
      </c>
      <c r="D369" s="30"/>
      <c r="F369" s="198">
        <f>+SUM(START:END!F369)</f>
        <v>0</v>
      </c>
      <c r="G369" s="240"/>
      <c r="I369" s="198">
        <f>+SUM(START:END!I369)</f>
        <v>0</v>
      </c>
      <c r="J369" s="152"/>
      <c r="L369" s="201">
        <f>+SUM(START:END!L369)</f>
        <v>0</v>
      </c>
      <c r="M369" s="152"/>
      <c r="N369" s="222">
        <f t="shared" si="179"/>
        <v>0</v>
      </c>
      <c r="O369" s="152"/>
      <c r="Q369" s="201">
        <f>+SUM(START:END!Q369)</f>
        <v>0</v>
      </c>
      <c r="R369" s="152"/>
      <c r="S369" s="242">
        <f t="shared" si="180"/>
        <v>0</v>
      </c>
    </row>
    <row r="370" spans="1:19" ht="15.75" hidden="1" customHeight="1">
      <c r="A370" s="23" t="str">
        <f t="shared" si="173"/>
        <v>Boutique[...]</v>
      </c>
      <c r="B370" s="184" t="s">
        <v>119</v>
      </c>
      <c r="C370" s="1" t="s">
        <v>20</v>
      </c>
      <c r="D370" s="30"/>
      <c r="F370" s="198">
        <f>+SUM(START:END!F370)</f>
        <v>0</v>
      </c>
      <c r="G370" s="240"/>
      <c r="I370" s="198">
        <f>+SUM(START:END!I370)</f>
        <v>0</v>
      </c>
      <c r="J370" s="152"/>
      <c r="L370" s="201">
        <f>+SUM(START:END!L370)</f>
        <v>0</v>
      </c>
      <c r="M370" s="152"/>
      <c r="N370" s="222">
        <f t="shared" si="179"/>
        <v>0</v>
      </c>
      <c r="O370" s="152"/>
      <c r="Q370" s="201">
        <f>+SUM(START:END!Q370)</f>
        <v>0</v>
      </c>
      <c r="R370" s="152"/>
      <c r="S370" s="242">
        <f t="shared" si="180"/>
        <v>0</v>
      </c>
    </row>
    <row r="371" spans="1:19" ht="15.75" hidden="1" customHeight="1">
      <c r="A371" s="23" t="str">
        <f t="shared" si="173"/>
        <v>BoutiqueSalaires en absences</v>
      </c>
      <c r="B371" s="184" t="s">
        <v>119</v>
      </c>
      <c r="C371" s="2" t="s">
        <v>45</v>
      </c>
      <c r="D371" s="30"/>
      <c r="F371" s="193">
        <f>+SUM(START:END!F371)</f>
        <v>0</v>
      </c>
      <c r="G371" s="240"/>
      <c r="I371" s="193">
        <f>+SUM(START:END!I371)</f>
        <v>0</v>
      </c>
      <c r="J371" s="152"/>
      <c r="L371" s="193">
        <f>+SUM(START:END!L371)</f>
        <v>0</v>
      </c>
      <c r="M371" s="152"/>
      <c r="N371" s="222">
        <f t="shared" si="179"/>
        <v>0</v>
      </c>
      <c r="O371" s="152"/>
      <c r="Q371" s="193">
        <f>+SUM(START:END!Q371)</f>
        <v>0</v>
      </c>
      <c r="R371" s="152"/>
      <c r="S371" s="242">
        <f t="shared" si="180"/>
        <v>0</v>
      </c>
    </row>
    <row r="372" spans="1:19" ht="15.75" hidden="1" customHeight="1">
      <c r="A372" s="23" t="str">
        <f t="shared" si="173"/>
        <v>BoutiqueDéduction à la source</v>
      </c>
      <c r="B372" s="184" t="s">
        <v>119</v>
      </c>
      <c r="C372" s="1" t="s">
        <v>46</v>
      </c>
      <c r="D372" s="52"/>
      <c r="E372" s="53"/>
      <c r="F372" s="198">
        <f>+SUM(START:END!F372)</f>
        <v>0</v>
      </c>
      <c r="G372" s="256"/>
      <c r="H372" s="53"/>
      <c r="I372" s="198">
        <f>+SUM(START:END!I372)</f>
        <v>0</v>
      </c>
      <c r="J372" s="154"/>
      <c r="K372" s="53"/>
      <c r="L372" s="201">
        <f>+SUM(START:END!L372)</f>
        <v>0</v>
      </c>
      <c r="M372" s="154"/>
      <c r="N372" s="258">
        <f t="shared" si="179"/>
        <v>0</v>
      </c>
      <c r="O372" s="154"/>
      <c r="P372" s="53"/>
      <c r="Q372" s="201">
        <f>+SUM(START:END!Q372)</f>
        <v>0</v>
      </c>
      <c r="R372" s="154"/>
      <c r="S372" s="259">
        <f t="shared" si="180"/>
        <v>0</v>
      </c>
    </row>
    <row r="373" spans="1:19" ht="15.75" hidden="1" customHeight="1">
      <c r="A373" s="23" t="str">
        <f t="shared" si="173"/>
        <v>BoutiqueBénéfices marginaux</v>
      </c>
      <c r="B373" s="184" t="s">
        <v>119</v>
      </c>
      <c r="C373" s="1" t="s">
        <v>47</v>
      </c>
      <c r="D373" s="30"/>
      <c r="F373" s="198">
        <f>+SUM(START:END!F373)</f>
        <v>0</v>
      </c>
      <c r="G373" s="240"/>
      <c r="I373" s="198">
        <f>+SUM(START:END!I373)</f>
        <v>0</v>
      </c>
      <c r="J373" s="152"/>
      <c r="L373" s="201">
        <f>+SUM(START:END!L373)</f>
        <v>0</v>
      </c>
      <c r="M373" s="152"/>
      <c r="N373" s="222">
        <f t="shared" si="179"/>
        <v>0</v>
      </c>
      <c r="O373" s="152"/>
      <c r="Q373" s="201">
        <f>+SUM(START:END!Q373)</f>
        <v>0</v>
      </c>
      <c r="R373" s="152"/>
      <c r="S373" s="242">
        <f t="shared" si="180"/>
        <v>0</v>
      </c>
    </row>
    <row r="374" spans="1:19" ht="15.75" hidden="1" customHeight="1">
      <c r="A374" s="23" t="str">
        <f t="shared" si="173"/>
        <v>BoutiqueCsst</v>
      </c>
      <c r="B374" s="184" t="s">
        <v>119</v>
      </c>
      <c r="C374" s="1" t="s">
        <v>48</v>
      </c>
      <c r="D374" s="30"/>
      <c r="F374" s="198">
        <f>+SUM(START:END!F374)</f>
        <v>0</v>
      </c>
      <c r="G374" s="240"/>
      <c r="I374" s="198">
        <f>+SUM(START:END!I374)</f>
        <v>0</v>
      </c>
      <c r="J374" s="152"/>
      <c r="L374" s="201">
        <f>+SUM(START:END!L374)</f>
        <v>0</v>
      </c>
      <c r="M374" s="152"/>
      <c r="N374" s="222">
        <f t="shared" si="179"/>
        <v>0</v>
      </c>
      <c r="O374" s="152"/>
      <c r="Q374" s="201">
        <f>+SUM(START:END!Q374)</f>
        <v>0</v>
      </c>
      <c r="R374" s="152"/>
      <c r="S374" s="242">
        <f t="shared" si="180"/>
        <v>0</v>
      </c>
    </row>
    <row r="375" spans="1:19" ht="15.75" hidden="1" customHeight="1">
      <c r="A375" s="23" t="str">
        <f t="shared" si="173"/>
        <v>Boutique[...]</v>
      </c>
      <c r="B375" s="184" t="s">
        <v>119</v>
      </c>
      <c r="C375" s="1" t="s">
        <v>20</v>
      </c>
      <c r="D375" s="34"/>
      <c r="E375" s="7"/>
      <c r="F375" s="198">
        <f>+SUM(START:END!F375)</f>
        <v>0</v>
      </c>
      <c r="G375" s="244"/>
      <c r="H375" s="7"/>
      <c r="I375" s="198">
        <f>+SUM(START:END!I375)</f>
        <v>0</v>
      </c>
      <c r="J375" s="153"/>
      <c r="K375" s="7"/>
      <c r="L375" s="201">
        <f>+SUM(START:END!L375)</f>
        <v>0</v>
      </c>
      <c r="M375" s="153"/>
      <c r="N375" s="247">
        <f t="shared" ref="N375:N393" si="181">L375-I375</f>
        <v>0</v>
      </c>
      <c r="O375" s="153"/>
      <c r="P375" s="7"/>
      <c r="Q375" s="201">
        <f>+SUM(START:END!Q375)</f>
        <v>0</v>
      </c>
      <c r="R375" s="153"/>
      <c r="S375" s="248">
        <f t="shared" si="180"/>
        <v>0</v>
      </c>
    </row>
    <row r="376" spans="1:19" ht="15.75" hidden="1" customHeight="1">
      <c r="A376" s="23" t="str">
        <f t="shared" si="173"/>
        <v>BoutiqueTOTAL PERSONNEL</v>
      </c>
      <c r="B376" s="184" t="s">
        <v>119</v>
      </c>
      <c r="C376" s="40" t="s">
        <v>49</v>
      </c>
      <c r="D376" s="250" t="s">
        <v>39</v>
      </c>
      <c r="E376" s="42">
        <f>IFERROR(F376/F$359,0)</f>
        <v>0</v>
      </c>
      <c r="F376" s="251">
        <f>+SUM(F364:F375)</f>
        <v>0</v>
      </c>
      <c r="G376" s="252" t="s">
        <v>39</v>
      </c>
      <c r="H376" s="42">
        <f>IFERROR(I376/I$359,0)</f>
        <v>0</v>
      </c>
      <c r="I376" s="251">
        <f>+SUM(I364:I375)</f>
        <v>0</v>
      </c>
      <c r="J376" s="252" t="s">
        <v>39</v>
      </c>
      <c r="K376" s="42">
        <f>IFERROR(L376/L$359,0)</f>
        <v>0</v>
      </c>
      <c r="L376" s="251">
        <f>+SUM(L364:L375)</f>
        <v>0</v>
      </c>
      <c r="M376" s="289"/>
      <c r="N376" s="251">
        <f>+SUM(N364:N375)</f>
        <v>0</v>
      </c>
      <c r="O376" s="252" t="s">
        <v>39</v>
      </c>
      <c r="P376" s="42">
        <f>IFERROR(Q376/Q$359,0)</f>
        <v>0</v>
      </c>
      <c r="Q376" s="251">
        <f>+SUM(Q364:Q375)</f>
        <v>0</v>
      </c>
      <c r="R376" s="289"/>
      <c r="S376" s="260">
        <f t="shared" si="180"/>
        <v>0</v>
      </c>
    </row>
    <row r="377" spans="1:19" ht="15.75" hidden="1" customHeight="1">
      <c r="A377" s="23" t="str">
        <f t="shared" si="173"/>
        <v>BoutiquePublicité 2</v>
      </c>
      <c r="B377" s="184" t="s">
        <v>119</v>
      </c>
      <c r="C377" s="3" t="s">
        <v>50</v>
      </c>
      <c r="D377" s="30"/>
      <c r="F377" s="198">
        <f>+SUM(START:END!F377)</f>
        <v>0</v>
      </c>
      <c r="G377" s="240"/>
      <c r="I377" s="198">
        <f>+SUM(START:END!I377)</f>
        <v>0</v>
      </c>
      <c r="J377" s="152"/>
      <c r="L377" s="201">
        <f>+SUM(START:END!L377)</f>
        <v>0</v>
      </c>
      <c r="M377" s="152"/>
      <c r="N377" s="222">
        <f t="shared" ref="N377:N390" si="182">L377-F377</f>
        <v>0</v>
      </c>
      <c r="O377" s="152"/>
      <c r="Q377" s="201">
        <f>+SUM(START:END!Q377)</f>
        <v>0</v>
      </c>
      <c r="R377" s="152"/>
      <c r="S377" s="242">
        <f t="shared" si="180"/>
        <v>0</v>
      </c>
    </row>
    <row r="378" spans="1:19" ht="15.75" hidden="1" customHeight="1">
      <c r="A378" s="23" t="str">
        <f t="shared" si="173"/>
        <v>BoutiqueService gratuit 2</v>
      </c>
      <c r="B378" s="184" t="s">
        <v>119</v>
      </c>
      <c r="C378" s="1" t="s">
        <v>51</v>
      </c>
      <c r="D378" s="30"/>
      <c r="F378" s="198">
        <f>+SUM(START:END!F378)</f>
        <v>0</v>
      </c>
      <c r="G378" s="240"/>
      <c r="I378" s="198">
        <f>+SUM(START:END!I378)</f>
        <v>0</v>
      </c>
      <c r="J378" s="152"/>
      <c r="L378" s="201">
        <f>+SUM(START:END!L378)</f>
        <v>0</v>
      </c>
      <c r="M378" s="152"/>
      <c r="N378" s="222">
        <f t="shared" si="182"/>
        <v>0</v>
      </c>
      <c r="O378" s="152"/>
      <c r="Q378" s="201">
        <f>+SUM(START:END!Q378)</f>
        <v>0</v>
      </c>
      <c r="R378" s="152"/>
      <c r="S378" s="242">
        <f t="shared" si="180"/>
        <v>0</v>
      </c>
    </row>
    <row r="379" spans="1:19" ht="15.75" hidden="1" customHeight="1">
      <c r="A379" s="23" t="str">
        <f t="shared" si="173"/>
        <v>BoutiqueFrais véhicules de cie</v>
      </c>
      <c r="B379" s="184" t="s">
        <v>119</v>
      </c>
      <c r="C379" s="2" t="s">
        <v>52</v>
      </c>
      <c r="D379" s="34"/>
      <c r="E379" s="7"/>
      <c r="F379" s="193">
        <f>+SUM(START:END!F379)</f>
        <v>0</v>
      </c>
      <c r="G379" s="244"/>
      <c r="H379" s="7"/>
      <c r="I379" s="193">
        <f>+SUM(START:END!I379)</f>
        <v>0</v>
      </c>
      <c r="J379" s="153"/>
      <c r="K379" s="7"/>
      <c r="L379" s="193">
        <f>+SUM(START:END!L379)</f>
        <v>0</v>
      </c>
      <c r="M379" s="153"/>
      <c r="N379" s="247">
        <f t="shared" si="182"/>
        <v>0</v>
      </c>
      <c r="O379" s="153"/>
      <c r="P379" s="7"/>
      <c r="Q379" s="193">
        <f>+SUM(START:END!Q379)</f>
        <v>0</v>
      </c>
      <c r="R379" s="153"/>
      <c r="S379" s="248">
        <f t="shared" si="180"/>
        <v>0</v>
      </c>
    </row>
    <row r="380" spans="1:19" ht="15.75" hidden="1" customHeight="1">
      <c r="A380" s="23" t="str">
        <f t="shared" si="173"/>
        <v>BoutiqueInformatique</v>
      </c>
      <c r="B380" s="184" t="s">
        <v>119</v>
      </c>
      <c r="C380" s="1" t="s">
        <v>53</v>
      </c>
      <c r="D380" s="30"/>
      <c r="F380" s="198">
        <f>+SUM(START:END!F380)</f>
        <v>0</v>
      </c>
      <c r="G380" s="240"/>
      <c r="I380" s="198">
        <f>+SUM(START:END!I380)</f>
        <v>0</v>
      </c>
      <c r="J380" s="152"/>
      <c r="L380" s="201">
        <f>+SUM(START:END!L380)</f>
        <v>0</v>
      </c>
      <c r="M380" s="152"/>
      <c r="N380" s="222">
        <f t="shared" si="182"/>
        <v>0</v>
      </c>
      <c r="O380" s="152"/>
      <c r="Q380" s="201">
        <f>+SUM(START:END!Q380)</f>
        <v>0</v>
      </c>
      <c r="R380" s="152"/>
      <c r="S380" s="242">
        <f t="shared" si="180"/>
        <v>0</v>
      </c>
    </row>
    <row r="381" spans="1:19" ht="15.75" hidden="1" customHeight="1">
      <c r="A381" s="23" t="str">
        <f t="shared" si="173"/>
        <v>BoutiqueFrais de déplacement</v>
      </c>
      <c r="B381" s="184" t="s">
        <v>119</v>
      </c>
      <c r="C381" s="1" t="s">
        <v>54</v>
      </c>
      <c r="D381" s="30"/>
      <c r="F381" s="198">
        <f>+SUM(START:END!F381)</f>
        <v>0</v>
      </c>
      <c r="G381" s="240"/>
      <c r="I381" s="198">
        <f>+SUM(START:END!I381)</f>
        <v>0</v>
      </c>
      <c r="J381" s="152"/>
      <c r="L381" s="201">
        <f>+SUM(START:END!L381)</f>
        <v>0</v>
      </c>
      <c r="M381" s="152"/>
      <c r="N381" s="222">
        <f t="shared" si="182"/>
        <v>0</v>
      </c>
      <c r="O381" s="152"/>
      <c r="Q381" s="201">
        <f>+SUM(START:END!Q381)</f>
        <v>0</v>
      </c>
      <c r="R381" s="152"/>
      <c r="S381" s="242">
        <f t="shared" si="180"/>
        <v>0</v>
      </c>
    </row>
    <row r="382" spans="1:19" ht="15.75" hidden="1" customHeight="1">
      <c r="A382" s="23" t="str">
        <f t="shared" si="173"/>
        <v>BoutiqueServices extérieurs</v>
      </c>
      <c r="B382" s="184" t="s">
        <v>119</v>
      </c>
      <c r="C382" s="1" t="s">
        <v>55</v>
      </c>
      <c r="D382" s="34"/>
      <c r="E382" s="7"/>
      <c r="F382" s="193">
        <f>+SUM(START:END!F382)</f>
        <v>0</v>
      </c>
      <c r="G382" s="244"/>
      <c r="H382" s="7"/>
      <c r="I382" s="193">
        <f>+SUM(START:END!I382)</f>
        <v>0</v>
      </c>
      <c r="J382" s="153"/>
      <c r="K382" s="7"/>
      <c r="L382" s="193">
        <f>+SUM(START:END!L382)</f>
        <v>0</v>
      </c>
      <c r="M382" s="153"/>
      <c r="N382" s="247">
        <f t="shared" si="182"/>
        <v>0</v>
      </c>
      <c r="O382" s="153"/>
      <c r="P382" s="7"/>
      <c r="Q382" s="193">
        <f>+SUM(START:END!Q382)</f>
        <v>0</v>
      </c>
      <c r="R382" s="153"/>
      <c r="S382" s="248">
        <f t="shared" si="180"/>
        <v>0</v>
      </c>
    </row>
    <row r="383" spans="1:19" ht="20.25" hidden="1" customHeight="1">
      <c r="A383" s="23" t="str">
        <f t="shared" si="173"/>
        <v>BoutiqueFournitures autres</v>
      </c>
      <c r="B383" s="184" t="s">
        <v>119</v>
      </c>
      <c r="C383" s="3" t="s">
        <v>56</v>
      </c>
      <c r="D383" s="30"/>
      <c r="F383" s="198">
        <f>+SUM(START:END!F383)</f>
        <v>0</v>
      </c>
      <c r="G383" s="240"/>
      <c r="I383" s="198">
        <f>+SUM(START:END!I383)</f>
        <v>0</v>
      </c>
      <c r="J383" s="152"/>
      <c r="L383" s="201">
        <f>+SUM(START:END!L383)</f>
        <v>0</v>
      </c>
      <c r="M383" s="152"/>
      <c r="N383" s="222">
        <f t="shared" si="182"/>
        <v>0</v>
      </c>
      <c r="O383" s="152"/>
      <c r="Q383" s="201">
        <f>+SUM(START:END!Q383)</f>
        <v>0</v>
      </c>
      <c r="R383" s="152"/>
      <c r="S383" s="242">
        <f t="shared" si="180"/>
        <v>0</v>
      </c>
    </row>
    <row r="384" spans="1:19" ht="20.25" hidden="1" customHeight="1">
      <c r="A384" s="23" t="str">
        <f t="shared" si="173"/>
        <v>BoutiqueUniformes</v>
      </c>
      <c r="B384" s="184" t="s">
        <v>119</v>
      </c>
      <c r="C384" s="1" t="s">
        <v>57</v>
      </c>
      <c r="D384" s="30"/>
      <c r="F384" s="198">
        <f>+SUM(START:END!F384)</f>
        <v>0</v>
      </c>
      <c r="G384" s="240"/>
      <c r="I384" s="198">
        <f>+SUM(START:END!I384)</f>
        <v>0</v>
      </c>
      <c r="J384" s="152"/>
      <c r="L384" s="201">
        <f>+SUM(START:END!L384)</f>
        <v>0</v>
      </c>
      <c r="M384" s="152"/>
      <c r="N384" s="222">
        <f t="shared" si="182"/>
        <v>0</v>
      </c>
      <c r="O384" s="152"/>
      <c r="Q384" s="201">
        <f>+SUM(START:END!Q384)</f>
        <v>0</v>
      </c>
      <c r="R384" s="152"/>
      <c r="S384" s="242">
        <f t="shared" si="180"/>
        <v>0</v>
      </c>
    </row>
    <row r="385" spans="1:38" ht="20.25" hidden="1" customHeight="1">
      <c r="A385" s="23" t="str">
        <f t="shared" si="173"/>
        <v>BoutiquePapeterie</v>
      </c>
      <c r="B385" s="184" t="s">
        <v>119</v>
      </c>
      <c r="C385" s="1" t="s">
        <v>58</v>
      </c>
      <c r="D385" s="30"/>
      <c r="F385" s="198">
        <f>+SUM(START:END!F385)</f>
        <v>0</v>
      </c>
      <c r="G385" s="240"/>
      <c r="I385" s="198">
        <f>+SUM(START:END!I385)</f>
        <v>0</v>
      </c>
      <c r="J385" s="152"/>
      <c r="L385" s="201">
        <f>+SUM(START:END!L385)</f>
        <v>0</v>
      </c>
      <c r="M385" s="152"/>
      <c r="N385" s="222">
        <f t="shared" si="182"/>
        <v>0</v>
      </c>
      <c r="O385" s="152"/>
      <c r="Q385" s="201">
        <f>+SUM(START:END!Q385)</f>
        <v>0</v>
      </c>
      <c r="R385" s="152"/>
      <c r="S385" s="242">
        <f t="shared" si="180"/>
        <v>0</v>
      </c>
    </row>
    <row r="386" spans="1:38" ht="20.25" hidden="1" customHeight="1">
      <c r="A386" s="23" t="str">
        <f t="shared" si="173"/>
        <v>BoutiqueTéléphone</v>
      </c>
      <c r="B386" s="184" t="s">
        <v>119</v>
      </c>
      <c r="C386" s="1" t="s">
        <v>59</v>
      </c>
      <c r="D386" s="30"/>
      <c r="F386" s="198">
        <f>+SUM(START:END!F386)</f>
        <v>0</v>
      </c>
      <c r="G386" s="240"/>
      <c r="I386" s="198">
        <f>+SUM(START:END!I386)</f>
        <v>0</v>
      </c>
      <c r="J386" s="152"/>
      <c r="L386" s="201">
        <f>+SUM(START:END!L386)</f>
        <v>0</v>
      </c>
      <c r="M386" s="152"/>
      <c r="N386" s="222">
        <f t="shared" si="182"/>
        <v>0</v>
      </c>
      <c r="O386" s="152"/>
      <c r="Q386" s="201">
        <f>+SUM(START:END!Q386)</f>
        <v>0</v>
      </c>
      <c r="R386" s="152"/>
      <c r="S386" s="242">
        <f t="shared" si="180"/>
        <v>0</v>
      </c>
    </row>
    <row r="387" spans="1:38" ht="20.25" hidden="1" customHeight="1">
      <c r="A387" s="23" t="str">
        <f t="shared" si="173"/>
        <v>BoutiqueFrais postaux</v>
      </c>
      <c r="B387" s="184" t="s">
        <v>119</v>
      </c>
      <c r="C387" s="1" t="s">
        <v>60</v>
      </c>
      <c r="D387" s="30"/>
      <c r="F387" s="198">
        <f>+SUM(START:END!F387)</f>
        <v>0</v>
      </c>
      <c r="G387" s="240"/>
      <c r="I387" s="198">
        <f>+SUM(START:END!I387)</f>
        <v>0</v>
      </c>
      <c r="J387" s="152"/>
      <c r="L387" s="201">
        <f>+SUM(START:END!L387)</f>
        <v>0</v>
      </c>
      <c r="M387" s="152"/>
      <c r="N387" s="222">
        <f t="shared" si="182"/>
        <v>0</v>
      </c>
      <c r="O387" s="152"/>
      <c r="Q387" s="201">
        <f>+SUM(START:END!Q387)</f>
        <v>0</v>
      </c>
      <c r="R387" s="152"/>
      <c r="S387" s="242">
        <f t="shared" si="180"/>
        <v>0</v>
      </c>
    </row>
    <row r="388" spans="1:38" ht="20.25" hidden="1" customHeight="1">
      <c r="A388" s="23" t="str">
        <f t="shared" si="173"/>
        <v>BoutiqueDivers</v>
      </c>
      <c r="B388" s="184" t="s">
        <v>119</v>
      </c>
      <c r="C388" s="1" t="s">
        <v>61</v>
      </c>
      <c r="D388" s="30"/>
      <c r="F388" s="198">
        <f>+SUM(START:END!F388)</f>
        <v>0</v>
      </c>
      <c r="G388" s="240"/>
      <c r="I388" s="198">
        <f>+SUM(START:END!I388)</f>
        <v>0</v>
      </c>
      <c r="J388" s="152"/>
      <c r="L388" s="201">
        <f>+SUM(START:END!L388)</f>
        <v>0</v>
      </c>
      <c r="M388" s="152"/>
      <c r="N388" s="222">
        <f t="shared" si="182"/>
        <v>0</v>
      </c>
      <c r="O388" s="152"/>
      <c r="Q388" s="201">
        <f>+SUM(START:END!Q388)</f>
        <v>0</v>
      </c>
      <c r="R388" s="152"/>
      <c r="S388" s="242">
        <f t="shared" si="180"/>
        <v>0</v>
      </c>
    </row>
    <row r="389" spans="1:38" ht="20.25" hidden="1" customHeight="1">
      <c r="A389" s="23" t="str">
        <f t="shared" si="173"/>
        <v>BoutiqueFormation</v>
      </c>
      <c r="B389" s="184" t="s">
        <v>119</v>
      </c>
      <c r="C389" s="1" t="s">
        <v>62</v>
      </c>
      <c r="D389" s="30"/>
      <c r="F389" s="198">
        <f>+SUM(START:END!F389)</f>
        <v>0</v>
      </c>
      <c r="G389" s="240"/>
      <c r="I389" s="198">
        <f>+SUM(START:END!I389)</f>
        <v>0</v>
      </c>
      <c r="J389" s="152"/>
      <c r="L389" s="201">
        <f>+SUM(START:END!L389)</f>
        <v>0</v>
      </c>
      <c r="M389" s="152"/>
      <c r="N389" s="222">
        <f t="shared" si="182"/>
        <v>0</v>
      </c>
      <c r="O389" s="152"/>
      <c r="Q389" s="201">
        <f>+SUM(START:END!Q389)</f>
        <v>0</v>
      </c>
      <c r="R389" s="152"/>
      <c r="S389" s="242">
        <f t="shared" si="180"/>
        <v>0</v>
      </c>
    </row>
    <row r="390" spans="1:38" ht="20.25" hidden="1" customHeight="1">
      <c r="A390" s="23" t="str">
        <f t="shared" si="173"/>
        <v>BoutiqueFrais bancaires</v>
      </c>
      <c r="B390" s="184" t="s">
        <v>119</v>
      </c>
      <c r="C390" s="1" t="s">
        <v>63</v>
      </c>
      <c r="D390" s="30"/>
      <c r="F390" s="198">
        <f>+SUM(START:END!F390)</f>
        <v>0</v>
      </c>
      <c r="G390" s="240"/>
      <c r="I390" s="198">
        <f>+SUM(START:END!I390)</f>
        <v>0</v>
      </c>
      <c r="J390" s="152"/>
      <c r="L390" s="201">
        <f>+SUM(START:END!L390)</f>
        <v>0</v>
      </c>
      <c r="M390" s="152"/>
      <c r="N390" s="222">
        <f t="shared" si="182"/>
        <v>0</v>
      </c>
      <c r="O390" s="152"/>
      <c r="Q390" s="201">
        <f>+SUM(START:END!Q390)</f>
        <v>0</v>
      </c>
      <c r="R390" s="152"/>
      <c r="S390" s="242">
        <f t="shared" si="180"/>
        <v>0</v>
      </c>
    </row>
    <row r="391" spans="1:38" ht="15.75" hidden="1" customHeight="1">
      <c r="A391" s="23" t="str">
        <f t="shared" si="173"/>
        <v>Boutique[...]</v>
      </c>
      <c r="B391" s="184" t="s">
        <v>119</v>
      </c>
      <c r="C391" s="1" t="s">
        <v>20</v>
      </c>
      <c r="D391" s="30"/>
      <c r="F391" s="198">
        <f>+SUM(START:END!F391)</f>
        <v>0</v>
      </c>
      <c r="G391" s="240"/>
      <c r="I391" s="198">
        <f>+SUM(START:END!I391)</f>
        <v>0</v>
      </c>
      <c r="J391" s="152"/>
      <c r="L391" s="201">
        <f>+SUM(START:END!L391)</f>
        <v>0</v>
      </c>
      <c r="M391" s="152"/>
      <c r="N391" s="222">
        <f t="shared" si="181"/>
        <v>0</v>
      </c>
      <c r="O391" s="152"/>
      <c r="Q391" s="201">
        <f>+SUM(START:END!Q391)</f>
        <v>0</v>
      </c>
      <c r="R391" s="152"/>
      <c r="S391" s="242">
        <f t="shared" si="180"/>
        <v>0</v>
      </c>
    </row>
    <row r="392" spans="1:38" ht="15.75" hidden="1" customHeight="1">
      <c r="A392" s="23" t="str">
        <f t="shared" si="173"/>
        <v>Boutique[...]</v>
      </c>
      <c r="B392" s="184" t="s">
        <v>119</v>
      </c>
      <c r="C392" s="1" t="s">
        <v>20</v>
      </c>
      <c r="D392" s="30"/>
      <c r="F392" s="198">
        <f>+SUM(START:END!F392)</f>
        <v>0</v>
      </c>
      <c r="G392" s="240"/>
      <c r="I392" s="198">
        <f>+SUM(START:END!I392)</f>
        <v>0</v>
      </c>
      <c r="J392" s="152"/>
      <c r="L392" s="201">
        <f>+SUM(START:END!L392)</f>
        <v>0</v>
      </c>
      <c r="M392" s="152"/>
      <c r="N392" s="222">
        <f t="shared" si="181"/>
        <v>0</v>
      </c>
      <c r="O392" s="152"/>
      <c r="Q392" s="201">
        <f>+SUM(START:END!Q392)</f>
        <v>0</v>
      </c>
      <c r="R392" s="152"/>
      <c r="S392" s="242">
        <f t="shared" si="180"/>
        <v>0</v>
      </c>
    </row>
    <row r="393" spans="1:38" ht="15.75" hidden="1" customHeight="1">
      <c r="A393" s="23" t="str">
        <f t="shared" si="173"/>
        <v>Boutique[...]</v>
      </c>
      <c r="B393" s="184" t="s">
        <v>119</v>
      </c>
      <c r="C393" s="1" t="s">
        <v>20</v>
      </c>
      <c r="D393" s="34"/>
      <c r="E393" s="7"/>
      <c r="F393" s="198">
        <f>+SUM(START:END!F393)</f>
        <v>0</v>
      </c>
      <c r="G393" s="244"/>
      <c r="H393" s="7"/>
      <c r="I393" s="198">
        <f>+SUM(START:END!I393)</f>
        <v>0</v>
      </c>
      <c r="J393" s="153"/>
      <c r="K393" s="7"/>
      <c r="L393" s="201">
        <f>+SUM(START:END!L393)</f>
        <v>0</v>
      </c>
      <c r="M393" s="153"/>
      <c r="N393" s="247">
        <f t="shared" si="181"/>
        <v>0</v>
      </c>
      <c r="O393" s="153"/>
      <c r="P393" s="7"/>
      <c r="Q393" s="201">
        <f>+SUM(START:END!Q393)</f>
        <v>0</v>
      </c>
      <c r="R393" s="153"/>
      <c r="S393" s="248">
        <f t="shared" si="180"/>
        <v>0</v>
      </c>
    </row>
    <row r="394" spans="1:38" ht="15.75" hidden="1" customHeight="1">
      <c r="B394" s="181"/>
      <c r="C394" s="40" t="s">
        <v>64</v>
      </c>
      <c r="D394" s="250" t="s">
        <v>39</v>
      </c>
      <c r="E394" s="42">
        <f>IFERROR(F394/F$359,0)</f>
        <v>0</v>
      </c>
      <c r="F394" s="251">
        <f>+SUM(F377:F393)</f>
        <v>0</v>
      </c>
      <c r="G394" s="252" t="s">
        <v>39</v>
      </c>
      <c r="H394" s="42">
        <f>IFERROR(I394/I$359,0)</f>
        <v>0</v>
      </c>
      <c r="I394" s="251">
        <f>+SUM(I377:I393)</f>
        <v>0</v>
      </c>
      <c r="J394" s="252" t="s">
        <v>39</v>
      </c>
      <c r="K394" s="42">
        <f>IFERROR(L394/L$359,0)</f>
        <v>0</v>
      </c>
      <c r="L394" s="251">
        <f>+SUM(L377:L393)</f>
        <v>0</v>
      </c>
      <c r="M394" s="289"/>
      <c r="N394" s="251">
        <f>+SUM(N377:N393)</f>
        <v>0</v>
      </c>
      <c r="O394" s="252" t="s">
        <v>39</v>
      </c>
      <c r="P394" s="42">
        <f>IFERROR(Q394/Q$359,0)</f>
        <v>0</v>
      </c>
      <c r="Q394" s="251">
        <f>+SUM(Q377:Q393)</f>
        <v>0</v>
      </c>
      <c r="R394" s="289"/>
      <c r="S394" s="260">
        <f>+SUM(S377:S393)</f>
        <v>0</v>
      </c>
    </row>
    <row r="395" spans="1:38" ht="15.75" hidden="1" customHeight="1">
      <c r="B395" s="181"/>
      <c r="C395" s="1"/>
      <c r="F395" s="208"/>
      <c r="G395" s="152"/>
      <c r="I395" s="208"/>
      <c r="J395" s="152"/>
      <c r="L395" s="208"/>
      <c r="M395" s="156"/>
      <c r="N395" s="208"/>
      <c r="O395" s="152"/>
      <c r="Q395" s="208"/>
      <c r="R395" s="152"/>
      <c r="S395" s="393"/>
      <c r="T395" s="184"/>
      <c r="U395" s="184"/>
    </row>
    <row r="396" spans="1:38" ht="15.75" hidden="1" customHeight="1">
      <c r="B396" s="181"/>
      <c r="C396" s="40" t="s">
        <v>65</v>
      </c>
      <c r="D396" s="250" t="s">
        <v>39</v>
      </c>
      <c r="E396" s="42">
        <f>IFERROR(F396/F$359,0)</f>
        <v>0</v>
      </c>
      <c r="F396" s="251">
        <f>F376+F394</f>
        <v>0</v>
      </c>
      <c r="G396" s="252" t="s">
        <v>39</v>
      </c>
      <c r="H396" s="42">
        <f>IFERROR(I396/I$359,0)</f>
        <v>0</v>
      </c>
      <c r="I396" s="251">
        <f>I376+I394</f>
        <v>0</v>
      </c>
      <c r="J396" s="252" t="s">
        <v>39</v>
      </c>
      <c r="K396" s="42">
        <f>IFERROR(L396/L$359,0)</f>
        <v>0</v>
      </c>
      <c r="L396" s="251">
        <f>L376+L394</f>
        <v>0</v>
      </c>
      <c r="M396" s="158"/>
      <c r="N396" s="251">
        <f>N376+N394</f>
        <v>0</v>
      </c>
      <c r="O396" s="252" t="s">
        <v>39</v>
      </c>
      <c r="P396" s="42">
        <f>IFERROR(Q396/Q$359,0)</f>
        <v>0</v>
      </c>
      <c r="Q396" s="251">
        <f>Q376+Q394</f>
        <v>0</v>
      </c>
      <c r="R396" s="254"/>
      <c r="S396" s="255">
        <f>L396-Q396</f>
        <v>0</v>
      </c>
      <c r="T396" s="184"/>
      <c r="U396" s="184"/>
    </row>
    <row r="397" spans="1:38" ht="15.75" hidden="1" customHeight="1" thickBot="1">
      <c r="B397" s="181"/>
      <c r="C397" s="1"/>
      <c r="F397" s="222"/>
      <c r="G397" s="152"/>
      <c r="I397" s="222"/>
      <c r="J397" s="152"/>
      <c r="L397" s="222"/>
      <c r="M397" s="156"/>
      <c r="N397" s="222"/>
      <c r="O397" s="152"/>
      <c r="Q397" s="222"/>
      <c r="R397" s="152"/>
      <c r="S397" s="393"/>
    </row>
    <row r="398" spans="1:38" ht="15.75" hidden="1" customHeight="1" thickTop="1" thickBot="1">
      <c r="B398" s="181"/>
      <c r="C398" s="104" t="s">
        <v>72</v>
      </c>
      <c r="D398" s="105"/>
      <c r="E398" s="105"/>
      <c r="F398" s="394">
        <f>F361-F396</f>
        <v>0</v>
      </c>
      <c r="G398" s="395"/>
      <c r="H398" s="105"/>
      <c r="I398" s="394">
        <f>I361-I396</f>
        <v>0</v>
      </c>
      <c r="J398" s="396"/>
      <c r="K398" s="397"/>
      <c r="L398" s="394">
        <f>L361-L396</f>
        <v>0</v>
      </c>
      <c r="M398" s="395"/>
      <c r="N398" s="394">
        <f>N361-N396</f>
        <v>0</v>
      </c>
      <c r="O398" s="396"/>
      <c r="P398" s="397"/>
      <c r="Q398" s="394">
        <f>Q361-Q396</f>
        <v>0</v>
      </c>
      <c r="R398" s="396"/>
      <c r="S398" s="398">
        <f>L398-Q398</f>
        <v>0</v>
      </c>
    </row>
    <row r="399" spans="1:38" ht="15.75" hidden="1" customHeight="1" thickTop="1">
      <c r="B399" s="181"/>
      <c r="C399" s="73"/>
      <c r="D399" s="30"/>
      <c r="F399" s="26" t="e">
        <f>+F398-#REF!-#REF!-#REF!</f>
        <v>#REF!</v>
      </c>
      <c r="G399" s="30"/>
      <c r="I399" s="87"/>
      <c r="J399" s="73"/>
      <c r="K399" s="73"/>
      <c r="L399" s="26" t="e">
        <f>+L398-#REF!-#REF!-#REF!</f>
        <v>#REF!</v>
      </c>
      <c r="M399" s="73"/>
      <c r="N399" s="26" t="e">
        <f>+N398-#REF!-#REF!-#REF!</f>
        <v>#REF!</v>
      </c>
      <c r="O399" s="73"/>
      <c r="P399" s="73"/>
      <c r="Q399" s="26" t="e">
        <f>+Q398-#REF!-#REF!-#REF!</f>
        <v>#REF!</v>
      </c>
      <c r="R399" s="73"/>
      <c r="S399" s="26" t="e">
        <f>+S398-#REF!-#REF!-#REF!</f>
        <v>#REF!</v>
      </c>
    </row>
    <row r="400" spans="1:38" ht="15.75" customHeight="1">
      <c r="B400" s="181"/>
      <c r="L400" s="26"/>
      <c r="Z400" s="475" t="e">
        <f>+Z406-#REF!-#REF!-#REF!</f>
        <v>#REF!</v>
      </c>
      <c r="AF400" s="475" t="e">
        <f>+AF406-#REF!-#REF!-#REF!</f>
        <v>#REF!</v>
      </c>
      <c r="AH400" s="475" t="e">
        <f>+AH406-#REF!-#REF!-#REF!</f>
        <v>#REF!</v>
      </c>
      <c r="AL400" s="475" t="e">
        <f>+AL406-#REF!-#REF!-#REF!</f>
        <v>#REF!</v>
      </c>
    </row>
    <row r="401" spans="1:61" ht="44.25" customHeight="1">
      <c r="B401" s="181"/>
      <c r="V401" s="73" t="str">
        <f>C1</f>
        <v>Conso</v>
      </c>
      <c r="W401" s="73"/>
      <c r="X401" s="73"/>
      <c r="Y401" s="73"/>
      <c r="Z401" s="177"/>
      <c r="AA401" s="177"/>
      <c r="AB401" s="73"/>
      <c r="AC401" s="73"/>
      <c r="AD401" s="177"/>
      <c r="AE401" s="178" t="s">
        <v>121</v>
      </c>
      <c r="AF401" s="73"/>
      <c r="AG401" s="73"/>
      <c r="AH401" s="177"/>
      <c r="AI401" s="177"/>
      <c r="AJ401" s="399"/>
      <c r="AK401" s="6"/>
      <c r="AL401" s="177"/>
      <c r="AM401" s="73"/>
      <c r="AN401" s="73"/>
      <c r="AO401" s="180" t="str">
        <f>$S$1</f>
        <v xml:space="preserve">Réalisé  </v>
      </c>
      <c r="AP401" s="184"/>
      <c r="AQ401" s="184"/>
      <c r="AR401" s="184"/>
      <c r="AS401" s="184"/>
      <c r="AT401" s="184"/>
      <c r="AU401" s="184"/>
      <c r="AV401" s="184"/>
      <c r="AW401" s="184"/>
      <c r="AX401" s="184"/>
      <c r="AY401" s="184"/>
      <c r="AZ401" s="184"/>
      <c r="BA401" s="184"/>
      <c r="BB401" s="184"/>
      <c r="BC401" s="184"/>
      <c r="BD401" s="184"/>
      <c r="BE401" s="184"/>
      <c r="BF401" s="184"/>
      <c r="BG401" s="184"/>
      <c r="BH401" s="184"/>
      <c r="BI401" s="184"/>
    </row>
    <row r="402" spans="1:61" ht="15.75" customHeight="1" thickBot="1">
      <c r="B402" s="181"/>
      <c r="V402" s="6"/>
      <c r="W402" s="175"/>
      <c r="X402" s="175"/>
      <c r="Y402" s="175"/>
      <c r="Z402" s="175"/>
      <c r="AA402" s="175"/>
      <c r="AB402" s="175"/>
      <c r="AC402" s="175"/>
      <c r="AD402" s="175"/>
      <c r="AE402" s="175"/>
      <c r="AF402" s="175"/>
      <c r="AG402" s="175"/>
      <c r="AH402" s="175"/>
      <c r="AI402" s="175"/>
      <c r="AJ402" s="175"/>
      <c r="AK402" s="175"/>
      <c r="AP402" s="184"/>
      <c r="AQ402" s="184"/>
      <c r="AR402" s="184"/>
      <c r="AS402" s="184"/>
      <c r="AT402" s="184"/>
      <c r="AU402" s="184"/>
      <c r="AV402" s="184"/>
      <c r="AW402" s="184"/>
      <c r="AX402" s="184"/>
      <c r="AY402" s="184"/>
      <c r="AZ402" s="184"/>
      <c r="BA402" s="184"/>
      <c r="BB402" s="184"/>
      <c r="BC402" s="184"/>
      <c r="BD402" s="184"/>
      <c r="BE402" s="184"/>
      <c r="BF402" s="184"/>
      <c r="BG402" s="184"/>
      <c r="BH402" s="184"/>
      <c r="BI402" s="184"/>
    </row>
    <row r="403" spans="1:61" ht="15.75" customHeight="1" thickTop="1" thickBot="1">
      <c r="A403" s="23" t="str">
        <f>+U403&amp;V403</f>
        <v/>
      </c>
      <c r="B403" s="181"/>
      <c r="V403" s="400"/>
      <c r="W403" s="401"/>
      <c r="X403" s="869" t="s">
        <v>122</v>
      </c>
      <c r="Y403" s="862"/>
      <c r="Z403" s="870"/>
      <c r="AA403" s="861" t="s">
        <v>74</v>
      </c>
      <c r="AB403" s="862"/>
      <c r="AC403" s="870"/>
      <c r="AD403" s="861" t="s">
        <v>7</v>
      </c>
      <c r="AE403" s="862"/>
      <c r="AF403" s="870"/>
      <c r="AG403" s="861" t="s">
        <v>124</v>
      </c>
      <c r="AH403" s="862"/>
      <c r="AI403" s="870"/>
      <c r="AJ403" s="861" t="s">
        <v>123</v>
      </c>
      <c r="AK403" s="862"/>
      <c r="AL403" s="862"/>
      <c r="AM403" s="861" t="s">
        <v>217</v>
      </c>
      <c r="AN403" s="862"/>
      <c r="AO403" s="863"/>
      <c r="AP403" s="184"/>
      <c r="AQ403" s="184"/>
      <c r="AR403" s="184"/>
      <c r="AS403" s="184"/>
      <c r="AT403" s="184"/>
      <c r="AU403" s="184"/>
      <c r="AV403" s="184"/>
      <c r="AW403" s="184"/>
      <c r="AX403" s="184"/>
      <c r="AY403" s="184"/>
      <c r="AZ403" s="184"/>
      <c r="BA403" s="184"/>
      <c r="BB403" s="184"/>
      <c r="BC403" s="184"/>
      <c r="BD403" s="184"/>
      <c r="BE403" s="184"/>
      <c r="BF403" s="184"/>
      <c r="BG403" s="184"/>
      <c r="BH403" s="184"/>
      <c r="BI403" s="184"/>
    </row>
    <row r="404" spans="1:61" ht="15.75" customHeight="1">
      <c r="A404" s="23" t="str">
        <f t="shared" ref="A404:A483" si="183">+U404&amp;V404</f>
        <v/>
      </c>
      <c r="B404" s="181"/>
      <c r="V404" s="2"/>
      <c r="W404" s="402" t="s">
        <v>125</v>
      </c>
      <c r="X404" s="402" t="s">
        <v>126</v>
      </c>
      <c r="Y404" s="402" t="s">
        <v>127</v>
      </c>
      <c r="Z404" s="403" t="s">
        <v>128</v>
      </c>
      <c r="AA404" s="402" t="s">
        <v>126</v>
      </c>
      <c r="AB404" s="402" t="s">
        <v>127</v>
      </c>
      <c r="AC404" s="403" t="s">
        <v>128</v>
      </c>
      <c r="AD404" s="404" t="s">
        <v>126</v>
      </c>
      <c r="AE404" s="402" t="s">
        <v>127</v>
      </c>
      <c r="AF404" s="402" t="s">
        <v>128</v>
      </c>
      <c r="AG404" s="404" t="s">
        <v>129</v>
      </c>
      <c r="AH404" s="402" t="s">
        <v>130</v>
      </c>
      <c r="AI404" s="402" t="s">
        <v>131</v>
      </c>
      <c r="AJ404" s="404" t="s">
        <v>126</v>
      </c>
      <c r="AK404" s="402" t="s">
        <v>127</v>
      </c>
      <c r="AL404" s="402" t="s">
        <v>128</v>
      </c>
      <c r="AM404" s="405" t="s">
        <v>129</v>
      </c>
      <c r="AN404" s="402" t="s">
        <v>130</v>
      </c>
      <c r="AO404" s="282" t="s">
        <v>131</v>
      </c>
      <c r="AP404" s="184"/>
      <c r="AQ404" s="184"/>
      <c r="AR404" s="184"/>
      <c r="AS404" s="184"/>
      <c r="AT404" s="184"/>
      <c r="AU404" s="184"/>
      <c r="AV404" s="184"/>
      <c r="AW404" s="184"/>
      <c r="AX404" s="184"/>
      <c r="AY404" s="184"/>
      <c r="AZ404" s="184"/>
      <c r="BA404" s="184"/>
      <c r="BB404" s="184"/>
      <c r="BC404" s="184"/>
      <c r="BD404" s="184"/>
      <c r="BE404" s="184"/>
      <c r="BF404" s="184"/>
      <c r="BG404" s="184"/>
      <c r="BH404" s="184"/>
      <c r="BI404" s="184"/>
    </row>
    <row r="405" spans="1:61" ht="15.75" customHeight="1">
      <c r="A405" s="23" t="str">
        <f t="shared" si="183"/>
        <v>Ventes nettes</v>
      </c>
      <c r="B405" s="181"/>
      <c r="T405" s="184"/>
      <c r="U405" s="184"/>
      <c r="V405" s="2" t="s">
        <v>15</v>
      </c>
      <c r="W405" s="7"/>
      <c r="X405" s="7"/>
      <c r="Y405" s="7"/>
      <c r="Z405" s="8">
        <f>F5+F93+E194+E250+D314+D361</f>
        <v>18674893.382891331</v>
      </c>
      <c r="AA405" s="7"/>
      <c r="AB405" s="7"/>
      <c r="AC405" s="8">
        <f>I5+I93+H194+H250+G314+G361</f>
        <v>0</v>
      </c>
      <c r="AD405" s="9"/>
      <c r="AE405" s="10"/>
      <c r="AF405" s="10">
        <f>L5+L93+K194+K250+J314+J361</f>
        <v>18192349.449999999</v>
      </c>
      <c r="AG405" s="9"/>
      <c r="AH405" s="10"/>
      <c r="AI405" s="11"/>
      <c r="AJ405" s="9"/>
      <c r="AK405" s="10"/>
      <c r="AL405" s="10">
        <f>Q5+Q93+P194+P250+O314+O361</f>
        <v>17443639.959999967</v>
      </c>
      <c r="AM405" s="12"/>
      <c r="AN405" s="10"/>
      <c r="AO405" s="13"/>
      <c r="AP405" s="184"/>
      <c r="AQ405" s="184"/>
      <c r="AR405" s="184"/>
      <c r="AS405" s="184"/>
      <c r="AT405" s="184"/>
      <c r="AU405" s="184"/>
      <c r="AV405" s="184"/>
      <c r="AW405" s="184"/>
      <c r="AX405" s="184"/>
      <c r="AY405" s="184"/>
      <c r="AZ405" s="184"/>
      <c r="BA405" s="184"/>
      <c r="BB405" s="184"/>
      <c r="BC405" s="184"/>
      <c r="BD405" s="184"/>
      <c r="BE405" s="184"/>
      <c r="BF405" s="184"/>
      <c r="BG405" s="184"/>
      <c r="BH405" s="184"/>
      <c r="BI405" s="184"/>
    </row>
    <row r="406" spans="1:61" ht="15.75" customHeight="1">
      <c r="A406" s="23" t="str">
        <f t="shared" si="183"/>
        <v>Profit brut</v>
      </c>
      <c r="B406" s="181"/>
      <c r="T406" s="184"/>
      <c r="U406" s="184"/>
      <c r="V406" s="14" t="s">
        <v>132</v>
      </c>
      <c r="W406" s="15"/>
      <c r="X406" s="15"/>
      <c r="Y406" s="15"/>
      <c r="Z406" s="16">
        <f>F27+F108+F194+F250+F314+F361</f>
        <v>2124468.240850281</v>
      </c>
      <c r="AA406" s="15"/>
      <c r="AB406" s="15"/>
      <c r="AC406" s="16">
        <f>I27+I108+I194+I250+I314+I361</f>
        <v>0</v>
      </c>
      <c r="AD406" s="17"/>
      <c r="AE406" s="18"/>
      <c r="AF406" s="18">
        <f>L27+L108+L194+L250+L314+L361</f>
        <v>2265034.1900000004</v>
      </c>
      <c r="AG406" s="17"/>
      <c r="AH406" s="18">
        <f>AF406-Z406</f>
        <v>140565.94914971944</v>
      </c>
      <c r="AI406" s="19">
        <f>AH406/Z406</f>
        <v>6.616523911577063E-2</v>
      </c>
      <c r="AJ406" s="17"/>
      <c r="AK406" s="18"/>
      <c r="AL406" s="18">
        <f>Q27+Q108+Q194+Q250+Q314+Q361</f>
        <v>1880122.8099999963</v>
      </c>
      <c r="AM406" s="20"/>
      <c r="AN406" s="18">
        <f>AF406-AL406</f>
        <v>384911.38000000408</v>
      </c>
      <c r="AO406" s="21">
        <f>IF(AL406=0,0,AN406/AL406)</f>
        <v>0.20472672208046069</v>
      </c>
      <c r="AP406" s="184"/>
      <c r="AQ406" s="184"/>
      <c r="AR406" s="184"/>
      <c r="AS406" s="184"/>
      <c r="AT406" s="184"/>
      <c r="AU406" s="184"/>
      <c r="AV406" s="184"/>
      <c r="AW406" s="184"/>
      <c r="AX406" s="184"/>
      <c r="AY406" s="184"/>
      <c r="AZ406" s="184"/>
      <c r="BA406" s="184"/>
      <c r="BB406" s="184"/>
      <c r="BC406" s="184"/>
      <c r="BD406" s="184"/>
      <c r="BE406" s="184"/>
      <c r="BF406" s="184"/>
      <c r="BG406" s="184"/>
      <c r="BH406" s="184"/>
      <c r="BI406" s="184"/>
    </row>
    <row r="407" spans="1:61" ht="15.75" customHeight="1">
      <c r="A407" s="23" t="str">
        <f t="shared" si="183"/>
        <v>DÉPENSES</v>
      </c>
      <c r="B407" s="181"/>
      <c r="T407" s="184"/>
      <c r="U407" s="184"/>
      <c r="V407" s="22" t="s">
        <v>133</v>
      </c>
      <c r="Z407" s="24"/>
      <c r="AC407" s="24"/>
      <c r="AD407" s="25"/>
      <c r="AF407" s="26"/>
      <c r="AG407" s="25"/>
      <c r="AH407" s="26"/>
      <c r="AI407" s="27"/>
      <c r="AJ407" s="25"/>
      <c r="AL407" s="26"/>
      <c r="AM407" s="28"/>
      <c r="AN407" s="26"/>
      <c r="AO407" s="29"/>
      <c r="AP407" s="184"/>
      <c r="AQ407" s="184"/>
      <c r="AR407" s="184"/>
      <c r="AS407" s="184"/>
      <c r="AT407" s="184"/>
      <c r="AU407" s="184"/>
      <c r="AV407" s="184"/>
      <c r="AW407" s="184"/>
      <c r="AX407" s="184"/>
      <c r="AY407" s="184"/>
      <c r="AZ407" s="184"/>
      <c r="BA407" s="184"/>
      <c r="BB407" s="184"/>
      <c r="BC407" s="184"/>
      <c r="BD407" s="184"/>
      <c r="BE407" s="184"/>
      <c r="BF407" s="184"/>
      <c r="BG407" s="184"/>
      <c r="BH407" s="184"/>
      <c r="BI407" s="184"/>
    </row>
    <row r="408" spans="1:61" ht="15.75" customHeight="1">
      <c r="A408" s="23" t="str">
        <f t="shared" si="183"/>
        <v>Comm. vendeurs</v>
      </c>
      <c r="B408" s="181"/>
      <c r="T408" s="184"/>
      <c r="U408" s="184"/>
      <c r="V408" s="1" t="s">
        <v>31</v>
      </c>
      <c r="W408" s="30" t="s">
        <v>134</v>
      </c>
      <c r="Y408" s="31">
        <f>Z408/(D$13+D$97)</f>
        <v>700.41617505510703</v>
      </c>
      <c r="Z408" s="24">
        <f>+SUM(START:END!Z409)</f>
        <v>210825.2686915872</v>
      </c>
      <c r="AB408" s="31">
        <f>IF(AC408=0,0,AC408/(G$13+G$97))</f>
        <v>0</v>
      </c>
      <c r="AC408" s="24">
        <f>+SUM(START:END!AC409)</f>
        <v>0</v>
      </c>
      <c r="AD408" s="32"/>
      <c r="AE408" s="31">
        <f>IF(AF408=0,0,AF408/(J$13+J$97))</f>
        <v>614.7646975088968</v>
      </c>
      <c r="AF408" s="24">
        <f>+SUM(START:END!AF409)</f>
        <v>172748.88</v>
      </c>
      <c r="AG408" s="25">
        <f>AE408-Y408</f>
        <v>-85.651477546210231</v>
      </c>
      <c r="AH408" s="24">
        <f>AF408-Z408</f>
        <v>-38076.388691587199</v>
      </c>
      <c r="AI408" s="27">
        <f t="shared" ref="AI408:AI417" si="184">IF(Z408=0,0,AH408/Z408)</f>
        <v>-0.18060638047751532</v>
      </c>
      <c r="AJ408" s="32"/>
      <c r="AK408" s="26">
        <f>AL408/(O$13+O$97)</f>
        <v>740.90159851301109</v>
      </c>
      <c r="AL408" s="24">
        <f t="shared" ref="AL408:AL414" si="185">+SUMIF($C:$C,$V408,Q:Q)</f>
        <v>199302.53</v>
      </c>
      <c r="AM408" s="28">
        <f t="shared" ref="AM408:AM417" si="186">AE408-AK408</f>
        <v>-126.13690100411429</v>
      </c>
      <c r="AN408" s="26">
        <f t="shared" ref="AN408:AN418" si="187">AF408-AL408</f>
        <v>-26553.649999999994</v>
      </c>
      <c r="AO408" s="33">
        <f>IF(AL408=0,0,AN408/AL408)</f>
        <v>-0.13323287968296235</v>
      </c>
      <c r="AP408" s="184"/>
      <c r="AQ408" s="184"/>
      <c r="AR408" s="181"/>
      <c r="AS408" s="184"/>
      <c r="AT408" s="184"/>
      <c r="AU408" s="184"/>
      <c r="AV408" s="184"/>
      <c r="AW408" s="184"/>
      <c r="AX408" s="184"/>
      <c r="AY408" s="184"/>
      <c r="AZ408" s="184"/>
      <c r="BA408" s="184"/>
      <c r="BB408" s="184"/>
      <c r="BC408" s="184"/>
      <c r="BD408" s="184"/>
      <c r="BE408" s="184"/>
      <c r="BF408" s="184"/>
      <c r="BG408" s="184"/>
      <c r="BH408" s="184"/>
      <c r="BI408" s="184"/>
    </row>
    <row r="409" spans="1:61" ht="15.75" customHeight="1">
      <c r="A409" s="23" t="str">
        <f t="shared" si="183"/>
        <v>Comm. F&amp;I</v>
      </c>
      <c r="B409" s="181"/>
      <c r="T409" s="184"/>
      <c r="U409" s="184"/>
      <c r="V409" s="2" t="s">
        <v>32</v>
      </c>
      <c r="W409" s="34" t="s">
        <v>135</v>
      </c>
      <c r="X409" s="7"/>
      <c r="Y409" s="35">
        <f t="shared" ref="Y409:Y414" si="188">Z409/(D$13+D$97)</f>
        <v>375.01661129568106</v>
      </c>
      <c r="Z409" s="8">
        <f>+SUM(START:END!Z410)</f>
        <v>112880</v>
      </c>
      <c r="AA409" s="7"/>
      <c r="AB409" s="35">
        <f t="shared" ref="AB409:AB414" si="189">IF(AC409=0,0,AC409/(G$13+G$97))</f>
        <v>0</v>
      </c>
      <c r="AC409" s="8">
        <f>+SUM(START:END!AC410)</f>
        <v>0</v>
      </c>
      <c r="AD409" s="36"/>
      <c r="AE409" s="35">
        <f t="shared" ref="AE409:AE414" si="190">IF(AF409=0,0,AF409/(J$13+J$97))</f>
        <v>287.23967971530249</v>
      </c>
      <c r="AF409" s="8">
        <f>+SUM(START:END!AF410)</f>
        <v>80714.350000000006</v>
      </c>
      <c r="AG409" s="9">
        <f t="shared" ref="AG409:AG414" si="191">AE409-Y409</f>
        <v>-87.776931580378573</v>
      </c>
      <c r="AH409" s="8">
        <f t="shared" ref="AH409:AH414" si="192">AF409-Z409</f>
        <v>-32165.649999999994</v>
      </c>
      <c r="AI409" s="37">
        <f t="shared" si="184"/>
        <v>-0.28495437632884474</v>
      </c>
      <c r="AJ409" s="36"/>
      <c r="AK409" s="10">
        <f t="shared" ref="AK409:AK414" si="193">AL409/(O$13+O$97)</f>
        <v>345.38828996282524</v>
      </c>
      <c r="AL409" s="8">
        <f t="shared" si="185"/>
        <v>92909.45</v>
      </c>
      <c r="AM409" s="12">
        <f t="shared" si="186"/>
        <v>-58.148610247522754</v>
      </c>
      <c r="AN409" s="10">
        <f t="shared" ref="AN409:AN414" si="194">AF409-AL409</f>
        <v>-12195.099999999991</v>
      </c>
      <c r="AO409" s="38">
        <f t="shared" ref="AO409:AO414" si="195">IF(AL409=0,0,AN409/AL409)</f>
        <v>-0.13125790756483857</v>
      </c>
      <c r="AP409" s="184"/>
      <c r="AQ409" s="184"/>
      <c r="AS409" s="184"/>
      <c r="AT409" s="184"/>
      <c r="AU409" s="184"/>
      <c r="AV409" s="184"/>
      <c r="AW409" s="184"/>
      <c r="AX409" s="184"/>
      <c r="AY409" s="184"/>
      <c r="AZ409" s="184"/>
      <c r="BA409" s="184"/>
      <c r="BB409" s="184"/>
      <c r="BC409" s="184"/>
      <c r="BD409" s="184"/>
      <c r="BE409" s="184"/>
      <c r="BF409" s="184"/>
      <c r="BG409" s="184"/>
      <c r="BH409" s="184"/>
      <c r="BI409" s="184"/>
    </row>
    <row r="410" spans="1:61" ht="15.75" customHeight="1">
      <c r="A410" s="23" t="str">
        <f t="shared" si="183"/>
        <v>Frais de livraison</v>
      </c>
      <c r="B410" s="181"/>
      <c r="T410" s="184"/>
      <c r="U410" s="184"/>
      <c r="V410" s="1" t="s">
        <v>33</v>
      </c>
      <c r="W410" s="30" t="s">
        <v>136</v>
      </c>
      <c r="Y410" s="31">
        <f t="shared" si="188"/>
        <v>87.920265780730901</v>
      </c>
      <c r="Z410" s="24">
        <f>+SUM(START:END!Z411)</f>
        <v>26464</v>
      </c>
      <c r="AB410" s="31">
        <f t="shared" si="189"/>
        <v>0</v>
      </c>
      <c r="AC410" s="24">
        <f>+SUM(START:END!AC411)</f>
        <v>0</v>
      </c>
      <c r="AD410" s="32"/>
      <c r="AE410" s="31">
        <f t="shared" si="190"/>
        <v>50.438790035587189</v>
      </c>
      <c r="AF410" s="24">
        <f>+SUM(START:END!AF411)</f>
        <v>14173.3</v>
      </c>
      <c r="AG410" s="25">
        <f t="shared" si="191"/>
        <v>-37.481475745143712</v>
      </c>
      <c r="AH410" s="24">
        <f t="shared" si="192"/>
        <v>-12290.7</v>
      </c>
      <c r="AI410" s="27">
        <f t="shared" si="184"/>
        <v>-0.46443092503022976</v>
      </c>
      <c r="AJ410" s="32"/>
      <c r="AK410" s="26">
        <f t="shared" si="193"/>
        <v>89.620594795539034</v>
      </c>
      <c r="AL410" s="24">
        <f t="shared" si="185"/>
        <v>24107.94</v>
      </c>
      <c r="AM410" s="28">
        <f t="shared" si="186"/>
        <v>-39.181804759951845</v>
      </c>
      <c r="AN410" s="26">
        <f t="shared" si="194"/>
        <v>-9934.64</v>
      </c>
      <c r="AO410" s="33">
        <f t="shared" si="195"/>
        <v>-0.41208995874388271</v>
      </c>
      <c r="AP410" s="184"/>
      <c r="AQ410" s="184"/>
      <c r="AS410" s="184"/>
      <c r="AT410" s="184"/>
      <c r="AU410" s="184"/>
      <c r="AV410" s="184"/>
      <c r="AW410" s="184"/>
      <c r="AX410" s="184"/>
      <c r="AY410" s="184"/>
      <c r="AZ410" s="184"/>
      <c r="BA410" s="184"/>
      <c r="BB410" s="184"/>
      <c r="BC410" s="184"/>
      <c r="BD410" s="184"/>
      <c r="BE410" s="184"/>
      <c r="BF410" s="184"/>
      <c r="BG410" s="184"/>
      <c r="BH410" s="184"/>
      <c r="BI410" s="184"/>
    </row>
    <row r="411" spans="1:61" ht="15.75" customHeight="1">
      <c r="A411" s="23" t="str">
        <f t="shared" si="183"/>
        <v>Service gratuit 1</v>
      </c>
      <c r="B411" s="181"/>
      <c r="T411" s="184"/>
      <c r="U411" s="184"/>
      <c r="V411" s="1" t="s">
        <v>34</v>
      </c>
      <c r="W411" s="30" t="s">
        <v>137</v>
      </c>
      <c r="Y411" s="31">
        <f t="shared" si="188"/>
        <v>20.598006644518271</v>
      </c>
      <c r="Z411" s="24">
        <f>+SUM(START:END!Z412)</f>
        <v>6200</v>
      </c>
      <c r="AB411" s="31">
        <f t="shared" si="189"/>
        <v>0</v>
      </c>
      <c r="AC411" s="24">
        <f>+SUM(START:END!AC412)</f>
        <v>0</v>
      </c>
      <c r="AD411" s="32"/>
      <c r="AE411" s="31">
        <f t="shared" si="190"/>
        <v>35.945516014234869</v>
      </c>
      <c r="AF411" s="24">
        <f>+SUM(START:END!AF412)</f>
        <v>10100.689999999999</v>
      </c>
      <c r="AG411" s="25">
        <f t="shared" si="191"/>
        <v>15.347509369716597</v>
      </c>
      <c r="AH411" s="24">
        <f t="shared" si="192"/>
        <v>3900.6899999999987</v>
      </c>
      <c r="AI411" s="27">
        <f t="shared" si="184"/>
        <v>0.62914354838709652</v>
      </c>
      <c r="AJ411" s="32"/>
      <c r="AK411" s="26">
        <f t="shared" si="193"/>
        <v>53.0771375464684</v>
      </c>
      <c r="AL411" s="24">
        <f t="shared" si="185"/>
        <v>14277.75</v>
      </c>
      <c r="AM411" s="28">
        <f t="shared" si="186"/>
        <v>-17.131621532233531</v>
      </c>
      <c r="AN411" s="26">
        <f t="shared" si="194"/>
        <v>-4177.0600000000013</v>
      </c>
      <c r="AO411" s="39">
        <f t="shared" si="195"/>
        <v>-0.29255730069513763</v>
      </c>
      <c r="AP411" s="184"/>
      <c r="AQ411" s="184"/>
      <c r="AS411" s="184"/>
      <c r="AT411" s="184"/>
      <c r="AU411" s="184"/>
      <c r="AV411" s="184"/>
      <c r="AW411" s="184"/>
      <c r="AX411" s="184"/>
      <c r="AY411" s="184"/>
      <c r="AZ411" s="184"/>
      <c r="BA411" s="184"/>
      <c r="BB411" s="184"/>
      <c r="BC411" s="184"/>
      <c r="BD411" s="184"/>
      <c r="BE411" s="184"/>
      <c r="BF411" s="184"/>
      <c r="BG411" s="184"/>
      <c r="BH411" s="184"/>
      <c r="BI411" s="184"/>
    </row>
    <row r="412" spans="1:61" ht="15.75" customHeight="1">
      <c r="A412" s="23" t="str">
        <f t="shared" si="183"/>
        <v>Entretien stock</v>
      </c>
      <c r="B412" s="181"/>
      <c r="T412" s="184"/>
      <c r="U412" s="184"/>
      <c r="V412" s="2" t="s">
        <v>35</v>
      </c>
      <c r="W412" s="34"/>
      <c r="X412" s="7"/>
      <c r="Y412" s="35">
        <f t="shared" si="188"/>
        <v>136.63787375415282</v>
      </c>
      <c r="Z412" s="8">
        <f>+SUM(START:END!Z413)</f>
        <v>41128</v>
      </c>
      <c r="AA412" s="7"/>
      <c r="AB412" s="35">
        <f t="shared" si="189"/>
        <v>0</v>
      </c>
      <c r="AC412" s="8">
        <f>+SUM(START:END!AC413)</f>
        <v>0</v>
      </c>
      <c r="AD412" s="36"/>
      <c r="AE412" s="35">
        <f t="shared" si="190"/>
        <v>106.06487544483986</v>
      </c>
      <c r="AF412" s="8">
        <f>+SUM(START:END!AF413)</f>
        <v>29804.23</v>
      </c>
      <c r="AG412" s="9">
        <f t="shared" si="191"/>
        <v>-30.572998309312965</v>
      </c>
      <c r="AH412" s="8">
        <f t="shared" si="192"/>
        <v>-11323.77</v>
      </c>
      <c r="AI412" s="37">
        <f t="shared" si="184"/>
        <v>-0.27532994553588797</v>
      </c>
      <c r="AJ412" s="36"/>
      <c r="AK412" s="10">
        <f t="shared" si="193"/>
        <v>128.81784386617102</v>
      </c>
      <c r="AL412" s="8">
        <f t="shared" si="185"/>
        <v>34652</v>
      </c>
      <c r="AM412" s="12">
        <f t="shared" si="186"/>
        <v>-22.752968421331161</v>
      </c>
      <c r="AN412" s="10">
        <f t="shared" si="194"/>
        <v>-4847.7700000000004</v>
      </c>
      <c r="AO412" s="38">
        <f t="shared" si="195"/>
        <v>-0.13989870714533073</v>
      </c>
      <c r="AP412" s="184"/>
      <c r="AQ412" s="184"/>
      <c r="AS412" s="184"/>
      <c r="AT412" s="184"/>
      <c r="AU412" s="184"/>
      <c r="AV412" s="184"/>
      <c r="AW412" s="184"/>
      <c r="AX412" s="184"/>
      <c r="AY412" s="184"/>
      <c r="AZ412" s="184"/>
      <c r="BA412" s="184"/>
      <c r="BB412" s="184"/>
      <c r="BC412" s="184"/>
      <c r="BD412" s="184"/>
      <c r="BE412" s="184"/>
      <c r="BF412" s="184"/>
      <c r="BG412" s="184"/>
      <c r="BH412" s="184"/>
      <c r="BI412" s="184"/>
    </row>
    <row r="413" spans="1:61" ht="15.75" customHeight="1">
      <c r="A413" s="23" t="str">
        <f t="shared" si="183"/>
        <v>Publicité 1</v>
      </c>
      <c r="B413" s="181"/>
      <c r="T413" s="184"/>
      <c r="U413" s="184"/>
      <c r="V413" s="1" t="s">
        <v>36</v>
      </c>
      <c r="W413" s="30" t="s">
        <v>138</v>
      </c>
      <c r="X413" s="27"/>
      <c r="Y413" s="31">
        <f t="shared" si="188"/>
        <v>162.8970099667774</v>
      </c>
      <c r="Z413" s="24">
        <f>+SUM(START:END!Z414)</f>
        <v>49032</v>
      </c>
      <c r="AA413" s="27"/>
      <c r="AB413" s="31">
        <f t="shared" si="189"/>
        <v>0</v>
      </c>
      <c r="AC413" s="24">
        <f>+SUM(START:END!AC414)</f>
        <v>0</v>
      </c>
      <c r="AD413" s="32"/>
      <c r="AE413" s="31">
        <f t="shared" si="190"/>
        <v>187.08434163701065</v>
      </c>
      <c r="AF413" s="24">
        <f>+SUM(START:END!AF414)</f>
        <v>52570.7</v>
      </c>
      <c r="AG413" s="25">
        <f t="shared" si="191"/>
        <v>24.187331670233249</v>
      </c>
      <c r="AH413" s="24">
        <f t="shared" si="192"/>
        <v>3538.6999999999971</v>
      </c>
      <c r="AI413" s="27">
        <f t="shared" si="184"/>
        <v>7.2171235111763682E-2</v>
      </c>
      <c r="AJ413" s="32"/>
      <c r="AK413" s="26">
        <f t="shared" si="193"/>
        <v>182.81304832713712</v>
      </c>
      <c r="AL413" s="24">
        <f t="shared" si="185"/>
        <v>49176.70999999989</v>
      </c>
      <c r="AM413" s="28">
        <f t="shared" si="186"/>
        <v>4.2712933098735277</v>
      </c>
      <c r="AN413" s="26">
        <f t="shared" si="194"/>
        <v>3393.9900000001071</v>
      </c>
      <c r="AO413" s="33">
        <f t="shared" si="195"/>
        <v>6.9016207062247856E-2</v>
      </c>
      <c r="AP413" s="184"/>
      <c r="AQ413" s="184"/>
      <c r="AS413" s="184"/>
      <c r="AT413" s="184"/>
      <c r="AU413" s="184"/>
      <c r="AV413" s="184"/>
      <c r="AW413" s="184"/>
      <c r="AX413" s="184"/>
      <c r="AY413" s="184"/>
      <c r="AZ413" s="184"/>
      <c r="BA413" s="184"/>
      <c r="BB413" s="184"/>
      <c r="BC413" s="184"/>
      <c r="BD413" s="184"/>
      <c r="BE413" s="184"/>
      <c r="BF413" s="184"/>
      <c r="BG413" s="184"/>
      <c r="BH413" s="184"/>
      <c r="BI413" s="184"/>
    </row>
    <row r="414" spans="1:61" ht="15.75" customHeight="1">
      <c r="A414" s="23" t="str">
        <f t="shared" si="183"/>
        <v>Intérêt de gros</v>
      </c>
      <c r="B414" s="181"/>
      <c r="T414" s="184"/>
      <c r="U414" s="184"/>
      <c r="V414" s="1" t="s">
        <v>37</v>
      </c>
      <c r="W414" s="30" t="s">
        <v>139</v>
      </c>
      <c r="Y414" s="31">
        <f t="shared" si="188"/>
        <v>457.86092769209284</v>
      </c>
      <c r="Z414" s="24">
        <f>+SUM(START:END!Z415)</f>
        <v>137816.13923531995</v>
      </c>
      <c r="AB414" s="31">
        <f t="shared" si="189"/>
        <v>0</v>
      </c>
      <c r="AC414" s="24">
        <f>+SUM(START:END!AC415)</f>
        <v>0</v>
      </c>
      <c r="AD414" s="32"/>
      <c r="AE414" s="31">
        <f t="shared" si="190"/>
        <v>199.58533807829181</v>
      </c>
      <c r="AF414" s="24">
        <f>+SUM(START:END!AF415)</f>
        <v>56083.48</v>
      </c>
      <c r="AG414" s="25">
        <f t="shared" si="191"/>
        <v>-258.275589613801</v>
      </c>
      <c r="AH414" s="24">
        <f t="shared" si="192"/>
        <v>-81732.659235319938</v>
      </c>
      <c r="AI414" s="27">
        <f t="shared" si="184"/>
        <v>-0.59305578932059677</v>
      </c>
      <c r="AJ414" s="32"/>
      <c r="AK414" s="26">
        <f t="shared" si="193"/>
        <v>442.07505576208177</v>
      </c>
      <c r="AL414" s="24">
        <f t="shared" si="185"/>
        <v>118918.19</v>
      </c>
      <c r="AM414" s="28">
        <f t="shared" si="186"/>
        <v>-242.48971768378996</v>
      </c>
      <c r="AN414" s="26">
        <f t="shared" si="194"/>
        <v>-62834.71</v>
      </c>
      <c r="AO414" s="33">
        <f t="shared" si="195"/>
        <v>-0.52838602740253615</v>
      </c>
      <c r="AP414" s="184"/>
      <c r="AQ414" s="184"/>
      <c r="AS414" s="184"/>
      <c r="AT414" s="184"/>
      <c r="AU414" s="184"/>
      <c r="AV414" s="184"/>
      <c r="AW414" s="184"/>
      <c r="AX414" s="184"/>
      <c r="AY414" s="184"/>
      <c r="AZ414" s="184"/>
      <c r="BA414" s="184"/>
      <c r="BB414" s="184"/>
      <c r="BC414" s="184"/>
      <c r="BD414" s="184"/>
      <c r="BE414" s="184"/>
      <c r="BF414" s="184"/>
      <c r="BG414" s="184"/>
      <c r="BH414" s="184"/>
      <c r="BI414" s="184"/>
    </row>
    <row r="415" spans="1:61" ht="15.75" hidden="1" customHeight="1">
      <c r="A415" s="23" t="str">
        <f t="shared" si="183"/>
        <v>[...]</v>
      </c>
      <c r="B415" s="181"/>
      <c r="T415" s="184"/>
      <c r="U415" s="184"/>
      <c r="V415" s="1" t="s">
        <v>20</v>
      </c>
      <c r="W415" s="30"/>
      <c r="X415" s="27"/>
      <c r="Y415" s="31">
        <f t="shared" ref="Y415:Y417" si="196">Z415/(D$13+D$97)</f>
        <v>0</v>
      </c>
      <c r="Z415" s="24">
        <f>+SUM(START:END!Z416)</f>
        <v>0</v>
      </c>
      <c r="AB415" s="31">
        <f t="shared" ref="AB415:AB417" si="197">IF(AC415=0,0,AC415/(G$13+G$97))</f>
        <v>0</v>
      </c>
      <c r="AC415" s="24">
        <f>+SUM(START:END!AC416)</f>
        <v>0</v>
      </c>
      <c r="AD415" s="32"/>
      <c r="AE415" s="31">
        <f t="shared" ref="AE415:AE417" si="198">IF(AF415=0,0,AF415/(J$13+J$97))</f>
        <v>0</v>
      </c>
      <c r="AF415" s="24">
        <f>+SUM(START:END!AF416)</f>
        <v>0</v>
      </c>
      <c r="AG415" s="25">
        <f t="shared" ref="AG415:AG417" si="199">AE415-AB415</f>
        <v>0</v>
      </c>
      <c r="AH415" s="24">
        <f t="shared" ref="AH415:AH417" si="200">AF415-AC415</f>
        <v>0</v>
      </c>
      <c r="AI415" s="27">
        <f t="shared" si="184"/>
        <v>0</v>
      </c>
      <c r="AJ415" s="32"/>
      <c r="AK415" s="26">
        <f t="shared" ref="AK415:AK417" si="201">AL415/(O$13+O$97)</f>
        <v>0</v>
      </c>
      <c r="AL415" s="24"/>
      <c r="AM415" s="28">
        <f t="shared" si="186"/>
        <v>0</v>
      </c>
      <c r="AN415" s="26">
        <f t="shared" ref="AN415:AN417" si="202">AF415-AL415</f>
        <v>0</v>
      </c>
      <c r="AO415" s="33">
        <f t="shared" ref="AO415:AO417" si="203">IF(AL415=0,0,AN415/AL415)</f>
        <v>0</v>
      </c>
      <c r="AP415" s="184"/>
      <c r="AQ415" s="184"/>
      <c r="AS415" s="184"/>
      <c r="AT415" s="184"/>
      <c r="AU415" s="184"/>
      <c r="AV415" s="184"/>
      <c r="AW415" s="184"/>
      <c r="AX415" s="184"/>
      <c r="AY415" s="184"/>
      <c r="AZ415" s="184"/>
      <c r="BA415" s="184"/>
      <c r="BB415" s="184"/>
      <c r="BC415" s="184"/>
      <c r="BD415" s="184"/>
      <c r="BE415" s="184"/>
      <c r="BF415" s="184"/>
      <c r="BG415" s="184"/>
      <c r="BH415" s="184"/>
      <c r="BI415" s="184"/>
    </row>
    <row r="416" spans="1:61" ht="15.75" hidden="1" customHeight="1">
      <c r="A416" s="23" t="str">
        <f t="shared" si="183"/>
        <v>[...]</v>
      </c>
      <c r="B416" s="181"/>
      <c r="T416" s="184"/>
      <c r="U416" s="184"/>
      <c r="V416" s="1" t="s">
        <v>20</v>
      </c>
      <c r="W416" s="30"/>
      <c r="X416" s="27"/>
      <c r="Y416" s="31">
        <f t="shared" si="196"/>
        <v>0</v>
      </c>
      <c r="Z416" s="24">
        <f>+SUM(START:END!Z417)</f>
        <v>0</v>
      </c>
      <c r="AB416" s="31">
        <f t="shared" si="197"/>
        <v>0</v>
      </c>
      <c r="AC416" s="24">
        <f>+SUM(START:END!AC417)</f>
        <v>0</v>
      </c>
      <c r="AD416" s="32"/>
      <c r="AE416" s="31">
        <f t="shared" si="198"/>
        <v>0</v>
      </c>
      <c r="AF416" s="24">
        <f>+SUM(START:END!AF417)</f>
        <v>0</v>
      </c>
      <c r="AG416" s="25">
        <f t="shared" si="199"/>
        <v>0</v>
      </c>
      <c r="AH416" s="24">
        <f t="shared" si="200"/>
        <v>0</v>
      </c>
      <c r="AI416" s="27">
        <f t="shared" si="184"/>
        <v>0</v>
      </c>
      <c r="AJ416" s="32"/>
      <c r="AK416" s="26">
        <f t="shared" si="201"/>
        <v>0</v>
      </c>
      <c r="AL416" s="24"/>
      <c r="AM416" s="28">
        <f t="shared" si="186"/>
        <v>0</v>
      </c>
      <c r="AN416" s="26">
        <f t="shared" si="202"/>
        <v>0</v>
      </c>
      <c r="AO416" s="33">
        <f t="shared" si="203"/>
        <v>0</v>
      </c>
      <c r="AP416" s="184"/>
      <c r="AQ416" s="184"/>
      <c r="AS416" s="184"/>
      <c r="AT416" s="184"/>
      <c r="AU416" s="184"/>
      <c r="AV416" s="184"/>
      <c r="AW416" s="184"/>
      <c r="AX416" s="184"/>
      <c r="AY416" s="184"/>
      <c r="AZ416" s="184"/>
      <c r="BA416" s="184"/>
      <c r="BB416" s="184"/>
      <c r="BC416" s="184"/>
      <c r="BD416" s="184"/>
      <c r="BE416" s="184"/>
      <c r="BF416" s="184"/>
      <c r="BG416" s="184"/>
      <c r="BH416" s="184"/>
      <c r="BI416" s="184"/>
    </row>
    <row r="417" spans="1:61" ht="15.75" hidden="1" customHeight="1">
      <c r="A417" s="23" t="str">
        <f t="shared" si="183"/>
        <v>[...]</v>
      </c>
      <c r="B417" s="181"/>
      <c r="T417" s="184"/>
      <c r="U417" s="184"/>
      <c r="V417" s="1" t="s">
        <v>20</v>
      </c>
      <c r="W417" s="30"/>
      <c r="Y417" s="31">
        <f t="shared" si="196"/>
        <v>0</v>
      </c>
      <c r="Z417" s="24">
        <f>+SUM(START:END!Z418)</f>
        <v>0</v>
      </c>
      <c r="AB417" s="31">
        <f t="shared" si="197"/>
        <v>0</v>
      </c>
      <c r="AC417" s="24">
        <f>+SUM(START:END!AC418)</f>
        <v>0</v>
      </c>
      <c r="AD417" s="32"/>
      <c r="AE417" s="31">
        <f t="shared" si="198"/>
        <v>0</v>
      </c>
      <c r="AF417" s="24">
        <f>+SUM(START:END!AF418)</f>
        <v>0</v>
      </c>
      <c r="AG417" s="25">
        <f t="shared" si="199"/>
        <v>0</v>
      </c>
      <c r="AH417" s="24">
        <f t="shared" si="200"/>
        <v>0</v>
      </c>
      <c r="AI417" s="27">
        <f t="shared" si="184"/>
        <v>0</v>
      </c>
      <c r="AJ417" s="32"/>
      <c r="AK417" s="26">
        <f t="shared" si="201"/>
        <v>0</v>
      </c>
      <c r="AL417" s="24"/>
      <c r="AM417" s="28">
        <f t="shared" si="186"/>
        <v>0</v>
      </c>
      <c r="AN417" s="26">
        <f t="shared" si="202"/>
        <v>0</v>
      </c>
      <c r="AO417" s="33">
        <f t="shared" si="203"/>
        <v>0</v>
      </c>
      <c r="AP417" s="184"/>
      <c r="AQ417" s="184"/>
      <c r="AS417" s="184"/>
      <c r="AT417" s="184"/>
      <c r="AU417" s="184"/>
      <c r="AV417" s="184"/>
      <c r="AW417" s="184"/>
      <c r="AX417" s="184"/>
      <c r="AY417" s="184"/>
      <c r="AZ417" s="184"/>
      <c r="BA417" s="184"/>
      <c r="BB417" s="184"/>
      <c r="BC417" s="184"/>
      <c r="BD417" s="184"/>
      <c r="BE417" s="184"/>
      <c r="BF417" s="184"/>
      <c r="BG417" s="184"/>
      <c r="BH417" s="184"/>
      <c r="BI417" s="184"/>
    </row>
    <row r="418" spans="1:61" ht="15.75" customHeight="1">
      <c r="A418" s="23" t="str">
        <f t="shared" si="183"/>
        <v>TOTAL VARIABLES</v>
      </c>
      <c r="B418" s="181"/>
      <c r="T418" s="184"/>
      <c r="U418" s="184"/>
      <c r="V418" s="40" t="s">
        <v>38</v>
      </c>
      <c r="W418" s="41"/>
      <c r="X418" s="42">
        <f>Z418/(Z406+Z480)</f>
        <v>0.22107657792695698</v>
      </c>
      <c r="Y418" s="41"/>
      <c r="Z418" s="43">
        <f>SUM(Z408:Z417)</f>
        <v>584345.40792690718</v>
      </c>
      <c r="AA418" s="42" t="e">
        <f>AC418/AC406</f>
        <v>#DIV/0!</v>
      </c>
      <c r="AB418" s="41"/>
      <c r="AC418" s="43">
        <f>SUM(AC408:AC417)</f>
        <v>0</v>
      </c>
      <c r="AD418" s="42">
        <f>AF418/(AF406+AF480)</f>
        <v>0.15700598129280119</v>
      </c>
      <c r="AE418" s="41"/>
      <c r="AF418" s="43">
        <f>SUM(AF408:AF417)</f>
        <v>416195.63</v>
      </c>
      <c r="AG418" s="45"/>
      <c r="AH418" s="43">
        <f>SUM(AH408:AH417)</f>
        <v>-168149.77792690712</v>
      </c>
      <c r="AI418" s="42">
        <f>AH418/Z418</f>
        <v>-0.28775750719673682</v>
      </c>
      <c r="AJ418" s="44">
        <f>IF($AL$406=0,0,AL418/$AL$406)</f>
        <v>0.28367538926885361</v>
      </c>
      <c r="AK418" s="41"/>
      <c r="AL418" s="43">
        <f>SUM(AL408:AL417)</f>
        <v>533344.56999999983</v>
      </c>
      <c r="AM418" s="47"/>
      <c r="AN418" s="46">
        <f t="shared" si="187"/>
        <v>-117148.93999999983</v>
      </c>
      <c r="AO418" s="21">
        <f>IF(AL418=0,0,AN418/AL418)</f>
        <v>-0.21964963475675747</v>
      </c>
      <c r="AP418" s="184"/>
      <c r="AQ418" s="184"/>
      <c r="AS418" s="184"/>
      <c r="AT418" s="184"/>
      <c r="AU418" s="184"/>
      <c r="AV418" s="184"/>
      <c r="AW418" s="184"/>
      <c r="AX418" s="184"/>
      <c r="AY418" s="184"/>
      <c r="AZ418" s="184"/>
      <c r="BA418" s="184"/>
      <c r="BB418" s="184"/>
      <c r="BC418" s="184"/>
      <c r="BD418" s="184"/>
      <c r="BE418" s="184"/>
      <c r="BF418" s="184"/>
      <c r="BG418" s="184"/>
      <c r="BH418" s="184"/>
      <c r="BI418" s="184"/>
    </row>
    <row r="419" spans="1:61" ht="15.75" customHeight="1">
      <c r="A419" s="23" t="str">
        <f t="shared" si="183"/>
        <v>Salaires propriétaire</v>
      </c>
      <c r="B419" s="181"/>
      <c r="O419" s="406"/>
      <c r="P419" s="26"/>
      <c r="T419" s="184"/>
      <c r="U419" s="184"/>
      <c r="V419" s="1" t="s">
        <v>140</v>
      </c>
      <c r="W419" s="30" t="s">
        <v>141</v>
      </c>
      <c r="Z419" s="24">
        <f>+SUM(START:END!Z420)</f>
        <v>46336.125</v>
      </c>
      <c r="AB419" s="23">
        <f t="shared" ref="AB419:AB429" si="204">IF(AC419=0,0,AC419/(G$13+G$97))</f>
        <v>0</v>
      </c>
      <c r="AC419" s="24">
        <f>+SUM(START:END!AC420)</f>
        <v>0</v>
      </c>
      <c r="AD419" s="32"/>
      <c r="AE419" s="31"/>
      <c r="AF419" s="24">
        <f>+SUM(START:END!AF420)</f>
        <v>43049.78</v>
      </c>
      <c r="AG419" s="25"/>
      <c r="AH419" s="24">
        <f t="shared" ref="AH419:AH430" si="205">AF419-Z419</f>
        <v>-3286.3450000000012</v>
      </c>
      <c r="AI419" s="27">
        <f t="shared" ref="AI419:AI431" si="206">IF(Z419=0,0,AH419/Z419)</f>
        <v>-7.092403605178467E-2</v>
      </c>
      <c r="AJ419" s="32"/>
      <c r="AL419" s="24">
        <f>+SUM(START:END!AL420)</f>
        <v>44683.62</v>
      </c>
      <c r="AM419" s="28"/>
      <c r="AN419" s="26">
        <f t="shared" ref="AN419:AN429" si="207">AF419-AL419</f>
        <v>-1633.8400000000038</v>
      </c>
      <c r="AO419" s="33">
        <f t="shared" ref="AO419:AO429" si="208">IF(AL419=0,0,AN419/AL419)</f>
        <v>-3.6564629275783918E-2</v>
      </c>
      <c r="AP419" s="184"/>
      <c r="AQ419" s="184"/>
      <c r="AR419" s="184"/>
      <c r="AS419" s="184"/>
      <c r="AT419" s="184"/>
      <c r="AU419" s="184"/>
      <c r="AV419" s="184"/>
      <c r="AW419" s="184"/>
      <c r="AX419" s="184"/>
      <c r="AY419" s="184"/>
      <c r="AZ419" s="184"/>
      <c r="BA419" s="184"/>
      <c r="BB419" s="184"/>
      <c r="BC419" s="184"/>
      <c r="BD419" s="184"/>
      <c r="BE419" s="184"/>
      <c r="BF419" s="184"/>
      <c r="BG419" s="184"/>
      <c r="BH419" s="184"/>
      <c r="BI419" s="184"/>
    </row>
    <row r="420" spans="1:61" ht="15.75" customHeight="1">
      <c r="A420" s="23" t="str">
        <f t="shared" si="183"/>
        <v>Salaires cadres</v>
      </c>
      <c r="B420" s="181"/>
      <c r="O420" s="406"/>
      <c r="P420" s="26"/>
      <c r="T420" s="184"/>
      <c r="U420" s="184"/>
      <c r="V420" s="1" t="s">
        <v>41</v>
      </c>
      <c r="W420" s="30" t="s">
        <v>142</v>
      </c>
      <c r="Z420" s="24">
        <f>+SUM(START:END!Z421)</f>
        <v>179288</v>
      </c>
      <c r="AB420" s="23">
        <f t="shared" si="204"/>
        <v>0</v>
      </c>
      <c r="AC420" s="24">
        <f>+SUM(START:END!AC421)</f>
        <v>0</v>
      </c>
      <c r="AD420" s="32"/>
      <c r="AE420" s="31"/>
      <c r="AF420" s="24">
        <f>+SUM(START:END!AF421)</f>
        <v>150514.38999999998</v>
      </c>
      <c r="AG420" s="25"/>
      <c r="AH420" s="24">
        <f t="shared" si="205"/>
        <v>-28773.610000000015</v>
      </c>
      <c r="AI420" s="27">
        <f t="shared" si="206"/>
        <v>-0.16048820891526491</v>
      </c>
      <c r="AJ420" s="32"/>
      <c r="AL420" s="24">
        <f>+SUMIF($C:$C,$V420,Q:Q)</f>
        <v>150068.25</v>
      </c>
      <c r="AM420" s="28"/>
      <c r="AN420" s="26">
        <f t="shared" si="207"/>
        <v>446.13999999998487</v>
      </c>
      <c r="AO420" s="33">
        <f t="shared" si="208"/>
        <v>2.9729139908007515E-3</v>
      </c>
      <c r="AP420" s="184"/>
      <c r="AQ420" s="184"/>
      <c r="AR420" s="184"/>
      <c r="AS420" s="184"/>
      <c r="AT420" s="184"/>
      <c r="AU420" s="184"/>
      <c r="AV420" s="184"/>
      <c r="AW420" s="184"/>
      <c r="AX420" s="184"/>
      <c r="AY420" s="184"/>
      <c r="AZ420" s="184"/>
      <c r="BA420" s="184"/>
      <c r="BB420" s="184"/>
      <c r="BC420" s="184"/>
      <c r="BD420" s="184"/>
      <c r="BE420" s="184"/>
      <c r="BF420" s="184"/>
      <c r="BG420" s="184"/>
      <c r="BH420" s="184"/>
      <c r="BI420" s="184"/>
    </row>
    <row r="421" spans="1:61" ht="15.75" customHeight="1">
      <c r="A421" s="23" t="str">
        <f t="shared" si="183"/>
        <v>Salaires commis</v>
      </c>
      <c r="B421" s="181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407"/>
      <c r="P421" s="26"/>
      <c r="Q421" s="184"/>
      <c r="R421" s="184"/>
      <c r="S421" s="184"/>
      <c r="T421" s="184"/>
      <c r="U421" s="184"/>
      <c r="V421" s="2" t="s">
        <v>42</v>
      </c>
      <c r="W421" s="34" t="s">
        <v>143</v>
      </c>
      <c r="X421" s="7"/>
      <c r="Y421" s="7"/>
      <c r="Z421" s="8">
        <f>+SUM(START:END!Z422)</f>
        <v>200623.81599999999</v>
      </c>
      <c r="AA421" s="7"/>
      <c r="AB421" s="7">
        <f t="shared" si="204"/>
        <v>0</v>
      </c>
      <c r="AC421" s="8">
        <f>+SUM(START:END!AC422)</f>
        <v>0</v>
      </c>
      <c r="AD421" s="36"/>
      <c r="AE421" s="35"/>
      <c r="AF421" s="8">
        <f>+SUM(START:END!AF422)</f>
        <v>171548.34</v>
      </c>
      <c r="AG421" s="9"/>
      <c r="AH421" s="8">
        <f t="shared" si="205"/>
        <v>-29075.475999999995</v>
      </c>
      <c r="AI421" s="37">
        <f t="shared" si="206"/>
        <v>-0.14492534625101536</v>
      </c>
      <c r="AJ421" s="36"/>
      <c r="AK421" s="7"/>
      <c r="AL421" s="8">
        <f>+SUMIF($C:$C,$V421,Q:Q)</f>
        <v>138750.57999999999</v>
      </c>
      <c r="AM421" s="12"/>
      <c r="AN421" s="10">
        <f t="shared" si="207"/>
        <v>32797.760000000009</v>
      </c>
      <c r="AO421" s="13">
        <f t="shared" si="208"/>
        <v>0.23637926414433735</v>
      </c>
      <c r="AP421" s="184"/>
      <c r="AQ421" s="184"/>
      <c r="AR421" s="184"/>
      <c r="AS421" s="184"/>
      <c r="AT421" s="184"/>
      <c r="AU421" s="184"/>
      <c r="AV421" s="184"/>
      <c r="AW421" s="184"/>
      <c r="AX421" s="184"/>
      <c r="AY421" s="184"/>
      <c r="AZ421" s="184"/>
      <c r="BA421" s="184"/>
      <c r="BB421" s="184"/>
      <c r="BC421" s="184"/>
      <c r="BD421" s="184"/>
      <c r="BE421" s="184"/>
      <c r="BF421" s="184"/>
      <c r="BG421" s="184"/>
      <c r="BH421" s="184"/>
      <c r="BI421" s="184"/>
    </row>
    <row r="422" spans="1:61" ht="15.75" customHeight="1">
      <c r="A422" s="23" t="str">
        <f t="shared" si="183"/>
        <v>Salaires autres</v>
      </c>
      <c r="B422" s="181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407"/>
      <c r="P422" s="26"/>
      <c r="Q422" s="184"/>
      <c r="R422" s="184"/>
      <c r="S422" s="184"/>
      <c r="T422" s="184"/>
      <c r="U422" s="184"/>
      <c r="V422" s="1" t="s">
        <v>43</v>
      </c>
      <c r="W422" s="30" t="s">
        <v>144</v>
      </c>
      <c r="Z422" s="24">
        <f>+SUM(START:END!Z423)</f>
        <v>63329.5</v>
      </c>
      <c r="AB422" s="23">
        <f t="shared" si="204"/>
        <v>0</v>
      </c>
      <c r="AC422" s="24">
        <f>+SUM(START:END!AC423)</f>
        <v>0</v>
      </c>
      <c r="AD422" s="32"/>
      <c r="AE422" s="31"/>
      <c r="AF422" s="24">
        <f>+SUM(START:END!AF423)</f>
        <v>62479.55</v>
      </c>
      <c r="AG422" s="25"/>
      <c r="AH422" s="24">
        <f t="shared" si="205"/>
        <v>-849.94999999999709</v>
      </c>
      <c r="AI422" s="27">
        <f t="shared" si="206"/>
        <v>-1.34210754861478E-2</v>
      </c>
      <c r="AJ422" s="32"/>
      <c r="AL422" s="24">
        <f>+SUMIF($C:$C,$V422,Q:Q)</f>
        <v>73613.76999999999</v>
      </c>
      <c r="AM422" s="28"/>
      <c r="AN422" s="26">
        <f t="shared" si="207"/>
        <v>-11134.219999999987</v>
      </c>
      <c r="AO422" s="33">
        <f t="shared" si="208"/>
        <v>-0.15125186497037155</v>
      </c>
      <c r="AP422" s="184"/>
      <c r="AQ422" s="184"/>
      <c r="AR422" s="184"/>
      <c r="AS422" s="184"/>
      <c r="AT422" s="184"/>
      <c r="AU422" s="184"/>
      <c r="AV422" s="184"/>
      <c r="AW422" s="184"/>
      <c r="AX422" s="184"/>
      <c r="AY422" s="184"/>
      <c r="AZ422" s="184"/>
      <c r="BA422" s="184"/>
      <c r="BB422" s="184"/>
      <c r="BC422" s="184"/>
      <c r="BD422" s="184"/>
      <c r="BE422" s="184"/>
      <c r="BF422" s="184"/>
      <c r="BG422" s="184"/>
      <c r="BH422" s="184"/>
      <c r="BI422" s="184"/>
    </row>
    <row r="423" spans="1:61" ht="15.75" customHeight="1">
      <c r="A423" s="23" t="str">
        <f t="shared" si="183"/>
        <v>Salaires spécialistes</v>
      </c>
      <c r="B423" s="181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407"/>
      <c r="P423" s="26"/>
      <c r="Q423" s="184"/>
      <c r="R423" s="184"/>
      <c r="S423" s="184"/>
      <c r="T423" s="184"/>
      <c r="U423" s="184"/>
      <c r="V423" s="1" t="s">
        <v>44</v>
      </c>
      <c r="W423" s="30" t="s">
        <v>145</v>
      </c>
      <c r="Z423" s="24">
        <f>+SUM(START:END!Z424)</f>
        <v>82354.219760000007</v>
      </c>
      <c r="AB423" s="23">
        <f t="shared" si="204"/>
        <v>0</v>
      </c>
      <c r="AC423" s="24">
        <f>+SUM(START:END!AC424)</f>
        <v>0</v>
      </c>
      <c r="AD423" s="32"/>
      <c r="AE423" s="31"/>
      <c r="AF423" s="24">
        <f>+SUM(START:END!AF424)</f>
        <v>55439.81</v>
      </c>
      <c r="AG423" s="25"/>
      <c r="AH423" s="24">
        <f t="shared" si="205"/>
        <v>-26914.40976000001</v>
      </c>
      <c r="AI423" s="27">
        <f t="shared" si="206"/>
        <v>-0.32681275881715677</v>
      </c>
      <c r="AJ423" s="32"/>
      <c r="AL423" s="24">
        <f>+SUMIF($C:$C,$V423,Q:Q)</f>
        <v>86556.25</v>
      </c>
      <c r="AM423" s="28"/>
      <c r="AN423" s="26">
        <f t="shared" si="207"/>
        <v>-31116.440000000002</v>
      </c>
      <c r="AO423" s="33">
        <f t="shared" si="208"/>
        <v>-0.35949385515199656</v>
      </c>
      <c r="AP423" s="184"/>
      <c r="AQ423" s="184"/>
      <c r="AR423" s="184"/>
      <c r="AS423" s="184"/>
      <c r="AT423" s="184"/>
      <c r="AU423" s="184"/>
      <c r="AV423" s="184"/>
      <c r="AW423" s="184"/>
      <c r="AX423" s="184"/>
      <c r="AY423" s="184"/>
      <c r="AZ423" s="184"/>
      <c r="BA423" s="184"/>
      <c r="BB423" s="184"/>
      <c r="BC423" s="184"/>
      <c r="BD423" s="184"/>
      <c r="BE423" s="184"/>
      <c r="BF423" s="184"/>
      <c r="BG423" s="184"/>
      <c r="BH423" s="184"/>
      <c r="BI423" s="184"/>
    </row>
    <row r="424" spans="1:61" ht="15.75" hidden="1" customHeight="1">
      <c r="A424" s="23" t="str">
        <f t="shared" si="183"/>
        <v>[...]</v>
      </c>
      <c r="B424" s="181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407"/>
      <c r="P424" s="26"/>
      <c r="Q424" s="184"/>
      <c r="R424" s="184"/>
      <c r="S424" s="184"/>
      <c r="T424" s="184"/>
      <c r="U424" s="184"/>
      <c r="V424" s="1" t="s">
        <v>20</v>
      </c>
      <c r="W424" s="30"/>
      <c r="Z424" s="24">
        <f>+SUM(START:END!Z425)</f>
        <v>0</v>
      </c>
      <c r="AB424" s="23">
        <f t="shared" si="204"/>
        <v>0</v>
      </c>
      <c r="AC424" s="24">
        <f>+SUM(START:END!AC425)</f>
        <v>0</v>
      </c>
      <c r="AD424" s="32"/>
      <c r="AE424" s="31"/>
      <c r="AF424" s="24">
        <f>+SUM(START:END!AF425)</f>
        <v>0</v>
      </c>
      <c r="AG424" s="25"/>
      <c r="AH424" s="24">
        <f t="shared" si="205"/>
        <v>0</v>
      </c>
      <c r="AI424" s="27">
        <f t="shared" si="206"/>
        <v>0</v>
      </c>
      <c r="AJ424" s="32"/>
      <c r="AL424" s="24"/>
      <c r="AM424" s="28"/>
      <c r="AN424" s="26">
        <f t="shared" si="207"/>
        <v>0</v>
      </c>
      <c r="AO424" s="33">
        <f t="shared" si="208"/>
        <v>0</v>
      </c>
      <c r="AP424" s="184"/>
      <c r="AQ424" s="184"/>
      <c r="AR424" s="184"/>
      <c r="AS424" s="184"/>
      <c r="AT424" s="184"/>
      <c r="AU424" s="184"/>
      <c r="AV424" s="184"/>
      <c r="AW424" s="184"/>
      <c r="AX424" s="184"/>
      <c r="AY424" s="184"/>
      <c r="AZ424" s="184"/>
      <c r="BA424" s="184"/>
      <c r="BB424" s="184"/>
      <c r="BC424" s="184"/>
      <c r="BD424" s="184"/>
      <c r="BE424" s="184"/>
      <c r="BF424" s="184"/>
      <c r="BG424" s="184"/>
      <c r="BH424" s="184"/>
      <c r="BI424" s="184"/>
    </row>
    <row r="425" spans="1:61" ht="15.75" hidden="1" customHeight="1">
      <c r="A425" s="23" t="str">
        <f t="shared" si="183"/>
        <v>[...]</v>
      </c>
      <c r="B425" s="181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407"/>
      <c r="P425" s="26"/>
      <c r="Q425" s="184"/>
      <c r="R425" s="184"/>
      <c r="S425" s="184"/>
      <c r="T425" s="184"/>
      <c r="U425" s="184"/>
      <c r="V425" s="1" t="s">
        <v>20</v>
      </c>
      <c r="W425" s="30"/>
      <c r="Z425" s="24">
        <f>+SUM(START:END!Z426)</f>
        <v>0</v>
      </c>
      <c r="AB425" s="23">
        <f t="shared" si="204"/>
        <v>0</v>
      </c>
      <c r="AC425" s="24">
        <f>+SUM(START:END!AC426)</f>
        <v>0</v>
      </c>
      <c r="AD425" s="32"/>
      <c r="AE425" s="31"/>
      <c r="AF425" s="24">
        <f>+SUM(START:END!AF426)</f>
        <v>0</v>
      </c>
      <c r="AG425" s="25"/>
      <c r="AH425" s="24">
        <f t="shared" si="205"/>
        <v>0</v>
      </c>
      <c r="AI425" s="27">
        <f t="shared" si="206"/>
        <v>0</v>
      </c>
      <c r="AJ425" s="32"/>
      <c r="AL425" s="24"/>
      <c r="AM425" s="28"/>
      <c r="AN425" s="26">
        <f t="shared" si="207"/>
        <v>0</v>
      </c>
      <c r="AO425" s="33">
        <f t="shared" si="208"/>
        <v>0</v>
      </c>
      <c r="AP425" s="184"/>
      <c r="AQ425" s="184"/>
      <c r="AR425" s="184"/>
      <c r="AS425" s="184"/>
      <c r="AT425" s="184"/>
      <c r="AU425" s="184"/>
      <c r="AV425" s="184"/>
      <c r="AW425" s="184"/>
      <c r="AX425" s="184"/>
      <c r="AY425" s="184"/>
      <c r="AZ425" s="184"/>
      <c r="BA425" s="184"/>
      <c r="BB425" s="184"/>
      <c r="BC425" s="184"/>
      <c r="BD425" s="184"/>
      <c r="BE425" s="184"/>
      <c r="BF425" s="184"/>
      <c r="BG425" s="184"/>
      <c r="BH425" s="184"/>
      <c r="BI425" s="184"/>
    </row>
    <row r="426" spans="1:61" ht="15.75" hidden="1" customHeight="1">
      <c r="A426" s="23" t="str">
        <f t="shared" si="183"/>
        <v>[...]</v>
      </c>
      <c r="B426" s="181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407"/>
      <c r="P426" s="26"/>
      <c r="Q426" s="184"/>
      <c r="R426" s="184"/>
      <c r="S426" s="184"/>
      <c r="T426" s="184"/>
      <c r="U426" s="184"/>
      <c r="V426" s="1" t="s">
        <v>20</v>
      </c>
      <c r="W426" s="30"/>
      <c r="Z426" s="24">
        <f>+SUM(START:END!Z427)</f>
        <v>0</v>
      </c>
      <c r="AB426" s="23">
        <f t="shared" si="204"/>
        <v>0</v>
      </c>
      <c r="AC426" s="24">
        <f>+SUM(START:END!AC427)</f>
        <v>0</v>
      </c>
      <c r="AD426" s="32"/>
      <c r="AE426" s="31"/>
      <c r="AF426" s="24">
        <f>+SUM(START:END!AF427)</f>
        <v>0</v>
      </c>
      <c r="AG426" s="25"/>
      <c r="AH426" s="24">
        <f t="shared" si="205"/>
        <v>0</v>
      </c>
      <c r="AI426" s="27">
        <f t="shared" si="206"/>
        <v>0</v>
      </c>
      <c r="AJ426" s="32"/>
      <c r="AL426" s="24"/>
      <c r="AM426" s="28"/>
      <c r="AN426" s="26">
        <f t="shared" si="207"/>
        <v>0</v>
      </c>
      <c r="AO426" s="33">
        <f t="shared" si="208"/>
        <v>0</v>
      </c>
      <c r="AP426" s="184"/>
      <c r="AQ426" s="184"/>
      <c r="AR426" s="184"/>
      <c r="AS426" s="184"/>
      <c r="AT426" s="184"/>
      <c r="AU426" s="184"/>
      <c r="AV426" s="184"/>
      <c r="AW426" s="184"/>
      <c r="AX426" s="184"/>
      <c r="AY426" s="184"/>
      <c r="AZ426" s="184"/>
      <c r="BA426" s="184"/>
      <c r="BB426" s="184"/>
      <c r="BC426" s="184"/>
      <c r="BD426" s="184"/>
      <c r="BE426" s="184"/>
      <c r="BF426" s="184"/>
      <c r="BG426" s="184"/>
      <c r="BH426" s="184"/>
      <c r="BI426" s="184"/>
    </row>
    <row r="427" spans="1:61" ht="15.75" customHeight="1">
      <c r="A427" s="23" t="str">
        <f t="shared" si="183"/>
        <v>Salaires en absences</v>
      </c>
      <c r="B427" s="181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407"/>
      <c r="P427" s="26"/>
      <c r="Q427" s="184"/>
      <c r="R427" s="184"/>
      <c r="S427" s="184"/>
      <c r="T427" s="184"/>
      <c r="U427" s="184"/>
      <c r="V427" s="2" t="s">
        <v>45</v>
      </c>
      <c r="W427" s="34" t="s">
        <v>146</v>
      </c>
      <c r="X427" s="7"/>
      <c r="Y427" s="7"/>
      <c r="Z427" s="8">
        <f>+SUM(START:END!Z428)</f>
        <v>126219.22873638687</v>
      </c>
      <c r="AA427" s="7"/>
      <c r="AB427" s="7">
        <f t="shared" si="204"/>
        <v>0</v>
      </c>
      <c r="AC427" s="8">
        <f>+SUM(START:END!AC428)</f>
        <v>0</v>
      </c>
      <c r="AD427" s="36"/>
      <c r="AE427" s="35"/>
      <c r="AF427" s="8">
        <f>+SUM(START:END!AF428)</f>
        <v>105376.65000000001</v>
      </c>
      <c r="AG427" s="9"/>
      <c r="AH427" s="8">
        <f t="shared" si="205"/>
        <v>-20842.578736386859</v>
      </c>
      <c r="AI427" s="37">
        <f t="shared" si="206"/>
        <v>-0.16512998015474559</v>
      </c>
      <c r="AJ427" s="36"/>
      <c r="AK427" s="7"/>
      <c r="AL427" s="8">
        <f>+SUMIF($C:$C,$V427,Q:Q)</f>
        <v>112016.80000000002</v>
      </c>
      <c r="AM427" s="12"/>
      <c r="AN427" s="10">
        <f t="shared" si="207"/>
        <v>-6640.1500000000087</v>
      </c>
      <c r="AO427" s="38">
        <f t="shared" si="208"/>
        <v>-5.9278161847151567E-2</v>
      </c>
      <c r="AP427" s="184"/>
      <c r="AQ427" s="184"/>
      <c r="AR427" s="184"/>
      <c r="AS427" s="184"/>
      <c r="AT427" s="184"/>
      <c r="AU427" s="184"/>
      <c r="AV427" s="184"/>
      <c r="AW427" s="184"/>
      <c r="AX427" s="184"/>
      <c r="AY427" s="184"/>
      <c r="AZ427" s="184"/>
      <c r="BA427" s="184"/>
      <c r="BB427" s="184"/>
      <c r="BC427" s="184"/>
      <c r="BD427" s="184"/>
      <c r="BE427" s="184"/>
      <c r="BF427" s="184"/>
      <c r="BG427" s="184"/>
      <c r="BH427" s="184"/>
      <c r="BI427" s="184"/>
    </row>
    <row r="428" spans="1:61" ht="15.75" customHeight="1">
      <c r="A428" s="23" t="str">
        <f t="shared" si="183"/>
        <v>Déduction à la source</v>
      </c>
      <c r="B428" s="181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407"/>
      <c r="P428" s="26"/>
      <c r="Q428" s="184"/>
      <c r="R428" s="184"/>
      <c r="S428" s="184"/>
      <c r="T428" s="184"/>
      <c r="U428" s="184"/>
      <c r="V428" s="1" t="s">
        <v>46</v>
      </c>
      <c r="W428" s="30" t="s">
        <v>147</v>
      </c>
      <c r="Z428" s="24">
        <f>+SUM(START:END!Z429)</f>
        <v>153464.78912441753</v>
      </c>
      <c r="AB428" s="23">
        <f t="shared" si="204"/>
        <v>0</v>
      </c>
      <c r="AC428" s="24">
        <f>+SUM(START:END!AC429)</f>
        <v>0</v>
      </c>
      <c r="AD428" s="32"/>
      <c r="AE428" s="31"/>
      <c r="AF428" s="24">
        <f>+SUM(START:END!AF429)</f>
        <v>134420.40999999997</v>
      </c>
      <c r="AG428" s="25"/>
      <c r="AH428" s="24">
        <f t="shared" si="205"/>
        <v>-19044.379124417552</v>
      </c>
      <c r="AI428" s="27">
        <f t="shared" si="206"/>
        <v>-0.12409608245040381</v>
      </c>
      <c r="AJ428" s="32"/>
      <c r="AL428" s="24">
        <f>+SUMIF($C:$C,$V428,Q:Q)</f>
        <v>147385.38</v>
      </c>
      <c r="AM428" s="28"/>
      <c r="AN428" s="26">
        <f t="shared" si="207"/>
        <v>-12964.97000000003</v>
      </c>
      <c r="AO428" s="33">
        <f t="shared" si="208"/>
        <v>-8.7966459088411816E-2</v>
      </c>
      <c r="AP428" s="184"/>
      <c r="AQ428" s="184"/>
      <c r="AR428" s="184"/>
      <c r="AS428" s="184"/>
      <c r="AT428" s="184"/>
      <c r="AU428" s="184"/>
      <c r="AV428" s="184"/>
      <c r="AW428" s="184"/>
      <c r="AX428" s="184"/>
      <c r="AY428" s="184"/>
      <c r="AZ428" s="184"/>
      <c r="BA428" s="184"/>
      <c r="BB428" s="184"/>
      <c r="BC428" s="184"/>
      <c r="BD428" s="184"/>
      <c r="BE428" s="184"/>
      <c r="BF428" s="184"/>
      <c r="BG428" s="184"/>
      <c r="BH428" s="184"/>
      <c r="BI428" s="184"/>
    </row>
    <row r="429" spans="1:61" ht="15.75" customHeight="1">
      <c r="A429" s="23" t="str">
        <f t="shared" si="183"/>
        <v>Bénéfices marginaux</v>
      </c>
      <c r="B429" s="181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407"/>
      <c r="P429" s="26"/>
      <c r="Q429" s="184"/>
      <c r="R429" s="184"/>
      <c r="S429" s="184"/>
      <c r="T429" s="184"/>
      <c r="U429" s="184"/>
      <c r="V429" s="1" t="s">
        <v>47</v>
      </c>
      <c r="W429" s="30" t="s">
        <v>148</v>
      </c>
      <c r="Z429" s="24">
        <f>+SUM(START:END!Z430)</f>
        <v>79067.728309754239</v>
      </c>
      <c r="AB429" s="23">
        <f t="shared" si="204"/>
        <v>0</v>
      </c>
      <c r="AC429" s="24">
        <f>+SUM(START:END!AC430)</f>
        <v>0</v>
      </c>
      <c r="AD429" s="32"/>
      <c r="AE429" s="31"/>
      <c r="AF429" s="24">
        <f>+SUM(START:END!AF430)</f>
        <v>58715.78</v>
      </c>
      <c r="AG429" s="25"/>
      <c r="AH429" s="24">
        <f t="shared" si="205"/>
        <v>-20351.94830975424</v>
      </c>
      <c r="AI429" s="27">
        <f t="shared" si="206"/>
        <v>-0.25739892551388138</v>
      </c>
      <c r="AJ429" s="32"/>
      <c r="AL429" s="24">
        <f>+SUMIF($C:$C,$V429,Q:Q)</f>
        <v>69228.350000000006</v>
      </c>
      <c r="AM429" s="28"/>
      <c r="AN429" s="26">
        <f t="shared" si="207"/>
        <v>-10512.570000000007</v>
      </c>
      <c r="AO429" s="33">
        <f t="shared" si="208"/>
        <v>-0.15185353977091764</v>
      </c>
      <c r="AP429" s="184"/>
      <c r="AQ429" s="184"/>
      <c r="AR429" s="184"/>
      <c r="AS429" s="184"/>
      <c r="AT429" s="184"/>
      <c r="AU429" s="184"/>
      <c r="AV429" s="184"/>
      <c r="AW429" s="184"/>
      <c r="AX429" s="184"/>
      <c r="AY429" s="184"/>
      <c r="AZ429" s="184"/>
      <c r="BA429" s="184"/>
      <c r="BB429" s="184"/>
      <c r="BC429" s="184"/>
      <c r="BD429" s="184"/>
      <c r="BE429" s="184"/>
      <c r="BF429" s="184"/>
      <c r="BG429" s="184"/>
      <c r="BH429" s="184"/>
      <c r="BI429" s="184"/>
    </row>
    <row r="430" spans="1:61" ht="15.75" customHeight="1">
      <c r="A430" s="23" t="str">
        <f t="shared" si="183"/>
        <v>Csst</v>
      </c>
      <c r="B430" s="181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407"/>
      <c r="P430" s="26"/>
      <c r="Q430" s="184"/>
      <c r="R430" s="184"/>
      <c r="S430" s="184"/>
      <c r="T430" s="184"/>
      <c r="U430" s="184"/>
      <c r="V430" s="1" t="s">
        <v>48</v>
      </c>
      <c r="W430" s="30"/>
      <c r="Z430" s="24">
        <f>+SUM(START:END!Z431)</f>
        <v>34473.974368528565</v>
      </c>
      <c r="AB430" s="23">
        <f t="shared" ref="AB430:AB431" si="209">IF(AC430=0,0,AC430/(G$13+G$97))</f>
        <v>0</v>
      </c>
      <c r="AC430" s="24">
        <f>+SUM(START:END!AC431)</f>
        <v>0</v>
      </c>
      <c r="AD430" s="32"/>
      <c r="AE430" s="31"/>
      <c r="AF430" s="24">
        <f>+SUM(START:END!AF431)</f>
        <v>25223.829999999998</v>
      </c>
      <c r="AG430" s="25"/>
      <c r="AH430" s="24">
        <f t="shared" si="205"/>
        <v>-9250.1443685285667</v>
      </c>
      <c r="AI430" s="48">
        <f t="shared" si="206"/>
        <v>-0.2683225400600478</v>
      </c>
      <c r="AJ430" s="32"/>
      <c r="AL430" s="24">
        <f>+SUMIF($C:$C,$V430,Q:Q)</f>
        <v>27143.79</v>
      </c>
      <c r="AM430" s="28"/>
      <c r="AN430" s="26">
        <f t="shared" ref="AN430:AN431" si="210">AF430-AL430</f>
        <v>-1919.9600000000028</v>
      </c>
      <c r="AO430" s="33">
        <f t="shared" ref="AO430:AO431" si="211">IF(AL430=0,0,AN430/AL430)</f>
        <v>-7.0732937441676441E-2</v>
      </c>
      <c r="AP430" s="184"/>
      <c r="AQ430" s="184"/>
      <c r="AR430" s="184"/>
      <c r="AS430" s="184"/>
      <c r="AT430" s="184"/>
      <c r="AU430" s="184"/>
      <c r="AV430" s="184"/>
      <c r="AW430" s="184"/>
      <c r="AX430" s="184"/>
      <c r="AY430" s="184"/>
      <c r="AZ430" s="184"/>
      <c r="BA430" s="184"/>
      <c r="BB430" s="184"/>
      <c r="BC430" s="184"/>
      <c r="BD430" s="184"/>
      <c r="BE430" s="184"/>
      <c r="BF430" s="184"/>
      <c r="BG430" s="184"/>
      <c r="BH430" s="184"/>
      <c r="BI430" s="184"/>
    </row>
    <row r="431" spans="1:61" ht="15.75" hidden="1" customHeight="1">
      <c r="A431" s="23" t="str">
        <f t="shared" si="183"/>
        <v>[...]</v>
      </c>
      <c r="B431" s="181"/>
      <c r="T431" s="184"/>
      <c r="U431" s="184"/>
      <c r="V431" s="1" t="s">
        <v>20</v>
      </c>
      <c r="W431" s="30"/>
      <c r="Y431" s="31"/>
      <c r="Z431" s="24">
        <f>+SUM(START:END!Z432)</f>
        <v>0</v>
      </c>
      <c r="AB431" s="31">
        <f t="shared" si="209"/>
        <v>0</v>
      </c>
      <c r="AC431" s="24">
        <f>+SUM(START:END!AC432)</f>
        <v>0</v>
      </c>
      <c r="AD431" s="32"/>
      <c r="AE431" s="31"/>
      <c r="AF431" s="24">
        <f>+SUM(START:END!AF432)</f>
        <v>0</v>
      </c>
      <c r="AG431" s="25"/>
      <c r="AH431" s="24">
        <f t="shared" ref="AH431" si="212">AF431-AC431</f>
        <v>0</v>
      </c>
      <c r="AI431" s="27">
        <f t="shared" si="206"/>
        <v>0</v>
      </c>
      <c r="AJ431" s="32"/>
      <c r="AK431" s="26"/>
      <c r="AL431" s="24"/>
      <c r="AM431" s="28"/>
      <c r="AN431" s="26">
        <f t="shared" si="210"/>
        <v>0</v>
      </c>
      <c r="AO431" s="38">
        <f t="shared" si="211"/>
        <v>0</v>
      </c>
      <c r="AP431" s="184"/>
      <c r="AQ431" s="184"/>
      <c r="AR431" s="184"/>
      <c r="AS431" s="184"/>
      <c r="AT431" s="184"/>
      <c r="AU431" s="184"/>
      <c r="AV431" s="184"/>
      <c r="AW431" s="184"/>
      <c r="AX431" s="184"/>
      <c r="AY431" s="184"/>
      <c r="AZ431" s="184"/>
      <c r="BA431" s="184"/>
      <c r="BB431" s="184"/>
      <c r="BC431" s="184"/>
      <c r="BD431" s="184"/>
      <c r="BE431" s="184"/>
      <c r="BF431" s="184"/>
      <c r="BG431" s="184"/>
      <c r="BH431" s="184"/>
      <c r="BI431" s="184"/>
    </row>
    <row r="432" spans="1:61" ht="15.75" customHeight="1">
      <c r="A432" s="23" t="str">
        <f t="shared" si="183"/>
        <v>TOTAL PERSONNEL</v>
      </c>
      <c r="B432" s="181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R432" s="184"/>
      <c r="S432" s="184"/>
      <c r="T432" s="184"/>
      <c r="U432" s="184"/>
      <c r="V432" s="40" t="s">
        <v>49</v>
      </c>
      <c r="W432" s="41"/>
      <c r="X432" s="42">
        <f>Z432/(Z406+Z480)</f>
        <v>0.36514994064133249</v>
      </c>
      <c r="Y432" s="41"/>
      <c r="Z432" s="43">
        <f>SUM(Z419:Z431)</f>
        <v>965157.3812990872</v>
      </c>
      <c r="AA432" s="42" t="e">
        <f>AC432/AC406</f>
        <v>#DIV/0!</v>
      </c>
      <c r="AB432" s="41"/>
      <c r="AC432" s="43">
        <f>SUM(AC419:AC431)</f>
        <v>0</v>
      </c>
      <c r="AD432" s="42">
        <f>AF432/(AF406+AF480)</f>
        <v>0.30434602664823873</v>
      </c>
      <c r="AE432" s="49"/>
      <c r="AF432" s="43">
        <f>SUM(AF419:AF431)</f>
        <v>806768.53999999992</v>
      </c>
      <c r="AG432" s="50"/>
      <c r="AH432" s="43">
        <f>SUM(AH419:AH431)</f>
        <v>-158388.84129908722</v>
      </c>
      <c r="AI432" s="42">
        <f>AH432/Z432</f>
        <v>-0.1641067502233659</v>
      </c>
      <c r="AJ432" s="44">
        <f>IF($AL$406=0,0,AL432/$AL$406)</f>
        <v>0.45180388508769898</v>
      </c>
      <c r="AK432" s="41"/>
      <c r="AL432" s="43">
        <f>SUM(AL419:AL431)</f>
        <v>849446.79</v>
      </c>
      <c r="AM432" s="51"/>
      <c r="AN432" s="46">
        <f t="shared" ref="AN432:AN450" si="213">AF432-AL432</f>
        <v>-42678.250000000116</v>
      </c>
      <c r="AO432" s="21">
        <f>IF(AL432=0,0,AN432/AL432)</f>
        <v>-5.0242405413057259E-2</v>
      </c>
      <c r="AP432" s="184"/>
      <c r="AQ432" s="184"/>
      <c r="AR432" s="184"/>
      <c r="AS432" s="184"/>
      <c r="AT432" s="184"/>
      <c r="AU432" s="184"/>
      <c r="AV432" s="184"/>
      <c r="AW432" s="184"/>
      <c r="AX432" s="184"/>
      <c r="AY432" s="184"/>
      <c r="AZ432" s="184"/>
      <c r="BA432" s="184"/>
      <c r="BB432" s="184"/>
      <c r="BC432" s="184"/>
      <c r="BD432" s="184"/>
      <c r="BE432" s="184"/>
      <c r="BF432" s="184"/>
      <c r="BG432" s="184"/>
      <c r="BH432" s="184"/>
      <c r="BI432" s="184"/>
    </row>
    <row r="433" spans="1:62" ht="15.75" customHeight="1">
      <c r="A433" s="23" t="str">
        <f t="shared" si="183"/>
        <v>Publicité 2</v>
      </c>
      <c r="B433" s="181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/>
      <c r="Q433" s="408"/>
      <c r="S433" s="409"/>
      <c r="T433" s="184"/>
      <c r="U433" s="184"/>
      <c r="V433" s="3" t="s">
        <v>50</v>
      </c>
      <c r="W433" s="52" t="s">
        <v>138</v>
      </c>
      <c r="X433" s="53"/>
      <c r="Y433" s="53"/>
      <c r="Z433" s="54">
        <f>+SUM(START:END!Z434)</f>
        <v>39213.090134892023</v>
      </c>
      <c r="AA433" s="53"/>
      <c r="AB433" s="53">
        <f t="shared" ref="AB433:AB450" si="214">IF(AC433=0,0,AC433/(G$13+G$97))</f>
        <v>0</v>
      </c>
      <c r="AC433" s="54">
        <f>+SUM(START:END!AC434)</f>
        <v>0</v>
      </c>
      <c r="AD433" s="55"/>
      <c r="AE433" s="56"/>
      <c r="AF433" s="54">
        <f>+SUM(START:END!AF434)</f>
        <v>28963.31</v>
      </c>
      <c r="AG433" s="55"/>
      <c r="AH433" s="54">
        <f t="shared" ref="AH433:AH448" si="215">AF433-Z433</f>
        <v>-10249.780134892022</v>
      </c>
      <c r="AI433" s="58">
        <f t="shared" ref="AI433:AI450" si="216">IF(Z433=0,0,AH433/Z433)</f>
        <v>-0.26138669764696026</v>
      </c>
      <c r="AJ433" s="55"/>
      <c r="AK433" s="53"/>
      <c r="AL433" s="54">
        <f t="shared" ref="AL433:AL446" si="217">+SUMIF($C:$C,$V433,Q:Q)</f>
        <v>39883.020000000004</v>
      </c>
      <c r="AM433" s="59"/>
      <c r="AN433" s="57">
        <f t="shared" si="213"/>
        <v>-10919.710000000003</v>
      </c>
      <c r="AO433" s="29">
        <f t="shared" ref="AO433:AO450" si="218">IF(AL433=0,0,AN433/AL433)</f>
        <v>-0.27379345897076002</v>
      </c>
      <c r="AP433" s="184"/>
      <c r="AQ433" s="184"/>
      <c r="AR433" s="184"/>
      <c r="AS433" s="184"/>
      <c r="AT433" s="184"/>
      <c r="AU433" s="184"/>
      <c r="AV433" s="184"/>
      <c r="AW433" s="184"/>
      <c r="AX433" s="184"/>
      <c r="AY433" s="184"/>
      <c r="AZ433" s="184"/>
      <c r="BA433" s="184"/>
      <c r="BB433" s="184"/>
      <c r="BC433" s="184"/>
      <c r="BD433" s="184"/>
      <c r="BE433" s="184"/>
      <c r="BF433" s="184"/>
      <c r="BG433" s="184"/>
      <c r="BH433" s="184"/>
      <c r="BI433" s="184"/>
    </row>
    <row r="434" spans="1:62" ht="15.75" customHeight="1">
      <c r="A434" s="23" t="str">
        <f t="shared" si="183"/>
        <v>Service gratuit 2</v>
      </c>
      <c r="B434" s="181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Q434" s="408"/>
      <c r="S434" s="184"/>
      <c r="T434" s="184"/>
      <c r="U434" s="184"/>
      <c r="V434" s="1" t="s">
        <v>51</v>
      </c>
      <c r="W434" s="30" t="s">
        <v>149</v>
      </c>
      <c r="Z434" s="24">
        <f>+SUM(START:END!Z435)</f>
        <v>13636.143488417125</v>
      </c>
      <c r="AB434" s="23">
        <f t="shared" si="214"/>
        <v>0</v>
      </c>
      <c r="AC434" s="24">
        <f>+SUM(START:END!AC435)</f>
        <v>0</v>
      </c>
      <c r="AD434" s="32"/>
      <c r="AE434" s="31"/>
      <c r="AF434" s="24">
        <f>+SUM(START:END!AF435)</f>
        <v>5154.9699999999993</v>
      </c>
      <c r="AG434" s="25"/>
      <c r="AH434" s="24">
        <f t="shared" si="215"/>
        <v>-8481.1734884171256</v>
      </c>
      <c r="AI434" s="27">
        <f t="shared" si="216"/>
        <v>-0.62196276356443758</v>
      </c>
      <c r="AJ434" s="32"/>
      <c r="AL434" s="24">
        <f t="shared" si="217"/>
        <v>17647.439999999991</v>
      </c>
      <c r="AM434" s="28"/>
      <c r="AN434" s="26">
        <f t="shared" si="213"/>
        <v>-12492.469999999992</v>
      </c>
      <c r="AO434" s="33">
        <f t="shared" si="218"/>
        <v>-0.70789134288032707</v>
      </c>
      <c r="AP434" s="184"/>
      <c r="AQ434" s="184"/>
      <c r="AR434" s="184"/>
      <c r="AS434" s="184"/>
      <c r="AT434" s="184"/>
      <c r="AU434" s="184"/>
      <c r="AV434" s="184"/>
      <c r="AW434" s="184"/>
      <c r="AX434" s="184"/>
      <c r="AY434" s="184"/>
      <c r="AZ434" s="184"/>
      <c r="BA434" s="184"/>
      <c r="BB434" s="184"/>
      <c r="BC434" s="184"/>
      <c r="BD434" s="184"/>
      <c r="BE434" s="184"/>
      <c r="BF434" s="184"/>
      <c r="BG434" s="184"/>
      <c r="BH434" s="184"/>
      <c r="BI434" s="184"/>
    </row>
    <row r="435" spans="1:62" ht="15.75" customHeight="1">
      <c r="A435" s="23" t="str">
        <f t="shared" si="183"/>
        <v>Frais véhicules de cie</v>
      </c>
      <c r="B435" s="181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/>
      <c r="Q435" s="408"/>
      <c r="S435" s="184"/>
      <c r="T435" s="184"/>
      <c r="U435" s="184"/>
      <c r="V435" s="2" t="s">
        <v>52</v>
      </c>
      <c r="W435" s="34" t="s">
        <v>150</v>
      </c>
      <c r="X435" s="7"/>
      <c r="Y435" s="7"/>
      <c r="Z435" s="8">
        <f>+SUM(START:END!Z436)</f>
        <v>68127.794000000009</v>
      </c>
      <c r="AA435" s="7"/>
      <c r="AB435" s="7">
        <f t="shared" si="214"/>
        <v>0</v>
      </c>
      <c r="AC435" s="8">
        <f>+SUM(START:END!AC436)</f>
        <v>0</v>
      </c>
      <c r="AD435" s="36"/>
      <c r="AE435" s="35"/>
      <c r="AF435" s="8">
        <f>+SUM(START:END!AF436)</f>
        <v>58300.289999999994</v>
      </c>
      <c r="AG435" s="9"/>
      <c r="AH435" s="8">
        <f t="shared" si="215"/>
        <v>-9827.5040000000154</v>
      </c>
      <c r="AI435" s="37">
        <f t="shared" si="216"/>
        <v>-0.14425102330482056</v>
      </c>
      <c r="AJ435" s="36"/>
      <c r="AK435" s="7"/>
      <c r="AL435" s="8">
        <f t="shared" si="217"/>
        <v>70116.689999999988</v>
      </c>
      <c r="AM435" s="12"/>
      <c r="AN435" s="10">
        <f t="shared" si="213"/>
        <v>-11816.399999999994</v>
      </c>
      <c r="AO435" s="13">
        <f t="shared" si="218"/>
        <v>-0.16852478347166697</v>
      </c>
      <c r="AP435" s="184"/>
      <c r="AQ435" s="184"/>
      <c r="AR435" s="184"/>
      <c r="AS435" s="184"/>
      <c r="AT435" s="184"/>
      <c r="AU435" s="184"/>
      <c r="AV435" s="184"/>
      <c r="AW435" s="184"/>
      <c r="AX435" s="184"/>
      <c r="AY435" s="184"/>
      <c r="AZ435" s="184"/>
      <c r="BA435" s="184"/>
      <c r="BB435" s="184"/>
      <c r="BC435" s="184"/>
      <c r="BD435" s="184"/>
      <c r="BE435" s="184"/>
      <c r="BF435" s="184"/>
      <c r="BG435" s="184"/>
      <c r="BH435" s="184"/>
      <c r="BI435" s="184"/>
      <c r="BJ435" s="184"/>
    </row>
    <row r="436" spans="1:62" ht="15.75" customHeight="1">
      <c r="A436" s="23" t="str">
        <f t="shared" si="183"/>
        <v>Informatique</v>
      </c>
      <c r="B436" s="181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/>
      <c r="Q436" s="408"/>
      <c r="S436" s="184"/>
      <c r="T436" s="184"/>
      <c r="U436" s="184"/>
      <c r="V436" s="1" t="s">
        <v>53</v>
      </c>
      <c r="W436" s="30" t="s">
        <v>151</v>
      </c>
      <c r="Z436" s="24">
        <f>+SUM(START:END!Z437)</f>
        <v>67206.240431333339</v>
      </c>
      <c r="AB436" s="23">
        <f t="shared" si="214"/>
        <v>0</v>
      </c>
      <c r="AC436" s="24">
        <f>+SUM(START:END!AC437)</f>
        <v>0</v>
      </c>
      <c r="AD436" s="32"/>
      <c r="AE436" s="31"/>
      <c r="AF436" s="24">
        <f>+SUM(START:END!AF437)</f>
        <v>72274.19</v>
      </c>
      <c r="AG436" s="25"/>
      <c r="AH436" s="24">
        <f t="shared" si="215"/>
        <v>5067.9495686666633</v>
      </c>
      <c r="AI436" s="27">
        <f t="shared" si="216"/>
        <v>7.540891346012342E-2</v>
      </c>
      <c r="AJ436" s="32"/>
      <c r="AL436" s="24">
        <f t="shared" si="217"/>
        <v>70857.58</v>
      </c>
      <c r="AM436" s="28"/>
      <c r="AN436" s="26">
        <f t="shared" si="213"/>
        <v>1416.6100000000006</v>
      </c>
      <c r="AO436" s="33">
        <f t="shared" si="218"/>
        <v>1.9992356498768384E-2</v>
      </c>
      <c r="AP436" s="184"/>
      <c r="AQ436" s="184"/>
      <c r="AR436" s="184"/>
      <c r="AS436" s="184"/>
      <c r="AT436" s="184"/>
      <c r="AU436" s="184"/>
      <c r="AV436" s="184"/>
      <c r="AW436" s="184"/>
      <c r="AX436" s="184"/>
      <c r="AY436" s="184"/>
      <c r="AZ436" s="184"/>
      <c r="BA436" s="184"/>
      <c r="BB436" s="184"/>
      <c r="BC436" s="184"/>
      <c r="BD436" s="184"/>
      <c r="BE436" s="184"/>
      <c r="BF436" s="184"/>
      <c r="BG436" s="184"/>
      <c r="BH436" s="184"/>
      <c r="BI436" s="184"/>
      <c r="BJ436" s="184"/>
    </row>
    <row r="437" spans="1:62" ht="15.75" customHeight="1">
      <c r="A437" s="23" t="str">
        <f t="shared" si="183"/>
        <v>Frais de déplacement</v>
      </c>
      <c r="B437" s="181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/>
      <c r="Q437" s="408"/>
      <c r="S437" s="184"/>
      <c r="T437" s="184"/>
      <c r="U437" s="184"/>
      <c r="V437" s="1" t="s">
        <v>54</v>
      </c>
      <c r="W437" s="30" t="s">
        <v>152</v>
      </c>
      <c r="Z437" s="24">
        <f>+SUM(START:END!Z438)</f>
        <v>11716.672897458335</v>
      </c>
      <c r="AB437" s="23">
        <f t="shared" si="214"/>
        <v>0</v>
      </c>
      <c r="AC437" s="24">
        <f>+SUM(START:END!AC438)</f>
        <v>0</v>
      </c>
      <c r="AD437" s="32"/>
      <c r="AE437" s="31"/>
      <c r="AF437" s="24">
        <f>+SUM(START:END!AF438)</f>
        <v>10619.36</v>
      </c>
      <c r="AG437" s="25"/>
      <c r="AH437" s="24">
        <f t="shared" si="215"/>
        <v>-1097.3128974583342</v>
      </c>
      <c r="AI437" s="27">
        <f t="shared" si="216"/>
        <v>-9.3653967048646647E-2</v>
      </c>
      <c r="AJ437" s="32"/>
      <c r="AL437" s="24">
        <f t="shared" si="217"/>
        <v>15288.27</v>
      </c>
      <c r="AM437" s="28"/>
      <c r="AN437" s="26">
        <f t="shared" si="213"/>
        <v>-4668.91</v>
      </c>
      <c r="AO437" s="33">
        <f t="shared" si="218"/>
        <v>-0.30539164993815521</v>
      </c>
      <c r="AP437" s="184"/>
      <c r="AQ437" s="184"/>
      <c r="AR437" s="184"/>
      <c r="AS437" s="184"/>
      <c r="AT437" s="184"/>
      <c r="AU437" s="184"/>
      <c r="AV437" s="184"/>
      <c r="AW437" s="184"/>
      <c r="AX437" s="184"/>
      <c r="AY437" s="184"/>
      <c r="AZ437" s="184"/>
      <c r="BA437" s="184"/>
      <c r="BB437" s="184"/>
      <c r="BC437" s="184"/>
      <c r="BD437" s="184"/>
      <c r="BE437" s="184"/>
      <c r="BF437" s="184"/>
      <c r="BG437" s="184"/>
      <c r="BH437" s="184"/>
      <c r="BI437" s="184"/>
      <c r="BJ437" s="184"/>
    </row>
    <row r="438" spans="1:62" ht="15.75" customHeight="1">
      <c r="A438" s="23" t="str">
        <f t="shared" si="183"/>
        <v>Services extérieurs</v>
      </c>
      <c r="B438" s="181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/>
      <c r="Q438" s="408"/>
      <c r="S438" s="184"/>
      <c r="T438" s="184"/>
      <c r="U438" s="184"/>
      <c r="V438" s="1" t="s">
        <v>55</v>
      </c>
      <c r="W438" s="30" t="s">
        <v>153</v>
      </c>
      <c r="Z438" s="24">
        <f>+SUM(START:END!Z439)</f>
        <v>102754.16379282785</v>
      </c>
      <c r="AB438" s="23">
        <f t="shared" si="214"/>
        <v>0</v>
      </c>
      <c r="AC438" s="24">
        <f>+SUM(START:END!AC439)</f>
        <v>0</v>
      </c>
      <c r="AD438" s="32"/>
      <c r="AE438" s="31"/>
      <c r="AF438" s="24">
        <f>+SUM(START:END!AF439)</f>
        <v>128691.86</v>
      </c>
      <c r="AG438" s="25"/>
      <c r="AH438" s="24">
        <f t="shared" si="215"/>
        <v>25937.69620717215</v>
      </c>
      <c r="AI438" s="27">
        <f t="shared" si="216"/>
        <v>0.25242477044013062</v>
      </c>
      <c r="AJ438" s="32"/>
      <c r="AL438" s="24">
        <f t="shared" si="217"/>
        <v>104369.52</v>
      </c>
      <c r="AM438" s="28"/>
      <c r="AN438" s="26">
        <f t="shared" si="213"/>
        <v>24322.339999999997</v>
      </c>
      <c r="AO438" s="33">
        <f t="shared" si="218"/>
        <v>0.23304064251708731</v>
      </c>
      <c r="AP438" s="184"/>
      <c r="AQ438" s="184"/>
      <c r="AR438" s="184"/>
      <c r="AS438" s="184"/>
      <c r="AT438" s="184"/>
      <c r="AU438" s="184"/>
      <c r="AV438" s="184"/>
      <c r="AW438" s="184"/>
      <c r="AX438" s="184"/>
      <c r="AY438" s="184"/>
      <c r="AZ438" s="184"/>
      <c r="BA438" s="184"/>
      <c r="BB438" s="184"/>
      <c r="BC438" s="184"/>
      <c r="BD438" s="184"/>
      <c r="BE438" s="184"/>
      <c r="BF438" s="184"/>
      <c r="BG438" s="184"/>
      <c r="BH438" s="184"/>
      <c r="BI438" s="184"/>
      <c r="BJ438" s="184"/>
    </row>
    <row r="439" spans="1:62" ht="15.75" customHeight="1">
      <c r="B439" s="181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/>
      <c r="Q439" s="408"/>
      <c r="S439" s="184"/>
      <c r="T439" s="184"/>
      <c r="U439" s="184"/>
      <c r="V439" s="4" t="s">
        <v>98</v>
      </c>
      <c r="W439" s="60"/>
      <c r="X439" s="61"/>
      <c r="Y439" s="61"/>
      <c r="Z439" s="62">
        <f>+SUM(START:END!Z440)</f>
        <v>0</v>
      </c>
      <c r="AA439" s="61"/>
      <c r="AB439" s="61">
        <f t="shared" si="214"/>
        <v>0</v>
      </c>
      <c r="AC439" s="62">
        <f>+SUM(START:END!AC440)</f>
        <v>0</v>
      </c>
      <c r="AD439" s="63"/>
      <c r="AE439" s="64"/>
      <c r="AF439" s="62">
        <f>+SUM(START:END!AF440)</f>
        <v>0</v>
      </c>
      <c r="AG439" s="65"/>
      <c r="AH439" s="62">
        <f t="shared" si="215"/>
        <v>0</v>
      </c>
      <c r="AI439" s="67">
        <f t="shared" si="216"/>
        <v>0</v>
      </c>
      <c r="AJ439" s="63"/>
      <c r="AK439" s="61"/>
      <c r="AL439" s="62">
        <f t="shared" si="217"/>
        <v>0</v>
      </c>
      <c r="AM439" s="68"/>
      <c r="AN439" s="66">
        <f t="shared" si="213"/>
        <v>0</v>
      </c>
      <c r="AO439" s="69">
        <f t="shared" si="218"/>
        <v>0</v>
      </c>
      <c r="AP439" s="184"/>
      <c r="AQ439" s="184"/>
      <c r="AR439" s="184"/>
      <c r="AS439" s="184"/>
      <c r="AT439" s="184"/>
      <c r="AU439" s="184"/>
      <c r="AV439" s="184"/>
      <c r="AW439" s="184"/>
      <c r="AX439" s="184"/>
      <c r="AY439" s="184"/>
      <c r="AZ439" s="184"/>
      <c r="BA439" s="184"/>
      <c r="BB439" s="184"/>
      <c r="BC439" s="184"/>
      <c r="BD439" s="184"/>
      <c r="BE439" s="184"/>
      <c r="BF439" s="184"/>
      <c r="BG439" s="184"/>
      <c r="BH439" s="184"/>
      <c r="BI439" s="184"/>
      <c r="BJ439" s="184"/>
    </row>
    <row r="440" spans="1:62" ht="15.75" customHeight="1">
      <c r="A440" s="23" t="str">
        <f t="shared" si="183"/>
        <v>Fournitures autres</v>
      </c>
      <c r="B440" s="181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410"/>
      <c r="Q440" s="408"/>
      <c r="R440" s="184"/>
      <c r="S440" s="184"/>
      <c r="T440" s="184"/>
      <c r="U440" s="184"/>
      <c r="V440" s="1" t="s">
        <v>56</v>
      </c>
      <c r="W440" s="30" t="s">
        <v>154</v>
      </c>
      <c r="Y440" s="31"/>
      <c r="Z440" s="24">
        <f>+SUM(START:END!Z441)</f>
        <v>15758.070466666672</v>
      </c>
      <c r="AB440" s="31">
        <f t="shared" si="214"/>
        <v>0</v>
      </c>
      <c r="AC440" s="24">
        <f>+SUM(START:END!AC441)</f>
        <v>0</v>
      </c>
      <c r="AD440" s="32"/>
      <c r="AE440" s="31"/>
      <c r="AF440" s="24">
        <f>+SUM(START:END!AF441)</f>
        <v>11949.970000000001</v>
      </c>
      <c r="AG440" s="25"/>
      <c r="AH440" s="24">
        <f t="shared" si="215"/>
        <v>-3808.1004666666704</v>
      </c>
      <c r="AI440" s="27">
        <f t="shared" si="216"/>
        <v>-0.24166032730479367</v>
      </c>
      <c r="AJ440" s="32"/>
      <c r="AL440" s="24">
        <f t="shared" si="217"/>
        <v>13089.280000000002</v>
      </c>
      <c r="AM440" s="28"/>
      <c r="AN440" s="26">
        <f t="shared" si="213"/>
        <v>-1139.3100000000013</v>
      </c>
      <c r="AO440" s="33">
        <f t="shared" si="218"/>
        <v>-8.7041456825738397E-2</v>
      </c>
      <c r="AP440" s="184"/>
      <c r="AQ440" s="184"/>
      <c r="AR440" s="184"/>
      <c r="AS440" s="184"/>
      <c r="AT440" s="184"/>
      <c r="AU440" s="184"/>
      <c r="AV440" s="184"/>
      <c r="AW440" s="184"/>
      <c r="AX440" s="184"/>
      <c r="AY440" s="184"/>
      <c r="AZ440" s="184"/>
      <c r="BA440" s="184"/>
      <c r="BB440" s="184"/>
      <c r="BC440" s="184"/>
      <c r="BD440" s="184"/>
      <c r="BE440" s="184"/>
      <c r="BF440" s="184"/>
      <c r="BG440" s="184"/>
      <c r="BH440" s="184"/>
      <c r="BI440" s="184"/>
      <c r="BJ440" s="184"/>
    </row>
    <row r="441" spans="1:62" ht="15.75" customHeight="1">
      <c r="A441" s="23" t="str">
        <f t="shared" si="183"/>
        <v>Uniformes</v>
      </c>
      <c r="B441" s="181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Q441" s="408"/>
      <c r="S441" s="184"/>
      <c r="T441" s="184"/>
      <c r="U441" s="184"/>
      <c r="V441" s="1" t="s">
        <v>57</v>
      </c>
      <c r="W441" s="30" t="s">
        <v>155</v>
      </c>
      <c r="Z441" s="24">
        <f>+SUM(START:END!Z442)</f>
        <v>4001.3962203592509</v>
      </c>
      <c r="AB441" s="23">
        <f t="shared" si="214"/>
        <v>0</v>
      </c>
      <c r="AC441" s="24">
        <f>+SUM(START:END!AC442)</f>
        <v>0</v>
      </c>
      <c r="AD441" s="32"/>
      <c r="AE441" s="31"/>
      <c r="AF441" s="24">
        <f>+SUM(START:END!AF442)</f>
        <v>2701.57</v>
      </c>
      <c r="AG441" s="25"/>
      <c r="AH441" s="24">
        <f t="shared" si="215"/>
        <v>-1299.8262203592508</v>
      </c>
      <c r="AI441" s="48">
        <f t="shared" si="216"/>
        <v>-0.32484316692900522</v>
      </c>
      <c r="AJ441" s="32"/>
      <c r="AL441" s="24">
        <f t="shared" si="217"/>
        <v>3035.8999999999996</v>
      </c>
      <c r="AM441" s="28"/>
      <c r="AN441" s="26">
        <f t="shared" si="213"/>
        <v>-334.32999999999947</v>
      </c>
      <c r="AO441" s="33">
        <f t="shared" si="218"/>
        <v>-0.11012549820481554</v>
      </c>
      <c r="AP441" s="184"/>
      <c r="AQ441" s="184"/>
      <c r="AR441" s="184"/>
      <c r="AS441" s="184"/>
      <c r="AT441" s="184"/>
      <c r="AU441" s="184"/>
      <c r="AV441" s="184"/>
      <c r="AW441" s="184"/>
      <c r="AX441" s="184"/>
      <c r="AY441" s="184"/>
      <c r="AZ441" s="184"/>
      <c r="BA441" s="184"/>
      <c r="BB441" s="184"/>
      <c r="BC441" s="184"/>
      <c r="BD441" s="184"/>
      <c r="BE441" s="184"/>
      <c r="BF441" s="184"/>
      <c r="BG441" s="184"/>
      <c r="BH441" s="184"/>
      <c r="BI441" s="184"/>
      <c r="BJ441" s="184"/>
    </row>
    <row r="442" spans="1:62" ht="15.75" customHeight="1">
      <c r="A442" s="23" t="str">
        <f t="shared" si="183"/>
        <v>Papeterie</v>
      </c>
      <c r="B442" s="181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410"/>
      <c r="Q442" s="408"/>
      <c r="R442" s="184"/>
      <c r="S442" s="184"/>
      <c r="T442" s="184"/>
      <c r="U442" s="184"/>
      <c r="V442" s="1" t="s">
        <v>58</v>
      </c>
      <c r="W442" s="30" t="s">
        <v>156</v>
      </c>
      <c r="Z442" s="24">
        <f>+SUM(START:END!Z443)</f>
        <v>8282.2511563980006</v>
      </c>
      <c r="AB442" s="23">
        <f t="shared" si="214"/>
        <v>0</v>
      </c>
      <c r="AC442" s="24">
        <f>+SUM(START:END!AC443)</f>
        <v>0</v>
      </c>
      <c r="AD442" s="32"/>
      <c r="AE442" s="31"/>
      <c r="AF442" s="24">
        <f>+SUM(START:END!AF443)</f>
        <v>6014.0999999999985</v>
      </c>
      <c r="AG442" s="25"/>
      <c r="AH442" s="24">
        <f t="shared" si="215"/>
        <v>-2268.1511563980021</v>
      </c>
      <c r="AI442" s="27">
        <f t="shared" si="216"/>
        <v>-0.27385684321416237</v>
      </c>
      <c r="AJ442" s="32"/>
      <c r="AL442" s="24">
        <f t="shared" si="217"/>
        <v>11376.88</v>
      </c>
      <c r="AM442" s="28"/>
      <c r="AN442" s="26">
        <f t="shared" si="213"/>
        <v>-5362.7800000000007</v>
      </c>
      <c r="AO442" s="33">
        <f t="shared" si="218"/>
        <v>-0.47137528039321863</v>
      </c>
      <c r="AP442" s="184"/>
      <c r="AQ442" s="184"/>
      <c r="AR442" s="184"/>
      <c r="AS442" s="184"/>
      <c r="AT442" s="184"/>
      <c r="AU442" s="184"/>
      <c r="AV442" s="184"/>
      <c r="AW442" s="184"/>
      <c r="AX442" s="184"/>
      <c r="AY442" s="184"/>
      <c r="AZ442" s="184"/>
      <c r="BA442" s="184"/>
      <c r="BB442" s="184"/>
      <c r="BC442" s="184"/>
      <c r="BD442" s="184"/>
      <c r="BE442" s="184"/>
      <c r="BF442" s="184"/>
      <c r="BG442" s="184"/>
      <c r="BH442" s="184"/>
      <c r="BI442" s="184"/>
      <c r="BJ442" s="184"/>
    </row>
    <row r="443" spans="1:62" ht="15.75" customHeight="1">
      <c r="A443" s="23" t="str">
        <f t="shared" si="183"/>
        <v>Téléphone</v>
      </c>
      <c r="B443" s="181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/>
      <c r="Q443" s="408"/>
      <c r="S443" s="184"/>
      <c r="T443" s="184"/>
      <c r="U443" s="184"/>
      <c r="V443" s="1" t="s">
        <v>59</v>
      </c>
      <c r="W443" s="30" t="s">
        <v>157</v>
      </c>
      <c r="Z443" s="24">
        <f>+SUM(START:END!Z444)</f>
        <v>2204.0422811060835</v>
      </c>
      <c r="AB443" s="23">
        <f t="shared" si="214"/>
        <v>0</v>
      </c>
      <c r="AC443" s="24">
        <f>+SUM(START:END!AC444)</f>
        <v>0</v>
      </c>
      <c r="AD443" s="32"/>
      <c r="AE443" s="31"/>
      <c r="AF443" s="24">
        <f>+SUM(START:END!AF444)</f>
        <v>2207.1799999999998</v>
      </c>
      <c r="AG443" s="25"/>
      <c r="AH443" s="24">
        <f t="shared" si="215"/>
        <v>3.1377188939163716</v>
      </c>
      <c r="AI443" s="48">
        <f t="shared" si="216"/>
        <v>1.4236201005825211E-3</v>
      </c>
      <c r="AJ443" s="32"/>
      <c r="AL443" s="24">
        <f t="shared" si="217"/>
        <v>2227.0299999999997</v>
      </c>
      <c r="AM443" s="28"/>
      <c r="AN443" s="26">
        <f t="shared" si="213"/>
        <v>-19.849999999999909</v>
      </c>
      <c r="AO443" s="33">
        <f t="shared" si="218"/>
        <v>-8.9132162566287441E-3</v>
      </c>
      <c r="AP443" s="184"/>
      <c r="AQ443" s="184"/>
      <c r="AR443" s="184"/>
      <c r="AS443" s="184"/>
      <c r="AT443" s="184"/>
      <c r="AU443" s="184"/>
      <c r="AV443" s="184"/>
      <c r="AW443" s="184"/>
      <c r="AX443" s="184"/>
      <c r="AY443" s="184"/>
      <c r="AZ443" s="184"/>
      <c r="BA443" s="184"/>
      <c r="BB443" s="184"/>
      <c r="BC443" s="184"/>
      <c r="BD443" s="184"/>
      <c r="BE443" s="184"/>
      <c r="BF443" s="184"/>
      <c r="BG443" s="184"/>
      <c r="BH443" s="184"/>
      <c r="BI443" s="184"/>
      <c r="BJ443" s="184"/>
    </row>
    <row r="444" spans="1:62" ht="15.75" customHeight="1">
      <c r="A444" s="23" t="str">
        <f t="shared" si="183"/>
        <v>Frais postaux</v>
      </c>
      <c r="B444" s="181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/>
      <c r="Q444" s="408"/>
      <c r="S444" s="184"/>
      <c r="T444" s="184"/>
      <c r="U444" s="184"/>
      <c r="V444" s="1" t="s">
        <v>60</v>
      </c>
      <c r="W444" s="30" t="s">
        <v>158</v>
      </c>
      <c r="Z444" s="24">
        <f>+SUM(START:END!Z445)</f>
        <v>705.6346864539164</v>
      </c>
      <c r="AB444" s="23">
        <f t="shared" si="214"/>
        <v>0</v>
      </c>
      <c r="AC444" s="24">
        <f>+SUM(START:END!AC445)</f>
        <v>0</v>
      </c>
      <c r="AD444" s="32"/>
      <c r="AE444" s="31"/>
      <c r="AF444" s="24">
        <f>+SUM(START:END!AF445)</f>
        <v>-4304.1099999999997</v>
      </c>
      <c r="AG444" s="25"/>
      <c r="AH444" s="24">
        <f t="shared" si="215"/>
        <v>-5009.7446864539161</v>
      </c>
      <c r="AI444" s="27">
        <f t="shared" si="216"/>
        <v>-7.0996292878256808</v>
      </c>
      <c r="AJ444" s="32"/>
      <c r="AL444" s="24">
        <f t="shared" si="217"/>
        <v>-363.25000000000011</v>
      </c>
      <c r="AM444" s="28"/>
      <c r="AN444" s="26">
        <f t="shared" si="213"/>
        <v>-3940.8599999999997</v>
      </c>
      <c r="AO444" s="33">
        <f t="shared" si="218"/>
        <v>10.848891947694421</v>
      </c>
      <c r="AP444" s="184"/>
      <c r="AQ444" s="184"/>
      <c r="AR444" s="184"/>
      <c r="AS444" s="184"/>
      <c r="AT444" s="184"/>
      <c r="AU444" s="184"/>
      <c r="AV444" s="184"/>
      <c r="AW444" s="184"/>
      <c r="AX444" s="184"/>
      <c r="AY444" s="184"/>
      <c r="AZ444" s="184"/>
      <c r="BA444" s="184"/>
      <c r="BB444" s="184"/>
      <c r="BC444" s="184"/>
      <c r="BD444" s="184"/>
      <c r="BE444" s="184"/>
      <c r="BF444" s="184"/>
      <c r="BG444" s="184"/>
      <c r="BH444" s="184"/>
      <c r="BI444" s="184"/>
      <c r="BJ444" s="184"/>
    </row>
    <row r="445" spans="1:62" ht="15.75" customHeight="1">
      <c r="A445" s="23" t="str">
        <f t="shared" si="183"/>
        <v>Divers</v>
      </c>
      <c r="B445" s="181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/>
      <c r="Q445" s="408"/>
      <c r="R445" s="184"/>
      <c r="S445" s="184"/>
      <c r="T445" s="184"/>
      <c r="U445" s="184"/>
      <c r="V445" s="1" t="s">
        <v>61</v>
      </c>
      <c r="W445" s="30" t="s">
        <v>159</v>
      </c>
      <c r="Y445" s="31"/>
      <c r="Z445" s="24">
        <f>+SUM(START:END!Z446)</f>
        <v>2161.1675959494169</v>
      </c>
      <c r="AB445" s="31">
        <f t="shared" si="214"/>
        <v>0</v>
      </c>
      <c r="AC445" s="24">
        <f>+SUM(START:END!AC446)</f>
        <v>0</v>
      </c>
      <c r="AD445" s="32"/>
      <c r="AE445" s="31"/>
      <c r="AF445" s="24">
        <f>+SUM(START:END!AF446)</f>
        <v>813</v>
      </c>
      <c r="AG445" s="25"/>
      <c r="AH445" s="24">
        <f t="shared" si="215"/>
        <v>-1348.1675959494169</v>
      </c>
      <c r="AI445" s="48">
        <f t="shared" si="216"/>
        <v>-0.62381445958945025</v>
      </c>
      <c r="AJ445" s="32"/>
      <c r="AL445" s="24">
        <f t="shared" si="217"/>
        <v>1228.04</v>
      </c>
      <c r="AM445" s="28"/>
      <c r="AN445" s="26">
        <f t="shared" si="213"/>
        <v>-415.03999999999996</v>
      </c>
      <c r="AO445" s="33">
        <f t="shared" si="218"/>
        <v>-0.33796944724927525</v>
      </c>
      <c r="AP445" s="184"/>
      <c r="AQ445" s="184"/>
      <c r="AR445" s="184"/>
      <c r="AS445" s="184"/>
      <c r="AT445" s="184"/>
      <c r="AU445" s="184"/>
      <c r="AV445" s="184"/>
      <c r="AW445" s="184"/>
      <c r="AX445" s="184"/>
      <c r="AY445" s="184"/>
      <c r="AZ445" s="184"/>
      <c r="BA445" s="184"/>
      <c r="BB445" s="184"/>
      <c r="BC445" s="184"/>
      <c r="BD445" s="184"/>
      <c r="BE445" s="184"/>
      <c r="BF445" s="184"/>
      <c r="BG445" s="184"/>
      <c r="BH445" s="184"/>
      <c r="BI445" s="184"/>
      <c r="BJ445" s="184"/>
    </row>
    <row r="446" spans="1:62" ht="15.75" customHeight="1">
      <c r="A446" s="23" t="str">
        <f t="shared" si="183"/>
        <v>Formation</v>
      </c>
      <c r="B446" s="181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/>
      <c r="Q446" s="408"/>
      <c r="R446" s="184"/>
      <c r="S446" s="184"/>
      <c r="T446" s="184"/>
      <c r="U446" s="184"/>
      <c r="V446" s="1" t="s">
        <v>62</v>
      </c>
      <c r="W446" s="30" t="s">
        <v>160</v>
      </c>
      <c r="Y446" s="31"/>
      <c r="Z446" s="24">
        <f>+SUM(START:END!Z447)</f>
        <v>17322.411130652297</v>
      </c>
      <c r="AB446" s="31">
        <f t="shared" si="214"/>
        <v>0</v>
      </c>
      <c r="AC446" s="24">
        <f>+SUM(START:END!AC447)</f>
        <v>0</v>
      </c>
      <c r="AD446" s="32"/>
      <c r="AE446" s="31"/>
      <c r="AF446" s="24">
        <f>+SUM(START:END!AF447)</f>
        <v>10889.05</v>
      </c>
      <c r="AG446" s="25"/>
      <c r="AH446" s="24">
        <f t="shared" si="215"/>
        <v>-6433.361130652298</v>
      </c>
      <c r="AI446" s="27">
        <f t="shared" si="216"/>
        <v>-0.37138947240828141</v>
      </c>
      <c r="AJ446" s="32"/>
      <c r="AL446" s="24">
        <f t="shared" si="217"/>
        <v>16906.719999999998</v>
      </c>
      <c r="AM446" s="28"/>
      <c r="AN446" s="26">
        <f t="shared" si="213"/>
        <v>-6017.6699999999983</v>
      </c>
      <c r="AO446" s="33">
        <f t="shared" si="218"/>
        <v>-0.35593361692865316</v>
      </c>
      <c r="AP446" s="184"/>
      <c r="AQ446" s="184"/>
      <c r="AR446" s="184"/>
      <c r="AS446" s="184"/>
      <c r="AT446" s="184"/>
      <c r="AU446" s="184"/>
      <c r="AV446" s="184"/>
      <c r="AW446" s="184"/>
      <c r="AX446" s="184"/>
      <c r="AY446" s="184"/>
      <c r="AZ446" s="184"/>
      <c r="BA446" s="184"/>
      <c r="BB446" s="184"/>
      <c r="BC446" s="184"/>
      <c r="BD446" s="184"/>
      <c r="BE446" s="184"/>
      <c r="BF446" s="184"/>
      <c r="BG446" s="184"/>
      <c r="BH446" s="184"/>
      <c r="BI446" s="184"/>
      <c r="BJ446" s="184"/>
    </row>
    <row r="447" spans="1:62" ht="15.75" customHeight="1">
      <c r="A447" s="23" t="str">
        <f t="shared" si="183"/>
        <v>Frais bancaires</v>
      </c>
      <c r="B447" s="181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/>
      <c r="Q447" s="408"/>
      <c r="R447" s="184"/>
      <c r="S447" s="184"/>
      <c r="T447" s="184"/>
      <c r="U447" s="184"/>
      <c r="V447" s="1" t="s">
        <v>63</v>
      </c>
      <c r="W447" s="30" t="s">
        <v>161</v>
      </c>
      <c r="Y447" s="31"/>
      <c r="Z447" s="24">
        <f>+SUM(START:END!Z448)</f>
        <v>24064.066566235968</v>
      </c>
      <c r="AB447" s="31">
        <f t="shared" si="214"/>
        <v>0</v>
      </c>
      <c r="AC447" s="24">
        <f>+SUM(START:END!AC448)</f>
        <v>0</v>
      </c>
      <c r="AD447" s="32"/>
      <c r="AE447" s="31"/>
      <c r="AF447" s="24">
        <f>+SUM(START:END!AF448)</f>
        <v>26521.629999999997</v>
      </c>
      <c r="AG447" s="25"/>
      <c r="AH447" s="24">
        <f t="shared" si="215"/>
        <v>2457.5634337640295</v>
      </c>
      <c r="AI447" s="27">
        <f t="shared" si="216"/>
        <v>0.10212585753117098</v>
      </c>
      <c r="AJ447" s="32"/>
      <c r="AL447" s="24">
        <f>+SUM(START:END!AL448)</f>
        <v>23515.78</v>
      </c>
      <c r="AM447" s="28"/>
      <c r="AN447" s="26">
        <f t="shared" si="213"/>
        <v>3005.8499999999985</v>
      </c>
      <c r="AO447" s="33">
        <f t="shared" si="218"/>
        <v>0.12782267906911865</v>
      </c>
      <c r="AP447" s="184"/>
      <c r="AQ447" s="184"/>
      <c r="AR447" s="184"/>
      <c r="AS447" s="184"/>
      <c r="AT447" s="184"/>
      <c r="AU447" s="184"/>
      <c r="AV447" s="184"/>
      <c r="AW447" s="184"/>
      <c r="AX447" s="184"/>
      <c r="AY447" s="184"/>
      <c r="AZ447" s="184"/>
      <c r="BA447" s="184"/>
      <c r="BB447" s="184"/>
      <c r="BC447" s="184"/>
      <c r="BD447" s="184"/>
      <c r="BE447" s="184"/>
      <c r="BF447" s="184"/>
      <c r="BG447" s="184"/>
      <c r="BH447" s="184"/>
      <c r="BI447" s="184"/>
      <c r="BJ447" s="184"/>
    </row>
    <row r="448" spans="1:62" ht="15.75" customHeight="1">
      <c r="A448" s="23" t="str">
        <f t="shared" si="183"/>
        <v>Mitsubishi</v>
      </c>
      <c r="B448" s="181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/>
      <c r="Q448" s="408"/>
      <c r="R448" s="184"/>
      <c r="S448" s="184"/>
      <c r="T448" s="184"/>
      <c r="U448" s="184"/>
      <c r="V448" s="1" t="s">
        <v>209</v>
      </c>
      <c r="W448" s="30"/>
      <c r="Y448" s="31"/>
      <c r="Z448" s="24">
        <f>+SUM(START:END!Z449)</f>
        <v>0</v>
      </c>
      <c r="AB448" s="31">
        <f t="shared" si="214"/>
        <v>0</v>
      </c>
      <c r="AC448" s="24">
        <f>+SUM(START:END!AC449)</f>
        <v>0</v>
      </c>
      <c r="AD448" s="32"/>
      <c r="AE448" s="31"/>
      <c r="AF448" s="24">
        <f>+SUM(START:END!AF449)</f>
        <v>0</v>
      </c>
      <c r="AG448" s="25"/>
      <c r="AH448" s="24">
        <f t="shared" si="215"/>
        <v>0</v>
      </c>
      <c r="AI448" s="27">
        <f t="shared" si="216"/>
        <v>0</v>
      </c>
      <c r="AJ448" s="32"/>
      <c r="AL448" s="24">
        <f>+SUMIF($C:$C,$V448,Q:Q)</f>
        <v>0</v>
      </c>
      <c r="AM448" s="28"/>
      <c r="AN448" s="26">
        <f t="shared" si="213"/>
        <v>0</v>
      </c>
      <c r="AO448" s="33">
        <f t="shared" si="218"/>
        <v>0</v>
      </c>
      <c r="AP448" s="184"/>
      <c r="AQ448" s="184"/>
      <c r="AR448" s="184"/>
      <c r="AS448" s="184"/>
      <c r="AT448" s="184"/>
      <c r="AU448" s="184"/>
      <c r="AV448" s="184"/>
      <c r="AW448" s="184"/>
      <c r="AX448" s="184"/>
      <c r="AY448" s="184"/>
      <c r="AZ448" s="184"/>
      <c r="BA448" s="184"/>
      <c r="BB448" s="184"/>
      <c r="BC448" s="184"/>
      <c r="BD448" s="184"/>
      <c r="BE448" s="184"/>
      <c r="BF448" s="184"/>
      <c r="BG448" s="184"/>
      <c r="BH448" s="184"/>
      <c r="BI448" s="184"/>
      <c r="BJ448" s="184"/>
    </row>
    <row r="449" spans="1:62" ht="15.75" hidden="1" customHeight="1">
      <c r="A449" s="23" t="str">
        <f t="shared" si="183"/>
        <v>[...]</v>
      </c>
      <c r="B449" s="181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/>
      <c r="Q449" s="408"/>
      <c r="R449" s="184"/>
      <c r="S449" s="184"/>
      <c r="T449" s="184"/>
      <c r="U449" s="184"/>
      <c r="V449" s="1" t="s">
        <v>20</v>
      </c>
      <c r="W449" s="30"/>
      <c r="Y449" s="31"/>
      <c r="Z449" s="24">
        <f>+SUM(START:END!Z450)</f>
        <v>0</v>
      </c>
      <c r="AB449" s="31">
        <f t="shared" si="214"/>
        <v>0</v>
      </c>
      <c r="AC449" s="24">
        <f>+SUM(START:END!AC450)</f>
        <v>0</v>
      </c>
      <c r="AD449" s="32"/>
      <c r="AE449" s="31"/>
      <c r="AF449" s="24">
        <f>+SUM(START:END!AF450)</f>
        <v>0</v>
      </c>
      <c r="AG449" s="25"/>
      <c r="AH449" s="24">
        <f t="shared" ref="AH449:AH450" si="219">AF449-AC449</f>
        <v>0</v>
      </c>
      <c r="AI449" s="27">
        <f t="shared" si="216"/>
        <v>0</v>
      </c>
      <c r="AJ449" s="32"/>
      <c r="AL449" s="24"/>
      <c r="AM449" s="28"/>
      <c r="AN449" s="26">
        <f t="shared" si="213"/>
        <v>0</v>
      </c>
      <c r="AO449" s="33">
        <f t="shared" si="218"/>
        <v>0</v>
      </c>
      <c r="AP449" s="184"/>
      <c r="AQ449" s="184"/>
      <c r="AR449" s="184"/>
      <c r="AS449" s="184"/>
      <c r="AT449" s="184"/>
      <c r="AU449" s="184"/>
      <c r="AV449" s="184"/>
      <c r="AW449" s="184"/>
      <c r="AX449" s="184"/>
      <c r="AY449" s="184"/>
      <c r="AZ449" s="184"/>
      <c r="BA449" s="184"/>
      <c r="BB449" s="184"/>
      <c r="BC449" s="184"/>
      <c r="BD449" s="184"/>
      <c r="BE449" s="184"/>
      <c r="BF449" s="184"/>
      <c r="BG449" s="184"/>
      <c r="BH449" s="184"/>
      <c r="BI449" s="184"/>
      <c r="BJ449" s="184"/>
    </row>
    <row r="450" spans="1:62" ht="15.75" hidden="1" customHeight="1">
      <c r="A450" s="23" t="str">
        <f t="shared" si="183"/>
        <v>[...]</v>
      </c>
      <c r="B450" s="181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410"/>
      <c r="Q450" s="408"/>
      <c r="R450" s="184"/>
      <c r="S450" s="184"/>
      <c r="T450" s="184"/>
      <c r="U450" s="184"/>
      <c r="V450" s="1" t="s">
        <v>20</v>
      </c>
      <c r="W450" s="30"/>
      <c r="Y450" s="31"/>
      <c r="Z450" s="24">
        <f>+SUM(START:END!Z451)</f>
        <v>0</v>
      </c>
      <c r="AB450" s="31">
        <f t="shared" si="214"/>
        <v>0</v>
      </c>
      <c r="AC450" s="24">
        <f>+SUM(START:END!AC451)</f>
        <v>0</v>
      </c>
      <c r="AD450" s="32"/>
      <c r="AE450" s="31"/>
      <c r="AF450" s="24">
        <f>+SUM(START:END!AF451)</f>
        <v>0</v>
      </c>
      <c r="AG450" s="25"/>
      <c r="AH450" s="24">
        <f t="shared" si="219"/>
        <v>0</v>
      </c>
      <c r="AI450" s="27">
        <f t="shared" si="216"/>
        <v>0</v>
      </c>
      <c r="AJ450" s="32"/>
      <c r="AL450" s="24"/>
      <c r="AM450" s="28"/>
      <c r="AN450" s="26">
        <f t="shared" si="213"/>
        <v>0</v>
      </c>
      <c r="AO450" s="33">
        <f t="shared" si="218"/>
        <v>0</v>
      </c>
      <c r="AP450" s="184"/>
      <c r="AQ450" s="184"/>
      <c r="AR450" s="184"/>
      <c r="AS450" s="184"/>
      <c r="AT450" s="184"/>
      <c r="AU450" s="184"/>
      <c r="AV450" s="184"/>
      <c r="AW450" s="184"/>
      <c r="AX450" s="184"/>
      <c r="AY450" s="184"/>
      <c r="AZ450" s="184"/>
      <c r="BA450" s="184"/>
      <c r="BB450" s="184"/>
      <c r="BC450" s="184"/>
      <c r="BD450" s="184"/>
      <c r="BE450" s="184"/>
      <c r="BF450" s="184"/>
      <c r="BG450" s="184"/>
      <c r="BH450" s="184"/>
      <c r="BI450" s="184"/>
      <c r="BJ450" s="184"/>
    </row>
    <row r="451" spans="1:62" ht="15.75" customHeight="1">
      <c r="A451" s="23" t="str">
        <f t="shared" si="183"/>
        <v>TOTAL SEMI-FIXES</v>
      </c>
      <c r="B451" s="181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/>
      <c r="Q451" s="408"/>
      <c r="R451" s="184"/>
      <c r="S451" s="184"/>
      <c r="T451" s="184"/>
      <c r="U451" s="184"/>
      <c r="V451" s="40" t="s">
        <v>64</v>
      </c>
      <c r="W451" s="70"/>
      <c r="X451" s="42">
        <f>Z451/+Z406</f>
        <v>0.17752825747011464</v>
      </c>
      <c r="Y451" s="41"/>
      <c r="Z451" s="43">
        <f>+SUM(Z433:Z450)</f>
        <v>377153.14484875021</v>
      </c>
      <c r="AA451" s="42" t="e">
        <f>AC451/+AC406</f>
        <v>#DIV/0!</v>
      </c>
      <c r="AB451" s="41"/>
      <c r="AC451" s="43">
        <f>+SUM(START:END!AC451)</f>
        <v>0</v>
      </c>
      <c r="AD451" s="44">
        <f>AF451/AF406</f>
        <v>0.15928959112091809</v>
      </c>
      <c r="AE451" s="41"/>
      <c r="AF451" s="43">
        <f>+SUM(AF433:AF450)</f>
        <v>360796.36999999994</v>
      </c>
      <c r="AG451" s="50"/>
      <c r="AH451" s="43">
        <f>+SUM(AH433:AH450)</f>
        <v>-16356.774848750294</v>
      </c>
      <c r="AI451" s="42">
        <f>AH451/Z451</f>
        <v>-4.3369053319997783E-2</v>
      </c>
      <c r="AJ451" s="44">
        <f>IF($AL$406=0,0,AL451/$AL$406)</f>
        <v>0.2069965312531902</v>
      </c>
      <c r="AK451" s="42"/>
      <c r="AL451" s="43">
        <f>+SUM(AL433:AL450)</f>
        <v>389178.9</v>
      </c>
      <c r="AM451" s="51"/>
      <c r="AN451" s="46">
        <f>+SUM(AN433:AN450)</f>
        <v>-28382.529999999995</v>
      </c>
      <c r="AO451" s="71">
        <f>IF(AL451=0,0,AN451/AL451)</f>
        <v>-7.2929262095144401E-2</v>
      </c>
      <c r="AP451" s="184"/>
      <c r="AQ451" s="184"/>
      <c r="AR451" s="184"/>
      <c r="AS451" s="184"/>
      <c r="AT451" s="184"/>
      <c r="AU451" s="184"/>
      <c r="AV451" s="184"/>
      <c r="AW451" s="184"/>
      <c r="AX451" s="184"/>
      <c r="AY451" s="184"/>
      <c r="AZ451" s="184"/>
      <c r="BA451" s="184"/>
      <c r="BB451" s="184"/>
      <c r="BC451" s="184"/>
      <c r="BD451" s="184"/>
      <c r="BE451" s="184"/>
      <c r="BF451" s="184"/>
      <c r="BG451" s="184"/>
      <c r="BH451" s="184"/>
      <c r="BI451" s="184"/>
      <c r="BJ451" s="184"/>
    </row>
    <row r="452" spans="1:62" ht="15.75" customHeight="1">
      <c r="A452" s="23" t="str">
        <f t="shared" si="183"/>
        <v>Loyer</v>
      </c>
      <c r="B452" s="181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/>
      <c r="Q452" s="184"/>
      <c r="R452" s="184"/>
      <c r="S452" s="184"/>
      <c r="T452" s="184"/>
      <c r="U452" s="184"/>
      <c r="V452" s="1" t="s">
        <v>162</v>
      </c>
      <c r="W452" s="30" t="s">
        <v>163</v>
      </c>
      <c r="Y452" s="31"/>
      <c r="Z452" s="24">
        <f>+SUM(START:END!Z453)</f>
        <v>108000</v>
      </c>
      <c r="AB452" s="31">
        <f t="shared" ref="AB452:AB461" si="220">IF(AC452=0,0,AC452/(G$13+G$97))</f>
        <v>0</v>
      </c>
      <c r="AC452" s="24">
        <f>+SUM(START:END!AC453)</f>
        <v>0</v>
      </c>
      <c r="AD452" s="32"/>
      <c r="AE452" s="31"/>
      <c r="AF452" s="24">
        <f>+SUM(START:END!AF453)</f>
        <v>108000</v>
      </c>
      <c r="AG452" s="25"/>
      <c r="AH452" s="24">
        <f t="shared" ref="AH452:AH461" si="221">AF452-Z452</f>
        <v>0</v>
      </c>
      <c r="AI452" s="27">
        <f t="shared" ref="AI452:AI461" si="222">IF(Z452=0,0,AH452/Z452)</f>
        <v>0</v>
      </c>
      <c r="AJ452" s="32"/>
      <c r="AL452" s="24">
        <f>+SUM(START:END!AL453)</f>
        <v>108000</v>
      </c>
      <c r="AM452" s="28"/>
      <c r="AN452" s="26">
        <f t="shared" ref="AN452:AN464" si="223">AF452-AL452</f>
        <v>0</v>
      </c>
      <c r="AO452" s="33">
        <f t="shared" ref="AO452:AO461" si="224">IF(AL452=0,0,AN452/AL452)</f>
        <v>0</v>
      </c>
      <c r="AP452" s="184"/>
      <c r="AQ452" s="184"/>
      <c r="AR452" s="184"/>
      <c r="AS452" s="184"/>
      <c r="AT452" s="184"/>
      <c r="AU452" s="184"/>
      <c r="AV452" s="184"/>
      <c r="AW452" s="184"/>
      <c r="AX452" s="184"/>
      <c r="AY452" s="184"/>
      <c r="AZ452" s="184"/>
      <c r="BA452" s="184"/>
      <c r="BB452" s="184"/>
      <c r="BC452" s="184"/>
      <c r="BD452" s="184"/>
      <c r="BE452" s="184"/>
      <c r="BF452" s="184"/>
      <c r="BG452" s="184"/>
      <c r="BH452" s="184"/>
      <c r="BI452" s="184"/>
      <c r="BJ452" s="184"/>
    </row>
    <row r="453" spans="1:62" ht="15.75" customHeight="1">
      <c r="A453" s="23" t="str">
        <f t="shared" si="183"/>
        <v>Taxes foncières</v>
      </c>
      <c r="B453" s="181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/>
      <c r="Q453" s="184"/>
      <c r="R453" s="184"/>
      <c r="S453" s="184"/>
      <c r="T453" s="184"/>
      <c r="U453" s="184"/>
      <c r="V453" s="1" t="s">
        <v>164</v>
      </c>
      <c r="W453" s="30" t="s">
        <v>165</v>
      </c>
      <c r="Y453" s="31"/>
      <c r="Z453" s="24">
        <f>+SUM(START:END!Z454)</f>
        <v>16270.320000000002</v>
      </c>
      <c r="AB453" s="31">
        <f t="shared" si="220"/>
        <v>0</v>
      </c>
      <c r="AC453" s="24">
        <f>+SUM(START:END!AC454)</f>
        <v>0</v>
      </c>
      <c r="AD453" s="32"/>
      <c r="AE453" s="31"/>
      <c r="AF453" s="24">
        <f>+SUM(START:END!AF454)</f>
        <v>16269</v>
      </c>
      <c r="AG453" s="25"/>
      <c r="AH453" s="24">
        <f t="shared" si="221"/>
        <v>-1.320000000001528</v>
      </c>
      <c r="AI453" s="27">
        <f t="shared" si="222"/>
        <v>-8.1129320136391167E-5</v>
      </c>
      <c r="AJ453" s="32"/>
      <c r="AL453" s="24">
        <f>+SUM(START:END!AL454)</f>
        <v>15531</v>
      </c>
      <c r="AM453" s="28"/>
      <c r="AN453" s="26">
        <f t="shared" si="223"/>
        <v>738</v>
      </c>
      <c r="AO453" s="33">
        <f t="shared" si="224"/>
        <v>4.7517867490824803E-2</v>
      </c>
      <c r="AP453" s="184"/>
      <c r="AQ453" s="184"/>
      <c r="AR453" s="184"/>
      <c r="AS453" s="184"/>
      <c r="AT453" s="184"/>
      <c r="AU453" s="184"/>
      <c r="AV453" s="184"/>
      <c r="AW453" s="184"/>
      <c r="AX453" s="184"/>
      <c r="AY453" s="184"/>
      <c r="AZ453" s="184"/>
      <c r="BA453" s="184"/>
      <c r="BB453" s="184"/>
      <c r="BC453" s="184"/>
      <c r="BD453" s="184"/>
      <c r="BE453" s="184"/>
      <c r="BF453" s="184"/>
      <c r="BG453" s="184"/>
      <c r="BH453" s="184"/>
      <c r="BI453" s="184"/>
      <c r="BJ453" s="184"/>
    </row>
    <row r="454" spans="1:62" ht="15.75" customHeight="1">
      <c r="A454" s="23" t="str">
        <f t="shared" si="183"/>
        <v>Taxes d`affaires</v>
      </c>
      <c r="B454" s="181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/>
      <c r="Q454" s="184"/>
      <c r="R454" s="184"/>
      <c r="S454" s="184"/>
      <c r="T454" s="184"/>
      <c r="U454" s="184"/>
      <c r="V454" s="2" t="s">
        <v>166</v>
      </c>
      <c r="W454" s="34" t="s">
        <v>167</v>
      </c>
      <c r="X454" s="7"/>
      <c r="Y454" s="35"/>
      <c r="Z454" s="8">
        <f>+SUM(START:END!Z455)</f>
        <v>10826.640000000001</v>
      </c>
      <c r="AA454" s="7"/>
      <c r="AB454" s="35">
        <f t="shared" si="220"/>
        <v>0</v>
      </c>
      <c r="AC454" s="8">
        <f>+SUM(START:END!AC455)</f>
        <v>0</v>
      </c>
      <c r="AD454" s="36"/>
      <c r="AE454" s="35"/>
      <c r="AF454" s="8">
        <f>+SUM(START:END!AF455)</f>
        <v>10827</v>
      </c>
      <c r="AG454" s="9"/>
      <c r="AH454" s="8">
        <f t="shared" si="221"/>
        <v>0.35999999999876309</v>
      </c>
      <c r="AI454" s="37">
        <f t="shared" si="222"/>
        <v>3.3251313426766112E-5</v>
      </c>
      <c r="AJ454" s="36"/>
      <c r="AK454" s="7"/>
      <c r="AL454" s="8">
        <f>+SUM(START:END!AL455)</f>
        <v>10616.28</v>
      </c>
      <c r="AM454" s="12"/>
      <c r="AN454" s="10">
        <f t="shared" si="223"/>
        <v>210.71999999999935</v>
      </c>
      <c r="AO454" s="13">
        <f t="shared" si="224"/>
        <v>1.9848760582802952E-2</v>
      </c>
      <c r="AP454" s="184"/>
      <c r="AQ454" s="184"/>
      <c r="AR454" s="184"/>
      <c r="AS454" s="184"/>
      <c r="AT454" s="184"/>
      <c r="AU454" s="184"/>
      <c r="AV454" s="184"/>
      <c r="AW454" s="184"/>
      <c r="AX454" s="184"/>
      <c r="AY454" s="184"/>
      <c r="AZ454" s="184"/>
      <c r="BA454" s="184"/>
      <c r="BB454" s="184"/>
      <c r="BC454" s="184"/>
      <c r="BD454" s="184"/>
      <c r="BE454" s="184"/>
      <c r="BF454" s="184"/>
      <c r="BG454" s="184"/>
      <c r="BH454" s="184"/>
      <c r="BI454" s="184"/>
      <c r="BJ454" s="184"/>
    </row>
    <row r="455" spans="1:62" ht="15.75" customHeight="1">
      <c r="A455" s="23" t="str">
        <f t="shared" si="183"/>
        <v>Taxe sur le capital</v>
      </c>
      <c r="B455" s="181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/>
      <c r="Q455" s="184"/>
      <c r="R455" s="184"/>
      <c r="S455" s="184"/>
      <c r="T455" s="184"/>
      <c r="U455" s="184"/>
      <c r="V455" s="1" t="s">
        <v>168</v>
      </c>
      <c r="W455" s="30"/>
      <c r="Y455" s="31"/>
      <c r="Z455" s="24">
        <f>+SUM(START:END!Z456)</f>
        <v>0</v>
      </c>
      <c r="AB455" s="31">
        <f t="shared" si="220"/>
        <v>0</v>
      </c>
      <c r="AC455" s="24">
        <f>+SUM(START:END!AC456)</f>
        <v>0</v>
      </c>
      <c r="AD455" s="32"/>
      <c r="AE455" s="31"/>
      <c r="AF455" s="24">
        <f>+SUM(START:END!AF456)</f>
        <v>0</v>
      </c>
      <c r="AG455" s="25"/>
      <c r="AH455" s="24">
        <f t="shared" si="221"/>
        <v>0</v>
      </c>
      <c r="AI455" s="27">
        <f t="shared" si="222"/>
        <v>0</v>
      </c>
      <c r="AJ455" s="32"/>
      <c r="AL455" s="24">
        <f>+SUM(START:END!AL456)</f>
        <v>0</v>
      </c>
      <c r="AM455" s="28"/>
      <c r="AN455" s="26">
        <f t="shared" si="223"/>
        <v>0</v>
      </c>
      <c r="AO455" s="33">
        <f t="shared" si="224"/>
        <v>0</v>
      </c>
      <c r="AP455" s="184"/>
      <c r="AQ455" s="184"/>
      <c r="AR455" s="184"/>
      <c r="AS455" s="184"/>
      <c r="AT455" s="184"/>
      <c r="AU455" s="184"/>
      <c r="AV455" s="184"/>
      <c r="AW455" s="184"/>
      <c r="AX455" s="184"/>
      <c r="AY455" s="184"/>
      <c r="AZ455" s="184"/>
      <c r="BA455" s="184"/>
      <c r="BB455" s="184"/>
      <c r="BC455" s="184"/>
      <c r="BD455" s="184"/>
      <c r="BE455" s="184"/>
      <c r="BF455" s="184"/>
      <c r="BG455" s="184"/>
      <c r="BH455" s="184"/>
      <c r="BI455" s="184"/>
      <c r="BJ455" s="184"/>
    </row>
    <row r="456" spans="1:62" ht="15.75" customHeight="1">
      <c r="A456" s="23" t="str">
        <f t="shared" si="183"/>
        <v>Assurances</v>
      </c>
      <c r="B456" s="181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/>
      <c r="Q456" s="184"/>
      <c r="R456" s="184"/>
      <c r="S456" s="184"/>
      <c r="T456" s="184"/>
      <c r="U456" s="184"/>
      <c r="V456" s="2" t="s">
        <v>169</v>
      </c>
      <c r="W456" s="34" t="s">
        <v>170</v>
      </c>
      <c r="X456" s="7"/>
      <c r="Y456" s="35"/>
      <c r="Z456" s="8">
        <f>+SUM(START:END!Z457)</f>
        <v>13032.75</v>
      </c>
      <c r="AA456" s="7"/>
      <c r="AB456" s="35">
        <f t="shared" si="220"/>
        <v>0</v>
      </c>
      <c r="AC456" s="8">
        <f>+SUM(START:END!AC457)</f>
        <v>0</v>
      </c>
      <c r="AD456" s="36"/>
      <c r="AE456" s="35"/>
      <c r="AF456" s="8">
        <f>+SUM(START:END!AF457)</f>
        <v>13032.75</v>
      </c>
      <c r="AG456" s="9"/>
      <c r="AH456" s="8">
        <f t="shared" si="221"/>
        <v>0</v>
      </c>
      <c r="AI456" s="37">
        <f t="shared" si="222"/>
        <v>0</v>
      </c>
      <c r="AJ456" s="36"/>
      <c r="AK456" s="7"/>
      <c r="AL456" s="8">
        <f>+SUM(START:END!AL457)</f>
        <v>11679.24</v>
      </c>
      <c r="AM456" s="12"/>
      <c r="AN456" s="10">
        <f t="shared" si="223"/>
        <v>1353.5100000000002</v>
      </c>
      <c r="AO456" s="13">
        <f t="shared" si="224"/>
        <v>0.11589024628314858</v>
      </c>
      <c r="AP456" s="184"/>
      <c r="AQ456" s="184"/>
      <c r="AR456" s="184"/>
      <c r="AS456" s="184"/>
      <c r="AT456" s="184"/>
      <c r="AU456" s="184"/>
      <c r="AV456" s="184"/>
      <c r="AW456" s="184"/>
      <c r="AX456" s="184"/>
      <c r="AY456" s="184"/>
      <c r="AZ456" s="184"/>
      <c r="BA456" s="184"/>
      <c r="BB456" s="184"/>
      <c r="BC456" s="184"/>
      <c r="BD456" s="184"/>
      <c r="BE456" s="184"/>
      <c r="BF456" s="184"/>
      <c r="BG456" s="184"/>
      <c r="BH456" s="184"/>
      <c r="BI456" s="184"/>
      <c r="BJ456" s="184"/>
    </row>
    <row r="457" spans="1:62" ht="15.75" customHeight="1">
      <c r="A457" s="23" t="str">
        <f t="shared" si="183"/>
        <v>Chauffage, éclairage</v>
      </c>
      <c r="B457" s="181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/>
      <c r="Q457" s="184"/>
      <c r="R457" s="184"/>
      <c r="S457" s="184"/>
      <c r="T457" s="184"/>
      <c r="U457" s="184"/>
      <c r="V457" s="1" t="s">
        <v>171</v>
      </c>
      <c r="W457" s="30" t="s">
        <v>172</v>
      </c>
      <c r="X457" s="72"/>
      <c r="Y457" s="73"/>
      <c r="Z457" s="24">
        <f>+SUM(START:END!Z458)</f>
        <v>11100</v>
      </c>
      <c r="AA457" s="72"/>
      <c r="AB457" s="73">
        <f t="shared" si="220"/>
        <v>0</v>
      </c>
      <c r="AC457" s="24">
        <f>+SUM(START:END!AC458)</f>
        <v>0</v>
      </c>
      <c r="AD457" s="32"/>
      <c r="AE457" s="31"/>
      <c r="AF457" s="24">
        <f>+SUM(START:END!AF458)</f>
        <v>15173.92</v>
      </c>
      <c r="AG457" s="25"/>
      <c r="AH457" s="24">
        <f t="shared" si="221"/>
        <v>4073.92</v>
      </c>
      <c r="AI457" s="27">
        <f t="shared" si="222"/>
        <v>0.36701981981981985</v>
      </c>
      <c r="AJ457" s="32"/>
      <c r="AL457" s="24">
        <f>+SUM(START:END!AL458)</f>
        <v>10873.499999999989</v>
      </c>
      <c r="AM457" s="28"/>
      <c r="AN457" s="26">
        <f t="shared" si="223"/>
        <v>4300.420000000011</v>
      </c>
      <c r="AO457" s="33">
        <f t="shared" si="224"/>
        <v>0.39549547063962986</v>
      </c>
      <c r="AP457" s="184"/>
      <c r="AQ457" s="184"/>
      <c r="AR457" s="184"/>
      <c r="AS457" s="184"/>
      <c r="AT457" s="184"/>
      <c r="AU457" s="184"/>
      <c r="AV457" s="184"/>
      <c r="AW457" s="184"/>
      <c r="AX457" s="184"/>
      <c r="AY457" s="184"/>
      <c r="AZ457" s="184"/>
      <c r="BA457" s="184"/>
      <c r="BB457" s="184"/>
      <c r="BC457" s="184"/>
      <c r="BD457" s="184"/>
      <c r="BE457" s="184"/>
      <c r="BF457" s="184"/>
      <c r="BG457" s="184"/>
      <c r="BH457" s="184"/>
      <c r="BI457" s="184"/>
      <c r="BJ457" s="184"/>
    </row>
    <row r="458" spans="1:62" ht="15.75" customHeight="1">
      <c r="A458" s="23" t="str">
        <f t="shared" si="183"/>
        <v>Honoraires</v>
      </c>
      <c r="B458" s="181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/>
      <c r="Q458" s="184"/>
      <c r="R458" s="184"/>
      <c r="S458" s="184"/>
      <c r="T458" s="184"/>
      <c r="U458" s="184"/>
      <c r="V458" s="1" t="s">
        <v>173</v>
      </c>
      <c r="W458" s="30" t="s">
        <v>174</v>
      </c>
      <c r="Y458" s="31"/>
      <c r="Z458" s="24">
        <f>+SUM(START:END!Z459)</f>
        <v>20352.150000000001</v>
      </c>
      <c r="AB458" s="31">
        <f t="shared" si="220"/>
        <v>0</v>
      </c>
      <c r="AC458" s="24">
        <f>+SUM(START:END!AC459)</f>
        <v>0</v>
      </c>
      <c r="AD458" s="32"/>
      <c r="AE458" s="31"/>
      <c r="AF458" s="24">
        <f>+SUM(START:END!AF459)</f>
        <v>23579.94</v>
      </c>
      <c r="AG458" s="25"/>
      <c r="AH458" s="24">
        <f t="shared" si="221"/>
        <v>3227.7899999999972</v>
      </c>
      <c r="AI458" s="27">
        <f t="shared" si="222"/>
        <v>0.15859700326501117</v>
      </c>
      <c r="AJ458" s="32"/>
      <c r="AL458" s="24">
        <f>+SUM(START:END!AL459)</f>
        <v>21713.429999999978</v>
      </c>
      <c r="AM458" s="28"/>
      <c r="AN458" s="26">
        <f t="shared" si="223"/>
        <v>1866.5100000000202</v>
      </c>
      <c r="AO458" s="33">
        <f t="shared" si="224"/>
        <v>8.5961084913807814E-2</v>
      </c>
      <c r="AP458" s="184"/>
      <c r="AQ458" s="184"/>
      <c r="AR458" s="184"/>
      <c r="AS458" s="184"/>
      <c r="AT458" s="184"/>
      <c r="AU458" s="184"/>
      <c r="AV458" s="184"/>
      <c r="AW458" s="184"/>
      <c r="AX458" s="184"/>
      <c r="AY458" s="184"/>
      <c r="AZ458" s="184"/>
      <c r="BA458" s="184"/>
      <c r="BB458" s="184"/>
      <c r="BC458" s="184"/>
      <c r="BD458" s="184"/>
      <c r="BE458" s="184"/>
      <c r="BF458" s="184"/>
      <c r="BG458" s="184"/>
      <c r="BH458" s="184"/>
      <c r="BI458" s="184"/>
      <c r="BJ458" s="184"/>
    </row>
    <row r="459" spans="1:62" ht="15.75" customHeight="1">
      <c r="A459" s="23" t="str">
        <f t="shared" si="183"/>
        <v>Réparation équipement</v>
      </c>
      <c r="B459" s="181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/>
      <c r="Q459" s="184"/>
      <c r="R459" s="184"/>
      <c r="S459" s="184"/>
      <c r="T459" s="184"/>
      <c r="U459" s="184"/>
      <c r="V459" s="2" t="s">
        <v>175</v>
      </c>
      <c r="W459" s="34" t="s">
        <v>176</v>
      </c>
      <c r="X459" s="7"/>
      <c r="Y459" s="35"/>
      <c r="Z459" s="8">
        <f>+SUM(START:END!Z460)</f>
        <v>4093.6870222936104</v>
      </c>
      <c r="AA459" s="7"/>
      <c r="AB459" s="35">
        <f t="shared" si="220"/>
        <v>0</v>
      </c>
      <c r="AC459" s="8">
        <f>+SUM(START:END!AC460)</f>
        <v>0</v>
      </c>
      <c r="AD459" s="36"/>
      <c r="AE459" s="35"/>
      <c r="AF459" s="8">
        <f>+SUM(START:END!AF460)</f>
        <v>1450.6</v>
      </c>
      <c r="AG459" s="9"/>
      <c r="AH459" s="8">
        <f t="shared" si="221"/>
        <v>-2643.0870222936105</v>
      </c>
      <c r="AI459" s="37">
        <f t="shared" si="222"/>
        <v>-0.64564951055118569</v>
      </c>
      <c r="AJ459" s="36"/>
      <c r="AK459" s="7"/>
      <c r="AL459" s="8">
        <f>+SUM(START:END!AL460)</f>
        <v>5080.2</v>
      </c>
      <c r="AM459" s="12"/>
      <c r="AN459" s="10">
        <f t="shared" si="223"/>
        <v>-3629.6</v>
      </c>
      <c r="AO459" s="13">
        <f t="shared" si="224"/>
        <v>-0.71446006062753431</v>
      </c>
      <c r="AP459" s="184"/>
      <c r="AQ459" s="184"/>
      <c r="AR459" s="184"/>
      <c r="AS459" s="184"/>
      <c r="AT459" s="184"/>
      <c r="AU459" s="184"/>
      <c r="AV459" s="184"/>
      <c r="AW459" s="184"/>
      <c r="AX459" s="184"/>
      <c r="AY459" s="184"/>
      <c r="AZ459" s="184"/>
      <c r="BA459" s="184"/>
      <c r="BB459" s="184"/>
      <c r="BC459" s="184"/>
      <c r="BD459" s="184"/>
      <c r="BE459" s="184"/>
      <c r="BF459" s="184"/>
      <c r="BG459" s="184"/>
      <c r="BH459" s="184"/>
      <c r="BI459" s="184"/>
      <c r="BJ459" s="184"/>
    </row>
    <row r="460" spans="1:62" ht="15.75" customHeight="1">
      <c r="A460" s="23" t="str">
        <f t="shared" si="183"/>
        <v>Location équipement</v>
      </c>
      <c r="B460" s="181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/>
      <c r="Q460" s="184"/>
      <c r="R460" s="184"/>
      <c r="S460" s="184"/>
      <c r="T460" s="184"/>
      <c r="U460" s="411"/>
      <c r="V460" s="1" t="s">
        <v>177</v>
      </c>
      <c r="W460" s="30" t="s">
        <v>178</v>
      </c>
      <c r="Y460" s="31"/>
      <c r="Z460" s="24">
        <f>+SUM(START:END!Z461)</f>
        <v>3000</v>
      </c>
      <c r="AB460" s="31">
        <f t="shared" si="220"/>
        <v>0</v>
      </c>
      <c r="AC460" s="24">
        <f>+SUM(START:END!AC461)</f>
        <v>0</v>
      </c>
      <c r="AD460" s="32"/>
      <c r="AE460" s="31"/>
      <c r="AF460" s="24">
        <f>+SUM(START:END!AF461)</f>
        <v>3608.7200000000003</v>
      </c>
      <c r="AG460" s="25"/>
      <c r="AH460" s="24">
        <f t="shared" si="221"/>
        <v>608.72000000000025</v>
      </c>
      <c r="AI460" s="74">
        <f t="shared" si="222"/>
        <v>0.20290666666666676</v>
      </c>
      <c r="AL460" s="24">
        <f>+SUM(START:END!AL461)</f>
        <v>2766.96</v>
      </c>
      <c r="AM460" s="28"/>
      <c r="AN460" s="26">
        <f t="shared" si="223"/>
        <v>841.76000000000022</v>
      </c>
      <c r="AO460" s="33">
        <f t="shared" si="224"/>
        <v>0.304218347934195</v>
      </c>
      <c r="AP460" s="184"/>
      <c r="AQ460" s="184"/>
      <c r="AR460" s="184"/>
      <c r="AS460" s="184"/>
      <c r="AT460" s="184"/>
      <c r="AU460" s="184"/>
      <c r="AV460" s="184"/>
      <c r="AW460" s="184"/>
      <c r="AX460" s="184"/>
      <c r="AY460" s="184"/>
      <c r="AZ460" s="184"/>
      <c r="BA460" s="184"/>
      <c r="BB460" s="184"/>
      <c r="BC460" s="184"/>
      <c r="BD460" s="184"/>
      <c r="BE460" s="184"/>
      <c r="BF460" s="184"/>
      <c r="BG460" s="184"/>
      <c r="BH460" s="184"/>
      <c r="BI460" s="184"/>
      <c r="BJ460" s="184"/>
    </row>
    <row r="461" spans="1:62" ht="15.75" customHeight="1">
      <c r="A461" s="23" t="str">
        <f t="shared" si="183"/>
        <v>Dons</v>
      </c>
      <c r="B461" s="181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/>
      <c r="Q461" s="184"/>
      <c r="R461" s="184"/>
      <c r="S461" s="184"/>
      <c r="T461" s="184"/>
      <c r="U461" s="411"/>
      <c r="V461" s="1" t="s">
        <v>179</v>
      </c>
      <c r="W461" s="30" t="s">
        <v>180</v>
      </c>
      <c r="Y461" s="31"/>
      <c r="Z461" s="24">
        <f>+SUM(START:END!Z462)</f>
        <v>0</v>
      </c>
      <c r="AB461" s="31">
        <f t="shared" si="220"/>
        <v>0</v>
      </c>
      <c r="AC461" s="24">
        <f>+SUM(START:END!AC462)</f>
        <v>0</v>
      </c>
      <c r="AD461" s="32"/>
      <c r="AE461" s="31"/>
      <c r="AF461" s="24">
        <f>+SUM(START:END!AF462)</f>
        <v>0</v>
      </c>
      <c r="AG461" s="25"/>
      <c r="AH461" s="24">
        <f t="shared" si="221"/>
        <v>0</v>
      </c>
      <c r="AI461" s="48">
        <f t="shared" si="222"/>
        <v>0</v>
      </c>
      <c r="AL461" s="24">
        <f>+SUM(START:END!AL462)</f>
        <v>0</v>
      </c>
      <c r="AM461" s="28"/>
      <c r="AN461" s="26">
        <f t="shared" si="223"/>
        <v>0</v>
      </c>
      <c r="AO461" s="33">
        <f t="shared" si="224"/>
        <v>0</v>
      </c>
      <c r="AP461" s="184"/>
      <c r="AQ461" s="184"/>
      <c r="AR461" s="184"/>
      <c r="AS461" s="184"/>
      <c r="AT461" s="184"/>
      <c r="AU461" s="184"/>
      <c r="AV461" s="184"/>
      <c r="AW461" s="184"/>
      <c r="AX461" s="184"/>
      <c r="AY461" s="184"/>
      <c r="AZ461" s="184"/>
      <c r="BA461" s="184"/>
      <c r="BB461" s="184"/>
      <c r="BC461" s="184"/>
      <c r="BD461" s="184"/>
      <c r="BE461" s="184"/>
      <c r="BF461" s="184"/>
      <c r="BG461" s="184"/>
      <c r="BH461" s="184"/>
      <c r="BI461" s="184"/>
      <c r="BJ461" s="184"/>
    </row>
    <row r="462" spans="1:62" ht="15.75" hidden="1" customHeight="1">
      <c r="A462" s="23" t="str">
        <f t="shared" si="183"/>
        <v>[...]</v>
      </c>
      <c r="B462" s="181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/>
      <c r="Q462" s="184"/>
      <c r="R462" s="184"/>
      <c r="S462" s="184"/>
      <c r="T462" s="184"/>
      <c r="U462" s="411"/>
      <c r="V462" s="1" t="s">
        <v>20</v>
      </c>
      <c r="W462" s="30"/>
      <c r="Y462" s="31"/>
      <c r="Z462" s="24">
        <f>+SUM(START:END!Z463)</f>
        <v>0</v>
      </c>
      <c r="AB462" s="31"/>
      <c r="AC462" s="24">
        <f>+SUM(START:END!AC462)</f>
        <v>0</v>
      </c>
      <c r="AD462" s="32"/>
      <c r="AE462" s="31"/>
      <c r="AF462" s="24">
        <f>+SUM(START:END!AF463)</f>
        <v>0</v>
      </c>
      <c r="AG462" s="25"/>
      <c r="AH462" s="24">
        <f t="shared" ref="AH462:AH464" si="225">AF462-AC462</f>
        <v>0</v>
      </c>
      <c r="AI462" s="48">
        <v>1</v>
      </c>
      <c r="AL462" s="24">
        <f>+SUM(START:END!AL463)</f>
        <v>0</v>
      </c>
      <c r="AM462" s="28"/>
      <c r="AN462" s="26">
        <f t="shared" si="223"/>
        <v>0</v>
      </c>
      <c r="AO462" s="33">
        <v>1</v>
      </c>
      <c r="AP462" s="184"/>
      <c r="AQ462" s="184"/>
      <c r="AR462" s="184"/>
      <c r="AS462" s="184"/>
      <c r="AT462" s="184"/>
      <c r="AU462" s="184"/>
      <c r="AV462" s="184"/>
      <c r="AW462" s="184"/>
      <c r="AX462" s="184"/>
      <c r="AY462" s="184"/>
      <c r="AZ462" s="184"/>
      <c r="BA462" s="184"/>
      <c r="BB462" s="184"/>
      <c r="BC462" s="184"/>
      <c r="BD462" s="184"/>
      <c r="BE462" s="184"/>
      <c r="BF462" s="184"/>
      <c r="BG462" s="184"/>
      <c r="BH462" s="184"/>
      <c r="BI462" s="184"/>
      <c r="BJ462" s="184"/>
    </row>
    <row r="463" spans="1:62" ht="15.75" hidden="1" customHeight="1">
      <c r="A463" s="23" t="str">
        <f t="shared" si="183"/>
        <v>[...]</v>
      </c>
      <c r="B463" s="181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/>
      <c r="Q463" s="184"/>
      <c r="R463" s="184"/>
      <c r="S463" s="184"/>
      <c r="T463" s="184"/>
      <c r="U463" s="411"/>
      <c r="V463" s="1" t="s">
        <v>20</v>
      </c>
      <c r="W463" s="30"/>
      <c r="Y463" s="31"/>
      <c r="Z463" s="24">
        <f>+SUM(START:END!Z464)</f>
        <v>0</v>
      </c>
      <c r="AB463" s="31"/>
      <c r="AC463" s="24">
        <f>+SUM(START:END!AC463)</f>
        <v>0</v>
      </c>
      <c r="AD463" s="32"/>
      <c r="AE463" s="31"/>
      <c r="AF463" s="24">
        <f>+SUM(START:END!AF464)</f>
        <v>0</v>
      </c>
      <c r="AG463" s="25"/>
      <c r="AH463" s="24">
        <f t="shared" si="225"/>
        <v>0</v>
      </c>
      <c r="AI463" s="48">
        <v>2</v>
      </c>
      <c r="AL463" s="24">
        <f>+SUM(START:END!AL464)</f>
        <v>0</v>
      </c>
      <c r="AM463" s="28"/>
      <c r="AN463" s="26">
        <f t="shared" si="223"/>
        <v>0</v>
      </c>
      <c r="AO463" s="33">
        <v>2</v>
      </c>
      <c r="AP463" s="184"/>
      <c r="AQ463" s="184"/>
      <c r="AR463" s="184"/>
      <c r="AS463" s="184"/>
      <c r="AT463" s="184"/>
      <c r="AU463" s="184"/>
      <c r="AV463" s="184"/>
      <c r="AW463" s="184"/>
      <c r="AX463" s="184"/>
      <c r="AY463" s="184"/>
      <c r="AZ463" s="184"/>
      <c r="BA463" s="184"/>
      <c r="BB463" s="184"/>
      <c r="BC463" s="184"/>
      <c r="BD463" s="184"/>
      <c r="BE463" s="184"/>
      <c r="BF463" s="184"/>
      <c r="BG463" s="184"/>
      <c r="BH463" s="184"/>
      <c r="BI463" s="184"/>
      <c r="BJ463" s="184"/>
    </row>
    <row r="464" spans="1:62" ht="15.75" hidden="1" customHeight="1">
      <c r="A464" s="23" t="str">
        <f t="shared" si="183"/>
        <v>[...]</v>
      </c>
      <c r="B464" s="181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/>
      <c r="Q464" s="184"/>
      <c r="R464" s="184"/>
      <c r="S464" s="184"/>
      <c r="T464" s="184"/>
      <c r="U464" s="184"/>
      <c r="V464" s="1" t="s">
        <v>20</v>
      </c>
      <c r="W464" s="30"/>
      <c r="Y464" s="31"/>
      <c r="Z464" s="24">
        <f>+SUM(START:END!Z463)</f>
        <v>0</v>
      </c>
      <c r="AB464" s="31"/>
      <c r="AC464" s="24">
        <f>+SUM(START:END!AC464)</f>
        <v>0</v>
      </c>
      <c r="AD464" s="32"/>
      <c r="AE464" s="31"/>
      <c r="AF464" s="24">
        <f>+SUM(START:END!AF465)</f>
        <v>0</v>
      </c>
      <c r="AG464" s="25"/>
      <c r="AH464" s="24">
        <f t="shared" si="225"/>
        <v>0</v>
      </c>
      <c r="AI464" s="48">
        <v>3</v>
      </c>
      <c r="AL464" s="24">
        <f>+SUM(START:END!AL465)</f>
        <v>0</v>
      </c>
      <c r="AM464" s="28"/>
      <c r="AN464" s="26">
        <f t="shared" si="223"/>
        <v>0</v>
      </c>
      <c r="AO464" s="33">
        <v>3</v>
      </c>
      <c r="AP464" s="184"/>
      <c r="AQ464" s="184"/>
      <c r="AR464" s="184"/>
      <c r="AS464" s="184"/>
      <c r="AT464" s="184"/>
      <c r="AU464" s="184"/>
      <c r="AV464" s="184"/>
      <c r="AW464" s="184"/>
      <c r="AX464" s="184"/>
      <c r="AY464" s="184"/>
      <c r="AZ464" s="184"/>
      <c r="BA464" s="184"/>
      <c r="BB464" s="184"/>
      <c r="BC464" s="184"/>
      <c r="BD464" s="184"/>
      <c r="BE464" s="184"/>
      <c r="BF464" s="184"/>
      <c r="BG464" s="184"/>
      <c r="BH464" s="184"/>
      <c r="BI464" s="184"/>
      <c r="BJ464" s="184"/>
    </row>
    <row r="465" spans="1:62" ht="15.75" customHeight="1">
      <c r="A465" s="23" t="str">
        <f t="shared" si="183"/>
        <v>TOTAL DÉPENSES FIXES</v>
      </c>
      <c r="B465" s="181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/>
      <c r="Q465" s="184"/>
      <c r="R465" s="184"/>
      <c r="S465" s="184"/>
      <c r="T465" s="184"/>
      <c r="U465" s="184"/>
      <c r="V465" s="40" t="s">
        <v>181</v>
      </c>
      <c r="W465" s="41"/>
      <c r="X465" s="42">
        <f>Z465/+Z406</f>
        <v>8.7869304625415354E-2</v>
      </c>
      <c r="Y465" s="41"/>
      <c r="Z465" s="43">
        <f>SUM(Z452:Z464)</f>
        <v>186675.54702229361</v>
      </c>
      <c r="AA465" s="42" t="e">
        <f>AC465/+AC406</f>
        <v>#DIV/0!</v>
      </c>
      <c r="AB465" s="41"/>
      <c r="AC465" s="43">
        <f>SUM(AC452:AC464)</f>
        <v>0</v>
      </c>
      <c r="AD465" s="44">
        <f>AF465/AF406</f>
        <v>8.4741294788137383E-2</v>
      </c>
      <c r="AE465" s="41"/>
      <c r="AF465" s="43">
        <f>SUM(AF452:AF464)</f>
        <v>191941.93000000002</v>
      </c>
      <c r="AG465" s="50"/>
      <c r="AH465" s="43">
        <f>SUM(AH452:AH464)</f>
        <v>5266.3829777063847</v>
      </c>
      <c r="AI465" s="42">
        <f>IF(Z465=0,0,AH465/Z465)</f>
        <v>2.8211423840517526E-2</v>
      </c>
      <c r="AJ465" s="44">
        <f>IF($AL$406=0,0,AL465/$AL$406)</f>
        <v>9.9068320967820353E-2</v>
      </c>
      <c r="AK465" s="42"/>
      <c r="AL465" s="43">
        <f>SUM(AL452:AL464)</f>
        <v>186260.60999999996</v>
      </c>
      <c r="AM465" s="51"/>
      <c r="AN465" s="46">
        <f>SUM(AN452:AN464)</f>
        <v>5681.3200000000306</v>
      </c>
      <c r="AO465" s="71">
        <f>IF(AL465=0,0,AN465/AL465)</f>
        <v>3.0501993953525826E-2</v>
      </c>
      <c r="AP465" s="184"/>
      <c r="AQ465" s="184"/>
      <c r="AR465" s="184"/>
      <c r="AS465" s="184"/>
      <c r="AT465" s="184"/>
      <c r="AU465" s="184"/>
      <c r="AV465" s="184"/>
      <c r="AW465" s="184"/>
      <c r="AX465" s="184"/>
      <c r="AY465" s="184"/>
      <c r="AZ465" s="184"/>
      <c r="BA465" s="184"/>
      <c r="BB465" s="184"/>
      <c r="BC465" s="184"/>
      <c r="BD465" s="184"/>
      <c r="BE465" s="184"/>
      <c r="BF465" s="184"/>
      <c r="BG465" s="184"/>
      <c r="BH465" s="184"/>
      <c r="BI465" s="184"/>
      <c r="BJ465" s="184"/>
    </row>
    <row r="466" spans="1:62" ht="15.75" customHeight="1">
      <c r="A466" s="23" t="str">
        <f t="shared" si="183"/>
        <v/>
      </c>
      <c r="B466" s="181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/>
      <c r="Q466" s="184"/>
      <c r="R466" s="184"/>
      <c r="S466" s="184"/>
      <c r="T466" s="184"/>
      <c r="U466" s="184"/>
      <c r="V466" s="1"/>
      <c r="Z466" s="75"/>
      <c r="AC466" s="75"/>
      <c r="AD466" s="32"/>
      <c r="AF466" s="75"/>
      <c r="AG466" s="32"/>
      <c r="AH466" s="75"/>
      <c r="AI466" s="27"/>
      <c r="AJ466" s="32"/>
      <c r="AL466" s="75"/>
      <c r="AM466" s="76"/>
      <c r="AN466" s="26">
        <f t="shared" ref="AN466:AN482" si="226">AF466-AL466</f>
        <v>0</v>
      </c>
      <c r="AO466" s="77">
        <f>IF(AL466=0,0,AN466/AL466)</f>
        <v>0</v>
      </c>
      <c r="AP466" s="184"/>
      <c r="AQ466" s="184"/>
      <c r="AR466" s="184"/>
      <c r="AS466" s="184"/>
      <c r="AT466" s="184"/>
      <c r="AU466" s="184"/>
      <c r="AV466" s="184"/>
      <c r="AW466" s="184"/>
      <c r="AX466" s="184"/>
      <c r="AY466" s="184"/>
      <c r="AZ466" s="184"/>
      <c r="BA466" s="184"/>
      <c r="BB466" s="184"/>
      <c r="BC466" s="184"/>
      <c r="BD466" s="184"/>
      <c r="BE466" s="184"/>
      <c r="BF466" s="184"/>
      <c r="BG466" s="184"/>
      <c r="BH466" s="184"/>
      <c r="BI466" s="184"/>
      <c r="BJ466" s="184"/>
    </row>
    <row r="467" spans="1:62" ht="15.75" customHeight="1">
      <c r="A467" s="23" t="str">
        <f t="shared" si="183"/>
        <v>TOTAL DES DÉPENSES</v>
      </c>
      <c r="B467" s="181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/>
      <c r="Q467" s="184"/>
      <c r="R467" s="184"/>
      <c r="S467" s="184"/>
      <c r="T467" s="184"/>
      <c r="U467" s="184"/>
      <c r="V467" s="40" t="s">
        <v>65</v>
      </c>
      <c r="W467" s="41"/>
      <c r="X467" s="42">
        <f>Z467/+Z406</f>
        <v>0.99475786008983347</v>
      </c>
      <c r="Y467" s="41"/>
      <c r="Z467" s="43">
        <f>Z418+Z432+Z451+Z465</f>
        <v>2113331.4810970384</v>
      </c>
      <c r="AA467" s="42" t="e">
        <f>AC467/+AC406</f>
        <v>#DIV/0!</v>
      </c>
      <c r="AB467" s="41"/>
      <c r="AC467" s="43">
        <f>AC418+AC432+AC451+AC465</f>
        <v>0</v>
      </c>
      <c r="AD467" s="44">
        <f>AF467/AF406</f>
        <v>0.78396276658411035</v>
      </c>
      <c r="AE467" s="41"/>
      <c r="AF467" s="43">
        <f>AF418+AF432+AF451+AF465</f>
        <v>1775702.4699999997</v>
      </c>
      <c r="AG467" s="50"/>
      <c r="AH467" s="43">
        <f>AH418+AH432+AH451+AH465</f>
        <v>-337629.01109703822</v>
      </c>
      <c r="AI467" s="42">
        <f>AH467/Z467</f>
        <v>-0.15976150174120993</v>
      </c>
      <c r="AJ467" s="44">
        <f>IF($AL$406=0,0,AL467/$AL$406)</f>
        <v>1.0415441265775631</v>
      </c>
      <c r="AK467" s="42"/>
      <c r="AL467" s="43">
        <f>AL418+AL432+AL451+AL465</f>
        <v>1958230.8699999996</v>
      </c>
      <c r="AM467" s="51"/>
      <c r="AN467" s="46">
        <f t="shared" si="226"/>
        <v>-182528.39999999991</v>
      </c>
      <c r="AO467" s="21">
        <f>IF(AL467=0,0,AN467/AL467)</f>
        <v>-9.3210868440655278E-2</v>
      </c>
      <c r="AP467" s="184"/>
      <c r="AQ467" s="184"/>
      <c r="AR467" s="184"/>
      <c r="AS467" s="184"/>
      <c r="AT467" s="184"/>
      <c r="AU467" s="184"/>
      <c r="AV467" s="184"/>
      <c r="AW467" s="184"/>
      <c r="AX467" s="184"/>
      <c r="AY467" s="184"/>
      <c r="AZ467" s="184"/>
      <c r="BA467" s="184"/>
      <c r="BB467" s="184"/>
      <c r="BC467" s="184"/>
      <c r="BD467" s="184"/>
      <c r="BE467" s="184"/>
      <c r="BF467" s="184"/>
      <c r="BG467" s="184"/>
      <c r="BH467" s="184"/>
      <c r="BI467" s="184"/>
      <c r="BJ467" s="184"/>
    </row>
    <row r="468" spans="1:62" ht="15.75" customHeight="1">
      <c r="A468" s="23" t="str">
        <f t="shared" si="183"/>
        <v>Revenus autres</v>
      </c>
      <c r="B468" s="181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/>
      <c r="Q468" s="184"/>
      <c r="R468" s="184"/>
      <c r="S468" s="184"/>
      <c r="T468" s="184"/>
      <c r="U468" s="184"/>
      <c r="V468" s="1" t="s">
        <v>182</v>
      </c>
      <c r="W468" s="73"/>
      <c r="X468" s="73"/>
      <c r="Z468" s="54">
        <f>+SUM(START:END!Z469)</f>
        <v>30000</v>
      </c>
      <c r="AA468" s="78"/>
      <c r="AB468" s="79">
        <f t="shared" ref="AB468:AB476" si="227">IF(AC468=0,0,AC468/(G$13+G$97))</f>
        <v>0</v>
      </c>
      <c r="AC468" s="54">
        <f>+SUM(START:END!AC469)</f>
        <v>0</v>
      </c>
      <c r="AD468" s="80"/>
      <c r="AE468" s="79"/>
      <c r="AF468" s="24">
        <f>+SUM(START:END!AF469)</f>
        <v>2044.5500000000002</v>
      </c>
      <c r="AG468" s="81"/>
      <c r="AH468" s="24">
        <f t="shared" ref="AH468:AH479" si="228">AF468-Z468</f>
        <v>-27955.45</v>
      </c>
      <c r="AI468" s="74">
        <f t="shared" ref="AI468:AI479" si="229">IF(Z468=0,0,AH468/Z468)</f>
        <v>-0.93184833333333339</v>
      </c>
      <c r="AJ468" s="80"/>
      <c r="AK468" s="172"/>
      <c r="AL468" s="82">
        <f>+SUM(START:END!AL469)</f>
        <v>41634.75</v>
      </c>
      <c r="AM468" s="83"/>
      <c r="AN468" s="26">
        <f t="shared" si="226"/>
        <v>-39590.199999999997</v>
      </c>
      <c r="AO468" s="33">
        <f t="shared" ref="AO468:AO476" si="230">IF(AL468=0,0,AN468/AL468)</f>
        <v>-0.95089318417908109</v>
      </c>
      <c r="AP468" s="184"/>
      <c r="AQ468" s="184"/>
      <c r="AR468" s="184"/>
      <c r="AS468" s="184"/>
      <c r="AT468" s="184"/>
      <c r="AU468" s="184"/>
      <c r="AV468" s="184"/>
      <c r="AW468" s="184"/>
      <c r="AX468" s="184"/>
      <c r="AY468" s="184"/>
      <c r="AZ468" s="184"/>
      <c r="BA468" s="184"/>
      <c r="BB468" s="184"/>
      <c r="BC468" s="184"/>
      <c r="BD468" s="184"/>
      <c r="BE468" s="184"/>
      <c r="BF468" s="184"/>
      <c r="BG468" s="184"/>
      <c r="BH468" s="184"/>
      <c r="BI468" s="184"/>
      <c r="BJ468" s="184"/>
    </row>
    <row r="469" spans="1:62" ht="18.75">
      <c r="A469" s="23" t="str">
        <f t="shared" si="183"/>
        <v>Holdbacks</v>
      </c>
      <c r="B469" s="181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/>
      <c r="Q469" s="184"/>
      <c r="R469" s="184"/>
      <c r="S469" s="184"/>
      <c r="T469" s="184"/>
      <c r="U469" s="184"/>
      <c r="V469" s="1" t="s">
        <v>69</v>
      </c>
      <c r="Z469" s="24">
        <f>+SUM(START:END!Z470)</f>
        <v>324169.14831797499</v>
      </c>
      <c r="AA469" s="72"/>
      <c r="AB469" s="73">
        <f t="shared" si="227"/>
        <v>0</v>
      </c>
      <c r="AC469" s="24">
        <f>+SUM(START:END!AC470)</f>
        <v>0</v>
      </c>
      <c r="AD469" s="84"/>
      <c r="AE469" s="73"/>
      <c r="AF469" s="24">
        <f>+SUM(START:END!AF470)</f>
        <v>247496.85</v>
      </c>
      <c r="AG469" s="85"/>
      <c r="AH469" s="24">
        <f t="shared" si="228"/>
        <v>-76672.298317974986</v>
      </c>
      <c r="AI469" s="48">
        <f t="shared" si="229"/>
        <v>-0.23651941807481236</v>
      </c>
      <c r="AJ469" s="84"/>
      <c r="AK469" s="173"/>
      <c r="AL469" s="86">
        <f>+SUM(START:END!AL470)</f>
        <v>290384</v>
      </c>
      <c r="AM469" s="87"/>
      <c r="AN469" s="26">
        <f t="shared" si="226"/>
        <v>-42887.149999999994</v>
      </c>
      <c r="AO469" s="33">
        <f t="shared" si="230"/>
        <v>-0.14769116067000934</v>
      </c>
      <c r="AP469" s="184"/>
      <c r="AQ469" s="184"/>
      <c r="AR469" s="184"/>
      <c r="AS469" s="184"/>
      <c r="AT469" s="184"/>
      <c r="AU469" s="184"/>
      <c r="AV469" s="184"/>
      <c r="AW469" s="184"/>
      <c r="AX469" s="184"/>
      <c r="AY469" s="184"/>
      <c r="AZ469" s="184"/>
      <c r="BA469" s="184"/>
      <c r="BB469" s="184"/>
      <c r="BC469" s="184"/>
      <c r="BD469" s="184"/>
      <c r="BE469" s="184"/>
      <c r="BF469" s="184"/>
      <c r="BG469" s="184"/>
      <c r="BH469" s="184"/>
      <c r="BI469" s="184"/>
      <c r="BJ469" s="184"/>
    </row>
    <row r="470" spans="1:62" ht="15.75" customHeight="1">
      <c r="A470" s="23" t="str">
        <f t="shared" si="183"/>
        <v>Variable Margin Program</v>
      </c>
      <c r="B470" s="181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/>
      <c r="Q470" s="184"/>
      <c r="R470" s="184"/>
      <c r="S470" s="184"/>
      <c r="T470" s="184"/>
      <c r="U470" s="184"/>
      <c r="V470" s="1" t="s">
        <v>66</v>
      </c>
      <c r="Z470" s="24">
        <f>+SUM(START:END!Z471)</f>
        <v>25000</v>
      </c>
      <c r="AA470" s="72"/>
      <c r="AB470" s="73">
        <f t="shared" si="227"/>
        <v>0</v>
      </c>
      <c r="AC470" s="24">
        <f>+SUM(START:END!AC471)</f>
        <v>0</v>
      </c>
      <c r="AD470" s="84"/>
      <c r="AE470" s="73"/>
      <c r="AF470" s="24">
        <f>+SUM(START:END!AF471)</f>
        <v>0</v>
      </c>
      <c r="AG470" s="85"/>
      <c r="AH470" s="24">
        <f t="shared" si="228"/>
        <v>-25000</v>
      </c>
      <c r="AI470" s="48">
        <f t="shared" si="229"/>
        <v>-1</v>
      </c>
      <c r="AJ470" s="84"/>
      <c r="AK470" s="72"/>
      <c r="AL470" s="86">
        <f>+SUM(START:END!AL471)</f>
        <v>34100</v>
      </c>
      <c r="AM470" s="87"/>
      <c r="AN470" s="26">
        <f t="shared" si="226"/>
        <v>-34100</v>
      </c>
      <c r="AO470" s="33">
        <f t="shared" si="230"/>
        <v>-1</v>
      </c>
      <c r="AP470" s="184"/>
      <c r="AQ470" s="184"/>
      <c r="AR470" s="184"/>
      <c r="AS470" s="184"/>
      <c r="AT470" s="184"/>
      <c r="AU470" s="184"/>
      <c r="AV470" s="184"/>
      <c r="AW470" s="184"/>
      <c r="AX470" s="184"/>
      <c r="AY470" s="184"/>
      <c r="AZ470" s="184"/>
      <c r="BA470" s="184"/>
      <c r="BB470" s="184"/>
      <c r="BC470" s="184"/>
      <c r="BD470" s="184"/>
      <c r="BE470" s="184"/>
      <c r="BF470" s="184"/>
      <c r="BG470" s="184"/>
      <c r="BH470" s="184"/>
      <c r="BI470" s="184"/>
      <c r="BJ470" s="184"/>
    </row>
    <row r="471" spans="1:62" ht="15.75" customHeight="1">
      <c r="A471" s="23" t="str">
        <f t="shared" si="183"/>
        <v>Floorplan assistance 1%</v>
      </c>
      <c r="B471" s="181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/>
      <c r="Q471" s="184"/>
      <c r="R471" s="184"/>
      <c r="S471" s="184"/>
      <c r="T471" s="184"/>
      <c r="U471" s="184"/>
      <c r="V471" s="1" t="s">
        <v>67</v>
      </c>
      <c r="Z471" s="24">
        <f>+SUM(START:END!Z472)</f>
        <v>0</v>
      </c>
      <c r="AA471" s="72"/>
      <c r="AB471" s="73">
        <f t="shared" si="227"/>
        <v>0</v>
      </c>
      <c r="AC471" s="24">
        <f>+SUM(START:END!AC472)</f>
        <v>0</v>
      </c>
      <c r="AD471" s="84"/>
      <c r="AE471" s="73"/>
      <c r="AF471" s="24">
        <f>+SUM(START:END!AF472)</f>
        <v>0</v>
      </c>
      <c r="AG471" s="85"/>
      <c r="AH471" s="24">
        <f t="shared" si="228"/>
        <v>0</v>
      </c>
      <c r="AI471" s="48">
        <f t="shared" si="229"/>
        <v>0</v>
      </c>
      <c r="AJ471" s="84"/>
      <c r="AK471" s="72"/>
      <c r="AL471" s="86">
        <f>+SUM(START:END!AL472)</f>
        <v>0</v>
      </c>
      <c r="AM471" s="87"/>
      <c r="AN471" s="26">
        <f t="shared" si="226"/>
        <v>0</v>
      </c>
      <c r="AO471" s="33">
        <f t="shared" si="230"/>
        <v>0</v>
      </c>
      <c r="AP471" s="184"/>
      <c r="AQ471" s="184"/>
      <c r="AR471" s="184"/>
      <c r="AS471" s="184"/>
      <c r="AT471" s="184"/>
      <c r="AU471" s="184"/>
      <c r="AV471" s="184"/>
      <c r="AW471" s="184"/>
      <c r="AX471" s="184"/>
      <c r="AY471" s="184"/>
      <c r="AZ471" s="184"/>
      <c r="BA471" s="184"/>
      <c r="BB471" s="184"/>
      <c r="BC471" s="184"/>
      <c r="BD471" s="184"/>
      <c r="BE471" s="184"/>
      <c r="BF471" s="184"/>
      <c r="BG471" s="184"/>
      <c r="BH471" s="184"/>
      <c r="BI471" s="184"/>
      <c r="BJ471" s="184"/>
    </row>
    <row r="472" spans="1:62" ht="15.75" customHeight="1">
      <c r="A472" s="23" t="str">
        <f t="shared" si="183"/>
        <v>Programme neuf 3</v>
      </c>
      <c r="B472" s="181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/>
      <c r="Q472" s="184"/>
      <c r="R472" s="184"/>
      <c r="S472" s="184"/>
      <c r="T472" s="184"/>
      <c r="U472" s="184"/>
      <c r="V472" s="1" t="s">
        <v>68</v>
      </c>
      <c r="Z472" s="24">
        <f>+SUM(START:END!Z473)</f>
        <v>0</v>
      </c>
      <c r="AA472" s="72"/>
      <c r="AB472" s="73">
        <f t="shared" si="227"/>
        <v>0</v>
      </c>
      <c r="AC472" s="24">
        <f>+SUM(START:END!AC473)</f>
        <v>0</v>
      </c>
      <c r="AD472" s="84"/>
      <c r="AE472" s="73"/>
      <c r="AF472" s="24">
        <f>+SUM(START:END!AF473)</f>
        <v>0</v>
      </c>
      <c r="AG472" s="85"/>
      <c r="AH472" s="24">
        <f t="shared" si="228"/>
        <v>0</v>
      </c>
      <c r="AI472" s="48">
        <f t="shared" si="229"/>
        <v>0</v>
      </c>
      <c r="AJ472" s="84"/>
      <c r="AK472" s="72"/>
      <c r="AL472" s="86">
        <f>+SUM(START:END!AL473)</f>
        <v>0</v>
      </c>
      <c r="AM472" s="87"/>
      <c r="AN472" s="26">
        <f t="shared" si="226"/>
        <v>0</v>
      </c>
      <c r="AO472" s="33">
        <f t="shared" si="230"/>
        <v>0</v>
      </c>
      <c r="AP472" s="184"/>
      <c r="AQ472" s="184"/>
      <c r="AR472" s="184"/>
      <c r="AS472" s="184"/>
      <c r="AT472" s="184"/>
      <c r="AU472" s="184"/>
      <c r="AV472" s="184"/>
      <c r="AW472" s="184"/>
      <c r="AX472" s="184"/>
      <c r="AY472" s="184"/>
      <c r="AZ472" s="184"/>
      <c r="BA472" s="184"/>
      <c r="BB472" s="184"/>
      <c r="BC472" s="184"/>
      <c r="BD472" s="184"/>
      <c r="BE472" s="184"/>
      <c r="BF472" s="184"/>
      <c r="BG472" s="184"/>
      <c r="BH472" s="184"/>
      <c r="BI472" s="184"/>
      <c r="BJ472" s="184"/>
    </row>
    <row r="473" spans="1:62" ht="15.75" customHeight="1">
      <c r="A473" s="23" t="str">
        <f t="shared" si="183"/>
        <v>Remarketing Bonus</v>
      </c>
      <c r="B473" s="181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/>
      <c r="Q473" s="184"/>
      <c r="R473" s="184"/>
      <c r="S473" s="184"/>
      <c r="T473" s="184"/>
      <c r="U473" s="184"/>
      <c r="V473" s="1" t="s">
        <v>80</v>
      </c>
      <c r="Z473" s="24">
        <f>+SUM(START:END!Z474)</f>
        <v>0</v>
      </c>
      <c r="AA473" s="72"/>
      <c r="AB473" s="73">
        <f t="shared" si="227"/>
        <v>0</v>
      </c>
      <c r="AC473" s="24">
        <f>+SUM(START:END!AC474)</f>
        <v>0</v>
      </c>
      <c r="AD473" s="84"/>
      <c r="AE473" s="73"/>
      <c r="AF473" s="24">
        <f>+SUM(START:END!AF474)</f>
        <v>0</v>
      </c>
      <c r="AG473" s="85"/>
      <c r="AH473" s="24">
        <f t="shared" si="228"/>
        <v>0</v>
      </c>
      <c r="AI473" s="48">
        <f t="shared" si="229"/>
        <v>0</v>
      </c>
      <c r="AJ473" s="84"/>
      <c r="AK473" s="72"/>
      <c r="AL473" s="86">
        <f>+SUM(START:END!AL474)</f>
        <v>0</v>
      </c>
      <c r="AM473" s="87"/>
      <c r="AN473" s="26">
        <f t="shared" si="226"/>
        <v>0</v>
      </c>
      <c r="AO473" s="33">
        <f t="shared" si="230"/>
        <v>0</v>
      </c>
      <c r="AP473" s="184"/>
      <c r="AQ473" s="184"/>
      <c r="AR473" s="184"/>
      <c r="AS473" s="184"/>
      <c r="AT473" s="184"/>
      <c r="AU473" s="184"/>
      <c r="AV473" s="184"/>
      <c r="AW473" s="184"/>
      <c r="AX473" s="184"/>
      <c r="AY473" s="184"/>
      <c r="AZ473" s="184"/>
      <c r="BA473" s="184"/>
      <c r="BB473" s="184"/>
      <c r="BC473" s="184"/>
      <c r="BD473" s="184"/>
      <c r="BE473" s="184"/>
      <c r="BF473" s="184"/>
      <c r="BG473" s="184"/>
      <c r="BH473" s="184"/>
      <c r="BI473" s="184"/>
      <c r="BJ473" s="184"/>
    </row>
    <row r="474" spans="1:62" ht="15.75" customHeight="1">
      <c r="A474" s="23" t="str">
        <f t="shared" si="183"/>
        <v>Programme used 2</v>
      </c>
      <c r="B474" s="181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/>
      <c r="Q474" s="184"/>
      <c r="R474" s="184"/>
      <c r="S474" s="184"/>
      <c r="T474" s="184"/>
      <c r="U474" s="184"/>
      <c r="V474" s="1" t="s">
        <v>81</v>
      </c>
      <c r="Z474" s="24">
        <f>+SUM(START:END!Z475)</f>
        <v>0</v>
      </c>
      <c r="AA474" s="72"/>
      <c r="AB474" s="73">
        <f t="shared" si="227"/>
        <v>0</v>
      </c>
      <c r="AC474" s="24">
        <f>+SUM(START:END!AC475)</f>
        <v>0</v>
      </c>
      <c r="AD474" s="84"/>
      <c r="AE474" s="73"/>
      <c r="AF474" s="24">
        <f>+SUM(START:END!AF475)</f>
        <v>0</v>
      </c>
      <c r="AG474" s="85"/>
      <c r="AH474" s="24">
        <f t="shared" si="228"/>
        <v>0</v>
      </c>
      <c r="AI474" s="48">
        <f t="shared" si="229"/>
        <v>0</v>
      </c>
      <c r="AJ474" s="84"/>
      <c r="AK474" s="72"/>
      <c r="AL474" s="86">
        <f>+SUM(START:END!AL475)</f>
        <v>0</v>
      </c>
      <c r="AM474" s="87"/>
      <c r="AN474" s="26">
        <f t="shared" si="226"/>
        <v>0</v>
      </c>
      <c r="AO474" s="33">
        <f t="shared" si="230"/>
        <v>0</v>
      </c>
      <c r="AP474" s="184"/>
      <c r="AQ474" s="184"/>
      <c r="AR474" s="184"/>
      <c r="AS474" s="184"/>
      <c r="AT474" s="184"/>
      <c r="AU474" s="184"/>
      <c r="AV474" s="184"/>
      <c r="AW474" s="184"/>
      <c r="AX474" s="184"/>
      <c r="AY474" s="184"/>
      <c r="AZ474" s="184"/>
      <c r="BA474" s="184"/>
      <c r="BB474" s="184"/>
      <c r="BC474" s="184"/>
      <c r="BD474" s="184"/>
      <c r="BE474" s="184"/>
      <c r="BF474" s="184"/>
      <c r="BG474" s="184"/>
      <c r="BH474" s="184"/>
      <c r="BI474" s="184"/>
      <c r="BJ474" s="184"/>
    </row>
    <row r="475" spans="1:62" ht="15.75" customHeight="1">
      <c r="A475" s="23" t="str">
        <f t="shared" si="183"/>
        <v>Programme used 3</v>
      </c>
      <c r="B475" s="181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/>
      <c r="Q475" s="184"/>
      <c r="R475" s="184"/>
      <c r="S475" s="184"/>
      <c r="T475" s="184"/>
      <c r="U475" s="184"/>
      <c r="V475" s="1" t="s">
        <v>82</v>
      </c>
      <c r="Z475" s="24">
        <f>+SUM(START:END!Z476)</f>
        <v>0</v>
      </c>
      <c r="AA475" s="72"/>
      <c r="AB475" s="73">
        <f t="shared" si="227"/>
        <v>0</v>
      </c>
      <c r="AC475" s="24">
        <f>+SUM(START:END!AC476)</f>
        <v>0</v>
      </c>
      <c r="AD475" s="84"/>
      <c r="AE475" s="73"/>
      <c r="AF475" s="24">
        <f>+SUM(START:END!AF476)</f>
        <v>0</v>
      </c>
      <c r="AG475" s="85"/>
      <c r="AH475" s="24">
        <f t="shared" si="228"/>
        <v>0</v>
      </c>
      <c r="AI475" s="48">
        <f t="shared" si="229"/>
        <v>0</v>
      </c>
      <c r="AJ475" s="84"/>
      <c r="AK475" s="72"/>
      <c r="AL475" s="86">
        <f>+SUM(START:END!AL476)</f>
        <v>0</v>
      </c>
      <c r="AM475" s="87"/>
      <c r="AN475" s="26">
        <f t="shared" si="226"/>
        <v>0</v>
      </c>
      <c r="AO475" s="33">
        <f t="shared" si="230"/>
        <v>0</v>
      </c>
      <c r="AP475" s="184"/>
      <c r="AQ475" s="184"/>
      <c r="AR475" s="184"/>
      <c r="AS475" s="184"/>
      <c r="AT475" s="184"/>
      <c r="AU475" s="184"/>
      <c r="AV475" s="184"/>
      <c r="AW475" s="184"/>
      <c r="AX475" s="184"/>
      <c r="AY475" s="184"/>
      <c r="AZ475" s="184"/>
      <c r="BA475" s="184"/>
      <c r="BB475" s="184"/>
      <c r="BC475" s="184"/>
      <c r="BD475" s="184"/>
      <c r="BE475" s="184"/>
      <c r="BF475" s="184"/>
      <c r="BG475" s="184"/>
      <c r="BH475" s="184"/>
      <c r="BI475" s="184"/>
      <c r="BJ475" s="184"/>
    </row>
    <row r="476" spans="1:62" ht="15.75" customHeight="1">
      <c r="A476" s="23" t="str">
        <f t="shared" si="183"/>
        <v>Facility Fund</v>
      </c>
      <c r="B476" s="181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/>
      <c r="Q476" s="184"/>
      <c r="R476" s="184"/>
      <c r="S476" s="184"/>
      <c r="T476" s="184"/>
      <c r="U476" s="184"/>
      <c r="V476" s="1" t="s">
        <v>195</v>
      </c>
      <c r="Z476" s="24">
        <f>+SUM(START:END!Z477)</f>
        <v>0</v>
      </c>
      <c r="AA476" s="72"/>
      <c r="AB476" s="73">
        <f t="shared" si="227"/>
        <v>0</v>
      </c>
      <c r="AC476" s="24">
        <f>+SUM(START:END!AC477)</f>
        <v>0</v>
      </c>
      <c r="AD476" s="84"/>
      <c r="AE476" s="73"/>
      <c r="AF476" s="24">
        <f>+SUM(START:END!AF477)</f>
        <v>0</v>
      </c>
      <c r="AG476" s="85"/>
      <c r="AH476" s="24">
        <f t="shared" si="228"/>
        <v>0</v>
      </c>
      <c r="AI476" s="48">
        <f t="shared" si="229"/>
        <v>0</v>
      </c>
      <c r="AJ476" s="84"/>
      <c r="AK476" s="72"/>
      <c r="AL476" s="86">
        <f>+SUM(START:END!AL477)</f>
        <v>0</v>
      </c>
      <c r="AM476" s="87"/>
      <c r="AN476" s="26">
        <f t="shared" si="226"/>
        <v>0</v>
      </c>
      <c r="AO476" s="33">
        <f t="shared" si="230"/>
        <v>0</v>
      </c>
      <c r="AP476" s="184"/>
      <c r="AQ476" s="184"/>
      <c r="AR476" s="184"/>
      <c r="AS476" s="184"/>
      <c r="AT476" s="184"/>
      <c r="AU476" s="184"/>
      <c r="AV476" s="184"/>
      <c r="AW476" s="184"/>
      <c r="AX476" s="184"/>
      <c r="AY476" s="184"/>
      <c r="AZ476" s="184"/>
      <c r="BA476" s="184"/>
      <c r="BB476" s="184"/>
      <c r="BC476" s="184"/>
      <c r="BD476" s="184"/>
      <c r="BE476" s="184"/>
      <c r="BF476" s="184"/>
      <c r="BG476" s="184"/>
      <c r="BH476" s="184"/>
      <c r="BI476" s="184"/>
      <c r="BJ476" s="184"/>
    </row>
    <row r="477" spans="1:62" ht="15.75" hidden="1" customHeight="1">
      <c r="A477" s="23" t="str">
        <f t="shared" si="183"/>
        <v>[...]</v>
      </c>
      <c r="B477" s="181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/>
      <c r="Q477" s="184"/>
      <c r="R477" s="184"/>
      <c r="S477" s="184"/>
      <c r="T477" s="184"/>
      <c r="U477" s="184"/>
      <c r="V477" s="1" t="s">
        <v>20</v>
      </c>
      <c r="Z477" s="24">
        <f>+SUM(START:END!Z478)</f>
        <v>0</v>
      </c>
      <c r="AA477" s="72"/>
      <c r="AB477" s="73">
        <f t="shared" ref="AB477:AB479" si="231">IF(AC477=0,0,AC477/(G$13+G$97))</f>
        <v>0</v>
      </c>
      <c r="AC477" s="24">
        <f>+SUM(START:END!AC478)</f>
        <v>0</v>
      </c>
      <c r="AD477" s="84"/>
      <c r="AE477" s="73"/>
      <c r="AF477" s="24">
        <f>+SUM(START:END!AF478)</f>
        <v>0</v>
      </c>
      <c r="AG477" s="85"/>
      <c r="AH477" s="24">
        <f t="shared" si="228"/>
        <v>0</v>
      </c>
      <c r="AI477" s="48">
        <f t="shared" si="229"/>
        <v>0</v>
      </c>
      <c r="AJ477" s="84"/>
      <c r="AK477" s="72"/>
      <c r="AL477" s="86">
        <f>+SUM(START:END!AL478)</f>
        <v>0</v>
      </c>
      <c r="AM477" s="87"/>
      <c r="AN477" s="26">
        <f t="shared" ref="AN477:AN479" si="232">AF477-AL477</f>
        <v>0</v>
      </c>
      <c r="AO477" s="33">
        <f t="shared" ref="AO477:AO479" si="233">IF(AL477=0,0,AN477/AL477)</f>
        <v>0</v>
      </c>
      <c r="AP477" s="184"/>
      <c r="AQ477" s="184"/>
      <c r="AR477" s="184"/>
      <c r="AS477" s="184"/>
      <c r="AT477" s="184"/>
      <c r="AU477" s="184"/>
      <c r="AV477" s="184"/>
      <c r="AW477" s="184"/>
      <c r="AX477" s="184"/>
      <c r="AY477" s="184"/>
      <c r="AZ477" s="184"/>
      <c r="BA477" s="184"/>
      <c r="BB477" s="184"/>
      <c r="BC477" s="184"/>
      <c r="BD477" s="184"/>
      <c r="BE477" s="184"/>
      <c r="BF477" s="184"/>
      <c r="BG477" s="184"/>
      <c r="BH477" s="184"/>
      <c r="BI477" s="184"/>
      <c r="BJ477" s="184"/>
    </row>
    <row r="478" spans="1:62" ht="15.75" hidden="1" customHeight="1">
      <c r="A478" s="23" t="str">
        <f t="shared" si="183"/>
        <v>[...]</v>
      </c>
      <c r="B478" s="181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/>
      <c r="Q478" s="184"/>
      <c r="R478" s="184"/>
      <c r="S478" s="184"/>
      <c r="T478" s="184"/>
      <c r="U478" s="184"/>
      <c r="V478" s="1" t="s">
        <v>20</v>
      </c>
      <c r="Z478" s="24">
        <f>+SUM(START:END!Z479)</f>
        <v>0</v>
      </c>
      <c r="AA478" s="72"/>
      <c r="AB478" s="73">
        <f t="shared" si="231"/>
        <v>0</v>
      </c>
      <c r="AC478" s="24">
        <f>+SUM(START:END!AC479)</f>
        <v>0</v>
      </c>
      <c r="AD478" s="84"/>
      <c r="AE478" s="73"/>
      <c r="AF478" s="24">
        <f>+SUM(START:END!AF479)</f>
        <v>0</v>
      </c>
      <c r="AG478" s="85"/>
      <c r="AH478" s="24">
        <f t="shared" si="228"/>
        <v>0</v>
      </c>
      <c r="AI478" s="48">
        <f t="shared" si="229"/>
        <v>0</v>
      </c>
      <c r="AJ478" s="84"/>
      <c r="AK478" s="72"/>
      <c r="AL478" s="86">
        <f>+SUM(START:END!AL479)</f>
        <v>0</v>
      </c>
      <c r="AM478" s="87"/>
      <c r="AN478" s="26">
        <f t="shared" si="232"/>
        <v>0</v>
      </c>
      <c r="AO478" s="33">
        <f t="shared" si="233"/>
        <v>0</v>
      </c>
      <c r="AP478" s="184"/>
      <c r="AQ478" s="184"/>
      <c r="AR478" s="184"/>
      <c r="AS478" s="184"/>
      <c r="AT478" s="184"/>
      <c r="AU478" s="184"/>
      <c r="AV478" s="184"/>
      <c r="AW478" s="184"/>
      <c r="AX478" s="184"/>
      <c r="AY478" s="184"/>
      <c r="AZ478" s="184"/>
      <c r="BA478" s="184"/>
      <c r="BB478" s="184"/>
      <c r="BC478" s="184"/>
      <c r="BD478" s="184"/>
      <c r="BE478" s="184"/>
      <c r="BF478" s="184"/>
      <c r="BG478" s="184"/>
      <c r="BH478" s="184"/>
      <c r="BI478" s="184"/>
      <c r="BJ478" s="184"/>
    </row>
    <row r="479" spans="1:62" ht="15.75" customHeight="1">
      <c r="A479" s="23" t="str">
        <f t="shared" si="183"/>
        <v>Frais administration</v>
      </c>
      <c r="B479" s="181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/>
      <c r="Q479" s="184"/>
      <c r="R479" s="184"/>
      <c r="S479" s="184"/>
      <c r="T479" s="184"/>
      <c r="U479" s="184"/>
      <c r="V479" s="2" t="s">
        <v>70</v>
      </c>
      <c r="Z479" s="24">
        <f>+SUM(START:END!Z480)</f>
        <v>139543.59999999998</v>
      </c>
      <c r="AA479" s="72"/>
      <c r="AB479" s="73">
        <f t="shared" si="231"/>
        <v>0</v>
      </c>
      <c r="AC479" s="24">
        <f>+SUM(START:END!AC480)</f>
        <v>0</v>
      </c>
      <c r="AD479" s="84"/>
      <c r="AE479" s="73"/>
      <c r="AF479" s="24">
        <f>+SUM(START:END!AF480)</f>
        <v>136251</v>
      </c>
      <c r="AG479" s="85"/>
      <c r="AH479" s="24">
        <f t="shared" si="228"/>
        <v>-3292.5999999999767</v>
      </c>
      <c r="AI479" s="48">
        <f t="shared" si="229"/>
        <v>-2.3595492734886998E-2</v>
      </c>
      <c r="AJ479" s="84"/>
      <c r="AK479" s="72"/>
      <c r="AL479" s="86">
        <f>+SUM(START:END!AL480)</f>
        <v>131707</v>
      </c>
      <c r="AM479" s="87"/>
      <c r="AN479" s="26">
        <f t="shared" si="232"/>
        <v>4544</v>
      </c>
      <c r="AO479" s="33">
        <f t="shared" si="233"/>
        <v>3.4500823798279512E-2</v>
      </c>
      <c r="AP479" s="184"/>
      <c r="AQ479" s="184"/>
      <c r="AR479" s="184"/>
      <c r="AS479" s="184"/>
      <c r="AT479" s="184"/>
      <c r="AU479" s="184"/>
      <c r="AV479" s="184"/>
      <c r="AW479" s="184"/>
      <c r="AX479" s="184"/>
      <c r="AY479" s="184"/>
      <c r="AZ479" s="184"/>
      <c r="BA479" s="184"/>
      <c r="BB479" s="184"/>
      <c r="BC479" s="184"/>
      <c r="BD479" s="184"/>
      <c r="BE479" s="184"/>
      <c r="BF479" s="184"/>
      <c r="BG479" s="184"/>
      <c r="BH479" s="184"/>
      <c r="BI479" s="184"/>
      <c r="BJ479" s="184"/>
    </row>
    <row r="480" spans="1:62" ht="15.75" customHeight="1">
      <c r="A480" s="23" t="str">
        <f t="shared" si="183"/>
        <v>TOTAL AUTRES REVENUS</v>
      </c>
      <c r="B480" s="181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/>
      <c r="Q480" s="184"/>
      <c r="R480" s="184"/>
      <c r="S480" s="184"/>
      <c r="T480" s="184"/>
      <c r="U480" s="184"/>
      <c r="V480" s="40" t="s">
        <v>183</v>
      </c>
      <c r="W480" s="41"/>
      <c r="X480" s="42">
        <f>Z480/+Z406</f>
        <v>0.24416121566042773</v>
      </c>
      <c r="Y480" s="70"/>
      <c r="Z480" s="43">
        <f>SUM(Z468:Z479)</f>
        <v>518712.74831797497</v>
      </c>
      <c r="AA480" s="42" t="e">
        <f>AC480/+AC406</f>
        <v>#DIV/0!</v>
      </c>
      <c r="AB480" s="70"/>
      <c r="AC480" s="43">
        <f>SUM(AC468:AC479)</f>
        <v>0</v>
      </c>
      <c r="AD480" s="42">
        <f>AF480/+AF406</f>
        <v>0.17032519937370127</v>
      </c>
      <c r="AE480" s="70"/>
      <c r="AF480" s="43">
        <f>SUM(AF468:AF479)</f>
        <v>385792.4</v>
      </c>
      <c r="AG480" s="50"/>
      <c r="AH480" s="43">
        <f>SUM(AH468:AH479)</f>
        <v>-132920.34831797495</v>
      </c>
      <c r="AI480" s="42">
        <f>AH480/Z480</f>
        <v>-0.25625039821942786</v>
      </c>
      <c r="AJ480" s="88"/>
      <c r="AK480" s="89"/>
      <c r="AL480" s="43">
        <f>SUM(AL468:AL479)</f>
        <v>497825.75</v>
      </c>
      <c r="AM480" s="90"/>
      <c r="AN480" s="46">
        <f t="shared" si="226"/>
        <v>-112033.34999999998</v>
      </c>
      <c r="AO480" s="71">
        <f>IF(AL480=0,0,AN480/AL480)</f>
        <v>-0.22504530952848456</v>
      </c>
      <c r="AP480" s="184"/>
      <c r="AQ480" s="412"/>
      <c r="AR480" s="408"/>
      <c r="AS480" s="184"/>
      <c r="AT480" s="184"/>
      <c r="AU480" s="184"/>
      <c r="AV480" s="184"/>
      <c r="AW480" s="184"/>
      <c r="AX480" s="184"/>
      <c r="AY480" s="184"/>
      <c r="AZ480" s="184"/>
      <c r="BA480" s="184"/>
      <c r="BB480" s="184"/>
      <c r="BC480" s="184"/>
      <c r="BD480" s="184"/>
      <c r="BE480" s="184"/>
      <c r="BF480" s="184"/>
      <c r="BG480" s="184"/>
      <c r="BH480" s="184"/>
      <c r="BI480" s="184"/>
      <c r="BJ480" s="184"/>
    </row>
    <row r="481" spans="1:62" ht="15.75" customHeight="1" thickBot="1">
      <c r="A481" s="23" t="str">
        <f t="shared" si="183"/>
        <v/>
      </c>
      <c r="B481" s="181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/>
      <c r="Q481" s="184"/>
      <c r="R481" s="184"/>
      <c r="S481" s="184"/>
      <c r="T481" s="184"/>
      <c r="U481" s="184"/>
      <c r="V481" s="91"/>
      <c r="W481" s="92"/>
      <c r="X481" s="92"/>
      <c r="Y481" s="93"/>
      <c r="Z481" s="94"/>
      <c r="AA481" s="92"/>
      <c r="AB481" s="95"/>
      <c r="AC481" s="94"/>
      <c r="AD481" s="92"/>
      <c r="AE481" s="95"/>
      <c r="AF481" s="96"/>
      <c r="AG481" s="97"/>
      <c r="AH481" s="96"/>
      <c r="AI481" s="99"/>
      <c r="AJ481" s="100"/>
      <c r="AK481" s="101"/>
      <c r="AL481" s="96"/>
      <c r="AM481" s="102"/>
      <c r="AN481" s="98">
        <f t="shared" si="226"/>
        <v>0</v>
      </c>
      <c r="AO481" s="103">
        <f t="shared" ref="AO481" si="234">IF(AL481=0,0,AN481/AL481)</f>
        <v>0</v>
      </c>
      <c r="AP481" s="184"/>
      <c r="AQ481" s="184"/>
      <c r="AR481" s="184"/>
      <c r="AS481" s="184"/>
      <c r="AT481" s="184"/>
      <c r="AU481" s="184"/>
      <c r="AV481" s="184"/>
      <c r="AW481" s="184"/>
      <c r="AX481" s="184"/>
      <c r="AY481" s="184"/>
      <c r="AZ481" s="184"/>
      <c r="BA481" s="184"/>
      <c r="BB481" s="184"/>
      <c r="BC481" s="184"/>
      <c r="BD481" s="184"/>
      <c r="BE481" s="184"/>
      <c r="BF481" s="184"/>
      <c r="BG481" s="184"/>
      <c r="BH481" s="184"/>
      <c r="BI481" s="184"/>
      <c r="BJ481" s="184"/>
    </row>
    <row r="482" spans="1:62" ht="15.75" customHeight="1" thickTop="1" thickBot="1">
      <c r="A482" s="23" t="str">
        <f t="shared" si="183"/>
        <v>BAIIA OPÉRATIONNEL</v>
      </c>
      <c r="B482" s="181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/>
      <c r="Q482" s="184"/>
      <c r="R482" s="184"/>
      <c r="S482" s="184"/>
      <c r="T482" s="184"/>
      <c r="U482" s="184"/>
      <c r="V482" s="104" t="s">
        <v>184</v>
      </c>
      <c r="W482" s="105"/>
      <c r="X482" s="106" t="s">
        <v>185</v>
      </c>
      <c r="Y482" s="107">
        <f>Z482/Z405</f>
        <v>2.8372290925988884E-2</v>
      </c>
      <c r="Z482" s="108">
        <f>Z406-Z467+Z480</f>
        <v>529849.50807121757</v>
      </c>
      <c r="AA482" s="106" t="s">
        <v>185</v>
      </c>
      <c r="AB482" s="107" t="e">
        <f>AC482/AC405</f>
        <v>#DIV/0!</v>
      </c>
      <c r="AC482" s="108">
        <f>AC406-AC467+AC480</f>
        <v>0</v>
      </c>
      <c r="AD482" s="106" t="s">
        <v>185</v>
      </c>
      <c r="AE482" s="107">
        <f>AF482/AF405</f>
        <v>4.810396383409405E-2</v>
      </c>
      <c r="AF482" s="109">
        <f>AF406-AF467+AF480</f>
        <v>875124.12000000069</v>
      </c>
      <c r="AG482" s="110"/>
      <c r="AH482" s="109">
        <f>AH406-AH467+AH480</f>
        <v>345274.61192878272</v>
      </c>
      <c r="AI482" s="111">
        <f>AH482/Z482</f>
        <v>0.65164656505139951</v>
      </c>
      <c r="AJ482" s="112" t="s">
        <v>185</v>
      </c>
      <c r="AK482" s="107">
        <f>IF($AL$405=0,0,AL482/$AL$405)</f>
        <v>2.4061359381554071E-2</v>
      </c>
      <c r="AL482" s="109">
        <f>AL406-AL467+AL480</f>
        <v>419717.68999999668</v>
      </c>
      <c r="AM482" s="113"/>
      <c r="AN482" s="109">
        <f t="shared" si="226"/>
        <v>455406.43000000401</v>
      </c>
      <c r="AO482" s="114">
        <f>IF(AL482=0,0,AN482/AL482)</f>
        <v>1.0850303450397996</v>
      </c>
      <c r="AP482" s="184"/>
      <c r="AQ482" s="184"/>
      <c r="AR482" s="184"/>
      <c r="AS482" s="184"/>
      <c r="AT482" s="184"/>
      <c r="AU482" s="184"/>
      <c r="AV482" s="184"/>
      <c r="AW482" s="184"/>
      <c r="AX482" s="184"/>
      <c r="AY482" s="184"/>
      <c r="AZ482" s="184"/>
      <c r="BA482" s="184"/>
      <c r="BB482" s="184"/>
      <c r="BC482" s="184"/>
      <c r="BD482" s="184"/>
      <c r="BE482" s="184"/>
      <c r="BF482" s="184"/>
      <c r="BG482" s="184"/>
      <c r="BH482" s="184"/>
      <c r="BI482" s="184"/>
      <c r="BJ482" s="184"/>
    </row>
    <row r="483" spans="1:62" ht="15.75" customHeight="1" thickTop="1">
      <c r="A483" s="23" t="str">
        <f t="shared" si="183"/>
        <v/>
      </c>
      <c r="B483" s="181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/>
      <c r="Q483" s="184"/>
      <c r="R483" s="184"/>
      <c r="S483" s="184"/>
      <c r="T483" s="184"/>
      <c r="U483" s="184"/>
      <c r="V483" s="73"/>
      <c r="W483" s="73"/>
      <c r="X483" s="73"/>
      <c r="Y483" s="73"/>
      <c r="Z483" s="26"/>
      <c r="AC483" s="26"/>
      <c r="AF483" s="115"/>
      <c r="AL483" s="26"/>
      <c r="AP483" s="184"/>
      <c r="AQ483" s="184"/>
      <c r="AR483" s="184"/>
      <c r="AS483" s="184"/>
      <c r="AT483" s="184"/>
      <c r="AU483" s="184"/>
      <c r="AV483" s="184"/>
      <c r="AW483" s="184"/>
      <c r="AX483" s="184"/>
      <c r="AY483" s="184"/>
      <c r="AZ483" s="184"/>
      <c r="BA483" s="184"/>
      <c r="BB483" s="184"/>
      <c r="BC483" s="184"/>
      <c r="BD483" s="184"/>
      <c r="BE483" s="184"/>
      <c r="BF483" s="184"/>
      <c r="BG483" s="184"/>
      <c r="BH483" s="184"/>
      <c r="BI483" s="184"/>
      <c r="BJ483" s="184"/>
    </row>
    <row r="484" spans="1:62" ht="35.25" customHeight="1">
      <c r="A484" s="23" t="str">
        <f t="shared" ref="A484:A498" si="235">+U484&amp;V484</f>
        <v>Conso</v>
      </c>
      <c r="B484" s="181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/>
      <c r="Q484" s="184"/>
      <c r="R484" s="184"/>
      <c r="S484" s="184"/>
      <c r="T484" s="184"/>
      <c r="U484" s="184"/>
      <c r="V484" s="73" t="str">
        <f>C1</f>
        <v>Conso</v>
      </c>
      <c r="W484" s="73"/>
      <c r="X484" s="73"/>
      <c r="Y484" s="73"/>
      <c r="Z484" s="177"/>
      <c r="AA484" s="177"/>
      <c r="AB484" s="73"/>
      <c r="AC484" s="73"/>
      <c r="AD484" s="177"/>
      <c r="AE484" s="178" t="s">
        <v>186</v>
      </c>
      <c r="AF484" s="73"/>
      <c r="AG484" s="73"/>
      <c r="AH484" s="177"/>
      <c r="AI484" s="177"/>
      <c r="AJ484" s="399"/>
      <c r="AK484" s="6"/>
      <c r="AL484" s="177"/>
      <c r="AM484" s="73"/>
      <c r="AN484" s="73"/>
      <c r="AO484" s="180" t="str">
        <f>$S$1</f>
        <v xml:space="preserve">Réalisé  </v>
      </c>
      <c r="AP484" s="184"/>
      <c r="AQ484" s="184"/>
      <c r="AR484" s="184"/>
      <c r="AS484" s="184"/>
      <c r="AT484" s="184"/>
      <c r="AU484" s="184"/>
      <c r="AV484" s="184"/>
      <c r="AW484" s="184"/>
      <c r="AX484" s="184"/>
      <c r="AY484" s="184"/>
      <c r="AZ484" s="184"/>
      <c r="BA484" s="184"/>
      <c r="BB484" s="184"/>
      <c r="BC484" s="184"/>
      <c r="BD484" s="184"/>
      <c r="BE484" s="184"/>
      <c r="BF484" s="184"/>
      <c r="BG484" s="184"/>
      <c r="BH484" s="184"/>
      <c r="BI484" s="184"/>
      <c r="BJ484" s="184"/>
    </row>
    <row r="485" spans="1:62" ht="15.75" customHeight="1">
      <c r="A485" s="23" t="str">
        <f t="shared" si="235"/>
        <v/>
      </c>
      <c r="B485" s="181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/>
      <c r="Q485" s="184"/>
      <c r="R485" s="184"/>
      <c r="S485" s="184"/>
      <c r="T485" s="184"/>
      <c r="U485" s="184"/>
      <c r="V485" s="73"/>
      <c r="W485" s="73"/>
      <c r="X485" s="73"/>
      <c r="Y485" s="73"/>
      <c r="Z485" s="26"/>
      <c r="AC485" s="26"/>
      <c r="AF485" s="115"/>
      <c r="AL485" s="26"/>
      <c r="AP485" s="184"/>
      <c r="AQ485" s="184"/>
      <c r="AR485" s="184"/>
      <c r="AS485" s="184"/>
      <c r="AT485" s="184"/>
      <c r="AU485" s="184"/>
      <c r="AV485" s="184"/>
      <c r="AW485" s="184"/>
      <c r="AX485" s="184"/>
      <c r="AY485" s="184"/>
      <c r="AZ485" s="184"/>
      <c r="BA485" s="184"/>
      <c r="BB485" s="184"/>
      <c r="BC485" s="184"/>
      <c r="BD485" s="184"/>
      <c r="BE485" s="184"/>
      <c r="BF485" s="184"/>
      <c r="BG485" s="184"/>
      <c r="BH485" s="184"/>
      <c r="BI485" s="184"/>
      <c r="BJ485" s="184"/>
    </row>
    <row r="486" spans="1:62" ht="15.75" customHeight="1" thickBot="1">
      <c r="A486" s="23" t="str">
        <f t="shared" si="235"/>
        <v/>
      </c>
      <c r="B486" s="181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/>
      <c r="Q486" s="184"/>
      <c r="R486" s="184"/>
      <c r="S486" s="184"/>
      <c r="T486" s="184"/>
      <c r="U486" s="184"/>
      <c r="V486" s="73"/>
      <c r="W486" s="73"/>
      <c r="X486" s="73"/>
      <c r="Y486" s="73"/>
      <c r="Z486" s="26"/>
      <c r="AC486" s="26"/>
      <c r="AF486" s="115"/>
      <c r="AL486" s="26"/>
      <c r="AP486" s="184"/>
      <c r="AQ486" s="184"/>
      <c r="AR486" s="184"/>
      <c r="AS486" s="184"/>
      <c r="AT486" s="184"/>
      <c r="AU486" s="184"/>
      <c r="AV486" s="184"/>
      <c r="AW486" s="184"/>
      <c r="AX486" s="184"/>
      <c r="AY486" s="184"/>
      <c r="AZ486" s="184"/>
      <c r="BA486" s="184"/>
      <c r="BB486" s="184"/>
      <c r="BC486" s="184"/>
      <c r="BD486" s="184"/>
      <c r="BE486" s="184"/>
      <c r="BF486" s="184"/>
      <c r="BG486" s="184"/>
      <c r="BH486" s="184"/>
      <c r="BI486" s="184"/>
      <c r="BJ486" s="184"/>
    </row>
    <row r="487" spans="1:62" ht="15.75" customHeight="1" thickTop="1" thickBot="1">
      <c r="A487" s="23" t="str">
        <f t="shared" si="235"/>
        <v>BAIIA Corpo</v>
      </c>
      <c r="B487" s="181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/>
      <c r="Q487" s="184"/>
      <c r="R487" s="184"/>
      <c r="S487" s="184"/>
      <c r="T487" s="184"/>
      <c r="U487" s="184"/>
      <c r="V487" s="159" t="s">
        <v>215</v>
      </c>
      <c r="W487" s="160"/>
      <c r="X487" s="161" t="s">
        <v>185</v>
      </c>
      <c r="Y487" s="162">
        <f>Z487/Z405</f>
        <v>3.5752046001944378E-2</v>
      </c>
      <c r="Z487" s="163">
        <f>+Z488+Z414</f>
        <v>667665.64730653749</v>
      </c>
      <c r="AA487" s="161"/>
      <c r="AB487" s="162"/>
      <c r="AC487" s="163"/>
      <c r="AD487" s="161" t="s">
        <v>185</v>
      </c>
      <c r="AE487" s="162">
        <f>AF487/AF405</f>
        <v>5.1186769612102008E-2</v>
      </c>
      <c r="AF487" s="163">
        <f>+AF488+AF414</f>
        <v>931207.60000000068</v>
      </c>
      <c r="AG487" s="164"/>
      <c r="AH487" s="163">
        <f t="shared" ref="AH487:AH488" si="236">AF487-Z487</f>
        <v>263541.95269346319</v>
      </c>
      <c r="AI487" s="165">
        <f>AH487/Z487</f>
        <v>0.39472145040954348</v>
      </c>
      <c r="AJ487" s="161" t="s">
        <v>185</v>
      </c>
      <c r="AK487" s="162">
        <f>AL487/AL405</f>
        <v>3.0878640079429708E-2</v>
      </c>
      <c r="AL487" s="163">
        <f>+AL488+AL414</f>
        <v>538635.87999999663</v>
      </c>
      <c r="AM487" s="167"/>
      <c r="AN487" s="168">
        <f>AF487-AL487</f>
        <v>392571.72000000405</v>
      </c>
      <c r="AO487" s="169">
        <f>IF(AL487=0,0,AN487/AL487)</f>
        <v>0.72882578858282987</v>
      </c>
      <c r="AP487" s="184"/>
      <c r="AQ487" s="184"/>
      <c r="AR487" s="184"/>
      <c r="AS487" s="184"/>
      <c r="AT487" s="184"/>
      <c r="AU487" s="184"/>
      <c r="AV487" s="184"/>
      <c r="AW487" s="184"/>
      <c r="AX487" s="184"/>
      <c r="AY487" s="184"/>
      <c r="AZ487" s="184"/>
      <c r="BA487" s="184"/>
      <c r="BB487" s="184"/>
      <c r="BC487" s="184"/>
      <c r="BD487" s="184"/>
      <c r="BE487" s="184"/>
      <c r="BF487" s="184"/>
      <c r="BG487" s="184"/>
      <c r="BH487" s="184"/>
      <c r="BI487" s="184"/>
      <c r="BJ487" s="184"/>
    </row>
    <row r="488" spans="1:62" ht="15.75" hidden="1" customHeight="1" thickTop="1" thickBot="1">
      <c r="A488" s="23" t="str">
        <f t="shared" si="235"/>
        <v>BAIIA OPÉRATIONNEL</v>
      </c>
      <c r="B488" s="181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/>
      <c r="Q488" s="184"/>
      <c r="R488" s="184"/>
      <c r="S488" s="184"/>
      <c r="T488" s="184"/>
      <c r="U488" s="184"/>
      <c r="V488" s="116" t="s">
        <v>184</v>
      </c>
      <c r="W488" s="117"/>
      <c r="X488" s="118" t="s">
        <v>185</v>
      </c>
      <c r="Y488" s="119">
        <f>Z488/Z405</f>
        <v>2.8372290925988884E-2</v>
      </c>
      <c r="Z488" s="120">
        <f>Z482</f>
        <v>529849.50807121757</v>
      </c>
      <c r="AA488" s="118" t="s">
        <v>185</v>
      </c>
      <c r="AB488" s="119" t="e">
        <f>AC488/AC405</f>
        <v>#DIV/0!</v>
      </c>
      <c r="AC488" s="120">
        <f>AC482</f>
        <v>0</v>
      </c>
      <c r="AD488" s="118" t="s">
        <v>185</v>
      </c>
      <c r="AE488" s="119">
        <f>AF488/AF405</f>
        <v>4.810396383409405E-2</v>
      </c>
      <c r="AF488" s="120">
        <f>AF482</f>
        <v>875124.12000000069</v>
      </c>
      <c r="AG488" s="121"/>
      <c r="AH488" s="110">
        <f t="shared" si="236"/>
        <v>345274.61192878312</v>
      </c>
      <c r="AI488" s="111">
        <f>AH488/Z488</f>
        <v>0.65164656505140028</v>
      </c>
      <c r="AJ488" s="118" t="s">
        <v>185</v>
      </c>
      <c r="AK488" s="119">
        <f>IF($AL$405=0,0,AL488/$AL$405)</f>
        <v>2.4061359381554071E-2</v>
      </c>
      <c r="AL488" s="122">
        <f>AL482</f>
        <v>419717.68999999668</v>
      </c>
      <c r="AM488" s="123"/>
      <c r="AN488" s="124">
        <f>AF488-AL488</f>
        <v>455406.43000000401</v>
      </c>
      <c r="AO488" s="125">
        <f>IF(AL488=0,0,AN488/AL488)</f>
        <v>1.0850303450397996</v>
      </c>
      <c r="AP488" s="184"/>
      <c r="AQ488" s="184"/>
      <c r="AR488" s="184"/>
      <c r="AS488" s="184"/>
      <c r="AT488" s="184"/>
      <c r="AU488" s="184"/>
      <c r="AV488" s="184"/>
      <c r="AW488" s="184"/>
      <c r="AX488" s="184"/>
      <c r="AY488" s="184"/>
      <c r="AZ488" s="184"/>
      <c r="BA488" s="184"/>
      <c r="BB488" s="184"/>
      <c r="BC488" s="184"/>
      <c r="BD488" s="184"/>
      <c r="BE488" s="184"/>
      <c r="BF488" s="184"/>
      <c r="BG488" s="184"/>
      <c r="BH488" s="184"/>
      <c r="BI488" s="184"/>
      <c r="BJ488" s="184"/>
    </row>
    <row r="489" spans="1:62" ht="15.75" customHeight="1" thickTop="1">
      <c r="A489" s="23" t="str">
        <f t="shared" si="235"/>
        <v/>
      </c>
      <c r="B489" s="181"/>
      <c r="C489" s="184"/>
      <c r="D489" s="184"/>
      <c r="E489" s="184"/>
      <c r="F489" s="408"/>
      <c r="G489" s="184"/>
      <c r="H489" s="184"/>
      <c r="I489" s="408"/>
      <c r="J489" s="184"/>
      <c r="K489" s="184"/>
      <c r="L489" s="184"/>
      <c r="M489" s="408"/>
      <c r="N489" s="184"/>
      <c r="O489" s="184"/>
      <c r="P489" s="184"/>
      <c r="Q489" s="408"/>
      <c r="R489" s="408"/>
      <c r="S489" s="408"/>
      <c r="T489" s="411"/>
      <c r="U489" s="411"/>
      <c r="V489" s="413"/>
      <c r="W489" s="184"/>
      <c r="X489" s="184"/>
      <c r="Y489" s="184"/>
      <c r="Z489" s="414">
        <f>+SUM(START:END!Z490)</f>
        <v>0</v>
      </c>
      <c r="AA489" s="184"/>
      <c r="AB489" s="184">
        <f t="shared" ref="AB489:AB496" si="237">IF(AC489=0,0,AC489/(G$13+G$97))</f>
        <v>0</v>
      </c>
      <c r="AC489" s="415">
        <f>+SUM(START:END!AC490)</f>
        <v>0</v>
      </c>
      <c r="AD489" s="184"/>
      <c r="AE489" s="184"/>
      <c r="AF489" s="414">
        <f>+SUM(START:END!AF490)</f>
        <v>0</v>
      </c>
      <c r="AG489" s="184"/>
      <c r="AH489" s="414">
        <f t="shared" ref="AH489:AH495" si="238">AF489-Z489</f>
        <v>0</v>
      </c>
      <c r="AI489" s="415">
        <f t="shared" ref="AI489:AI496" si="239">IF(Z489=0,0,AH489/Z489)</f>
        <v>0</v>
      </c>
      <c r="AJ489" s="184"/>
      <c r="AK489" s="184">
        <f t="shared" ref="AK489:AK496" si="240">AL489/(O$13+O$97)</f>
        <v>0</v>
      </c>
      <c r="AL489" s="414">
        <f>+SUM(START:END!AL490)</f>
        <v>0</v>
      </c>
      <c r="AM489" s="416"/>
      <c r="AN489" s="26">
        <f t="shared" ref="AN489:AN496" si="241">AF489-AL489</f>
        <v>0</v>
      </c>
      <c r="AO489" s="417">
        <f t="shared" ref="AO489:AO496" si="242">IF(AL489=0,0,AN489/AL489)</f>
        <v>0</v>
      </c>
      <c r="AP489" s="184"/>
      <c r="AQ489" s="184"/>
      <c r="AR489" s="184"/>
      <c r="AS489" s="184"/>
      <c r="AT489" s="184"/>
      <c r="AU489" s="184"/>
      <c r="AV489" s="184"/>
      <c r="AW489" s="184"/>
      <c r="AX489" s="184"/>
      <c r="AY489" s="184"/>
      <c r="AZ489" s="184"/>
      <c r="BA489" s="184"/>
      <c r="BB489" s="184"/>
      <c r="BC489" s="184"/>
      <c r="BD489" s="184"/>
      <c r="BE489" s="184"/>
      <c r="BF489" s="184"/>
      <c r="BG489" s="184"/>
      <c r="BH489" s="184"/>
      <c r="BI489" s="184"/>
      <c r="BJ489" s="184"/>
    </row>
    <row r="490" spans="1:62" ht="15.75" customHeight="1">
      <c r="A490" s="23" t="str">
        <f t="shared" si="235"/>
        <v>Amortissement</v>
      </c>
      <c r="B490" s="181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/>
      <c r="Q490" s="184"/>
      <c r="R490" s="184"/>
      <c r="S490" s="184"/>
      <c r="T490" s="184"/>
      <c r="U490" s="184"/>
      <c r="V490" s="1" t="s">
        <v>187</v>
      </c>
      <c r="W490" s="30"/>
      <c r="Y490" s="31"/>
      <c r="Z490" s="24">
        <f>+SUM(START:END!Z491)</f>
        <v>130944</v>
      </c>
      <c r="AB490" s="31">
        <f t="shared" si="237"/>
        <v>0</v>
      </c>
      <c r="AC490" s="24">
        <f>+SUM(START:END!AC491)</f>
        <v>0</v>
      </c>
      <c r="AE490" s="31"/>
      <c r="AF490" s="24">
        <f>+SUM(START:END!AF491)</f>
        <v>127944</v>
      </c>
      <c r="AG490" s="174"/>
      <c r="AH490" s="24">
        <f t="shared" si="238"/>
        <v>-3000</v>
      </c>
      <c r="AI490" s="48">
        <f t="shared" si="239"/>
        <v>-2.2910557184750734E-2</v>
      </c>
      <c r="AK490" s="174">
        <f t="shared" si="240"/>
        <v>386.40892193308548</v>
      </c>
      <c r="AL490" s="24">
        <f>+SUM(START:END!AL491)</f>
        <v>103944</v>
      </c>
      <c r="AM490" s="28"/>
      <c r="AN490" s="26">
        <f t="shared" si="241"/>
        <v>24000</v>
      </c>
      <c r="AO490" s="33">
        <f t="shared" si="242"/>
        <v>0.23089355806972986</v>
      </c>
      <c r="AP490" s="184"/>
      <c r="AQ490" s="184"/>
      <c r="AR490" s="184"/>
      <c r="AS490" s="184"/>
      <c r="AT490" s="184"/>
      <c r="AU490" s="184"/>
      <c r="AV490" s="184"/>
      <c r="AW490" s="184"/>
      <c r="AX490" s="184"/>
      <c r="AY490" s="184"/>
      <c r="AZ490" s="184"/>
      <c r="BA490" s="184"/>
      <c r="BB490" s="184"/>
      <c r="BC490" s="184"/>
      <c r="BD490" s="184"/>
      <c r="BE490" s="184"/>
      <c r="BF490" s="184"/>
      <c r="BG490" s="184"/>
      <c r="BH490" s="184"/>
      <c r="BI490" s="184"/>
      <c r="BJ490" s="184"/>
    </row>
    <row r="491" spans="1:62" ht="15.75" customHeight="1">
      <c r="A491" s="23" t="str">
        <f t="shared" si="235"/>
        <v>Intérêts sur marge</v>
      </c>
      <c r="B491" s="181"/>
      <c r="C491" s="184"/>
      <c r="D491" s="184"/>
      <c r="E491" s="184"/>
      <c r="F491" s="408"/>
      <c r="G491" s="184"/>
      <c r="H491" s="184"/>
      <c r="I491" s="408"/>
      <c r="J491" s="184"/>
      <c r="K491" s="184"/>
      <c r="L491" s="184"/>
      <c r="M491" s="408"/>
      <c r="N491" s="184"/>
      <c r="O491" s="184"/>
      <c r="P491" s="184"/>
      <c r="Q491" s="408"/>
      <c r="R491" s="408"/>
      <c r="S491" s="408"/>
      <c r="T491" s="184"/>
      <c r="U491" s="184"/>
      <c r="V491" s="1" t="s">
        <v>188</v>
      </c>
      <c r="Z491" s="24">
        <f>+SUM(START:END!Z492)</f>
        <v>0</v>
      </c>
      <c r="AB491" s="23">
        <f t="shared" si="237"/>
        <v>0</v>
      </c>
      <c r="AC491" s="24">
        <f>+SUM(START:END!AC492)</f>
        <v>0</v>
      </c>
      <c r="AF491" s="24">
        <f>+SUM(START:END!AF492)</f>
        <v>0</v>
      </c>
      <c r="AH491" s="24">
        <f t="shared" si="238"/>
        <v>0</v>
      </c>
      <c r="AI491" s="48">
        <f t="shared" si="239"/>
        <v>0</v>
      </c>
      <c r="AK491" s="23">
        <f t="shared" si="240"/>
        <v>0</v>
      </c>
      <c r="AL491" s="24">
        <f>+SUM(START:END!AL492)</f>
        <v>0</v>
      </c>
      <c r="AM491" s="76"/>
      <c r="AN491" s="26">
        <f t="shared" si="241"/>
        <v>0</v>
      </c>
      <c r="AO491" s="33">
        <f t="shared" si="242"/>
        <v>0</v>
      </c>
      <c r="AP491" s="184"/>
      <c r="AQ491" s="184"/>
      <c r="AR491" s="184"/>
      <c r="AS491" s="184"/>
      <c r="AT491" s="184"/>
      <c r="AU491" s="184"/>
      <c r="AV491" s="184"/>
      <c r="AW491" s="184"/>
      <c r="AX491" s="184"/>
      <c r="AY491" s="184"/>
      <c r="AZ491" s="184"/>
      <c r="BA491" s="184"/>
      <c r="BB491" s="184"/>
      <c r="BC491" s="184"/>
      <c r="BD491" s="184"/>
      <c r="BE491" s="184"/>
      <c r="BF491" s="184"/>
      <c r="BG491" s="184"/>
      <c r="BH491" s="184"/>
      <c r="BI491" s="184"/>
      <c r="BJ491" s="184"/>
    </row>
    <row r="492" spans="1:62" ht="15.75" customHeight="1">
      <c r="A492" s="23" t="str">
        <f t="shared" si="235"/>
        <v>Intérêts sur prêt</v>
      </c>
      <c r="B492" s="181"/>
      <c r="C492" s="184"/>
      <c r="D492" s="184"/>
      <c r="E492" s="184"/>
      <c r="F492" s="408"/>
      <c r="G492" s="184"/>
      <c r="H492" s="184"/>
      <c r="I492" s="408"/>
      <c r="J492" s="184"/>
      <c r="K492" s="184"/>
      <c r="L492" s="184"/>
      <c r="M492" s="408"/>
      <c r="N492" s="184"/>
      <c r="O492" s="184"/>
      <c r="P492" s="184"/>
      <c r="Q492" s="408"/>
      <c r="R492" s="408"/>
      <c r="S492" s="408"/>
      <c r="T492" s="184"/>
      <c r="U492" s="184"/>
      <c r="V492" s="1" t="s">
        <v>189</v>
      </c>
      <c r="Z492" s="24">
        <f>+SUM(START:END!Z493)</f>
        <v>0</v>
      </c>
      <c r="AB492" s="23">
        <f t="shared" si="237"/>
        <v>0</v>
      </c>
      <c r="AC492" s="24">
        <f>+SUM(START:END!AC493)</f>
        <v>0</v>
      </c>
      <c r="AF492" s="24">
        <f>+SUM(START:END!AF493)</f>
        <v>0</v>
      </c>
      <c r="AH492" s="24">
        <f t="shared" si="238"/>
        <v>0</v>
      </c>
      <c r="AI492" s="48">
        <f t="shared" si="239"/>
        <v>0</v>
      </c>
      <c r="AK492" s="174">
        <f t="shared" si="240"/>
        <v>-3.7164684014869889</v>
      </c>
      <c r="AL492" s="24">
        <f>+SUM(START:END!AL493)</f>
        <v>-999.73</v>
      </c>
      <c r="AM492" s="76"/>
      <c r="AN492" s="26">
        <f t="shared" si="241"/>
        <v>999.73</v>
      </c>
      <c r="AO492" s="33">
        <f t="shared" si="242"/>
        <v>-1</v>
      </c>
      <c r="AP492" s="184"/>
      <c r="AQ492" s="184"/>
      <c r="AR492" s="184"/>
      <c r="AS492" s="184"/>
      <c r="AT492" s="184"/>
      <c r="AU492" s="184"/>
      <c r="AV492" s="184"/>
      <c r="AW492" s="184"/>
      <c r="AX492" s="184"/>
      <c r="AY492" s="184"/>
      <c r="AZ492" s="184"/>
      <c r="BA492" s="184"/>
      <c r="BB492" s="184"/>
      <c r="BC492" s="184"/>
      <c r="BD492" s="184"/>
      <c r="BE492" s="184"/>
      <c r="BF492" s="184"/>
      <c r="BG492" s="184"/>
      <c r="BH492" s="184"/>
      <c r="BI492" s="184"/>
      <c r="BJ492" s="184"/>
    </row>
    <row r="493" spans="1:62" ht="15.75" customHeight="1">
      <c r="A493" s="23" t="str">
        <f t="shared" si="235"/>
        <v>Intérêts sur avance</v>
      </c>
      <c r="B493" s="181"/>
      <c r="C493" s="184"/>
      <c r="D493" s="184"/>
      <c r="E493" s="184"/>
      <c r="F493" s="408"/>
      <c r="G493" s="184"/>
      <c r="H493" s="184"/>
      <c r="I493" s="408"/>
      <c r="J493" s="184"/>
      <c r="K493" s="184"/>
      <c r="L493" s="184"/>
      <c r="M493" s="408"/>
      <c r="N493" s="184"/>
      <c r="O493" s="184"/>
      <c r="P493" s="184"/>
      <c r="Q493" s="408"/>
      <c r="R493" s="408"/>
      <c r="S493" s="408"/>
      <c r="T493" s="184"/>
      <c r="U493" s="184"/>
      <c r="V493" s="1" t="s">
        <v>190</v>
      </c>
      <c r="Z493" s="24">
        <f>+SUM(START:END!Z494)</f>
        <v>0</v>
      </c>
      <c r="AB493" s="23">
        <f t="shared" si="237"/>
        <v>0</v>
      </c>
      <c r="AC493" s="24">
        <f>+SUM(START:END!AC494)</f>
        <v>0</v>
      </c>
      <c r="AF493" s="24">
        <f>+SUM(START:END!AF494)</f>
        <v>0</v>
      </c>
      <c r="AH493" s="24">
        <f t="shared" si="238"/>
        <v>0</v>
      </c>
      <c r="AI493" s="48">
        <f t="shared" si="239"/>
        <v>0</v>
      </c>
      <c r="AK493" s="23">
        <f t="shared" si="240"/>
        <v>0</v>
      </c>
      <c r="AL493" s="24">
        <f>+SUM(START:END!AL494)</f>
        <v>0</v>
      </c>
      <c r="AM493" s="76"/>
      <c r="AN493" s="26">
        <f t="shared" si="241"/>
        <v>0</v>
      </c>
      <c r="AO493" s="33">
        <f t="shared" si="242"/>
        <v>0</v>
      </c>
      <c r="AP493" s="184"/>
      <c r="AQ493" s="184"/>
      <c r="AR493" s="184"/>
      <c r="AS493" s="184"/>
      <c r="AT493" s="184"/>
      <c r="AU493" s="184"/>
      <c r="AV493" s="184"/>
      <c r="AW493" s="184"/>
      <c r="AX493" s="184"/>
      <c r="AY493" s="184"/>
      <c r="AZ493" s="184"/>
      <c r="BA493" s="184"/>
      <c r="BB493" s="184"/>
      <c r="BC493" s="184"/>
      <c r="BD493" s="184"/>
      <c r="BE493" s="184"/>
      <c r="BF493" s="184"/>
      <c r="BG493" s="184"/>
      <c r="BH493" s="184"/>
      <c r="BI493" s="184"/>
      <c r="BJ493" s="184"/>
    </row>
    <row r="494" spans="1:62" ht="15.75" customHeight="1">
      <c r="A494" s="23" t="str">
        <f t="shared" si="235"/>
        <v>[...]</v>
      </c>
      <c r="B494" s="181"/>
      <c r="C494" s="184"/>
      <c r="D494" s="184"/>
      <c r="E494" s="184"/>
      <c r="F494" s="408"/>
      <c r="G494" s="184"/>
      <c r="H494" s="184"/>
      <c r="I494" s="408"/>
      <c r="J494" s="184"/>
      <c r="K494" s="184"/>
      <c r="L494" s="184"/>
      <c r="M494" s="408"/>
      <c r="N494" s="184"/>
      <c r="O494" s="184"/>
      <c r="P494" s="184"/>
      <c r="Q494" s="408"/>
      <c r="R494" s="408"/>
      <c r="S494" s="408"/>
      <c r="T494" s="184"/>
      <c r="U494" s="184"/>
      <c r="V494" s="152" t="s">
        <v>20</v>
      </c>
      <c r="Z494" s="24">
        <f>+SUM(START:END!Z495)</f>
        <v>0</v>
      </c>
      <c r="AB494" s="23">
        <f t="shared" si="237"/>
        <v>0</v>
      </c>
      <c r="AC494" s="24">
        <f>+SUM(START:END!AC495)</f>
        <v>0</v>
      </c>
      <c r="AE494" s="174"/>
      <c r="AF494" s="24">
        <f>+SUM(START:END!AF495)</f>
        <v>0</v>
      </c>
      <c r="AG494" s="174"/>
      <c r="AH494" s="24">
        <f t="shared" si="238"/>
        <v>0</v>
      </c>
      <c r="AI494" s="48">
        <f t="shared" si="239"/>
        <v>0</v>
      </c>
      <c r="AK494" s="23">
        <f t="shared" si="240"/>
        <v>0</v>
      </c>
      <c r="AL494" s="24">
        <f>+SUM(START:END!AL495)</f>
        <v>0</v>
      </c>
      <c r="AM494" s="418"/>
      <c r="AN494" s="26">
        <f t="shared" si="241"/>
        <v>0</v>
      </c>
      <c r="AO494" s="33">
        <f t="shared" si="242"/>
        <v>0</v>
      </c>
      <c r="AP494" s="184"/>
      <c r="AQ494" s="184"/>
      <c r="AR494" s="184"/>
      <c r="AS494" s="184"/>
      <c r="AT494" s="184"/>
      <c r="AU494" s="184"/>
      <c r="AV494" s="184"/>
      <c r="AW494" s="184"/>
      <c r="AX494" s="184"/>
      <c r="AY494" s="184"/>
      <c r="AZ494" s="184"/>
      <c r="BA494" s="184"/>
      <c r="BB494" s="184"/>
      <c r="BC494" s="184"/>
      <c r="BD494" s="184"/>
      <c r="BE494" s="184"/>
      <c r="BF494" s="184"/>
      <c r="BG494" s="184"/>
      <c r="BH494" s="184"/>
      <c r="BI494" s="184"/>
      <c r="BJ494" s="184"/>
    </row>
    <row r="495" spans="1:62" ht="15.75" customHeight="1">
      <c r="A495" s="23" t="str">
        <f t="shared" si="235"/>
        <v>Revenus d'intérêts floor plan</v>
      </c>
      <c r="B495" s="181"/>
      <c r="C495" s="184"/>
      <c r="D495" s="184"/>
      <c r="E495" s="184"/>
      <c r="F495" s="408"/>
      <c r="G495" s="184"/>
      <c r="H495" s="184"/>
      <c r="I495" s="408"/>
      <c r="J495" s="184"/>
      <c r="K495" s="184"/>
      <c r="L495" s="184"/>
      <c r="M495" s="408"/>
      <c r="N495" s="184"/>
      <c r="O495" s="184"/>
      <c r="P495" s="184"/>
      <c r="Q495" s="408"/>
      <c r="R495" s="408"/>
      <c r="S495" s="408"/>
      <c r="T495" s="184"/>
      <c r="U495" s="184"/>
      <c r="V495" s="152" t="s">
        <v>216</v>
      </c>
      <c r="Z495" s="24">
        <f>+SUM(START:END!Z496)</f>
        <v>-3237.5</v>
      </c>
      <c r="AB495" s="23">
        <f t="shared" si="237"/>
        <v>0</v>
      </c>
      <c r="AC495" s="24">
        <f>+SUM(START:END!AC496)</f>
        <v>0</v>
      </c>
      <c r="AF495" s="24">
        <f>+SUM(START:END!AF496)</f>
        <v>-2158</v>
      </c>
      <c r="AH495" s="24">
        <f t="shared" si="238"/>
        <v>1079.5</v>
      </c>
      <c r="AI495" s="48">
        <f t="shared" si="239"/>
        <v>-0.33343629343629344</v>
      </c>
      <c r="AK495" s="23">
        <f t="shared" si="240"/>
        <v>-22.751895910780672</v>
      </c>
      <c r="AL495" s="24">
        <f>+SUM(START:END!AL496)</f>
        <v>-6120.26</v>
      </c>
      <c r="AM495" s="76"/>
      <c r="AN495" s="26">
        <f t="shared" si="241"/>
        <v>3962.26</v>
      </c>
      <c r="AO495" s="33">
        <f t="shared" si="242"/>
        <v>-0.64740060062807792</v>
      </c>
      <c r="AP495" s="184"/>
      <c r="AQ495" s="184"/>
      <c r="AR495" s="184"/>
      <c r="AS495" s="184"/>
      <c r="AT495" s="184"/>
      <c r="AU495" s="184"/>
      <c r="AV495" s="184"/>
      <c r="AW495" s="184"/>
      <c r="AX495" s="184"/>
      <c r="AY495" s="184"/>
      <c r="AZ495" s="184"/>
      <c r="BA495" s="184"/>
      <c r="BB495" s="184"/>
      <c r="BC495" s="184"/>
      <c r="BD495" s="184"/>
      <c r="BE495" s="184"/>
      <c r="BF495" s="184"/>
      <c r="BG495" s="184"/>
      <c r="BH495" s="184"/>
      <c r="BI495" s="184"/>
      <c r="BJ495" s="184"/>
    </row>
    <row r="496" spans="1:62" ht="15.75" customHeight="1" thickBot="1">
      <c r="A496" s="23" t="str">
        <f t="shared" si="235"/>
        <v>[...]</v>
      </c>
      <c r="B496" s="181"/>
      <c r="C496" s="184"/>
      <c r="D496" s="184"/>
      <c r="E496" s="184"/>
      <c r="F496" s="408"/>
      <c r="G496" s="184"/>
      <c r="H496" s="184"/>
      <c r="I496" s="408"/>
      <c r="J496" s="184"/>
      <c r="K496" s="184"/>
      <c r="L496" s="184"/>
      <c r="M496" s="408"/>
      <c r="N496" s="184"/>
      <c r="O496" s="184"/>
      <c r="P496" s="184"/>
      <c r="Q496" s="408"/>
      <c r="R496" s="408"/>
      <c r="S496" s="408"/>
      <c r="T496" s="184"/>
      <c r="U496" s="184"/>
      <c r="V496" s="1" t="s">
        <v>20</v>
      </c>
      <c r="X496" s="184"/>
      <c r="Z496" s="24">
        <f>+SUM(START:END!Z497)</f>
        <v>0</v>
      </c>
      <c r="AB496" s="23">
        <f t="shared" si="237"/>
        <v>0</v>
      </c>
      <c r="AC496" s="24">
        <f>+SUM(START:END!AC497)</f>
        <v>0</v>
      </c>
      <c r="AE496" s="23">
        <f t="shared" ref="AE496" si="243">IF(AF496=0,0,AF496/(J$13+J$97))</f>
        <v>0</v>
      </c>
      <c r="AF496" s="24">
        <f>+SUM(START:END!AF497)</f>
        <v>0</v>
      </c>
      <c r="AG496" s="23">
        <f t="shared" ref="AG496" si="244">AE496-AB496</f>
        <v>0</v>
      </c>
      <c r="AH496" s="26">
        <f t="shared" ref="AH496" si="245">AF496-AC496</f>
        <v>0</v>
      </c>
      <c r="AI496" s="48">
        <f t="shared" si="239"/>
        <v>0</v>
      </c>
      <c r="AK496" s="23">
        <f t="shared" si="240"/>
        <v>0</v>
      </c>
      <c r="AL496" s="24">
        <f>+SUM(START:END!AL497)</f>
        <v>0</v>
      </c>
      <c r="AM496" s="76">
        <f>AE496-AK496</f>
        <v>0</v>
      </c>
      <c r="AN496" s="26">
        <f t="shared" si="241"/>
        <v>0</v>
      </c>
      <c r="AO496" s="33">
        <f t="shared" si="242"/>
        <v>0</v>
      </c>
      <c r="AP496" s="184"/>
      <c r="AQ496" s="184"/>
      <c r="AR496" s="184"/>
      <c r="AS496" s="184"/>
      <c r="AT496" s="184"/>
      <c r="AU496" s="184"/>
      <c r="AV496" s="184"/>
      <c r="AW496" s="184"/>
      <c r="AX496" s="184"/>
      <c r="AY496" s="184"/>
      <c r="AZ496" s="184"/>
      <c r="BA496" s="184"/>
      <c r="BB496" s="184"/>
      <c r="BC496" s="184"/>
      <c r="BD496" s="184"/>
      <c r="BE496" s="184"/>
      <c r="BF496" s="184"/>
      <c r="BG496" s="184"/>
      <c r="BH496" s="184"/>
      <c r="BI496" s="184"/>
      <c r="BJ496" s="184"/>
    </row>
    <row r="497" spans="1:62" ht="15.75" customHeight="1" thickTop="1" thickBot="1">
      <c r="A497" s="23" t="str">
        <f t="shared" si="235"/>
        <v>Profit Net</v>
      </c>
      <c r="B497" s="181"/>
      <c r="C497" s="184"/>
      <c r="D497" s="184"/>
      <c r="E497" s="184"/>
      <c r="F497" s="408"/>
      <c r="G497" s="184"/>
      <c r="H497" s="184"/>
      <c r="I497" s="408"/>
      <c r="J497" s="184"/>
      <c r="K497" s="184"/>
      <c r="L497" s="184"/>
      <c r="M497" s="408"/>
      <c r="N497" s="184"/>
      <c r="O497" s="184"/>
      <c r="P497" s="184"/>
      <c r="Q497" s="408"/>
      <c r="R497" s="408"/>
      <c r="S497" s="408"/>
      <c r="T497" s="184"/>
      <c r="U497" s="184"/>
      <c r="V497" s="104" t="s">
        <v>191</v>
      </c>
      <c r="W497" s="105"/>
      <c r="X497" s="106" t="s">
        <v>185</v>
      </c>
      <c r="Y497" s="107">
        <f>Z497/Z405</f>
        <v>2.1533885084432863E-2</v>
      </c>
      <c r="Z497" s="108">
        <f>Z488-Z490-Z491-Z492-Z496-Z493-Z494-Z495</f>
        <v>402143.00807121757</v>
      </c>
      <c r="AA497" s="106" t="s">
        <v>185</v>
      </c>
      <c r="AB497" s="107" t="e">
        <f>AC497/AC405</f>
        <v>#DIV/0!</v>
      </c>
      <c r="AC497" s="108">
        <f>AC488-AC490-AC491-AC492-AC496-AC493-AC494</f>
        <v>0</v>
      </c>
      <c r="AD497" s="106" t="s">
        <v>185</v>
      </c>
      <c r="AE497" s="107">
        <f>AF497/AF405</f>
        <v>4.1189738689853539E-2</v>
      </c>
      <c r="AF497" s="108">
        <f>AF488-AF490-AF491-AF492-AF496-AF493-AF494-AF495</f>
        <v>749338.12000000069</v>
      </c>
      <c r="AG497" s="110"/>
      <c r="AH497" s="108">
        <f>AH488-AH490-AH491-AH492-AH496-AH493-AH494-AH495</f>
        <v>347195.11192878312</v>
      </c>
      <c r="AI497" s="111">
        <f>AH497/Z497</f>
        <v>0.86336229888472049</v>
      </c>
      <c r="AJ497" s="112" t="s">
        <v>185</v>
      </c>
      <c r="AK497" s="107">
        <f>IF($AL$405=0,0,AL497/$AL$405)</f>
        <v>1.8510682445889996E-2</v>
      </c>
      <c r="AL497" s="108">
        <f>AL488-AL490-AL491-AL492-AL496-AL493-AL494-AL495</f>
        <v>322893.67999999668</v>
      </c>
      <c r="AM497" s="113"/>
      <c r="AN497" s="109">
        <f>AN488-AN490-AN491-AN492-AN496-AN493-AN494-AN495</f>
        <v>426444.44000000402</v>
      </c>
      <c r="AO497" s="126">
        <f>IF(AL497=0,0,AN497/AL497)</f>
        <v>1.3206961498906031</v>
      </c>
      <c r="AP497" s="184"/>
      <c r="AQ497" s="184"/>
      <c r="AR497" s="184"/>
      <c r="AS497" s="184"/>
      <c r="AT497" s="184"/>
      <c r="AU497" s="184"/>
      <c r="AV497" s="184"/>
      <c r="AW497" s="184"/>
      <c r="AX497" s="184"/>
      <c r="AY497" s="184"/>
      <c r="AZ497" s="184"/>
      <c r="BA497" s="184"/>
      <c r="BB497" s="184"/>
      <c r="BC497" s="184"/>
      <c r="BD497" s="184"/>
      <c r="BE497" s="184"/>
      <c r="BF497" s="184"/>
      <c r="BG497" s="184"/>
      <c r="BH497" s="184"/>
      <c r="BI497" s="184"/>
      <c r="BJ497" s="184"/>
    </row>
    <row r="498" spans="1:62" ht="15.75" customHeight="1" thickTop="1">
      <c r="A498" s="23" t="str">
        <f t="shared" si="235"/>
        <v/>
      </c>
      <c r="B498" s="181"/>
      <c r="C498" s="184"/>
      <c r="D498" s="184"/>
      <c r="E498" s="184"/>
      <c r="F498" s="408"/>
      <c r="G498" s="184"/>
      <c r="H498" s="184"/>
      <c r="I498" s="408"/>
      <c r="J498" s="184"/>
      <c r="K498" s="184"/>
      <c r="L498" s="184"/>
      <c r="M498" s="408"/>
      <c r="N498" s="184"/>
      <c r="O498" s="184"/>
      <c r="P498" s="184"/>
      <c r="Q498" s="408"/>
      <c r="R498" s="408"/>
      <c r="S498" s="408"/>
      <c r="T498" s="184"/>
      <c r="U498" s="184"/>
      <c r="V498" s="184"/>
      <c r="W498" s="184"/>
      <c r="X498" s="184"/>
      <c r="Y498" s="184"/>
      <c r="Z498" s="184"/>
      <c r="AA498" s="184"/>
      <c r="AB498" s="184"/>
      <c r="AC498" s="184"/>
      <c r="AD498" s="184"/>
      <c r="AE498" s="177"/>
      <c r="AF498" s="419"/>
      <c r="AG498" s="184"/>
      <c r="AH498" s="184"/>
      <c r="AI498" s="184"/>
      <c r="AJ498" s="184"/>
      <c r="AK498" s="184"/>
      <c r="AL498" s="184"/>
      <c r="AM498" s="184"/>
      <c r="AN498" s="184"/>
      <c r="AO498" s="184"/>
      <c r="AP498" s="184"/>
      <c r="AQ498" s="184"/>
      <c r="AR498" s="184"/>
      <c r="AS498" s="184"/>
      <c r="AT498" s="184"/>
      <c r="AU498" s="184"/>
      <c r="AV498" s="184"/>
      <c r="AW498" s="184"/>
      <c r="AX498" s="184"/>
      <c r="AY498" s="184"/>
      <c r="AZ498" s="184"/>
      <c r="BA498" s="184"/>
      <c r="BB498" s="184"/>
      <c r="BC498" s="184"/>
      <c r="BD498" s="184"/>
      <c r="BE498" s="184"/>
      <c r="BF498" s="184"/>
      <c r="BG498" s="184"/>
      <c r="BH498" s="184"/>
      <c r="BI498" s="184"/>
      <c r="BJ498" s="184"/>
    </row>
    <row r="499" spans="1:62" ht="15.75" customHeight="1">
      <c r="B499" s="181"/>
      <c r="C499" s="184"/>
      <c r="D499" s="184"/>
      <c r="E499" s="184"/>
      <c r="F499" s="408"/>
      <c r="G499" s="184"/>
      <c r="H499" s="184"/>
      <c r="I499" s="408"/>
      <c r="J499" s="184"/>
      <c r="K499" s="184"/>
      <c r="L499" s="184"/>
      <c r="M499" s="408"/>
      <c r="N499" s="184"/>
      <c r="O499" s="184"/>
      <c r="P499" s="184"/>
      <c r="Q499" s="408"/>
      <c r="R499" s="408"/>
      <c r="S499" s="408"/>
      <c r="T499" s="184"/>
      <c r="U499" s="184"/>
      <c r="V499" s="184"/>
      <c r="W499" s="184"/>
      <c r="X499" s="184"/>
      <c r="Y499" s="184"/>
      <c r="Z499" s="408"/>
      <c r="AA499" s="184"/>
      <c r="AB499" s="184"/>
      <c r="AC499" s="184"/>
      <c r="AD499" s="184"/>
      <c r="AE499" s="184"/>
      <c r="AF499" s="87"/>
      <c r="AG499" s="184"/>
      <c r="AH499" s="184"/>
      <c r="AI499" s="184"/>
      <c r="AJ499" s="184"/>
      <c r="AK499" s="184"/>
      <c r="AL499" s="184"/>
      <c r="AM499" s="184"/>
      <c r="AN499" s="184"/>
      <c r="AO499" s="184"/>
      <c r="AP499" s="184"/>
      <c r="AQ499" s="184"/>
      <c r="AR499" s="184"/>
      <c r="AS499" s="184"/>
      <c r="AT499" s="184"/>
      <c r="AU499" s="184"/>
      <c r="AV499" s="184"/>
      <c r="AW499" s="184"/>
      <c r="AX499" s="184"/>
      <c r="AY499" s="184"/>
      <c r="AZ499" s="184"/>
      <c r="BA499" s="184"/>
      <c r="BB499" s="184"/>
      <c r="BC499" s="184"/>
      <c r="BD499" s="184"/>
      <c r="BE499" s="184"/>
      <c r="BF499" s="184"/>
      <c r="BG499" s="184"/>
      <c r="BH499" s="184"/>
      <c r="BI499" s="184"/>
      <c r="BJ499" s="184"/>
    </row>
    <row r="500" spans="1:62" ht="15.75" hidden="1" customHeight="1">
      <c r="B500" s="181"/>
      <c r="C500" s="184"/>
      <c r="D500" s="184"/>
      <c r="E500" s="184"/>
      <c r="F500" s="408"/>
      <c r="G500" s="184"/>
      <c r="H500" s="184"/>
      <c r="I500" s="408"/>
      <c r="J500" s="184"/>
      <c r="K500" s="184"/>
      <c r="L500" s="184"/>
      <c r="M500" s="408"/>
      <c r="N500" s="184"/>
      <c r="O500" s="184"/>
      <c r="P500" s="184"/>
      <c r="Q500" s="408"/>
      <c r="R500" s="408"/>
      <c r="S500" s="408"/>
      <c r="T500" s="411"/>
      <c r="U500" s="411"/>
      <c r="V500" s="184"/>
      <c r="W500" s="184"/>
      <c r="X500" s="184"/>
      <c r="Y500" s="184"/>
      <c r="Z500" s="408" t="e">
        <f>+#REF!+#REF!+#REF!</f>
        <v>#REF!</v>
      </c>
      <c r="AA500" s="184"/>
      <c r="AB500" s="184"/>
      <c r="AC500" s="184"/>
      <c r="AD500" s="184"/>
      <c r="AE500" s="184"/>
      <c r="AF500" s="408" t="e">
        <f>+#REF!+#REF!+#REF!</f>
        <v>#REF!</v>
      </c>
      <c r="AG500" s="184"/>
      <c r="AH500" s="408" t="e">
        <f>+#REF!+#REF!+#REF!</f>
        <v>#REF!</v>
      </c>
      <c r="AI500" s="184"/>
      <c r="AJ500" s="184"/>
      <c r="AK500" s="184"/>
      <c r="AL500" s="408" t="e">
        <f>+#REF!+#REF!+#REF!</f>
        <v>#REF!</v>
      </c>
      <c r="AM500" s="184"/>
      <c r="AN500" s="408" t="e">
        <f>+#REF!+#REF!+#REF!</f>
        <v>#REF!</v>
      </c>
      <c r="AO500" s="184"/>
      <c r="AP500" s="184"/>
      <c r="AQ500" s="184"/>
      <c r="AR500" s="184"/>
      <c r="AS500" s="184"/>
      <c r="AT500" s="184"/>
      <c r="AU500" s="184"/>
      <c r="AV500" s="184"/>
      <c r="AW500" s="184"/>
      <c r="AX500" s="184"/>
      <c r="AY500" s="184"/>
      <c r="AZ500" s="184"/>
      <c r="BA500" s="184"/>
      <c r="BB500" s="184"/>
      <c r="BC500" s="184"/>
      <c r="BD500" s="184"/>
      <c r="BE500" s="184"/>
      <c r="BF500" s="184"/>
      <c r="BG500" s="184"/>
      <c r="BH500" s="184"/>
      <c r="BI500" s="184"/>
      <c r="BJ500" s="184"/>
    </row>
    <row r="501" spans="1:62" ht="15.75" hidden="1" customHeight="1">
      <c r="B501" s="181"/>
      <c r="C501" s="184"/>
      <c r="D501" s="184"/>
      <c r="E501" s="184"/>
      <c r="F501" s="408"/>
      <c r="G501" s="184"/>
      <c r="H501" s="184"/>
      <c r="I501" s="408"/>
      <c r="J501" s="184"/>
      <c r="K501" s="184"/>
      <c r="L501" s="184"/>
      <c r="M501" s="408"/>
      <c r="N501" s="184"/>
      <c r="O501" s="184"/>
      <c r="P501" s="184"/>
      <c r="Q501" s="408"/>
      <c r="R501" s="408"/>
      <c r="S501" s="408"/>
      <c r="T501" s="411"/>
      <c r="U501" s="411"/>
      <c r="V501" s="184"/>
      <c r="W501" s="184"/>
      <c r="X501" s="184"/>
      <c r="Y501" s="184"/>
      <c r="Z501" s="408" t="e">
        <f>+Z500-Z497</f>
        <v>#REF!</v>
      </c>
      <c r="AA501" s="184"/>
      <c r="AB501" s="184"/>
      <c r="AC501" s="184"/>
      <c r="AD501" s="184"/>
      <c r="AE501" s="184"/>
      <c r="AF501" s="408" t="e">
        <f>+AF500-AF497</f>
        <v>#REF!</v>
      </c>
      <c r="AG501" s="184"/>
      <c r="AH501" s="408" t="e">
        <f>+AH500-AH497</f>
        <v>#REF!</v>
      </c>
      <c r="AI501" s="184"/>
      <c r="AJ501" s="184"/>
      <c r="AK501" s="184"/>
      <c r="AL501" s="408" t="e">
        <f>+AL500-AL497</f>
        <v>#REF!</v>
      </c>
      <c r="AM501" s="184"/>
      <c r="AN501" s="408" t="e">
        <f>+AN500-AN497</f>
        <v>#REF!</v>
      </c>
      <c r="AO501" s="184"/>
      <c r="AP501" s="184"/>
      <c r="AQ501" s="184"/>
      <c r="AR501" s="184"/>
      <c r="AS501" s="184"/>
      <c r="AT501" s="184"/>
      <c r="AU501" s="184"/>
      <c r="AV501" s="184"/>
      <c r="AW501" s="184"/>
      <c r="AX501" s="184"/>
      <c r="AY501" s="184"/>
      <c r="AZ501" s="184"/>
      <c r="BA501" s="184"/>
      <c r="BB501" s="184"/>
      <c r="BC501" s="184"/>
      <c r="BD501" s="184"/>
      <c r="BE501" s="184"/>
      <c r="BF501" s="184"/>
      <c r="BG501" s="184"/>
      <c r="BH501" s="184"/>
      <c r="BI501" s="184"/>
      <c r="BJ501" s="184"/>
    </row>
    <row r="502" spans="1:62" ht="15.75" customHeight="1">
      <c r="B502" s="181"/>
      <c r="C502" s="184"/>
      <c r="D502" s="184"/>
      <c r="E502" s="184"/>
      <c r="F502" s="408"/>
      <c r="G502" s="184"/>
      <c r="H502" s="184"/>
      <c r="I502" s="408"/>
      <c r="J502" s="184"/>
      <c r="K502" s="184"/>
      <c r="L502" s="184"/>
      <c r="M502" s="408"/>
      <c r="N502" s="184"/>
      <c r="O502" s="184"/>
      <c r="P502" s="184"/>
      <c r="Q502" s="408"/>
      <c r="R502" s="408"/>
      <c r="S502" s="408"/>
      <c r="T502" s="411"/>
      <c r="U502" s="411"/>
      <c r="V502" s="184"/>
      <c r="W502" s="184"/>
      <c r="X502" s="184"/>
      <c r="Y502" s="184"/>
      <c r="Z502" s="184"/>
      <c r="AA502" s="184"/>
      <c r="AB502" s="184"/>
      <c r="AC502" s="184"/>
      <c r="AD502" s="184"/>
      <c r="AE502" s="184"/>
      <c r="AF502" s="408"/>
      <c r="AG502" s="184"/>
      <c r="AH502" s="184"/>
      <c r="AI502" s="408"/>
      <c r="AJ502" s="184"/>
      <c r="AK502" s="184"/>
      <c r="AL502" s="184"/>
      <c r="AM502" s="184"/>
      <c r="AN502" s="184"/>
      <c r="AO502" s="184"/>
      <c r="AP502" s="184"/>
      <c r="AQ502" s="184"/>
      <c r="AR502" s="184"/>
      <c r="AS502" s="184"/>
      <c r="AT502" s="184"/>
      <c r="AU502" s="184"/>
      <c r="AV502" s="184"/>
      <c r="AW502" s="184"/>
      <c r="AX502" s="184"/>
      <c r="AY502" s="184"/>
      <c r="AZ502" s="184"/>
      <c r="BA502" s="184"/>
      <c r="BB502" s="184"/>
      <c r="BC502" s="184"/>
      <c r="BD502" s="184"/>
      <c r="BE502" s="184"/>
      <c r="BF502" s="184"/>
      <c r="BG502" s="184"/>
      <c r="BH502" s="184"/>
      <c r="BI502" s="184"/>
      <c r="BJ502" s="184"/>
    </row>
    <row r="503" spans="1:62" ht="15.75" customHeight="1">
      <c r="B503" s="181"/>
      <c r="C503" s="184"/>
      <c r="D503" s="184"/>
      <c r="E503" s="184"/>
      <c r="F503" s="408"/>
      <c r="G503" s="184"/>
      <c r="H503" s="184"/>
      <c r="I503" s="408"/>
      <c r="J503" s="184"/>
      <c r="K503" s="184"/>
      <c r="L503" s="184"/>
      <c r="M503" s="408"/>
      <c r="N503" s="184"/>
      <c r="O503" s="184"/>
      <c r="P503" s="184"/>
      <c r="Q503" s="408"/>
      <c r="R503" s="408"/>
      <c r="S503" s="408"/>
      <c r="T503" s="411"/>
      <c r="U503" s="411"/>
      <c r="V503" s="184"/>
      <c r="W503" s="184"/>
      <c r="X503" s="184"/>
      <c r="Y503" s="184"/>
      <c r="Z503" s="184"/>
      <c r="AA503" s="184"/>
      <c r="AB503" s="184"/>
      <c r="AC503" s="184"/>
      <c r="AD503" s="184"/>
      <c r="AE503" s="184"/>
      <c r="AF503" s="408"/>
      <c r="AG503" s="184"/>
      <c r="AH503" s="184"/>
      <c r="AI503" s="184"/>
      <c r="AJ503" s="184"/>
      <c r="AK503" s="184"/>
      <c r="AL503" s="184"/>
      <c r="AM503" s="184"/>
      <c r="AN503" s="184"/>
      <c r="AO503" s="184"/>
      <c r="AP503" s="184"/>
      <c r="AQ503" s="184"/>
      <c r="AR503" s="184"/>
      <c r="AS503" s="184"/>
      <c r="AT503" s="184"/>
      <c r="AU503" s="184"/>
      <c r="AV503" s="184"/>
      <c r="AW503" s="184"/>
      <c r="AX503" s="184"/>
      <c r="AY503" s="184"/>
      <c r="AZ503" s="184"/>
      <c r="BA503" s="184"/>
      <c r="BB503" s="184"/>
      <c r="BC503" s="184"/>
      <c r="BD503" s="184"/>
      <c r="BE503" s="184"/>
      <c r="BF503" s="184"/>
      <c r="BG503" s="184"/>
      <c r="BH503" s="184"/>
      <c r="BI503" s="184"/>
      <c r="BJ503" s="184"/>
    </row>
    <row r="504" spans="1:62" ht="15.75" customHeight="1">
      <c r="B504" s="181"/>
      <c r="C504" s="184"/>
      <c r="D504" s="184"/>
      <c r="E504" s="184"/>
      <c r="F504" s="408"/>
      <c r="G504" s="184"/>
      <c r="H504" s="184"/>
      <c r="I504" s="408"/>
      <c r="J504" s="184"/>
      <c r="K504" s="184"/>
      <c r="L504" s="184"/>
      <c r="M504" s="408"/>
      <c r="N504" s="184"/>
      <c r="O504" s="184"/>
      <c r="P504" s="184"/>
      <c r="Q504" s="408"/>
      <c r="R504" s="408"/>
      <c r="S504" s="408"/>
      <c r="T504" s="411"/>
      <c r="U504" s="411"/>
      <c r="V504" s="184"/>
      <c r="W504" s="184"/>
      <c r="X504" s="184"/>
      <c r="Y504" s="184"/>
      <c r="Z504" s="184"/>
      <c r="AA504" s="184"/>
      <c r="AB504" s="184"/>
      <c r="AC504" s="184"/>
      <c r="AD504" s="184"/>
      <c r="AE504" s="184"/>
      <c r="AF504" s="184"/>
      <c r="AG504" s="184"/>
      <c r="AH504" s="184"/>
      <c r="AI504" s="184"/>
      <c r="AJ504" s="184"/>
      <c r="AK504" s="184"/>
      <c r="AL504" s="184"/>
      <c r="AM504" s="184"/>
      <c r="AN504" s="184"/>
      <c r="AO504" s="184"/>
      <c r="AP504" s="184"/>
      <c r="AQ504" s="184"/>
      <c r="AR504" s="184"/>
      <c r="AS504" s="184"/>
      <c r="AT504" s="184"/>
      <c r="AU504" s="184"/>
      <c r="AV504" s="184"/>
      <c r="AW504" s="184"/>
      <c r="AX504" s="184"/>
      <c r="AY504" s="184"/>
      <c r="AZ504" s="184"/>
      <c r="BA504" s="184"/>
      <c r="BB504" s="184"/>
      <c r="BC504" s="184"/>
      <c r="BD504" s="184"/>
      <c r="BE504" s="184"/>
      <c r="BF504" s="184"/>
      <c r="BG504" s="184"/>
      <c r="BH504" s="184"/>
      <c r="BI504" s="184"/>
      <c r="BJ504" s="184"/>
    </row>
    <row r="505" spans="1:62" ht="15.75" customHeight="1">
      <c r="B505" s="181"/>
      <c r="C505" s="184"/>
      <c r="D505" s="184"/>
      <c r="E505" s="184"/>
      <c r="F505" s="408"/>
      <c r="G505" s="184"/>
      <c r="H505" s="184"/>
      <c r="I505" s="408"/>
      <c r="J505" s="184"/>
      <c r="K505" s="184"/>
      <c r="L505" s="184"/>
      <c r="M505" s="408"/>
      <c r="N505" s="184"/>
      <c r="O505" s="184"/>
      <c r="P505" s="184"/>
      <c r="Q505" s="408"/>
      <c r="R505" s="408"/>
      <c r="S505" s="408"/>
      <c r="T505" s="411"/>
      <c r="U505" s="411"/>
      <c r="V505" s="184"/>
      <c r="W505" s="184"/>
      <c r="X505" s="184"/>
      <c r="Y505" s="184"/>
      <c r="Z505" s="184"/>
      <c r="AA505" s="184"/>
      <c r="AB505" s="184"/>
      <c r="AC505" s="184"/>
      <c r="AD505" s="184"/>
      <c r="AE505" s="184"/>
      <c r="AF505" s="408"/>
      <c r="AG505" s="184"/>
      <c r="AH505" s="184"/>
      <c r="AI505" s="184"/>
      <c r="AJ505" s="184"/>
      <c r="AK505" s="184"/>
      <c r="AL505" s="408"/>
      <c r="AM505" s="184"/>
      <c r="AN505" s="184"/>
      <c r="AO505" s="184"/>
      <c r="AP505" s="184"/>
      <c r="AQ505" s="184"/>
      <c r="AR505" s="184"/>
      <c r="AS505" s="184"/>
      <c r="AT505" s="184"/>
      <c r="AU505" s="184"/>
      <c r="AV505" s="184"/>
      <c r="AW505" s="184"/>
      <c r="AX505" s="184"/>
      <c r="AY505" s="184"/>
      <c r="AZ505" s="184"/>
      <c r="BA505" s="184"/>
      <c r="BB505" s="184"/>
      <c r="BC505" s="184"/>
      <c r="BD505" s="184"/>
      <c r="BE505" s="184"/>
      <c r="BF505" s="184"/>
      <c r="BG505" s="184"/>
      <c r="BH505" s="184"/>
      <c r="BI505" s="184"/>
      <c r="BJ505" s="184"/>
    </row>
    <row r="506" spans="1:62" ht="15.75" customHeight="1">
      <c r="B506" s="181"/>
      <c r="C506" s="184"/>
      <c r="D506" s="184"/>
      <c r="E506" s="184"/>
      <c r="F506" s="408"/>
      <c r="G506" s="184"/>
      <c r="H506" s="184"/>
      <c r="I506" s="408"/>
      <c r="J506" s="184"/>
      <c r="K506" s="184"/>
      <c r="L506" s="184"/>
      <c r="M506" s="408"/>
      <c r="N506" s="184"/>
      <c r="O506" s="184"/>
      <c r="P506" s="184"/>
      <c r="Q506" s="408"/>
      <c r="R506" s="408"/>
      <c r="S506" s="408"/>
      <c r="T506" s="411"/>
      <c r="U506" s="411"/>
      <c r="V506" s="184"/>
      <c r="W506" s="184"/>
      <c r="X506" s="184"/>
      <c r="Y506" s="184"/>
      <c r="Z506" s="184"/>
      <c r="AA506" s="184"/>
      <c r="AB506" s="184"/>
      <c r="AC506" s="184"/>
      <c r="AD506" s="184"/>
      <c r="AE506" s="184"/>
      <c r="AF506" s="184"/>
      <c r="AG506" s="184"/>
      <c r="AH506" s="184"/>
      <c r="AI506" s="184"/>
      <c r="AJ506" s="184"/>
      <c r="AK506" s="184"/>
      <c r="AL506" s="184"/>
      <c r="AM506" s="184"/>
      <c r="AN506" s="184"/>
      <c r="AO506" s="184"/>
      <c r="AP506" s="184"/>
      <c r="AQ506" s="184"/>
      <c r="AR506" s="184"/>
      <c r="AS506" s="184"/>
      <c r="AT506" s="184"/>
      <c r="AU506" s="184"/>
      <c r="AV506" s="184"/>
      <c r="AW506" s="184"/>
      <c r="AX506" s="184"/>
      <c r="AY506" s="184"/>
      <c r="AZ506" s="184"/>
      <c r="BA506" s="184"/>
      <c r="BB506" s="184"/>
      <c r="BC506" s="184"/>
      <c r="BD506" s="184"/>
      <c r="BE506" s="184"/>
      <c r="BF506" s="184"/>
      <c r="BG506" s="184"/>
      <c r="BH506" s="184"/>
      <c r="BI506" s="184"/>
      <c r="BJ506" s="184"/>
    </row>
    <row r="507" spans="1:62" ht="15.75" customHeight="1">
      <c r="B507" s="181"/>
      <c r="C507" s="184"/>
      <c r="D507" s="184"/>
      <c r="E507" s="184"/>
      <c r="F507" s="408"/>
      <c r="G507" s="184"/>
      <c r="H507" s="184"/>
      <c r="I507" s="408"/>
      <c r="J507" s="184"/>
      <c r="K507" s="184"/>
      <c r="L507" s="184"/>
      <c r="M507" s="408"/>
      <c r="N507" s="184"/>
      <c r="O507" s="184"/>
      <c r="P507" s="184"/>
      <c r="Q507" s="408"/>
      <c r="R507" s="408"/>
      <c r="S507" s="408"/>
      <c r="T507" s="411"/>
      <c r="U507" s="411"/>
      <c r="V507" s="184"/>
      <c r="W507" s="411"/>
      <c r="X507" s="411"/>
      <c r="Y507" s="184"/>
      <c r="Z507" s="184"/>
      <c r="AA507" s="184"/>
      <c r="AB507" s="184"/>
      <c r="AC507" s="184"/>
      <c r="AD507" s="184"/>
      <c r="AE507" s="184"/>
      <c r="AF507" s="184"/>
      <c r="AG507" s="184"/>
      <c r="AH507" s="184"/>
      <c r="AI507" s="184"/>
      <c r="AJ507" s="184"/>
      <c r="AK507" s="184"/>
      <c r="AL507" s="184"/>
      <c r="AM507" s="184"/>
      <c r="AN507" s="184"/>
      <c r="AO507" s="184"/>
      <c r="AP507" s="184"/>
      <c r="AQ507" s="184"/>
      <c r="AR507" s="184"/>
      <c r="AS507" s="184"/>
      <c r="AT507" s="184"/>
      <c r="AU507" s="184"/>
      <c r="AV507" s="184"/>
      <c r="AW507" s="184"/>
      <c r="AX507" s="184"/>
      <c r="AY507" s="184"/>
      <c r="AZ507" s="184"/>
      <c r="BA507" s="184"/>
      <c r="BB507" s="184"/>
      <c r="BC507" s="184"/>
      <c r="BD507" s="184"/>
      <c r="BE507" s="184"/>
      <c r="BF507" s="184"/>
      <c r="BG507" s="184"/>
      <c r="BH507" s="184"/>
      <c r="BI507" s="184"/>
      <c r="BJ507" s="184"/>
    </row>
    <row r="508" spans="1:62" ht="15.75" customHeight="1">
      <c r="B508" s="181"/>
      <c r="C508" s="184"/>
      <c r="D508" s="184"/>
      <c r="E508" s="184"/>
      <c r="F508" s="408"/>
      <c r="G508" s="184"/>
      <c r="H508" s="184"/>
      <c r="I508" s="408"/>
      <c r="J508" s="184"/>
      <c r="K508" s="184"/>
      <c r="L508" s="184"/>
      <c r="M508" s="408"/>
      <c r="N508" s="184"/>
      <c r="O508" s="184"/>
      <c r="P508" s="184"/>
      <c r="Q508" s="408"/>
      <c r="R508" s="408"/>
      <c r="S508" s="408"/>
      <c r="T508" s="411"/>
      <c r="U508" s="411"/>
      <c r="V508" s="184"/>
      <c r="W508" s="411"/>
      <c r="X508" s="411"/>
      <c r="Y508" s="184"/>
      <c r="Z508" s="184"/>
      <c r="AA508" s="184"/>
      <c r="AB508" s="184"/>
      <c r="AC508" s="184"/>
      <c r="AD508" s="184"/>
      <c r="AE508" s="184"/>
      <c r="AF508" s="184"/>
      <c r="AG508" s="184"/>
      <c r="AH508" s="184"/>
      <c r="AI508" s="184"/>
      <c r="AJ508" s="184"/>
      <c r="AK508" s="184"/>
      <c r="AL508" s="408"/>
      <c r="AM508" s="184"/>
      <c r="AN508" s="184"/>
      <c r="AO508" s="184"/>
      <c r="AP508" s="184"/>
      <c r="AQ508" s="184"/>
      <c r="AR508" s="184"/>
      <c r="AS508" s="184"/>
      <c r="AT508" s="184"/>
      <c r="AU508" s="184"/>
      <c r="AV508" s="184"/>
      <c r="AW508" s="184"/>
      <c r="AX508" s="184"/>
      <c r="AY508" s="184"/>
      <c r="AZ508" s="184"/>
      <c r="BA508" s="184"/>
      <c r="BB508" s="184"/>
      <c r="BC508" s="184"/>
      <c r="BD508" s="184"/>
      <c r="BE508" s="184"/>
      <c r="BF508" s="184"/>
      <c r="BG508" s="184"/>
      <c r="BH508" s="184"/>
      <c r="BI508" s="184"/>
      <c r="BJ508" s="184"/>
    </row>
    <row r="509" spans="1:62" ht="15.75" customHeight="1">
      <c r="B509" s="181"/>
      <c r="C509" s="184"/>
      <c r="D509" s="184"/>
      <c r="E509" s="184"/>
      <c r="F509" s="408"/>
      <c r="G509" s="184"/>
      <c r="H509" s="184"/>
      <c r="I509" s="408"/>
      <c r="J509" s="184"/>
      <c r="K509" s="184"/>
      <c r="L509" s="184"/>
      <c r="M509" s="408"/>
      <c r="N509" s="184"/>
      <c r="O509" s="184"/>
      <c r="P509" s="184"/>
      <c r="Q509" s="408"/>
      <c r="R509" s="408"/>
      <c r="S509" s="408"/>
      <c r="T509" s="411"/>
      <c r="U509" s="411"/>
      <c r="V509" s="184"/>
      <c r="W509" s="411"/>
      <c r="X509" s="411"/>
      <c r="Y509" s="184"/>
      <c r="Z509" s="184"/>
      <c r="AA509" s="184"/>
      <c r="AB509" s="184"/>
      <c r="AC509" s="184"/>
      <c r="AD509" s="184"/>
      <c r="AE509" s="184"/>
      <c r="AF509" s="184"/>
      <c r="AG509" s="184"/>
      <c r="AH509" s="184"/>
      <c r="AI509" s="184"/>
      <c r="AJ509" s="184"/>
      <c r="AK509" s="184"/>
      <c r="AL509" s="184"/>
      <c r="AM509" s="184"/>
      <c r="AN509" s="184"/>
      <c r="AO509" s="184"/>
      <c r="AP509" s="184"/>
      <c r="AQ509" s="184"/>
      <c r="AR509" s="184"/>
      <c r="AS509" s="184"/>
      <c r="AT509" s="184"/>
      <c r="AU509" s="184"/>
      <c r="AV509" s="184"/>
      <c r="AW509" s="184"/>
      <c r="AX509" s="184"/>
      <c r="AY509" s="184"/>
      <c r="AZ509" s="184"/>
      <c r="BA509" s="184"/>
      <c r="BB509" s="184"/>
      <c r="BC509" s="184"/>
      <c r="BD509" s="184"/>
      <c r="BE509" s="184"/>
      <c r="BF509" s="184"/>
      <c r="BG509" s="184"/>
      <c r="BH509" s="184"/>
      <c r="BI509" s="184"/>
      <c r="BJ509" s="184"/>
    </row>
    <row r="510" spans="1:62" ht="15.75" customHeight="1">
      <c r="B510" s="181"/>
      <c r="C510" s="184"/>
      <c r="D510" s="184"/>
      <c r="E510" s="184"/>
      <c r="F510" s="408"/>
      <c r="G510" s="184"/>
      <c r="H510" s="184"/>
      <c r="I510" s="408"/>
      <c r="J510" s="184"/>
      <c r="K510" s="184"/>
      <c r="L510" s="184"/>
      <c r="M510" s="408"/>
      <c r="N510" s="184"/>
      <c r="O510" s="184"/>
      <c r="P510" s="184"/>
      <c r="Q510" s="408"/>
      <c r="R510" s="408"/>
      <c r="S510" s="408"/>
      <c r="T510" s="411"/>
      <c r="U510" s="411"/>
      <c r="V510" s="184"/>
      <c r="W510" s="411"/>
      <c r="X510" s="411"/>
      <c r="Y510" s="184"/>
      <c r="Z510" s="184"/>
      <c r="AA510" s="184"/>
      <c r="AB510" s="184"/>
      <c r="AC510" s="184"/>
      <c r="AD510" s="184"/>
      <c r="AE510" s="184"/>
      <c r="AF510" s="184"/>
      <c r="AG510" s="184"/>
      <c r="AH510" s="184"/>
      <c r="AI510" s="184"/>
      <c r="AJ510" s="184"/>
      <c r="AK510" s="184"/>
      <c r="AL510" s="184"/>
      <c r="AM510" s="184"/>
      <c r="AN510" s="184"/>
      <c r="AO510" s="184"/>
      <c r="AP510" s="184"/>
      <c r="AQ510" s="184"/>
      <c r="AR510" s="184"/>
      <c r="AS510" s="184"/>
      <c r="AT510" s="184"/>
      <c r="AU510" s="184"/>
      <c r="AV510" s="184"/>
      <c r="AW510" s="184"/>
      <c r="AX510" s="184"/>
      <c r="AY510" s="184"/>
      <c r="AZ510" s="184"/>
      <c r="BA510" s="184"/>
      <c r="BB510" s="184"/>
      <c r="BC510" s="184"/>
      <c r="BD510" s="184"/>
      <c r="BE510" s="184"/>
      <c r="BF510" s="184"/>
      <c r="BG510" s="184"/>
      <c r="BH510" s="184"/>
      <c r="BI510" s="184"/>
      <c r="BJ510" s="184"/>
    </row>
    <row r="511" spans="1:62" ht="15.75" customHeight="1">
      <c r="B511" s="181"/>
      <c r="C511" s="184"/>
      <c r="D511" s="184"/>
      <c r="E511" s="184"/>
      <c r="F511" s="408"/>
      <c r="G511" s="184"/>
      <c r="H511" s="184"/>
      <c r="I511" s="408"/>
      <c r="J511" s="184"/>
      <c r="K511" s="184"/>
      <c r="L511" s="184"/>
      <c r="M511" s="408"/>
      <c r="N511" s="184"/>
      <c r="O511" s="184"/>
      <c r="P511" s="184"/>
      <c r="Q511" s="408"/>
      <c r="R511" s="408"/>
      <c r="S511" s="408"/>
      <c r="T511" s="411"/>
      <c r="U511" s="411"/>
      <c r="V511" s="184"/>
      <c r="W511" s="411"/>
      <c r="X511" s="411"/>
      <c r="Y511" s="184"/>
      <c r="Z511" s="184"/>
      <c r="AA511" s="184"/>
      <c r="AB511" s="184"/>
      <c r="AC511" s="184"/>
      <c r="AD511" s="184"/>
      <c r="AE511" s="184"/>
      <c r="AF511" s="184"/>
      <c r="AG511" s="184"/>
      <c r="AH511" s="184"/>
      <c r="AI511" s="184"/>
      <c r="AJ511" s="184"/>
      <c r="AK511" s="184"/>
      <c r="AL511" s="184"/>
      <c r="AM511" s="184"/>
      <c r="AN511" s="184"/>
      <c r="AO511" s="184"/>
      <c r="AP511" s="184"/>
      <c r="AQ511" s="184"/>
      <c r="AR511" s="184"/>
      <c r="AS511" s="184"/>
      <c r="AT511" s="184"/>
      <c r="AU511" s="184"/>
      <c r="AV511" s="184"/>
      <c r="AW511" s="184"/>
      <c r="AX511" s="184"/>
      <c r="AY511" s="184"/>
      <c r="AZ511" s="184"/>
      <c r="BA511" s="184"/>
      <c r="BB511" s="184"/>
      <c r="BC511" s="184"/>
      <c r="BD511" s="184"/>
      <c r="BE511" s="184"/>
      <c r="BF511" s="184"/>
      <c r="BG511" s="184"/>
      <c r="BH511" s="184"/>
      <c r="BI511" s="184"/>
      <c r="BJ511" s="184"/>
    </row>
    <row r="512" spans="1:62" ht="15.75" customHeight="1">
      <c r="B512" s="181"/>
      <c r="C512" s="184"/>
      <c r="D512" s="184"/>
      <c r="E512" s="184"/>
      <c r="F512" s="408"/>
      <c r="G512" s="184"/>
      <c r="H512" s="184"/>
      <c r="I512" s="408"/>
      <c r="J512" s="184"/>
      <c r="K512" s="184"/>
      <c r="L512" s="184"/>
      <c r="M512" s="408"/>
      <c r="N512" s="184"/>
      <c r="O512" s="184"/>
      <c r="P512" s="184"/>
      <c r="Q512" s="408"/>
      <c r="R512" s="408"/>
      <c r="S512" s="408"/>
      <c r="T512" s="411"/>
      <c r="U512" s="411"/>
      <c r="V512" s="411"/>
      <c r="W512" s="411"/>
      <c r="X512" s="411"/>
      <c r="Y512" s="184"/>
      <c r="Z512" s="184"/>
      <c r="AA512" s="184"/>
      <c r="AB512" s="184"/>
      <c r="AC512" s="184"/>
      <c r="AD512" s="184"/>
      <c r="AE512" s="184"/>
      <c r="AF512" s="184"/>
      <c r="AG512" s="184"/>
      <c r="AH512" s="184"/>
      <c r="AI512" s="184"/>
      <c r="AJ512" s="184"/>
      <c r="AK512" s="184"/>
      <c r="AL512" s="184"/>
      <c r="AM512" s="184"/>
      <c r="AN512" s="184"/>
      <c r="AO512" s="184"/>
      <c r="AP512" s="184"/>
      <c r="AQ512" s="184"/>
      <c r="AR512" s="184"/>
      <c r="AS512" s="184"/>
      <c r="AT512" s="184"/>
      <c r="AU512" s="184"/>
      <c r="AV512" s="184"/>
      <c r="AW512" s="184"/>
      <c r="AX512" s="184"/>
      <c r="AY512" s="184"/>
      <c r="AZ512" s="184"/>
      <c r="BA512" s="184"/>
      <c r="BB512" s="184"/>
      <c r="BC512" s="184"/>
      <c r="BD512" s="184"/>
      <c r="BE512" s="184"/>
      <c r="BF512" s="184"/>
      <c r="BG512" s="184"/>
      <c r="BH512" s="184"/>
      <c r="BI512" s="184"/>
      <c r="BJ512" s="184"/>
    </row>
    <row r="513" spans="2:62" ht="15.75" customHeight="1">
      <c r="B513" s="181"/>
      <c r="C513" s="420"/>
      <c r="D513" s="411"/>
      <c r="E513" s="411"/>
      <c r="F513" s="421"/>
      <c r="G513" s="411"/>
      <c r="H513" s="411"/>
      <c r="I513" s="421"/>
      <c r="J513" s="411"/>
      <c r="K513" s="411"/>
      <c r="L513" s="411"/>
      <c r="M513" s="421"/>
      <c r="N513" s="411"/>
      <c r="O513" s="411"/>
      <c r="P513" s="411"/>
      <c r="Q513" s="421"/>
      <c r="R513" s="421"/>
      <c r="S513" s="421"/>
      <c r="T513" s="411"/>
      <c r="U513" s="411"/>
      <c r="V513" s="411"/>
      <c r="W513" s="411"/>
      <c r="X513" s="411"/>
      <c r="Y513" s="184"/>
      <c r="Z513" s="184"/>
      <c r="AA513" s="184"/>
      <c r="AB513" s="184"/>
      <c r="AC513" s="184"/>
      <c r="AD513" s="184"/>
      <c r="AE513" s="184"/>
      <c r="AF513" s="184"/>
      <c r="AG513" s="184"/>
      <c r="AH513" s="184"/>
      <c r="AI513" s="184"/>
      <c r="AJ513" s="184"/>
      <c r="AK513" s="184"/>
      <c r="AL513" s="184"/>
      <c r="AM513" s="184"/>
      <c r="AN513" s="184"/>
      <c r="AO513" s="184"/>
      <c r="AP513" s="184"/>
      <c r="AQ513" s="184"/>
      <c r="AR513" s="184"/>
      <c r="AS513" s="184"/>
      <c r="AT513" s="184"/>
      <c r="AU513" s="184"/>
      <c r="AV513" s="184"/>
      <c r="AW513" s="184"/>
      <c r="AX513" s="184"/>
      <c r="AY513" s="184"/>
      <c r="AZ513" s="184"/>
      <c r="BA513" s="184"/>
      <c r="BB513" s="184"/>
      <c r="BC513" s="184"/>
      <c r="BD513" s="184"/>
      <c r="BE513" s="184"/>
      <c r="BF513" s="184"/>
      <c r="BG513" s="184"/>
      <c r="BH513" s="184"/>
      <c r="BI513" s="184"/>
      <c r="BJ513" s="184"/>
    </row>
    <row r="514" spans="2:62" ht="15.75" customHeight="1">
      <c r="B514" s="181"/>
      <c r="C514" s="422"/>
      <c r="D514" s="411"/>
      <c r="E514" s="411"/>
      <c r="F514" s="421"/>
      <c r="G514" s="411"/>
      <c r="H514" s="411"/>
      <c r="I514" s="421"/>
      <c r="J514" s="411"/>
      <c r="K514" s="411"/>
      <c r="L514" s="411"/>
      <c r="M514" s="421"/>
      <c r="N514" s="411"/>
      <c r="O514" s="411"/>
      <c r="P514" s="411"/>
      <c r="Q514" s="421"/>
      <c r="R514" s="421"/>
      <c r="S514" s="421"/>
      <c r="T514" s="411"/>
      <c r="U514" s="411"/>
      <c r="V514" s="411"/>
      <c r="W514" s="411"/>
      <c r="X514" s="411"/>
      <c r="Y514" s="184"/>
      <c r="Z514" s="184"/>
      <c r="AA514" s="184"/>
      <c r="AB514" s="184"/>
      <c r="AC514" s="184"/>
      <c r="AD514" s="184"/>
      <c r="AE514" s="184"/>
      <c r="AF514" s="184"/>
      <c r="AG514" s="184"/>
      <c r="AH514" s="184"/>
      <c r="AI514" s="184"/>
      <c r="AJ514" s="184"/>
      <c r="AK514" s="184"/>
      <c r="AL514" s="184"/>
      <c r="AM514" s="184"/>
      <c r="AN514" s="184"/>
      <c r="AO514" s="184"/>
      <c r="AP514" s="184"/>
      <c r="AQ514" s="184"/>
      <c r="AR514" s="184"/>
      <c r="AS514" s="184"/>
      <c r="AT514" s="184"/>
      <c r="AU514" s="184"/>
      <c r="AV514" s="184"/>
      <c r="AW514" s="184"/>
      <c r="AX514" s="184"/>
      <c r="AY514" s="184"/>
      <c r="AZ514" s="184"/>
      <c r="BA514" s="184"/>
      <c r="BB514" s="184"/>
      <c r="BC514" s="184"/>
      <c r="BD514" s="184"/>
      <c r="BE514" s="184"/>
      <c r="BF514" s="184"/>
      <c r="BG514" s="184"/>
      <c r="BH514" s="184"/>
      <c r="BI514" s="184"/>
      <c r="BJ514" s="184"/>
    </row>
    <row r="515" spans="2:62" ht="15.75" customHeight="1">
      <c r="B515" s="181"/>
      <c r="C515" s="411"/>
      <c r="D515" s="411"/>
      <c r="E515" s="411"/>
      <c r="F515" s="421"/>
      <c r="G515" s="411"/>
      <c r="H515" s="411"/>
      <c r="I515" s="421"/>
      <c r="J515" s="411"/>
      <c r="K515" s="411"/>
      <c r="L515" s="411"/>
      <c r="M515" s="421"/>
      <c r="N515" s="411"/>
      <c r="O515" s="411"/>
      <c r="P515" s="411"/>
      <c r="Q515" s="421"/>
      <c r="R515" s="421"/>
      <c r="S515" s="421"/>
      <c r="T515" s="411"/>
      <c r="U515" s="411"/>
      <c r="V515" s="411"/>
      <c r="W515" s="411"/>
      <c r="X515" s="411"/>
      <c r="Y515" s="184"/>
      <c r="Z515" s="184"/>
      <c r="AA515" s="184"/>
      <c r="AB515" s="184"/>
      <c r="AC515" s="184"/>
      <c r="AD515" s="184"/>
      <c r="AE515" s="184"/>
      <c r="AF515" s="184"/>
      <c r="AG515" s="184"/>
      <c r="AH515" s="184"/>
      <c r="AI515" s="184"/>
      <c r="AJ515" s="184"/>
      <c r="AK515" s="184"/>
      <c r="AL515" s="184"/>
      <c r="AM515" s="184"/>
      <c r="AN515" s="184"/>
      <c r="AO515" s="184"/>
      <c r="AP515" s="184"/>
      <c r="AQ515" s="184"/>
      <c r="AR515" s="184"/>
      <c r="AS515" s="184"/>
      <c r="AT515" s="184"/>
      <c r="AU515" s="184"/>
      <c r="AV515" s="184"/>
      <c r="AW515" s="184"/>
      <c r="AX515" s="184"/>
      <c r="AY515" s="184"/>
      <c r="AZ515" s="184"/>
      <c r="BA515" s="184"/>
      <c r="BB515" s="184"/>
      <c r="BC515" s="184"/>
      <c r="BD515" s="184"/>
      <c r="BE515" s="184"/>
      <c r="BF515" s="184"/>
      <c r="BG515" s="184"/>
      <c r="BH515" s="184"/>
      <c r="BI515" s="184"/>
      <c r="BJ515" s="184"/>
    </row>
    <row r="516" spans="2:62" ht="15.75" customHeight="1">
      <c r="B516" s="181"/>
      <c r="C516" s="411"/>
      <c r="D516" s="411"/>
      <c r="E516" s="411"/>
      <c r="F516" s="411"/>
      <c r="G516" s="411"/>
      <c r="H516" s="411"/>
      <c r="I516" s="411"/>
      <c r="J516" s="420"/>
      <c r="K516" s="420"/>
      <c r="L516" s="420"/>
      <c r="M516" s="421"/>
      <c r="N516" s="411"/>
      <c r="O516" s="411"/>
      <c r="P516" s="411"/>
      <c r="Q516" s="411"/>
      <c r="R516" s="411"/>
      <c r="S516" s="421"/>
      <c r="T516" s="411"/>
      <c r="U516" s="411"/>
      <c r="V516" s="411"/>
      <c r="W516" s="411"/>
      <c r="X516" s="411"/>
      <c r="Y516" s="184"/>
      <c r="Z516" s="184"/>
      <c r="AA516" s="184"/>
      <c r="AB516" s="184"/>
      <c r="AC516" s="184"/>
      <c r="AD516" s="184"/>
      <c r="AE516" s="184"/>
      <c r="AF516" s="184"/>
      <c r="AG516" s="184"/>
      <c r="AH516" s="184"/>
      <c r="AI516" s="184"/>
      <c r="AJ516" s="184"/>
      <c r="AK516" s="184"/>
      <c r="AL516" s="184"/>
      <c r="AM516" s="184"/>
      <c r="AN516" s="184"/>
      <c r="AO516" s="184"/>
      <c r="AP516" s="184"/>
      <c r="AQ516" s="184"/>
      <c r="AR516" s="184"/>
      <c r="AS516" s="184"/>
      <c r="AT516" s="184"/>
      <c r="AU516" s="184"/>
      <c r="AV516" s="184"/>
      <c r="AW516" s="184"/>
      <c r="AX516" s="184"/>
      <c r="AY516" s="184"/>
      <c r="AZ516" s="184"/>
      <c r="BA516" s="184"/>
      <c r="BB516" s="184"/>
      <c r="BC516" s="184"/>
      <c r="BD516" s="184"/>
      <c r="BE516" s="184"/>
      <c r="BF516" s="184"/>
      <c r="BG516" s="184"/>
      <c r="BH516" s="184"/>
      <c r="BI516" s="184"/>
      <c r="BJ516" s="184"/>
    </row>
    <row r="517" spans="2:62" ht="15.75" customHeight="1">
      <c r="B517" s="181"/>
      <c r="C517" s="411"/>
      <c r="D517" s="411"/>
      <c r="E517" s="411"/>
      <c r="F517" s="411"/>
      <c r="G517" s="411"/>
      <c r="H517" s="411"/>
      <c r="I517" s="411"/>
      <c r="J517" s="411"/>
      <c r="K517" s="411"/>
      <c r="L517" s="411"/>
      <c r="M517" s="421"/>
      <c r="N517" s="411"/>
      <c r="O517" s="411"/>
      <c r="P517" s="411"/>
      <c r="Q517" s="411"/>
      <c r="R517" s="411"/>
      <c r="S517" s="421"/>
      <c r="T517" s="411"/>
      <c r="U517" s="411"/>
      <c r="V517" s="411"/>
      <c r="W517" s="411"/>
      <c r="X517" s="411"/>
      <c r="Y517" s="184"/>
      <c r="Z517" s="184"/>
      <c r="AA517" s="184"/>
      <c r="AB517" s="184"/>
      <c r="AC517" s="184"/>
      <c r="AD517" s="184"/>
      <c r="AE517" s="184"/>
      <c r="AF517" s="184"/>
      <c r="AG517" s="184"/>
      <c r="AH517" s="184"/>
      <c r="AI517" s="184"/>
      <c r="AJ517" s="184"/>
      <c r="AK517" s="184"/>
      <c r="AL517" s="184"/>
      <c r="AM517" s="184"/>
      <c r="AN517" s="184"/>
      <c r="AO517" s="184"/>
      <c r="AP517" s="184"/>
      <c r="AQ517" s="184"/>
      <c r="AR517" s="184"/>
      <c r="AS517" s="184"/>
      <c r="AT517" s="184"/>
      <c r="AU517" s="184"/>
      <c r="AV517" s="184"/>
      <c r="AW517" s="184"/>
      <c r="AX517" s="184"/>
      <c r="AY517" s="184"/>
      <c r="AZ517" s="184"/>
      <c r="BA517" s="184"/>
      <c r="BB517" s="184"/>
      <c r="BC517" s="184"/>
      <c r="BD517" s="184"/>
      <c r="BE517" s="184"/>
      <c r="BF517" s="184"/>
      <c r="BG517" s="184"/>
      <c r="BH517" s="184"/>
      <c r="BI517" s="184"/>
      <c r="BJ517" s="184"/>
    </row>
    <row r="518" spans="2:62" ht="15.75" customHeight="1">
      <c r="B518" s="181"/>
      <c r="C518" s="411"/>
      <c r="D518" s="411"/>
      <c r="E518" s="411"/>
      <c r="F518" s="411"/>
      <c r="G518" s="411"/>
      <c r="H518" s="411"/>
      <c r="I518" s="411"/>
      <c r="J518" s="411"/>
      <c r="K518" s="411"/>
      <c r="L518" s="411"/>
      <c r="M518" s="421"/>
      <c r="N518" s="411"/>
      <c r="O518" s="411"/>
      <c r="P518" s="411"/>
      <c r="Q518" s="411"/>
      <c r="R518" s="411"/>
      <c r="S518" s="421"/>
      <c r="T518" s="411"/>
      <c r="U518" s="411"/>
      <c r="V518" s="411"/>
      <c r="W518" s="411"/>
      <c r="X518" s="411"/>
      <c r="Y518" s="184"/>
      <c r="Z518" s="184"/>
      <c r="AA518" s="184"/>
      <c r="AB518" s="184"/>
      <c r="AC518" s="184"/>
      <c r="AD518" s="184"/>
      <c r="AE518" s="184"/>
      <c r="AF518" s="184"/>
      <c r="AG518" s="184"/>
      <c r="AH518" s="184"/>
      <c r="AI518" s="184"/>
      <c r="AJ518" s="184"/>
      <c r="AK518" s="184"/>
      <c r="AL518" s="184"/>
      <c r="AM518" s="184"/>
      <c r="AN518" s="184"/>
      <c r="AO518" s="184"/>
      <c r="AP518" s="184"/>
      <c r="AQ518" s="184"/>
      <c r="AR518" s="184"/>
      <c r="AS518" s="184"/>
      <c r="AT518" s="184"/>
      <c r="AU518" s="184"/>
      <c r="AV518" s="184"/>
      <c r="AW518" s="184"/>
      <c r="AX518" s="184"/>
      <c r="AY518" s="184"/>
      <c r="AZ518" s="184"/>
      <c r="BA518" s="184"/>
      <c r="BB518" s="184"/>
      <c r="BC518" s="184"/>
      <c r="BD518" s="184"/>
      <c r="BE518" s="184"/>
      <c r="BF518" s="184"/>
      <c r="BG518" s="184"/>
      <c r="BH518" s="184"/>
      <c r="BI518" s="184"/>
      <c r="BJ518" s="184"/>
    </row>
    <row r="519" spans="2:62" ht="15.75" customHeight="1">
      <c r="B519" s="181"/>
      <c r="C519" s="411"/>
      <c r="D519" s="411"/>
      <c r="E519" s="411"/>
      <c r="F519" s="411"/>
      <c r="G519" s="411"/>
      <c r="H519" s="411"/>
      <c r="I519" s="411"/>
      <c r="J519" s="411"/>
      <c r="K519" s="411"/>
      <c r="L519" s="411"/>
      <c r="M519" s="421"/>
      <c r="N519" s="411"/>
      <c r="O519" s="411"/>
      <c r="P519" s="411"/>
      <c r="Q519" s="411"/>
      <c r="R519" s="411"/>
      <c r="S519" s="421"/>
      <c r="T519" s="411"/>
      <c r="U519" s="411"/>
      <c r="V519" s="411"/>
      <c r="W519" s="411"/>
      <c r="X519" s="411"/>
      <c r="Y519" s="184"/>
      <c r="Z519" s="184"/>
      <c r="AA519" s="184"/>
      <c r="AB519" s="184"/>
      <c r="AC519" s="184"/>
      <c r="AD519" s="184"/>
      <c r="AE519" s="184"/>
      <c r="AF519" s="184"/>
      <c r="AG519" s="184"/>
      <c r="AH519" s="184"/>
      <c r="AI519" s="184"/>
      <c r="AJ519" s="184"/>
      <c r="AK519" s="184"/>
      <c r="AL519" s="184"/>
      <c r="AM519" s="184"/>
      <c r="AN519" s="184"/>
      <c r="AO519" s="184"/>
      <c r="AP519" s="184"/>
      <c r="AQ519" s="184"/>
      <c r="AR519" s="184"/>
      <c r="AS519" s="184"/>
      <c r="AT519" s="184"/>
      <c r="AU519" s="184"/>
      <c r="AV519" s="184"/>
      <c r="AW519" s="184"/>
      <c r="AX519" s="184"/>
      <c r="AY519" s="184"/>
      <c r="AZ519" s="184"/>
      <c r="BA519" s="184"/>
      <c r="BB519" s="184"/>
      <c r="BC519" s="184"/>
      <c r="BD519" s="184"/>
      <c r="BE519" s="184"/>
      <c r="BF519" s="184"/>
      <c r="BG519" s="184"/>
      <c r="BH519" s="184"/>
      <c r="BI519" s="184"/>
      <c r="BJ519" s="184"/>
    </row>
    <row r="520" spans="2:62" ht="15.75" customHeight="1">
      <c r="B520" s="181"/>
      <c r="C520" s="411"/>
      <c r="D520" s="411"/>
      <c r="E520" s="411"/>
      <c r="F520" s="411"/>
      <c r="G520" s="411"/>
      <c r="H520" s="411"/>
      <c r="I520" s="411"/>
      <c r="J520" s="411"/>
      <c r="K520" s="411"/>
      <c r="L520" s="411"/>
      <c r="M520" s="421"/>
      <c r="N520" s="411"/>
      <c r="O520" s="411"/>
      <c r="P520" s="411"/>
      <c r="Q520" s="411"/>
      <c r="R520" s="411"/>
      <c r="S520" s="411"/>
      <c r="T520" s="411"/>
      <c r="U520" s="411"/>
      <c r="V520" s="411"/>
      <c r="W520" s="411"/>
      <c r="X520" s="411"/>
      <c r="Y520" s="184"/>
      <c r="Z520" s="184"/>
      <c r="AA520" s="184"/>
      <c r="AB520" s="184"/>
      <c r="AC520" s="184"/>
      <c r="AD520" s="184"/>
      <c r="AE520" s="184"/>
      <c r="AF520" s="184"/>
      <c r="AG520" s="184"/>
      <c r="AH520" s="184"/>
      <c r="AI520" s="184"/>
      <c r="AJ520" s="184"/>
      <c r="AK520" s="184"/>
      <c r="AL520" s="184"/>
      <c r="AM520" s="184"/>
      <c r="AN520" s="184"/>
      <c r="AO520" s="184"/>
      <c r="AP520" s="184"/>
      <c r="AQ520" s="184"/>
      <c r="AR520" s="184"/>
      <c r="AS520" s="184"/>
      <c r="AT520" s="184"/>
      <c r="AU520" s="184"/>
      <c r="AV520" s="184"/>
      <c r="AW520" s="184"/>
      <c r="AX520" s="184"/>
      <c r="AY520" s="184"/>
      <c r="AZ520" s="184"/>
      <c r="BA520" s="184"/>
      <c r="BB520" s="184"/>
      <c r="BC520" s="184"/>
      <c r="BD520" s="184"/>
      <c r="BE520" s="184"/>
      <c r="BF520" s="184"/>
      <c r="BG520" s="184"/>
      <c r="BH520" s="184"/>
      <c r="BI520" s="184"/>
      <c r="BJ520" s="184"/>
    </row>
    <row r="521" spans="2:62" ht="15.75" customHeight="1">
      <c r="B521" s="181"/>
      <c r="C521" s="411"/>
      <c r="D521" s="411"/>
      <c r="E521" s="411"/>
      <c r="F521" s="411"/>
      <c r="G521" s="411"/>
      <c r="H521" s="411"/>
      <c r="I521" s="411"/>
      <c r="J521" s="420"/>
      <c r="K521" s="420"/>
      <c r="L521" s="420"/>
      <c r="M521" s="423"/>
      <c r="N521" s="420"/>
      <c r="O521" s="420"/>
      <c r="P521" s="420"/>
      <c r="Q521" s="411"/>
      <c r="R521" s="411"/>
      <c r="S521" s="420"/>
      <c r="T521" s="411"/>
      <c r="U521" s="411"/>
      <c r="V521" s="411"/>
      <c r="W521" s="411"/>
      <c r="X521" s="411"/>
      <c r="Y521" s="184"/>
      <c r="Z521" s="184"/>
      <c r="AA521" s="184"/>
      <c r="AB521" s="184"/>
      <c r="AC521" s="184"/>
      <c r="AD521" s="184"/>
      <c r="AE521" s="184"/>
      <c r="AF521" s="184"/>
      <c r="AG521" s="184"/>
      <c r="AH521" s="184"/>
      <c r="AI521" s="184"/>
      <c r="AJ521" s="184"/>
      <c r="AK521" s="184"/>
      <c r="AL521" s="184"/>
      <c r="AM521" s="184"/>
      <c r="AN521" s="184"/>
      <c r="AO521" s="184"/>
      <c r="AP521" s="184"/>
      <c r="AQ521" s="184"/>
      <c r="AR521" s="184"/>
      <c r="AS521" s="184"/>
      <c r="AT521" s="184"/>
      <c r="AU521" s="184"/>
      <c r="AV521" s="184"/>
      <c r="AW521" s="184"/>
      <c r="AX521" s="184"/>
      <c r="AY521" s="184"/>
      <c r="AZ521" s="184"/>
      <c r="BA521" s="184"/>
      <c r="BB521" s="184"/>
      <c r="BC521" s="184"/>
      <c r="BD521" s="184"/>
      <c r="BE521" s="184"/>
      <c r="BF521" s="184"/>
      <c r="BG521" s="184"/>
      <c r="BH521" s="184"/>
      <c r="BI521" s="184"/>
      <c r="BJ521" s="184"/>
    </row>
    <row r="522" spans="2:62" ht="15.75" customHeight="1">
      <c r="B522" s="181"/>
      <c r="C522" s="411"/>
      <c r="D522" s="411"/>
      <c r="E522" s="411"/>
      <c r="F522" s="411"/>
      <c r="G522" s="411"/>
      <c r="H522" s="411"/>
      <c r="I522" s="411"/>
      <c r="J522" s="411"/>
      <c r="K522" s="411"/>
      <c r="L522" s="411"/>
      <c r="M522" s="411"/>
      <c r="N522" s="411"/>
      <c r="O522" s="411"/>
      <c r="P522" s="411"/>
      <c r="Q522" s="411"/>
      <c r="R522" s="411"/>
      <c r="S522" s="411"/>
      <c r="T522" s="411"/>
      <c r="U522" s="411"/>
      <c r="V522" s="411"/>
      <c r="W522" s="411"/>
      <c r="X522" s="411"/>
      <c r="Y522" s="184"/>
      <c r="Z522" s="184"/>
      <c r="AA522" s="184"/>
      <c r="AB522" s="184"/>
      <c r="AC522" s="184"/>
      <c r="AD522" s="184"/>
      <c r="AE522" s="184"/>
      <c r="AF522" s="184"/>
      <c r="AG522" s="184"/>
      <c r="AH522" s="184"/>
      <c r="AI522" s="184"/>
      <c r="AJ522" s="184"/>
      <c r="AK522" s="184"/>
      <c r="AL522" s="184"/>
      <c r="AM522" s="184"/>
      <c r="AN522" s="184"/>
      <c r="AO522" s="184"/>
      <c r="AP522" s="184"/>
      <c r="AQ522" s="184"/>
      <c r="AR522" s="184"/>
      <c r="AS522" s="184"/>
      <c r="AT522" s="184"/>
      <c r="AU522" s="184"/>
      <c r="AV522" s="184"/>
      <c r="AW522" s="184"/>
      <c r="AX522" s="184"/>
      <c r="AY522" s="184"/>
      <c r="AZ522" s="184"/>
      <c r="BA522" s="184"/>
      <c r="BB522" s="184"/>
      <c r="BC522" s="184"/>
      <c r="BD522" s="184"/>
      <c r="BE522" s="184"/>
      <c r="BF522" s="184"/>
      <c r="BG522" s="184"/>
      <c r="BH522" s="184"/>
      <c r="BI522" s="184"/>
      <c r="BJ522" s="184"/>
    </row>
    <row r="523" spans="2:62" ht="15.75" customHeight="1">
      <c r="B523" s="181"/>
      <c r="C523" s="411"/>
      <c r="D523" s="411"/>
      <c r="E523" s="411"/>
      <c r="F523" s="411"/>
      <c r="G523" s="411"/>
      <c r="H523" s="411"/>
      <c r="I523" s="411"/>
      <c r="J523" s="411"/>
      <c r="K523" s="411"/>
      <c r="L523" s="411"/>
      <c r="M523" s="411"/>
      <c r="N523" s="411"/>
      <c r="O523" s="411"/>
      <c r="P523" s="411"/>
      <c r="Q523" s="411"/>
      <c r="R523" s="411"/>
      <c r="S523" s="411"/>
      <c r="T523" s="411"/>
      <c r="U523" s="411"/>
      <c r="V523" s="411"/>
      <c r="W523" s="411"/>
      <c r="X523" s="411"/>
      <c r="Y523" s="184"/>
      <c r="Z523" s="184"/>
      <c r="AA523" s="184"/>
      <c r="AB523" s="184"/>
      <c r="AC523" s="184"/>
      <c r="AD523" s="184"/>
      <c r="AE523" s="184"/>
      <c r="AF523" s="184"/>
      <c r="AG523" s="184"/>
      <c r="AH523" s="184"/>
      <c r="AI523" s="184"/>
      <c r="AJ523" s="184"/>
      <c r="AK523" s="184"/>
      <c r="AL523" s="184"/>
      <c r="AM523" s="184"/>
      <c r="AN523" s="184"/>
      <c r="AO523" s="184"/>
      <c r="AP523" s="184"/>
      <c r="AQ523" s="184"/>
      <c r="AR523" s="184"/>
      <c r="AS523" s="184"/>
      <c r="AT523" s="184"/>
      <c r="AU523" s="184"/>
      <c r="AV523" s="184"/>
      <c r="AW523" s="184"/>
      <c r="AX523" s="184"/>
      <c r="AY523" s="184"/>
      <c r="AZ523" s="184"/>
      <c r="BA523" s="184"/>
      <c r="BB523" s="184"/>
      <c r="BC523" s="184"/>
      <c r="BD523" s="184"/>
      <c r="BE523" s="184"/>
      <c r="BF523" s="184"/>
      <c r="BG523" s="184"/>
      <c r="BH523" s="184"/>
      <c r="BI523" s="184"/>
      <c r="BJ523" s="184"/>
    </row>
    <row r="524" spans="2:62" ht="15.75" customHeight="1">
      <c r="B524" s="181"/>
      <c r="C524" s="411"/>
      <c r="D524" s="411"/>
      <c r="E524" s="411"/>
      <c r="F524" s="411"/>
      <c r="G524" s="411"/>
      <c r="H524" s="411"/>
      <c r="I524" s="411"/>
      <c r="J524" s="411"/>
      <c r="K524" s="411"/>
      <c r="L524" s="411"/>
      <c r="M524" s="411"/>
      <c r="N524" s="411"/>
      <c r="O524" s="411"/>
      <c r="P524" s="411"/>
      <c r="Q524" s="411"/>
      <c r="R524" s="411"/>
      <c r="S524" s="411"/>
      <c r="T524" s="411"/>
      <c r="U524" s="411"/>
      <c r="V524" s="411"/>
      <c r="W524" s="411"/>
      <c r="X524" s="411"/>
      <c r="Y524" s="184"/>
      <c r="Z524" s="184"/>
      <c r="AA524" s="184"/>
      <c r="AB524" s="184"/>
      <c r="AC524" s="184"/>
      <c r="AD524" s="184"/>
      <c r="AE524" s="184"/>
      <c r="AF524" s="184"/>
      <c r="AG524" s="184"/>
      <c r="AH524" s="184"/>
      <c r="AI524" s="184"/>
      <c r="AJ524" s="184"/>
      <c r="AK524" s="184"/>
      <c r="AL524" s="184"/>
      <c r="AM524" s="184"/>
      <c r="AN524" s="184"/>
      <c r="AO524" s="184"/>
      <c r="AP524" s="184"/>
      <c r="AQ524" s="184"/>
      <c r="AR524" s="184"/>
      <c r="AS524" s="184"/>
      <c r="AT524" s="184"/>
      <c r="AU524" s="184"/>
      <c r="AV524" s="184"/>
      <c r="AW524" s="184"/>
      <c r="AX524" s="184"/>
      <c r="AY524" s="184"/>
      <c r="AZ524" s="184"/>
      <c r="BA524" s="184"/>
      <c r="BB524" s="184"/>
      <c r="BC524" s="184"/>
      <c r="BD524" s="184"/>
      <c r="BE524" s="184"/>
      <c r="BF524" s="184"/>
      <c r="BG524" s="184"/>
      <c r="BH524" s="184"/>
      <c r="BI524" s="184"/>
      <c r="BJ524" s="184"/>
    </row>
    <row r="525" spans="2:62" ht="15.75" customHeight="1">
      <c r="B525" s="181"/>
      <c r="C525" s="127"/>
      <c r="D525" s="424"/>
      <c r="E525" s="424"/>
      <c r="F525" s="424"/>
      <c r="G525" s="424"/>
      <c r="H525" s="424"/>
      <c r="I525" s="424"/>
      <c r="J525" s="424"/>
      <c r="K525" s="424"/>
      <c r="L525" s="424"/>
      <c r="M525" s="424"/>
      <c r="N525" s="424"/>
      <c r="O525" s="424"/>
      <c r="P525" s="424"/>
      <c r="Q525" s="424"/>
      <c r="R525" s="424"/>
      <c r="S525" s="424"/>
      <c r="T525" s="411"/>
      <c r="U525" s="411"/>
      <c r="V525" s="411"/>
      <c r="W525" s="411"/>
      <c r="X525" s="411"/>
      <c r="Y525" s="184"/>
      <c r="Z525" s="184"/>
      <c r="AA525" s="184"/>
      <c r="AB525" s="184"/>
      <c r="AC525" s="184"/>
      <c r="AD525" s="184"/>
      <c r="AE525" s="184"/>
      <c r="AF525" s="184"/>
      <c r="AG525" s="184"/>
      <c r="AH525" s="184"/>
      <c r="AI525" s="184"/>
      <c r="AJ525" s="184"/>
      <c r="AK525" s="184"/>
      <c r="AL525" s="184"/>
      <c r="AM525" s="184"/>
      <c r="AN525" s="184"/>
      <c r="AO525" s="184"/>
      <c r="AP525" s="184"/>
      <c r="AQ525" s="184"/>
      <c r="AR525" s="184"/>
      <c r="AS525" s="184"/>
      <c r="AT525" s="184"/>
      <c r="AU525" s="184"/>
      <c r="AV525" s="184"/>
      <c r="AW525" s="184"/>
      <c r="AX525" s="184"/>
      <c r="AY525" s="184"/>
      <c r="AZ525" s="184"/>
      <c r="BA525" s="184"/>
      <c r="BB525" s="184"/>
      <c r="BC525" s="184"/>
      <c r="BD525" s="184"/>
      <c r="BE525" s="184"/>
      <c r="BF525" s="184"/>
      <c r="BG525" s="184"/>
      <c r="BH525" s="184"/>
      <c r="BI525" s="184"/>
      <c r="BJ525" s="184"/>
    </row>
    <row r="526" spans="2:62" ht="15.75" customHeight="1">
      <c r="B526" s="181"/>
      <c r="C526" s="411"/>
      <c r="D526" s="411"/>
      <c r="E526" s="411"/>
      <c r="F526" s="411"/>
      <c r="G526" s="411"/>
      <c r="H526" s="411"/>
      <c r="I526" s="411"/>
      <c r="J526" s="411"/>
      <c r="K526" s="411"/>
      <c r="L526" s="411"/>
      <c r="M526" s="411"/>
      <c r="N526" s="411"/>
      <c r="O526" s="411"/>
      <c r="P526" s="411"/>
      <c r="Q526" s="425"/>
      <c r="R526" s="411"/>
      <c r="S526" s="411"/>
      <c r="T526" s="411"/>
      <c r="U526" s="411"/>
      <c r="V526" s="411"/>
      <c r="W526" s="411"/>
      <c r="X526" s="411"/>
      <c r="Y526" s="184"/>
      <c r="Z526" s="184"/>
      <c r="AA526" s="184"/>
      <c r="AB526" s="184"/>
      <c r="AC526" s="184"/>
      <c r="AD526" s="184"/>
      <c r="AE526" s="184"/>
      <c r="AF526" s="184"/>
      <c r="AG526" s="184"/>
      <c r="AH526" s="184"/>
      <c r="AI526" s="184"/>
      <c r="AJ526" s="184"/>
      <c r="AK526" s="184"/>
      <c r="AL526" s="184"/>
      <c r="AM526" s="184"/>
      <c r="AN526" s="184"/>
      <c r="AO526" s="184"/>
      <c r="AP526" s="184"/>
      <c r="AQ526" s="184"/>
      <c r="AR526" s="184"/>
      <c r="AS526" s="184"/>
      <c r="AT526" s="184"/>
      <c r="AU526" s="184"/>
      <c r="AV526" s="184"/>
      <c r="AW526" s="184"/>
      <c r="AX526" s="184"/>
      <c r="AY526" s="184"/>
      <c r="AZ526" s="184"/>
      <c r="BA526" s="184"/>
      <c r="BB526" s="184"/>
      <c r="BC526" s="184"/>
      <c r="BD526" s="184"/>
      <c r="BE526" s="184"/>
      <c r="BF526" s="184"/>
      <c r="BG526" s="184"/>
      <c r="BH526" s="184"/>
      <c r="BI526" s="184"/>
      <c r="BJ526" s="184"/>
    </row>
    <row r="527" spans="2:62" ht="15.75" customHeight="1">
      <c r="B527" s="181"/>
      <c r="C527" s="411"/>
      <c r="D527" s="411"/>
      <c r="E527" s="411"/>
      <c r="F527" s="411"/>
      <c r="G527" s="411"/>
      <c r="H527" s="411"/>
      <c r="I527" s="411"/>
      <c r="J527" s="411"/>
      <c r="K527" s="411"/>
      <c r="L527" s="426"/>
      <c r="M527" s="427"/>
      <c r="N527" s="427"/>
      <c r="O527" s="411"/>
      <c r="P527" s="426"/>
      <c r="Q527" s="427"/>
      <c r="R527" s="427"/>
      <c r="S527" s="426"/>
      <c r="T527" s="411"/>
      <c r="U527" s="411"/>
      <c r="V527" s="411"/>
      <c r="W527" s="411"/>
      <c r="X527" s="411"/>
      <c r="Y527" s="184"/>
      <c r="Z527" s="184"/>
      <c r="AA527" s="184"/>
      <c r="AB527" s="184"/>
      <c r="AC527" s="184"/>
      <c r="AD527" s="184"/>
      <c r="AE527" s="184"/>
      <c r="AF527" s="184"/>
      <c r="AG527" s="184"/>
      <c r="AH527" s="184"/>
      <c r="AI527" s="184"/>
      <c r="AJ527" s="184"/>
      <c r="AK527" s="184"/>
      <c r="AL527" s="184"/>
      <c r="AM527" s="184"/>
      <c r="AN527" s="184"/>
      <c r="AO527" s="184"/>
      <c r="AP527" s="184"/>
      <c r="AQ527" s="184"/>
      <c r="AR527" s="184"/>
      <c r="AS527" s="184"/>
      <c r="AT527" s="184"/>
      <c r="AU527" s="184"/>
      <c r="AV527" s="184"/>
      <c r="AW527" s="184"/>
      <c r="AX527" s="184"/>
      <c r="AY527" s="184"/>
      <c r="AZ527" s="184"/>
      <c r="BA527" s="184"/>
      <c r="BB527" s="184"/>
      <c r="BC527" s="184"/>
      <c r="BD527" s="184"/>
      <c r="BE527" s="184"/>
      <c r="BF527" s="184"/>
      <c r="BG527" s="184"/>
      <c r="BH527" s="184"/>
      <c r="BI527" s="184"/>
      <c r="BJ527" s="184"/>
    </row>
    <row r="528" spans="2:62" ht="15.75" customHeight="1">
      <c r="B528" s="181"/>
      <c r="C528" s="411"/>
      <c r="D528" s="411"/>
      <c r="E528" s="426"/>
      <c r="F528" s="428"/>
      <c r="G528" s="411"/>
      <c r="H528" s="426"/>
      <c r="I528" s="428"/>
      <c r="J528" s="427"/>
      <c r="K528" s="420"/>
      <c r="L528" s="426"/>
      <c r="M528" s="427"/>
      <c r="N528" s="427"/>
      <c r="O528" s="420"/>
      <c r="P528" s="426"/>
      <c r="Q528" s="427"/>
      <c r="R528" s="427"/>
      <c r="S528" s="426"/>
      <c r="T528" s="411"/>
      <c r="U528" s="411"/>
      <c r="V528" s="411"/>
      <c r="W528" s="411"/>
      <c r="X528" s="411"/>
      <c r="Y528" s="184"/>
      <c r="Z528" s="184"/>
      <c r="AA528" s="184"/>
      <c r="AB528" s="184"/>
      <c r="AC528" s="184"/>
      <c r="AD528" s="184"/>
      <c r="AE528" s="184"/>
      <c r="AF528" s="184"/>
      <c r="AG528" s="184"/>
      <c r="AH528" s="184"/>
      <c r="AI528" s="184"/>
      <c r="AJ528" s="184"/>
      <c r="AK528" s="184"/>
      <c r="AL528" s="184"/>
      <c r="AM528" s="184"/>
      <c r="AN528" s="184"/>
      <c r="AO528" s="184"/>
      <c r="AP528" s="184"/>
      <c r="AQ528" s="184"/>
      <c r="AR528" s="184"/>
      <c r="AS528" s="184"/>
      <c r="AT528" s="184"/>
      <c r="AU528" s="184"/>
      <c r="AV528" s="184"/>
      <c r="AW528" s="184"/>
      <c r="AX528" s="184"/>
      <c r="AY528" s="184"/>
      <c r="AZ528" s="184"/>
      <c r="BA528" s="184"/>
      <c r="BB528" s="184"/>
      <c r="BC528" s="184"/>
      <c r="BD528" s="184"/>
      <c r="BE528" s="184"/>
      <c r="BF528" s="184"/>
      <c r="BG528" s="184"/>
      <c r="BH528" s="184"/>
      <c r="BI528" s="184"/>
      <c r="BJ528" s="184"/>
    </row>
    <row r="529" spans="2:62" ht="15.75" customHeight="1">
      <c r="B529" s="181"/>
      <c r="C529" s="411"/>
      <c r="D529" s="429"/>
      <c r="E529" s="428"/>
      <c r="F529" s="428"/>
      <c r="G529" s="429"/>
      <c r="H529" s="428"/>
      <c r="I529" s="428"/>
      <c r="J529" s="428"/>
      <c r="K529" s="428"/>
      <c r="L529" s="428"/>
      <c r="M529" s="428"/>
      <c r="N529" s="428"/>
      <c r="O529" s="428"/>
      <c r="P529" s="428"/>
      <c r="Q529" s="428"/>
      <c r="R529" s="428"/>
      <c r="S529" s="428"/>
      <c r="T529" s="411"/>
      <c r="U529" s="411"/>
      <c r="V529" s="411"/>
      <c r="W529" s="411"/>
      <c r="X529" s="411"/>
      <c r="Y529" s="184"/>
      <c r="Z529" s="184"/>
      <c r="AA529" s="184"/>
      <c r="AB529" s="184"/>
      <c r="AC529" s="184"/>
      <c r="AD529" s="184"/>
      <c r="AE529" s="184"/>
      <c r="AF529" s="184"/>
      <c r="AG529" s="184"/>
      <c r="AH529" s="184"/>
      <c r="AI529" s="184"/>
      <c r="AJ529" s="184"/>
      <c r="AK529" s="184"/>
      <c r="AL529" s="184"/>
      <c r="AM529" s="184"/>
      <c r="AN529" s="184"/>
      <c r="AO529" s="184"/>
      <c r="AP529" s="184"/>
      <c r="AQ529" s="184"/>
      <c r="AR529" s="184"/>
      <c r="AS529" s="184"/>
      <c r="AT529" s="184"/>
      <c r="AU529" s="184"/>
      <c r="AV529" s="184"/>
      <c r="AW529" s="184"/>
      <c r="AX529" s="184"/>
      <c r="AY529" s="184"/>
      <c r="AZ529" s="184"/>
      <c r="BA529" s="184"/>
      <c r="BB529" s="184"/>
      <c r="BC529" s="184"/>
      <c r="BD529" s="184"/>
      <c r="BE529" s="184"/>
      <c r="BF529" s="184"/>
      <c r="BG529" s="184"/>
      <c r="BH529" s="184"/>
      <c r="BI529" s="184"/>
      <c r="BJ529" s="184"/>
    </row>
    <row r="530" spans="2:62" ht="15.75" customHeight="1">
      <c r="B530" s="181"/>
      <c r="C530" s="420"/>
      <c r="D530" s="411"/>
      <c r="E530" s="411"/>
      <c r="F530" s="411"/>
      <c r="G530" s="411"/>
      <c r="H530" s="411"/>
      <c r="I530" s="411"/>
      <c r="J530" s="411"/>
      <c r="K530" s="411"/>
      <c r="L530" s="411"/>
      <c r="M530" s="411"/>
      <c r="N530" s="411"/>
      <c r="O530" s="411"/>
      <c r="P530" s="411"/>
      <c r="Q530" s="411"/>
      <c r="R530" s="411"/>
      <c r="S530" s="411"/>
      <c r="T530" s="411"/>
      <c r="U530" s="411"/>
      <c r="V530" s="411"/>
      <c r="W530" s="411"/>
      <c r="X530" s="411"/>
      <c r="Y530" s="184"/>
      <c r="Z530" s="184"/>
      <c r="AA530" s="184"/>
      <c r="AB530" s="184"/>
      <c r="AC530" s="184"/>
      <c r="AD530" s="184"/>
      <c r="AE530" s="184"/>
      <c r="AF530" s="184"/>
      <c r="AG530" s="184"/>
      <c r="AH530" s="184"/>
      <c r="AI530" s="184"/>
      <c r="AJ530" s="184"/>
      <c r="AK530" s="184"/>
      <c r="AL530" s="184"/>
      <c r="AM530" s="184"/>
      <c r="AN530" s="184"/>
      <c r="AO530" s="184"/>
      <c r="AP530" s="184"/>
      <c r="AQ530" s="184"/>
      <c r="AR530" s="184"/>
      <c r="AS530" s="184"/>
      <c r="AT530" s="184"/>
      <c r="AU530" s="184"/>
      <c r="AV530" s="184"/>
      <c r="AW530" s="184"/>
      <c r="AX530" s="184"/>
      <c r="AY530" s="184"/>
      <c r="AZ530" s="184"/>
      <c r="BA530" s="184"/>
      <c r="BB530" s="184"/>
      <c r="BC530" s="184"/>
      <c r="BD530" s="184"/>
      <c r="BE530" s="184"/>
      <c r="BF530" s="184"/>
      <c r="BG530" s="184"/>
      <c r="BH530" s="184"/>
      <c r="BI530" s="184"/>
      <c r="BJ530" s="184"/>
    </row>
    <row r="531" spans="2:62" ht="15.75" customHeight="1">
      <c r="B531" s="181"/>
      <c r="C531" s="411"/>
      <c r="D531" s="411"/>
      <c r="E531" s="411"/>
      <c r="F531" s="411"/>
      <c r="G531" s="411"/>
      <c r="H531" s="411"/>
      <c r="I531" s="411"/>
      <c r="J531" s="411"/>
      <c r="K531" s="411"/>
      <c r="L531" s="411"/>
      <c r="M531" s="411"/>
      <c r="N531" s="411"/>
      <c r="O531" s="411"/>
      <c r="P531" s="411"/>
      <c r="Q531" s="411"/>
      <c r="R531" s="411"/>
      <c r="S531" s="411"/>
      <c r="T531" s="411"/>
      <c r="U531" s="411"/>
      <c r="V531" s="411"/>
      <c r="W531" s="411"/>
      <c r="X531" s="411"/>
      <c r="Y531" s="184"/>
      <c r="Z531" s="184"/>
      <c r="AA531" s="184"/>
      <c r="AB531" s="184"/>
      <c r="AC531" s="184"/>
      <c r="AD531" s="184"/>
      <c r="AE531" s="184"/>
      <c r="AF531" s="184"/>
      <c r="AG531" s="184"/>
      <c r="AH531" s="184"/>
      <c r="AI531" s="184"/>
      <c r="AJ531" s="184"/>
      <c r="AK531" s="184"/>
      <c r="AL531" s="184"/>
      <c r="AM531" s="184"/>
      <c r="AN531" s="184"/>
      <c r="AO531" s="184"/>
      <c r="AP531" s="184"/>
      <c r="AQ531" s="184"/>
      <c r="AR531" s="184"/>
      <c r="AS531" s="184"/>
      <c r="AT531" s="184"/>
      <c r="AU531" s="184"/>
      <c r="AV531" s="184"/>
      <c r="AW531" s="184"/>
      <c r="AX531" s="184"/>
      <c r="AY531" s="184"/>
      <c r="AZ531" s="184"/>
      <c r="BA531" s="184"/>
      <c r="BB531" s="184"/>
      <c r="BC531" s="184"/>
      <c r="BD531" s="184"/>
      <c r="BE531" s="184"/>
      <c r="BF531" s="184"/>
      <c r="BG531" s="184"/>
      <c r="BH531" s="184"/>
      <c r="BI531" s="184"/>
      <c r="BJ531" s="184"/>
    </row>
    <row r="532" spans="2:62" ht="15.75" customHeight="1">
      <c r="B532" s="181"/>
      <c r="C532" s="411"/>
      <c r="D532" s="411"/>
      <c r="E532" s="421"/>
      <c r="F532" s="430"/>
      <c r="G532" s="411"/>
      <c r="H532" s="421"/>
      <c r="I532" s="430"/>
      <c r="J532" s="430"/>
      <c r="K532" s="421"/>
      <c r="L532" s="430"/>
      <c r="M532" s="421"/>
      <c r="N532" s="430"/>
      <c r="O532" s="421"/>
      <c r="P532" s="430"/>
      <c r="Q532" s="421"/>
      <c r="R532" s="421"/>
      <c r="S532" s="421"/>
      <c r="T532" s="411"/>
      <c r="U532" s="411"/>
      <c r="V532" s="411"/>
      <c r="W532" s="411"/>
      <c r="X532" s="411"/>
      <c r="Y532" s="184"/>
      <c r="Z532" s="184"/>
      <c r="AA532" s="184"/>
      <c r="AB532" s="184"/>
      <c r="AC532" s="184"/>
      <c r="AD532" s="184"/>
      <c r="AE532" s="184"/>
      <c r="AF532" s="184"/>
      <c r="AG532" s="184"/>
      <c r="AH532" s="184"/>
      <c r="AI532" s="184"/>
      <c r="AJ532" s="184"/>
      <c r="AK532" s="184"/>
      <c r="AL532" s="184"/>
      <c r="AM532" s="184"/>
      <c r="AN532" s="184"/>
      <c r="AO532" s="184"/>
      <c r="AP532" s="184"/>
      <c r="AQ532" s="184"/>
      <c r="AR532" s="184"/>
      <c r="AS532" s="184"/>
      <c r="AT532" s="184"/>
      <c r="AU532" s="184"/>
      <c r="AV532" s="184"/>
      <c r="AW532" s="184"/>
      <c r="AX532" s="184"/>
      <c r="AY532" s="184"/>
      <c r="AZ532" s="184"/>
      <c r="BA532" s="184"/>
      <c r="BB532" s="184"/>
      <c r="BC532" s="184"/>
      <c r="BD532" s="184"/>
      <c r="BE532" s="184"/>
      <c r="BF532" s="184"/>
      <c r="BG532" s="184"/>
      <c r="BH532" s="184"/>
      <c r="BI532" s="184"/>
      <c r="BJ532" s="184"/>
    </row>
    <row r="533" spans="2:62" ht="15.75" customHeight="1">
      <c r="B533" s="181"/>
      <c r="C533" s="411"/>
      <c r="D533" s="411"/>
      <c r="E533" s="421"/>
      <c r="F533" s="430"/>
      <c r="G533" s="411"/>
      <c r="H533" s="421"/>
      <c r="I533" s="430"/>
      <c r="J533" s="430"/>
      <c r="K533" s="421"/>
      <c r="L533" s="430"/>
      <c r="M533" s="421"/>
      <c r="N533" s="430"/>
      <c r="O533" s="421"/>
      <c r="P533" s="430"/>
      <c r="Q533" s="421"/>
      <c r="R533" s="421"/>
      <c r="S533" s="421"/>
      <c r="T533" s="411"/>
      <c r="U533" s="411"/>
      <c r="V533" s="411"/>
      <c r="W533" s="411"/>
      <c r="X533" s="411"/>
      <c r="Y533" s="184"/>
      <c r="Z533" s="184"/>
      <c r="AA533" s="184"/>
      <c r="AB533" s="184"/>
      <c r="AC533" s="184"/>
      <c r="AD533" s="184"/>
      <c r="AE533" s="184"/>
      <c r="AF533" s="184"/>
      <c r="AG533" s="184"/>
      <c r="AH533" s="184"/>
      <c r="AI533" s="184"/>
      <c r="AJ533" s="184"/>
      <c r="AK533" s="184"/>
      <c r="AL533" s="184"/>
      <c r="AM533" s="184"/>
      <c r="AN533" s="184"/>
      <c r="AO533" s="184"/>
      <c r="AP533" s="184"/>
      <c r="AQ533" s="184"/>
      <c r="AR533" s="184"/>
      <c r="AS533" s="184"/>
      <c r="AT533" s="184"/>
      <c r="AU533" s="184"/>
      <c r="AV533" s="184"/>
      <c r="AW533" s="184"/>
      <c r="AX533" s="184"/>
      <c r="AY533" s="184"/>
      <c r="AZ533" s="184"/>
      <c r="BA533" s="184"/>
      <c r="BB533" s="184"/>
      <c r="BC533" s="184"/>
      <c r="BD533" s="184"/>
      <c r="BE533" s="184"/>
      <c r="BF533" s="184"/>
      <c r="BG533" s="184"/>
      <c r="BH533" s="184"/>
      <c r="BI533" s="184"/>
      <c r="BJ533" s="184"/>
    </row>
    <row r="534" spans="2:62" ht="15.75" customHeight="1">
      <c r="B534" s="181"/>
      <c r="C534" s="411"/>
      <c r="D534" s="411"/>
      <c r="E534" s="421"/>
      <c r="F534" s="430"/>
      <c r="G534" s="411"/>
      <c r="H534" s="421"/>
      <c r="I534" s="430"/>
      <c r="J534" s="430"/>
      <c r="K534" s="421"/>
      <c r="L534" s="430"/>
      <c r="M534" s="421"/>
      <c r="N534" s="430"/>
      <c r="O534" s="421"/>
      <c r="P534" s="430"/>
      <c r="Q534" s="421"/>
      <c r="R534" s="421"/>
      <c r="S534" s="421"/>
      <c r="T534" s="411"/>
      <c r="U534" s="411"/>
      <c r="V534" s="411"/>
      <c r="W534" s="411"/>
      <c r="X534" s="411"/>
      <c r="Y534" s="184"/>
      <c r="Z534" s="184"/>
      <c r="AA534" s="184"/>
      <c r="AB534" s="184"/>
      <c r="AC534" s="184"/>
      <c r="AD534" s="184"/>
      <c r="AE534" s="184"/>
      <c r="AF534" s="184"/>
      <c r="AG534" s="184"/>
      <c r="AH534" s="184"/>
      <c r="AI534" s="184"/>
      <c r="AJ534" s="184"/>
      <c r="AK534" s="184"/>
      <c r="AL534" s="184"/>
      <c r="AM534" s="184"/>
      <c r="AN534" s="184"/>
      <c r="AO534" s="184"/>
      <c r="AP534" s="184"/>
      <c r="AQ534" s="184"/>
      <c r="AR534" s="184"/>
      <c r="AS534" s="184"/>
      <c r="AT534" s="184"/>
      <c r="AU534" s="184"/>
      <c r="AV534" s="184"/>
      <c r="AW534" s="184"/>
      <c r="AX534" s="184"/>
      <c r="AY534" s="184"/>
      <c r="AZ534" s="184"/>
      <c r="BA534" s="184"/>
      <c r="BB534" s="184"/>
      <c r="BC534" s="184"/>
      <c r="BD534" s="184"/>
      <c r="BE534" s="184"/>
      <c r="BF534" s="184"/>
      <c r="BG534" s="184"/>
      <c r="BH534" s="184"/>
      <c r="BI534" s="184"/>
      <c r="BJ534" s="184"/>
    </row>
    <row r="535" spans="2:62" ht="15.75" customHeight="1">
      <c r="B535" s="181"/>
      <c r="C535" s="411"/>
      <c r="D535" s="411"/>
      <c r="E535" s="421"/>
      <c r="F535" s="430"/>
      <c r="G535" s="411"/>
      <c r="H535" s="421"/>
      <c r="I535" s="430"/>
      <c r="J535" s="430"/>
      <c r="K535" s="421"/>
      <c r="L535" s="430"/>
      <c r="M535" s="421"/>
      <c r="N535" s="430"/>
      <c r="O535" s="421"/>
      <c r="P535" s="430"/>
      <c r="Q535" s="421"/>
      <c r="R535" s="421"/>
      <c r="S535" s="421"/>
      <c r="T535" s="411"/>
      <c r="U535" s="411"/>
      <c r="V535" s="411"/>
      <c r="W535" s="411"/>
      <c r="X535" s="411"/>
      <c r="Y535" s="184"/>
      <c r="Z535" s="184"/>
      <c r="AA535" s="184"/>
      <c r="AB535" s="184"/>
      <c r="AC535" s="184"/>
      <c r="AD535" s="184"/>
      <c r="AE535" s="184"/>
      <c r="AF535" s="184"/>
      <c r="AG535" s="184"/>
      <c r="AH535" s="184"/>
      <c r="AI535" s="184"/>
      <c r="AJ535" s="184"/>
      <c r="AK535" s="184"/>
      <c r="AL535" s="184"/>
      <c r="AM535" s="184"/>
      <c r="AN535" s="184"/>
      <c r="AO535" s="184"/>
      <c r="AP535" s="184"/>
      <c r="AQ535" s="184"/>
      <c r="AR535" s="184"/>
      <c r="AS535" s="184"/>
      <c r="AT535" s="184"/>
      <c r="AU535" s="184"/>
      <c r="AV535" s="184"/>
      <c r="AW535" s="184"/>
      <c r="AX535" s="184"/>
      <c r="AY535" s="184"/>
      <c r="AZ535" s="184"/>
      <c r="BA535" s="184"/>
      <c r="BB535" s="184"/>
      <c r="BC535" s="184"/>
      <c r="BD535" s="184"/>
      <c r="BE535" s="184"/>
      <c r="BF535" s="184"/>
      <c r="BG535" s="184"/>
      <c r="BH535" s="184"/>
      <c r="BI535" s="184"/>
      <c r="BJ535" s="184"/>
    </row>
    <row r="536" spans="2:62" ht="15.75" customHeight="1">
      <c r="B536" s="181"/>
      <c r="C536" s="411"/>
      <c r="D536" s="411"/>
      <c r="E536" s="421"/>
      <c r="F536" s="430"/>
      <c r="G536" s="411"/>
      <c r="H536" s="421"/>
      <c r="I536" s="430"/>
      <c r="J536" s="430"/>
      <c r="K536" s="421"/>
      <c r="L536" s="430"/>
      <c r="M536" s="421"/>
      <c r="N536" s="430"/>
      <c r="O536" s="421"/>
      <c r="P536" s="430"/>
      <c r="Q536" s="421"/>
      <c r="R536" s="421"/>
      <c r="S536" s="411"/>
      <c r="T536" s="411"/>
      <c r="U536" s="411"/>
      <c r="V536" s="411"/>
      <c r="W536" s="411"/>
      <c r="X536" s="411"/>
      <c r="Y536" s="184"/>
      <c r="Z536" s="184"/>
      <c r="AA536" s="184"/>
      <c r="AB536" s="184"/>
      <c r="AC536" s="184"/>
      <c r="AD536" s="184"/>
      <c r="AE536" s="184"/>
      <c r="AF536" s="184"/>
      <c r="AG536" s="184"/>
      <c r="AH536" s="184"/>
      <c r="AI536" s="184"/>
      <c r="AJ536" s="184"/>
      <c r="AK536" s="184"/>
      <c r="AL536" s="184"/>
      <c r="AM536" s="184"/>
      <c r="AN536" s="184"/>
      <c r="AO536" s="184"/>
      <c r="AP536" s="184"/>
      <c r="AQ536" s="184"/>
      <c r="AR536" s="184"/>
      <c r="AS536" s="184"/>
      <c r="AT536" s="184"/>
      <c r="AU536" s="184"/>
      <c r="AV536" s="184"/>
      <c r="AW536" s="184"/>
      <c r="AX536" s="184"/>
      <c r="AY536" s="184"/>
      <c r="AZ536" s="184"/>
      <c r="BA536" s="184"/>
      <c r="BB536" s="184"/>
      <c r="BC536" s="184"/>
      <c r="BD536" s="184"/>
      <c r="BE536" s="184"/>
      <c r="BF536" s="184"/>
      <c r="BG536" s="184"/>
      <c r="BH536" s="184"/>
      <c r="BI536" s="184"/>
      <c r="BJ536" s="184"/>
    </row>
    <row r="537" spans="2:62" ht="15.75" customHeight="1">
      <c r="B537" s="181"/>
      <c r="C537" s="411"/>
      <c r="D537" s="411"/>
      <c r="E537" s="421"/>
      <c r="F537" s="430"/>
      <c r="G537" s="411"/>
      <c r="H537" s="421"/>
      <c r="I537" s="430"/>
      <c r="J537" s="430"/>
      <c r="K537" s="421"/>
      <c r="L537" s="430"/>
      <c r="M537" s="421"/>
      <c r="N537" s="430"/>
      <c r="O537" s="421"/>
      <c r="P537" s="430"/>
      <c r="Q537" s="421"/>
      <c r="R537" s="421"/>
      <c r="S537" s="421"/>
      <c r="T537" s="411"/>
      <c r="U537" s="411"/>
      <c r="V537" s="411"/>
      <c r="W537" s="411"/>
      <c r="X537" s="411"/>
      <c r="Y537" s="184"/>
      <c r="Z537" s="184"/>
      <c r="AA537" s="184"/>
      <c r="AB537" s="184"/>
      <c r="AC537" s="184"/>
      <c r="AD537" s="184"/>
      <c r="AE537" s="184"/>
      <c r="AF537" s="184"/>
      <c r="AG537" s="184"/>
      <c r="AH537" s="184"/>
      <c r="AI537" s="184"/>
      <c r="AJ537" s="184"/>
      <c r="AK537" s="184"/>
      <c r="AL537" s="184"/>
      <c r="AM537" s="184"/>
      <c r="AN537" s="184"/>
      <c r="AO537" s="184"/>
      <c r="AP537" s="184"/>
      <c r="AQ537" s="184"/>
      <c r="AR537" s="184"/>
      <c r="AS537" s="184"/>
      <c r="AT537" s="184"/>
      <c r="AU537" s="184"/>
      <c r="AV537" s="184"/>
      <c r="AW537" s="184"/>
      <c r="AX537" s="184"/>
      <c r="AY537" s="184"/>
      <c r="AZ537" s="184"/>
      <c r="BA537" s="184"/>
      <c r="BB537" s="184"/>
      <c r="BC537" s="184"/>
      <c r="BD537" s="184"/>
      <c r="BE537" s="184"/>
      <c r="BF537" s="184"/>
      <c r="BG537" s="184"/>
      <c r="BH537" s="184"/>
      <c r="BI537" s="184"/>
      <c r="BJ537" s="184"/>
    </row>
    <row r="538" spans="2:62" ht="15.75" customHeight="1">
      <c r="B538" s="181"/>
      <c r="C538" s="411"/>
      <c r="D538" s="411"/>
      <c r="E538" s="421"/>
      <c r="F538" s="431"/>
      <c r="G538" s="411"/>
      <c r="H538" s="421"/>
      <c r="I538" s="431"/>
      <c r="J538" s="430"/>
      <c r="K538" s="421"/>
      <c r="L538" s="430"/>
      <c r="M538" s="421"/>
      <c r="N538" s="430"/>
      <c r="O538" s="421"/>
      <c r="P538" s="411"/>
      <c r="Q538" s="411"/>
      <c r="R538" s="421"/>
      <c r="S538" s="421"/>
      <c r="T538" s="411"/>
      <c r="U538" s="411"/>
      <c r="V538" s="411"/>
      <c r="W538" s="411"/>
      <c r="X538" s="411"/>
      <c r="Y538" s="184"/>
      <c r="Z538" s="184"/>
      <c r="AA538" s="184"/>
      <c r="AB538" s="184"/>
      <c r="AC538" s="184"/>
      <c r="AD538" s="184"/>
      <c r="AE538" s="184"/>
      <c r="AF538" s="184"/>
      <c r="AG538" s="184"/>
      <c r="AH538" s="184"/>
      <c r="AI538" s="184"/>
      <c r="AJ538" s="184"/>
      <c r="AK538" s="184"/>
      <c r="AL538" s="184"/>
      <c r="AM538" s="184"/>
      <c r="AN538" s="184"/>
      <c r="AO538" s="184"/>
      <c r="AP538" s="184"/>
      <c r="AQ538" s="184"/>
      <c r="AR538" s="184"/>
      <c r="AS538" s="184"/>
      <c r="AT538" s="184"/>
      <c r="AU538" s="184"/>
      <c r="AV538" s="184"/>
      <c r="AW538" s="184"/>
      <c r="AX538" s="184"/>
      <c r="AY538" s="184"/>
      <c r="AZ538" s="184"/>
      <c r="BA538" s="184"/>
      <c r="BB538" s="184"/>
      <c r="BC538" s="184"/>
      <c r="BD538" s="184"/>
      <c r="BE538" s="184"/>
      <c r="BF538" s="184"/>
      <c r="BG538" s="184"/>
      <c r="BH538" s="184"/>
      <c r="BI538" s="184"/>
      <c r="BJ538" s="184"/>
    </row>
    <row r="539" spans="2:62" ht="15.75" customHeight="1">
      <c r="B539" s="181"/>
      <c r="C539" s="420"/>
      <c r="D539" s="420"/>
      <c r="E539" s="423"/>
      <c r="F539" s="432"/>
      <c r="G539" s="420"/>
      <c r="H539" s="423"/>
      <c r="I539" s="432"/>
      <c r="J539" s="432"/>
      <c r="K539" s="423"/>
      <c r="L539" s="432"/>
      <c r="M539" s="423"/>
      <c r="N539" s="432"/>
      <c r="O539" s="423"/>
      <c r="P539" s="432"/>
      <c r="Q539" s="423"/>
      <c r="R539" s="423"/>
      <c r="S539" s="420"/>
      <c r="T539" s="411"/>
      <c r="U539" s="411"/>
      <c r="V539" s="411"/>
      <c r="W539" s="411"/>
      <c r="X539" s="411"/>
      <c r="Y539" s="184"/>
      <c r="Z539" s="184"/>
      <c r="AA539" s="184"/>
      <c r="AB539" s="184"/>
      <c r="AC539" s="184"/>
      <c r="AD539" s="184"/>
      <c r="AE539" s="184"/>
      <c r="AF539" s="184"/>
      <c r="AG539" s="184"/>
      <c r="AH539" s="184"/>
      <c r="AI539" s="184"/>
      <c r="AJ539" s="184"/>
      <c r="AK539" s="184"/>
      <c r="AL539" s="184"/>
      <c r="AM539" s="184"/>
      <c r="AN539" s="184"/>
      <c r="AO539" s="184"/>
      <c r="AP539" s="184"/>
      <c r="AQ539" s="184"/>
      <c r="AR539" s="184"/>
      <c r="AS539" s="184"/>
      <c r="AT539" s="184"/>
      <c r="AU539" s="184"/>
      <c r="AV539" s="184"/>
      <c r="AW539" s="184"/>
      <c r="AX539" s="184"/>
      <c r="AY539" s="184"/>
      <c r="AZ539" s="184"/>
      <c r="BA539" s="184"/>
      <c r="BB539" s="184"/>
      <c r="BC539" s="184"/>
      <c r="BD539" s="184"/>
      <c r="BE539" s="184"/>
      <c r="BF539" s="184"/>
      <c r="BG539" s="184"/>
      <c r="BH539" s="184"/>
      <c r="BI539" s="184"/>
      <c r="BJ539" s="184"/>
    </row>
    <row r="540" spans="2:62" ht="15.75" customHeight="1">
      <c r="B540" s="181"/>
      <c r="C540" s="411"/>
      <c r="D540" s="411"/>
      <c r="E540" s="421"/>
      <c r="F540" s="411"/>
      <c r="G540" s="411"/>
      <c r="H540" s="421"/>
      <c r="I540" s="411"/>
      <c r="J540" s="430"/>
      <c r="K540" s="421"/>
      <c r="L540" s="430"/>
      <c r="M540" s="421"/>
      <c r="N540" s="430"/>
      <c r="O540" s="421"/>
      <c r="P540" s="420"/>
      <c r="Q540" s="432"/>
      <c r="R540" s="432"/>
      <c r="S540" s="411"/>
      <c r="T540" s="411"/>
      <c r="U540" s="411"/>
      <c r="V540" s="411"/>
      <c r="W540" s="411"/>
      <c r="X540" s="411"/>
      <c r="Y540" s="184"/>
      <c r="Z540" s="184"/>
      <c r="AA540" s="184"/>
      <c r="AB540" s="184"/>
      <c r="AC540" s="184"/>
      <c r="AD540" s="184"/>
      <c r="AE540" s="184"/>
      <c r="AF540" s="184"/>
      <c r="AG540" s="184"/>
      <c r="AH540" s="184"/>
      <c r="AI540" s="184"/>
      <c r="AJ540" s="184"/>
      <c r="AK540" s="184"/>
      <c r="AL540" s="184"/>
      <c r="AM540" s="184"/>
      <c r="AN540" s="184"/>
      <c r="AO540" s="184"/>
      <c r="AP540" s="184"/>
      <c r="AQ540" s="184"/>
      <c r="AR540" s="184"/>
      <c r="AS540" s="184"/>
      <c r="AT540" s="184"/>
      <c r="AU540" s="184"/>
      <c r="AV540" s="184"/>
      <c r="AW540" s="184"/>
      <c r="AX540" s="184"/>
      <c r="AY540" s="184"/>
      <c r="AZ540" s="184"/>
      <c r="BA540" s="184"/>
      <c r="BB540" s="184"/>
      <c r="BC540" s="184"/>
      <c r="BD540" s="184"/>
      <c r="BE540" s="184"/>
      <c r="BF540" s="184"/>
      <c r="BG540" s="184"/>
      <c r="BH540" s="184"/>
      <c r="BI540" s="184"/>
      <c r="BJ540" s="184"/>
    </row>
    <row r="541" spans="2:62" ht="15.75" customHeight="1">
      <c r="B541" s="181"/>
      <c r="C541" s="411"/>
      <c r="D541" s="411"/>
      <c r="E541" s="421"/>
      <c r="F541" s="411"/>
      <c r="G541" s="411"/>
      <c r="H541" s="421"/>
      <c r="I541" s="411"/>
      <c r="J541" s="430"/>
      <c r="K541" s="421"/>
      <c r="L541" s="430"/>
      <c r="M541" s="421"/>
      <c r="N541" s="430"/>
      <c r="O541" s="421"/>
      <c r="P541" s="411"/>
      <c r="Q541" s="411"/>
      <c r="R541" s="421"/>
      <c r="S541" s="411"/>
      <c r="T541" s="411"/>
      <c r="U541" s="411"/>
      <c r="V541" s="411"/>
      <c r="W541" s="411"/>
      <c r="X541" s="411"/>
      <c r="Y541" s="184"/>
      <c r="Z541" s="184"/>
      <c r="AA541" s="184"/>
      <c r="AB541" s="184"/>
      <c r="AC541" s="184"/>
      <c r="AD541" s="184"/>
      <c r="AE541" s="184"/>
      <c r="AF541" s="184"/>
      <c r="AG541" s="184"/>
      <c r="AH541" s="184"/>
      <c r="AI541" s="184"/>
      <c r="AJ541" s="184"/>
      <c r="AK541" s="184"/>
      <c r="AL541" s="184"/>
      <c r="AM541" s="184"/>
      <c r="AN541" s="184"/>
      <c r="AO541" s="184"/>
      <c r="AP541" s="184"/>
      <c r="AQ541" s="184"/>
      <c r="AR541" s="184"/>
      <c r="AS541" s="184"/>
      <c r="AT541" s="184"/>
      <c r="AU541" s="184"/>
      <c r="AV541" s="184"/>
      <c r="AW541" s="184"/>
      <c r="AX541" s="184"/>
      <c r="AY541" s="184"/>
      <c r="AZ541" s="184"/>
      <c r="BA541" s="184"/>
      <c r="BB541" s="184"/>
      <c r="BC541" s="184"/>
      <c r="BD541" s="184"/>
      <c r="BE541" s="184"/>
      <c r="BF541" s="184"/>
      <c r="BG541" s="184"/>
      <c r="BH541" s="184"/>
      <c r="BI541" s="184"/>
      <c r="BJ541" s="184"/>
    </row>
    <row r="542" spans="2:62" ht="15.75" customHeight="1">
      <c r="B542" s="181"/>
      <c r="C542" s="420"/>
      <c r="D542" s="411"/>
      <c r="E542" s="421"/>
      <c r="F542" s="411"/>
      <c r="G542" s="411"/>
      <c r="H542" s="421"/>
      <c r="I542" s="411"/>
      <c r="J542" s="430"/>
      <c r="K542" s="421"/>
      <c r="L542" s="430"/>
      <c r="M542" s="421"/>
      <c r="N542" s="430"/>
      <c r="O542" s="421"/>
      <c r="P542" s="411"/>
      <c r="Q542" s="411"/>
      <c r="R542" s="421"/>
      <c r="S542" s="411"/>
      <c r="T542" s="411"/>
      <c r="U542" s="411"/>
      <c r="V542" s="411"/>
      <c r="W542" s="411"/>
      <c r="X542" s="411"/>
      <c r="Y542" s="184"/>
      <c r="Z542" s="184"/>
      <c r="AA542" s="184"/>
      <c r="AB542" s="184"/>
      <c r="AC542" s="184"/>
      <c r="AD542" s="184"/>
      <c r="AE542" s="184"/>
      <c r="AF542" s="184"/>
      <c r="AG542" s="184"/>
      <c r="AH542" s="184"/>
      <c r="AI542" s="184"/>
      <c r="AJ542" s="184"/>
      <c r="AK542" s="184"/>
      <c r="AL542" s="184"/>
      <c r="AM542" s="184"/>
      <c r="AN542" s="184"/>
      <c r="AO542" s="184"/>
      <c r="AP542" s="184"/>
      <c r="AQ542" s="184"/>
      <c r="AR542" s="184"/>
      <c r="AS542" s="184"/>
      <c r="AT542" s="184"/>
      <c r="AU542" s="184"/>
      <c r="AV542" s="184"/>
      <c r="AW542" s="184"/>
      <c r="AX542" s="184"/>
      <c r="AY542" s="184"/>
      <c r="AZ542" s="184"/>
      <c r="BA542" s="184"/>
      <c r="BB542" s="184"/>
      <c r="BC542" s="184"/>
      <c r="BD542" s="184"/>
      <c r="BE542" s="184"/>
      <c r="BF542" s="184"/>
      <c r="BG542" s="184"/>
      <c r="BH542" s="184"/>
      <c r="BI542" s="184"/>
      <c r="BJ542" s="184"/>
    </row>
    <row r="543" spans="2:62" ht="15.75" customHeight="1">
      <c r="B543" s="181"/>
      <c r="C543" s="411"/>
      <c r="D543" s="411"/>
      <c r="E543" s="411"/>
      <c r="F543" s="411"/>
      <c r="G543" s="411"/>
      <c r="H543" s="411"/>
      <c r="I543" s="411"/>
      <c r="J543" s="411"/>
      <c r="K543" s="411"/>
      <c r="L543" s="411"/>
      <c r="M543" s="411"/>
      <c r="N543" s="411"/>
      <c r="O543" s="411"/>
      <c r="P543" s="411"/>
      <c r="Q543" s="411"/>
      <c r="R543" s="411"/>
      <c r="S543" s="411"/>
      <c r="T543" s="411"/>
      <c r="U543" s="411"/>
      <c r="V543" s="411"/>
      <c r="W543" s="411"/>
      <c r="X543" s="411"/>
      <c r="Y543" s="184"/>
      <c r="Z543" s="184"/>
      <c r="AA543" s="184"/>
      <c r="AB543" s="184"/>
      <c r="AC543" s="184"/>
      <c r="AD543" s="184"/>
      <c r="AE543" s="184"/>
      <c r="AF543" s="184"/>
      <c r="AG543" s="184"/>
      <c r="AH543" s="184"/>
      <c r="AI543" s="184"/>
      <c r="AJ543" s="184"/>
      <c r="AK543" s="184"/>
      <c r="AL543" s="184"/>
      <c r="AM543" s="184"/>
      <c r="AN543" s="184"/>
      <c r="AO543" s="184"/>
      <c r="AP543" s="184"/>
      <c r="AQ543" s="184"/>
      <c r="AR543" s="184"/>
      <c r="AS543" s="184"/>
      <c r="AT543" s="184"/>
      <c r="AU543" s="184"/>
      <c r="AV543" s="184"/>
      <c r="AW543" s="184"/>
      <c r="AX543" s="184"/>
      <c r="AY543" s="184"/>
      <c r="AZ543" s="184"/>
      <c r="BA543" s="184"/>
      <c r="BB543" s="184"/>
      <c r="BC543" s="184"/>
      <c r="BD543" s="184"/>
      <c r="BE543" s="184"/>
      <c r="BF543" s="184"/>
      <c r="BG543" s="184"/>
      <c r="BH543" s="184"/>
      <c r="BI543" s="184"/>
      <c r="BJ543" s="184"/>
    </row>
    <row r="544" spans="2:62" ht="15.75" customHeight="1">
      <c r="B544" s="181"/>
      <c r="C544" s="411"/>
      <c r="D544" s="411"/>
      <c r="E544" s="421"/>
      <c r="F544" s="430"/>
      <c r="G544" s="411"/>
      <c r="H544" s="421"/>
      <c r="I544" s="430"/>
      <c r="J544" s="430"/>
      <c r="K544" s="411"/>
      <c r="L544" s="430"/>
      <c r="M544" s="411"/>
      <c r="N544" s="430"/>
      <c r="O544" s="411"/>
      <c r="P544" s="430"/>
      <c r="Q544" s="421"/>
      <c r="R544" s="421"/>
      <c r="S544" s="411"/>
      <c r="T544" s="411"/>
      <c r="U544" s="411"/>
      <c r="V544" s="411"/>
      <c r="W544" s="411"/>
      <c r="X544" s="411"/>
      <c r="Y544" s="184"/>
      <c r="Z544" s="184"/>
      <c r="AA544" s="184"/>
      <c r="AB544" s="184"/>
      <c r="AC544" s="184"/>
      <c r="AD544" s="184"/>
      <c r="AE544" s="184"/>
      <c r="AF544" s="184"/>
      <c r="AG544" s="184"/>
      <c r="AH544" s="184"/>
      <c r="AI544" s="184"/>
      <c r="AJ544" s="184"/>
      <c r="AK544" s="184"/>
      <c r="AL544" s="184"/>
      <c r="AM544" s="184"/>
      <c r="AN544" s="184"/>
      <c r="AO544" s="184"/>
      <c r="AP544" s="184"/>
      <c r="AQ544" s="184"/>
      <c r="AR544" s="184"/>
      <c r="AS544" s="184"/>
      <c r="AT544" s="184"/>
      <c r="AU544" s="184"/>
      <c r="AV544" s="184"/>
      <c r="AW544" s="184"/>
      <c r="AX544" s="184"/>
      <c r="AY544" s="184"/>
      <c r="AZ544" s="184"/>
      <c r="BA544" s="184"/>
      <c r="BB544" s="184"/>
      <c r="BC544" s="184"/>
      <c r="BD544" s="184"/>
      <c r="BE544" s="184"/>
      <c r="BF544" s="184"/>
      <c r="BG544" s="184"/>
      <c r="BH544" s="184"/>
      <c r="BI544" s="184"/>
      <c r="BJ544" s="184"/>
    </row>
    <row r="545" spans="2:62" ht="15.75" customHeight="1">
      <c r="B545" s="181"/>
      <c r="C545" s="411"/>
      <c r="D545" s="411"/>
      <c r="E545" s="421"/>
      <c r="F545" s="431"/>
      <c r="G545" s="411"/>
      <c r="H545" s="421"/>
      <c r="I545" s="431"/>
      <c r="J545" s="430"/>
      <c r="K545" s="421"/>
      <c r="L545" s="430"/>
      <c r="M545" s="421"/>
      <c r="N545" s="430"/>
      <c r="O545" s="421"/>
      <c r="P545" s="411"/>
      <c r="Q545" s="430"/>
      <c r="R545" s="430"/>
      <c r="S545" s="421"/>
      <c r="T545" s="411"/>
      <c r="U545" s="411"/>
      <c r="V545" s="411"/>
      <c r="W545" s="411"/>
      <c r="X545" s="411"/>
      <c r="Y545" s="184"/>
      <c r="Z545" s="184"/>
      <c r="AA545" s="184"/>
      <c r="AB545" s="184"/>
      <c r="AC545" s="184"/>
      <c r="AD545" s="184"/>
      <c r="AE545" s="184"/>
      <c r="AF545" s="184"/>
      <c r="AG545" s="184"/>
      <c r="AH545" s="184"/>
      <c r="AI545" s="184"/>
      <c r="AJ545" s="184"/>
      <c r="AK545" s="184"/>
      <c r="AL545" s="184"/>
      <c r="AM545" s="184"/>
      <c r="AN545" s="184"/>
      <c r="AO545" s="184"/>
      <c r="AP545" s="184"/>
      <c r="AQ545" s="184"/>
      <c r="AR545" s="184"/>
      <c r="AS545" s="184"/>
      <c r="AT545" s="184"/>
      <c r="AU545" s="184"/>
      <c r="AV545" s="184"/>
      <c r="AW545" s="184"/>
      <c r="AX545" s="184"/>
      <c r="AY545" s="184"/>
      <c r="AZ545" s="184"/>
      <c r="BA545" s="184"/>
      <c r="BB545" s="184"/>
      <c r="BC545" s="184"/>
      <c r="BD545" s="184"/>
      <c r="BE545" s="184"/>
      <c r="BF545" s="184"/>
      <c r="BG545" s="184"/>
      <c r="BH545" s="184"/>
      <c r="BI545" s="184"/>
      <c r="BJ545" s="184"/>
    </row>
    <row r="546" spans="2:62" ht="15.75" customHeight="1">
      <c r="B546" s="181"/>
      <c r="C546" s="411"/>
      <c r="D546" s="411"/>
      <c r="E546" s="421"/>
      <c r="F546" s="431"/>
      <c r="G546" s="411"/>
      <c r="H546" s="421"/>
      <c r="I546" s="431"/>
      <c r="J546" s="430"/>
      <c r="K546" s="421"/>
      <c r="L546" s="430"/>
      <c r="M546" s="421"/>
      <c r="N546" s="430"/>
      <c r="O546" s="421"/>
      <c r="P546" s="411"/>
      <c r="Q546" s="411"/>
      <c r="R546" s="421"/>
      <c r="S546" s="421"/>
      <c r="T546" s="411"/>
      <c r="U546" s="411"/>
      <c r="V546" s="411"/>
      <c r="W546" s="411"/>
      <c r="X546" s="411"/>
      <c r="Y546" s="184"/>
      <c r="Z546" s="184"/>
      <c r="AA546" s="184"/>
      <c r="AB546" s="184"/>
      <c r="AC546" s="184"/>
      <c r="AD546" s="184"/>
      <c r="AE546" s="184"/>
      <c r="AF546" s="184"/>
      <c r="AG546" s="184"/>
      <c r="AH546" s="184"/>
      <c r="AI546" s="184"/>
      <c r="AJ546" s="184"/>
      <c r="AK546" s="184"/>
      <c r="AL546" s="184"/>
      <c r="AM546" s="184"/>
      <c r="AN546" s="184"/>
      <c r="AO546" s="184"/>
      <c r="AP546" s="184"/>
      <c r="AQ546" s="184"/>
      <c r="AR546" s="184"/>
      <c r="AS546" s="184"/>
      <c r="AT546" s="184"/>
      <c r="AU546" s="184"/>
      <c r="AV546" s="184"/>
      <c r="AW546" s="184"/>
      <c r="AX546" s="184"/>
      <c r="AY546" s="184"/>
      <c r="AZ546" s="184"/>
      <c r="BA546" s="184"/>
      <c r="BB546" s="184"/>
      <c r="BC546" s="184"/>
      <c r="BD546" s="184"/>
      <c r="BE546" s="184"/>
      <c r="BF546" s="184"/>
      <c r="BG546" s="184"/>
      <c r="BH546" s="184"/>
      <c r="BI546" s="184"/>
      <c r="BJ546" s="184"/>
    </row>
    <row r="547" spans="2:62" ht="15.75" customHeight="1">
      <c r="B547" s="181"/>
      <c r="C547" s="411"/>
      <c r="D547" s="411"/>
      <c r="E547" s="421"/>
      <c r="F547" s="430"/>
      <c r="G547" s="411"/>
      <c r="H547" s="421"/>
      <c r="I547" s="430"/>
      <c r="J547" s="430"/>
      <c r="K547" s="421"/>
      <c r="L547" s="430"/>
      <c r="M547" s="421"/>
      <c r="N547" s="430"/>
      <c r="O547" s="421"/>
      <c r="P547" s="411"/>
      <c r="Q547" s="411"/>
      <c r="R547" s="421"/>
      <c r="S547" s="411"/>
      <c r="T547" s="411"/>
      <c r="U547" s="411"/>
      <c r="V547" s="411"/>
      <c r="W547" s="411"/>
      <c r="X547" s="411"/>
      <c r="Y547" s="184"/>
      <c r="Z547" s="184"/>
      <c r="AA547" s="184"/>
      <c r="AB547" s="184"/>
      <c r="AC547" s="184"/>
      <c r="AD547" s="184"/>
      <c r="AE547" s="184"/>
      <c r="AF547" s="184"/>
      <c r="AG547" s="184"/>
      <c r="AH547" s="184"/>
      <c r="AI547" s="184"/>
      <c r="AJ547" s="184"/>
      <c r="AK547" s="184"/>
      <c r="AL547" s="184"/>
      <c r="AM547" s="184"/>
      <c r="AN547" s="184"/>
      <c r="AO547" s="184"/>
      <c r="AP547" s="184"/>
      <c r="AQ547" s="184"/>
      <c r="AR547" s="184"/>
      <c r="AS547" s="184"/>
      <c r="AT547" s="184"/>
      <c r="AU547" s="184"/>
      <c r="AV547" s="184"/>
      <c r="AW547" s="184"/>
      <c r="AX547" s="184"/>
      <c r="AY547" s="184"/>
      <c r="AZ547" s="184"/>
      <c r="BA547" s="184"/>
      <c r="BB547" s="184"/>
      <c r="BC547" s="184"/>
      <c r="BD547" s="184"/>
      <c r="BE547" s="184"/>
      <c r="BF547" s="184"/>
      <c r="BG547" s="184"/>
      <c r="BH547" s="184"/>
      <c r="BI547" s="184"/>
      <c r="BJ547" s="184"/>
    </row>
    <row r="548" spans="2:62" ht="15.75" customHeight="1">
      <c r="B548" s="181"/>
      <c r="C548" s="420"/>
      <c r="D548" s="420"/>
      <c r="E548" s="423"/>
      <c r="F548" s="432"/>
      <c r="G548" s="420"/>
      <c r="H548" s="423"/>
      <c r="I548" s="432"/>
      <c r="J548" s="432"/>
      <c r="K548" s="423"/>
      <c r="L548" s="432"/>
      <c r="M548" s="423"/>
      <c r="N548" s="432"/>
      <c r="O548" s="423"/>
      <c r="P548" s="432"/>
      <c r="Q548" s="420"/>
      <c r="R548" s="423"/>
      <c r="S548" s="420"/>
      <c r="T548" s="411"/>
      <c r="U548" s="411"/>
      <c r="V548" s="411"/>
      <c r="W548" s="411"/>
      <c r="X548" s="411"/>
      <c r="Y548" s="184"/>
      <c r="Z548" s="184"/>
      <c r="AA548" s="184"/>
      <c r="AB548" s="184"/>
      <c r="AC548" s="184"/>
      <c r="AD548" s="184"/>
      <c r="AE548" s="184"/>
      <c r="AF548" s="184"/>
      <c r="AG548" s="184"/>
      <c r="AH548" s="184"/>
      <c r="AI548" s="184"/>
      <c r="AJ548" s="184"/>
      <c r="AK548" s="184"/>
      <c r="AL548" s="184"/>
      <c r="AM548" s="184"/>
      <c r="AN548" s="184"/>
      <c r="AO548" s="184"/>
      <c r="AP548" s="184"/>
      <c r="AQ548" s="184"/>
      <c r="AR548" s="184"/>
      <c r="AS548" s="184"/>
      <c r="AT548" s="184"/>
      <c r="AU548" s="184"/>
      <c r="AV548" s="184"/>
      <c r="AW548" s="184"/>
      <c r="AX548" s="184"/>
      <c r="AY548" s="184"/>
      <c r="AZ548" s="184"/>
      <c r="BA548" s="184"/>
      <c r="BB548" s="184"/>
      <c r="BC548" s="184"/>
      <c r="BD548" s="184"/>
      <c r="BE548" s="184"/>
      <c r="BF548" s="184"/>
      <c r="BG548" s="184"/>
      <c r="BH548" s="184"/>
      <c r="BI548" s="184"/>
      <c r="BJ548" s="184"/>
    </row>
    <row r="549" spans="2:62" ht="15.75" customHeight="1">
      <c r="B549" s="181"/>
      <c r="C549" s="411"/>
      <c r="D549" s="411"/>
      <c r="E549" s="411"/>
      <c r="F549" s="411"/>
      <c r="G549" s="411"/>
      <c r="H549" s="411"/>
      <c r="I549" s="411"/>
      <c r="J549" s="411"/>
      <c r="K549" s="411"/>
      <c r="L549" s="411"/>
      <c r="M549" s="411"/>
      <c r="N549" s="411"/>
      <c r="O549" s="411"/>
      <c r="P549" s="420"/>
      <c r="Q549" s="432"/>
      <c r="R549" s="432"/>
      <c r="S549" s="411"/>
      <c r="T549" s="411"/>
      <c r="U549" s="411"/>
      <c r="V549" s="411"/>
      <c r="W549" s="411"/>
      <c r="X549" s="411"/>
      <c r="Y549" s="184"/>
      <c r="Z549" s="184"/>
      <c r="AA549" s="184"/>
      <c r="AB549" s="184"/>
      <c r="AC549" s="184"/>
      <c r="AD549" s="184"/>
      <c r="AE549" s="184"/>
      <c r="AF549" s="184"/>
      <c r="AG549" s="184"/>
      <c r="AH549" s="184"/>
      <c r="AI549" s="184"/>
      <c r="AJ549" s="184"/>
      <c r="AK549" s="184"/>
      <c r="AL549" s="184"/>
      <c r="AM549" s="184"/>
      <c r="AN549" s="184"/>
      <c r="AO549" s="184"/>
      <c r="AP549" s="184"/>
      <c r="AQ549" s="184"/>
      <c r="AR549" s="184"/>
      <c r="AS549" s="184"/>
      <c r="AT549" s="184"/>
      <c r="AU549" s="184"/>
      <c r="AV549" s="184"/>
      <c r="AW549" s="184"/>
      <c r="AX549" s="184"/>
      <c r="AY549" s="184"/>
      <c r="AZ549" s="184"/>
      <c r="BA549" s="184"/>
      <c r="BB549" s="184"/>
      <c r="BC549" s="184"/>
      <c r="BD549" s="184"/>
      <c r="BE549" s="184"/>
      <c r="BF549" s="184"/>
      <c r="BG549" s="184"/>
      <c r="BH549" s="184"/>
      <c r="BI549" s="184"/>
      <c r="BJ549" s="184"/>
    </row>
    <row r="550" spans="2:62" ht="15.75" customHeight="1">
      <c r="B550" s="181"/>
      <c r="C550" s="411"/>
      <c r="D550" s="411"/>
      <c r="E550" s="421"/>
      <c r="F550" s="430"/>
      <c r="G550" s="411"/>
      <c r="H550" s="421"/>
      <c r="I550" s="430"/>
      <c r="J550" s="430"/>
      <c r="K550" s="421"/>
      <c r="L550" s="430"/>
      <c r="M550" s="421"/>
      <c r="N550" s="430"/>
      <c r="O550" s="421"/>
      <c r="P550" s="411"/>
      <c r="Q550" s="411"/>
      <c r="R550" s="421"/>
      <c r="S550" s="411"/>
      <c r="T550" s="411"/>
      <c r="U550" s="411"/>
      <c r="V550" s="411"/>
      <c r="W550" s="411"/>
      <c r="X550" s="411"/>
      <c r="Y550" s="184"/>
      <c r="Z550" s="184"/>
      <c r="AA550" s="184"/>
      <c r="AB550" s="184"/>
      <c r="AC550" s="184"/>
      <c r="AD550" s="184"/>
      <c r="AE550" s="184"/>
      <c r="AF550" s="184"/>
      <c r="AG550" s="184"/>
      <c r="AH550" s="184"/>
      <c r="AI550" s="184"/>
      <c r="AJ550" s="184"/>
      <c r="AK550" s="184"/>
      <c r="AL550" s="184"/>
      <c r="AM550" s="184"/>
      <c r="AN550" s="184"/>
      <c r="AO550" s="184"/>
      <c r="AP550" s="184"/>
      <c r="AQ550" s="184"/>
      <c r="AR550" s="184"/>
      <c r="AS550" s="184"/>
      <c r="AT550" s="184"/>
      <c r="AU550" s="184"/>
      <c r="AV550" s="184"/>
      <c r="AW550" s="184"/>
      <c r="AX550" s="184"/>
      <c r="AY550" s="184"/>
      <c r="AZ550" s="184"/>
      <c r="BA550" s="184"/>
      <c r="BB550" s="184"/>
      <c r="BC550" s="184"/>
      <c r="BD550" s="184"/>
      <c r="BE550" s="184"/>
      <c r="BF550" s="184"/>
      <c r="BG550" s="184"/>
      <c r="BH550" s="184"/>
      <c r="BI550" s="184"/>
      <c r="BJ550" s="184"/>
    </row>
    <row r="551" spans="2:62" ht="15.75" customHeight="1">
      <c r="B551" s="181"/>
      <c r="C551" s="420"/>
      <c r="D551" s="411"/>
      <c r="E551" s="421"/>
      <c r="F551" s="430"/>
      <c r="G551" s="411"/>
      <c r="H551" s="421"/>
      <c r="I551" s="430"/>
      <c r="J551" s="430"/>
      <c r="K551" s="421"/>
      <c r="L551" s="430"/>
      <c r="M551" s="421"/>
      <c r="N551" s="430"/>
      <c r="O551" s="421"/>
      <c r="P551" s="411"/>
      <c r="Q551" s="411"/>
      <c r="R551" s="421"/>
      <c r="S551" s="411"/>
      <c r="T551" s="411"/>
      <c r="U551" s="411"/>
      <c r="V551" s="411"/>
      <c r="W551" s="411"/>
      <c r="X551" s="411"/>
      <c r="Y551" s="184"/>
      <c r="Z551" s="184"/>
      <c r="AA551" s="184"/>
      <c r="AB551" s="184"/>
      <c r="AC551" s="184"/>
      <c r="AD551" s="184"/>
      <c r="AE551" s="184"/>
      <c r="AF551" s="184"/>
      <c r="AG551" s="184"/>
      <c r="AH551" s="184"/>
      <c r="AI551" s="184"/>
      <c r="AJ551" s="184"/>
      <c r="AK551" s="184"/>
      <c r="AL551" s="184"/>
      <c r="AM551" s="184"/>
      <c r="AN551" s="184"/>
      <c r="AO551" s="184"/>
      <c r="AP551" s="184"/>
      <c r="AQ551" s="184"/>
      <c r="AR551" s="184"/>
      <c r="AS551" s="184"/>
      <c r="AT551" s="184"/>
      <c r="AU551" s="184"/>
      <c r="AV551" s="184"/>
      <c r="AW551" s="184"/>
      <c r="AX551" s="184"/>
      <c r="AY551" s="184"/>
      <c r="AZ551" s="184"/>
      <c r="BA551" s="184"/>
      <c r="BB551" s="184"/>
      <c r="BC551" s="184"/>
      <c r="BD551" s="184"/>
      <c r="BE551" s="184"/>
      <c r="BF551" s="184"/>
      <c r="BG551" s="184"/>
      <c r="BH551" s="184"/>
      <c r="BI551" s="184"/>
      <c r="BJ551" s="184"/>
    </row>
    <row r="552" spans="2:62" ht="15.75" customHeight="1">
      <c r="B552" s="181"/>
      <c r="C552" s="411"/>
      <c r="D552" s="411"/>
      <c r="E552" s="421"/>
      <c r="F552" s="430"/>
      <c r="G552" s="411"/>
      <c r="H552" s="421"/>
      <c r="I552" s="430"/>
      <c r="J552" s="430"/>
      <c r="K552" s="421"/>
      <c r="L552" s="430"/>
      <c r="M552" s="421"/>
      <c r="N552" s="430"/>
      <c r="O552" s="421"/>
      <c r="P552" s="411"/>
      <c r="Q552" s="411"/>
      <c r="R552" s="421"/>
      <c r="S552" s="411"/>
      <c r="T552" s="411"/>
      <c r="U552" s="411"/>
      <c r="V552" s="411"/>
      <c r="W552" s="411"/>
      <c r="X552" s="411"/>
      <c r="Y552" s="184"/>
      <c r="Z552" s="184"/>
      <c r="AA552" s="184"/>
      <c r="AB552" s="184"/>
      <c r="AC552" s="184"/>
      <c r="AD552" s="184"/>
      <c r="AE552" s="184"/>
      <c r="AF552" s="184"/>
      <c r="AG552" s="184"/>
      <c r="AH552" s="184"/>
      <c r="AI552" s="184"/>
      <c r="AJ552" s="184"/>
      <c r="AK552" s="184"/>
      <c r="AL552" s="184"/>
      <c r="AM552" s="184"/>
      <c r="AN552" s="184"/>
      <c r="AO552" s="184"/>
      <c r="AP552" s="184"/>
      <c r="AQ552" s="184"/>
      <c r="AR552" s="184"/>
      <c r="AS552" s="184"/>
      <c r="AT552" s="184"/>
      <c r="AU552" s="184"/>
      <c r="AV552" s="184"/>
      <c r="AW552" s="184"/>
      <c r="AX552" s="184"/>
      <c r="AY552" s="184"/>
      <c r="AZ552" s="184"/>
      <c r="BA552" s="184"/>
      <c r="BB552" s="184"/>
      <c r="BC552" s="184"/>
      <c r="BD552" s="184"/>
      <c r="BE552" s="184"/>
      <c r="BF552" s="184"/>
      <c r="BG552" s="184"/>
      <c r="BH552" s="184"/>
      <c r="BI552" s="184"/>
      <c r="BJ552" s="184"/>
    </row>
    <row r="553" spans="2:62" ht="15.75" customHeight="1">
      <c r="B553" s="181"/>
      <c r="C553" s="411"/>
      <c r="D553" s="411"/>
      <c r="E553" s="411"/>
      <c r="F553" s="411"/>
      <c r="G553" s="411"/>
      <c r="H553" s="411"/>
      <c r="I553" s="411"/>
      <c r="J553" s="411"/>
      <c r="K553" s="411"/>
      <c r="L553" s="411"/>
      <c r="M553" s="411"/>
      <c r="N553" s="411"/>
      <c r="O553" s="411"/>
      <c r="P553" s="430"/>
      <c r="Q553" s="421"/>
      <c r="R553" s="411"/>
      <c r="S553" s="421"/>
      <c r="T553" s="411"/>
      <c r="U553" s="411"/>
      <c r="V553" s="411"/>
      <c r="W553" s="411"/>
      <c r="X553" s="411"/>
      <c r="Y553" s="184"/>
      <c r="Z553" s="184"/>
      <c r="AA553" s="184"/>
      <c r="AB553" s="184"/>
      <c r="AC553" s="184"/>
      <c r="AD553" s="184"/>
      <c r="AE553" s="184"/>
      <c r="AF553" s="184"/>
      <c r="AG553" s="184"/>
      <c r="AH553" s="184"/>
      <c r="AI553" s="184"/>
      <c r="AJ553" s="184"/>
      <c r="AK553" s="184"/>
      <c r="AL553" s="184"/>
      <c r="AM553" s="184"/>
      <c r="AN553" s="184"/>
      <c r="AO553" s="184"/>
      <c r="AP553" s="184"/>
      <c r="AQ553" s="184"/>
      <c r="AR553" s="184"/>
      <c r="AS553" s="184"/>
      <c r="AT553" s="184"/>
      <c r="AU553" s="184"/>
      <c r="AV553" s="184"/>
      <c r="AW553" s="184"/>
      <c r="AX553" s="184"/>
      <c r="AY553" s="184"/>
      <c r="AZ553" s="184"/>
      <c r="BA553" s="184"/>
      <c r="BB553" s="184"/>
      <c r="BC553" s="184"/>
      <c r="BD553" s="184"/>
      <c r="BE553" s="184"/>
      <c r="BF553" s="184"/>
      <c r="BG553" s="184"/>
      <c r="BH553" s="184"/>
      <c r="BI553" s="184"/>
      <c r="BJ553" s="184"/>
    </row>
    <row r="554" spans="2:62" ht="15.75" customHeight="1">
      <c r="B554" s="181"/>
      <c r="C554" s="411"/>
      <c r="D554" s="411"/>
      <c r="E554" s="411"/>
      <c r="F554" s="411"/>
      <c r="G554" s="411"/>
      <c r="H554" s="411"/>
      <c r="I554" s="411"/>
      <c r="J554" s="411"/>
      <c r="K554" s="411"/>
      <c r="L554" s="411"/>
      <c r="M554" s="411"/>
      <c r="N554" s="411"/>
      <c r="O554" s="411"/>
      <c r="P554" s="430"/>
      <c r="Q554" s="421"/>
      <c r="R554" s="411"/>
      <c r="S554" s="421"/>
      <c r="T554" s="411"/>
      <c r="U554" s="411"/>
      <c r="V554" s="411"/>
      <c r="W554" s="411"/>
      <c r="X554" s="411"/>
      <c r="Y554" s="184"/>
      <c r="Z554" s="184"/>
      <c r="AA554" s="184"/>
      <c r="AB554" s="184"/>
      <c r="AC554" s="184"/>
      <c r="AD554" s="184"/>
      <c r="AE554" s="184"/>
      <c r="AF554" s="184"/>
      <c r="AG554" s="184"/>
      <c r="AH554" s="184"/>
      <c r="AI554" s="184"/>
      <c r="AJ554" s="184"/>
      <c r="AK554" s="184"/>
      <c r="AL554" s="184"/>
      <c r="AM554" s="184"/>
      <c r="AN554" s="184"/>
      <c r="AO554" s="184"/>
      <c r="AP554" s="184"/>
      <c r="AQ554" s="184"/>
      <c r="AR554" s="184"/>
      <c r="AS554" s="184"/>
      <c r="AT554" s="184"/>
      <c r="AU554" s="184"/>
      <c r="AV554" s="184"/>
      <c r="AW554" s="184"/>
      <c r="AX554" s="184"/>
      <c r="AY554" s="184"/>
      <c r="AZ554" s="184"/>
      <c r="BA554" s="184"/>
      <c r="BB554" s="184"/>
      <c r="BC554" s="184"/>
      <c r="BD554" s="184"/>
      <c r="BE554" s="184"/>
      <c r="BF554" s="184"/>
      <c r="BG554" s="184"/>
      <c r="BH554" s="184"/>
      <c r="BI554" s="184"/>
      <c r="BJ554" s="184"/>
    </row>
    <row r="555" spans="2:62" ht="15.75" customHeight="1">
      <c r="B555" s="181"/>
      <c r="C555" s="411"/>
      <c r="D555" s="411"/>
      <c r="E555" s="411"/>
      <c r="F555" s="411"/>
      <c r="G555" s="411"/>
      <c r="H555" s="411"/>
      <c r="I555" s="411"/>
      <c r="J555" s="411"/>
      <c r="K555" s="411"/>
      <c r="L555" s="411"/>
      <c r="M555" s="411"/>
      <c r="N555" s="411"/>
      <c r="O555" s="411"/>
      <c r="P555" s="430"/>
      <c r="Q555" s="421"/>
      <c r="R555" s="411"/>
      <c r="S555" s="421"/>
      <c r="T555" s="411"/>
      <c r="U555" s="411"/>
      <c r="V555" s="411"/>
      <c r="W555" s="411"/>
      <c r="X555" s="411"/>
      <c r="Y555" s="184"/>
      <c r="Z555" s="184"/>
      <c r="AA555" s="184"/>
      <c r="AB555" s="184"/>
      <c r="AC555" s="184"/>
      <c r="AD555" s="184"/>
      <c r="AE555" s="184"/>
      <c r="AF555" s="184"/>
      <c r="AG555" s="184"/>
      <c r="AH555" s="184"/>
      <c r="AI555" s="184"/>
      <c r="AJ555" s="184"/>
      <c r="AK555" s="184"/>
      <c r="AL555" s="184"/>
      <c r="AM555" s="184"/>
      <c r="AN555" s="184"/>
      <c r="AO555" s="184"/>
      <c r="AP555" s="184"/>
      <c r="AQ555" s="184"/>
      <c r="AR555" s="184"/>
      <c r="AS555" s="184"/>
      <c r="AT555" s="184"/>
      <c r="AU555" s="184"/>
      <c r="AV555" s="184"/>
      <c r="AW555" s="184"/>
      <c r="AX555" s="184"/>
      <c r="AY555" s="184"/>
      <c r="AZ555" s="184"/>
      <c r="BA555" s="184"/>
      <c r="BB555" s="184"/>
      <c r="BC555" s="184"/>
      <c r="BD555" s="184"/>
      <c r="BE555" s="184"/>
      <c r="BF555" s="184"/>
      <c r="BG555" s="184"/>
      <c r="BH555" s="184"/>
      <c r="BI555" s="184"/>
      <c r="BJ555" s="184"/>
    </row>
    <row r="556" spans="2:62" ht="15.75" customHeight="1">
      <c r="B556" s="181"/>
      <c r="C556" s="411"/>
      <c r="D556" s="411"/>
      <c r="E556" s="411"/>
      <c r="F556" s="411"/>
      <c r="G556" s="411"/>
      <c r="H556" s="411"/>
      <c r="I556" s="411"/>
      <c r="J556" s="411"/>
      <c r="K556" s="411"/>
      <c r="L556" s="411"/>
      <c r="M556" s="411"/>
      <c r="N556" s="411"/>
      <c r="O556" s="411"/>
      <c r="P556" s="430"/>
      <c r="Q556" s="421"/>
      <c r="R556" s="411"/>
      <c r="S556" s="421"/>
      <c r="T556" s="411"/>
      <c r="U556" s="411"/>
      <c r="V556" s="411"/>
      <c r="W556" s="411"/>
      <c r="X556" s="411"/>
      <c r="Y556" s="184"/>
      <c r="Z556" s="184"/>
      <c r="AA556" s="184"/>
      <c r="AB556" s="184"/>
      <c r="AC556" s="184"/>
      <c r="AD556" s="184"/>
      <c r="AE556" s="184"/>
      <c r="AF556" s="184"/>
      <c r="AG556" s="184"/>
      <c r="AH556" s="184"/>
      <c r="AI556" s="184"/>
      <c r="AJ556" s="184"/>
      <c r="AK556" s="184"/>
      <c r="AL556" s="184"/>
      <c r="AM556" s="184"/>
      <c r="AN556" s="184"/>
      <c r="AO556" s="184"/>
      <c r="AP556" s="184"/>
      <c r="AQ556" s="184"/>
      <c r="AR556" s="184"/>
      <c r="AS556" s="184"/>
      <c r="AT556" s="184"/>
      <c r="AU556" s="184"/>
      <c r="AV556" s="184"/>
      <c r="AW556" s="184"/>
      <c r="AX556" s="184"/>
      <c r="AY556" s="184"/>
      <c r="AZ556" s="184"/>
      <c r="BA556" s="184"/>
      <c r="BB556" s="184"/>
      <c r="BC556" s="184"/>
      <c r="BD556" s="184"/>
      <c r="BE556" s="184"/>
      <c r="BF556" s="184"/>
      <c r="BG556" s="184"/>
      <c r="BH556" s="184"/>
      <c r="BI556" s="184"/>
      <c r="BJ556" s="184"/>
    </row>
    <row r="557" spans="2:62" ht="15.75" customHeight="1">
      <c r="B557" s="181"/>
      <c r="C557" s="411"/>
      <c r="D557" s="411"/>
      <c r="E557" s="411"/>
      <c r="F557" s="411"/>
      <c r="G557" s="411"/>
      <c r="H557" s="411"/>
      <c r="I557" s="411"/>
      <c r="J557" s="411"/>
      <c r="K557" s="411"/>
      <c r="L557" s="411"/>
      <c r="M557" s="411"/>
      <c r="N557" s="411"/>
      <c r="O557" s="411"/>
      <c r="P557" s="430"/>
      <c r="Q557" s="421"/>
      <c r="R557" s="411"/>
      <c r="S557" s="421"/>
      <c r="T557" s="411"/>
      <c r="U557" s="411"/>
      <c r="V557" s="411"/>
      <c r="W557" s="411"/>
      <c r="X557" s="411"/>
      <c r="Y557" s="184"/>
      <c r="Z557" s="184"/>
      <c r="AA557" s="184"/>
      <c r="AB557" s="184"/>
      <c r="AC557" s="184"/>
      <c r="AD557" s="184"/>
      <c r="AE557" s="184"/>
      <c r="AF557" s="184"/>
      <c r="AG557" s="184"/>
      <c r="AH557" s="184"/>
      <c r="AI557" s="184"/>
      <c r="AJ557" s="184"/>
      <c r="AK557" s="184"/>
      <c r="AL557" s="184"/>
      <c r="AM557" s="184"/>
      <c r="AN557" s="184"/>
      <c r="AO557" s="184"/>
      <c r="AP557" s="184"/>
      <c r="AQ557" s="184"/>
      <c r="AR557" s="184"/>
      <c r="AS557" s="184"/>
      <c r="AT557" s="184"/>
      <c r="AU557" s="184"/>
      <c r="AV557" s="184"/>
      <c r="AW557" s="184"/>
      <c r="AX557" s="184"/>
      <c r="AY557" s="184"/>
      <c r="AZ557" s="184"/>
      <c r="BA557" s="184"/>
      <c r="BB557" s="184"/>
      <c r="BC557" s="184"/>
      <c r="BD557" s="184"/>
      <c r="BE557" s="184"/>
      <c r="BF557" s="184"/>
      <c r="BG557" s="184"/>
      <c r="BH557" s="184"/>
      <c r="BI557" s="184"/>
      <c r="BJ557" s="184"/>
    </row>
    <row r="558" spans="2:62" ht="15.75" customHeight="1">
      <c r="B558" s="181"/>
      <c r="C558" s="411"/>
      <c r="D558" s="411"/>
      <c r="E558" s="411"/>
      <c r="F558" s="411"/>
      <c r="G558" s="411"/>
      <c r="H558" s="411"/>
      <c r="I558" s="411"/>
      <c r="J558" s="411"/>
      <c r="K558" s="411"/>
      <c r="L558" s="411"/>
      <c r="M558" s="411"/>
      <c r="N558" s="411"/>
      <c r="O558" s="411"/>
      <c r="P558" s="430"/>
      <c r="Q558" s="421"/>
      <c r="R558" s="411"/>
      <c r="S558" s="421"/>
      <c r="T558" s="411"/>
      <c r="U558" s="411"/>
      <c r="V558" s="411"/>
      <c r="W558" s="411"/>
      <c r="X558" s="411"/>
      <c r="Y558" s="184"/>
      <c r="Z558" s="184"/>
      <c r="AA558" s="184"/>
      <c r="AB558" s="184"/>
      <c r="AC558" s="184"/>
      <c r="AD558" s="184"/>
      <c r="AE558" s="184"/>
      <c r="AF558" s="184"/>
      <c r="AG558" s="184"/>
      <c r="AH558" s="184"/>
      <c r="AI558" s="184"/>
      <c r="AJ558" s="184"/>
      <c r="AK558" s="184"/>
      <c r="AL558" s="184"/>
      <c r="AM558" s="184"/>
      <c r="AN558" s="184"/>
      <c r="AO558" s="184"/>
      <c r="AP558" s="184"/>
      <c r="AQ558" s="184"/>
      <c r="AR558" s="184"/>
      <c r="AS558" s="184"/>
      <c r="AT558" s="184"/>
      <c r="AU558" s="184"/>
      <c r="AV558" s="184"/>
      <c r="AW558" s="184"/>
      <c r="AX558" s="184"/>
      <c r="AY558" s="184"/>
      <c r="AZ558" s="184"/>
      <c r="BA558" s="184"/>
      <c r="BB558" s="184"/>
      <c r="BC558" s="184"/>
      <c r="BD558" s="184"/>
      <c r="BE558" s="184"/>
      <c r="BF558" s="184"/>
      <c r="BG558" s="184"/>
      <c r="BH558" s="184"/>
      <c r="BI558" s="184"/>
      <c r="BJ558" s="184"/>
    </row>
    <row r="559" spans="2:62" ht="15.75" customHeight="1">
      <c r="B559" s="181"/>
      <c r="C559" s="411"/>
      <c r="D559" s="411"/>
      <c r="E559" s="411"/>
      <c r="F559" s="411"/>
      <c r="G559" s="411"/>
      <c r="H559" s="411"/>
      <c r="I559" s="411"/>
      <c r="J559" s="411"/>
      <c r="K559" s="411"/>
      <c r="L559" s="411"/>
      <c r="M559" s="411"/>
      <c r="N559" s="411"/>
      <c r="O559" s="411"/>
      <c r="P559" s="430"/>
      <c r="Q559" s="421"/>
      <c r="R559" s="411"/>
      <c r="S559" s="421"/>
      <c r="T559" s="411"/>
      <c r="U559" s="411"/>
      <c r="V559" s="411"/>
      <c r="W559" s="411"/>
      <c r="X559" s="411"/>
      <c r="Y559" s="184"/>
      <c r="Z559" s="184"/>
      <c r="AA559" s="184"/>
      <c r="AB559" s="184"/>
      <c r="AC559" s="184"/>
      <c r="AD559" s="184"/>
      <c r="AE559" s="184"/>
      <c r="AF559" s="184"/>
      <c r="AG559" s="184"/>
      <c r="AH559" s="184"/>
      <c r="AI559" s="184"/>
      <c r="AJ559" s="184"/>
      <c r="AK559" s="184"/>
      <c r="AL559" s="184"/>
      <c r="AM559" s="184"/>
      <c r="AN559" s="184"/>
      <c r="AO559" s="184"/>
      <c r="AP559" s="184"/>
      <c r="AQ559" s="184"/>
      <c r="AR559" s="184"/>
      <c r="AS559" s="184"/>
      <c r="AT559" s="184"/>
      <c r="AU559" s="184"/>
      <c r="AV559" s="184"/>
      <c r="AW559" s="184"/>
      <c r="AX559" s="184"/>
      <c r="AY559" s="184"/>
      <c r="AZ559" s="184"/>
      <c r="BA559" s="184"/>
      <c r="BB559" s="184"/>
      <c r="BC559" s="184"/>
      <c r="BD559" s="184"/>
      <c r="BE559" s="184"/>
      <c r="BF559" s="184"/>
      <c r="BG559" s="184"/>
      <c r="BH559" s="184"/>
      <c r="BI559" s="184"/>
      <c r="BJ559" s="184"/>
    </row>
    <row r="560" spans="2:62" ht="15.75" customHeight="1">
      <c r="B560" s="181"/>
      <c r="C560" s="411"/>
      <c r="D560" s="411"/>
      <c r="E560" s="411"/>
      <c r="F560" s="411"/>
      <c r="G560" s="411"/>
      <c r="H560" s="411"/>
      <c r="I560" s="411"/>
      <c r="J560" s="411"/>
      <c r="K560" s="411"/>
      <c r="L560" s="411"/>
      <c r="M560" s="411"/>
      <c r="N560" s="411"/>
      <c r="O560" s="411"/>
      <c r="P560" s="430"/>
      <c r="Q560" s="421"/>
      <c r="R560" s="411"/>
      <c r="S560" s="421"/>
      <c r="T560" s="411"/>
      <c r="U560" s="411"/>
      <c r="V560" s="411"/>
      <c r="W560" s="411"/>
      <c r="X560" s="411"/>
      <c r="Y560" s="184"/>
      <c r="Z560" s="184"/>
      <c r="AA560" s="184"/>
      <c r="AB560" s="184"/>
      <c r="AC560" s="184"/>
      <c r="AD560" s="184"/>
      <c r="AE560" s="184"/>
      <c r="AF560" s="184"/>
      <c r="AG560" s="184"/>
      <c r="AH560" s="184"/>
      <c r="AI560" s="184"/>
      <c r="AJ560" s="184"/>
      <c r="AK560" s="184"/>
      <c r="AL560" s="184"/>
      <c r="AM560" s="184"/>
      <c r="AN560" s="184"/>
      <c r="AO560" s="184"/>
      <c r="AP560" s="184"/>
      <c r="AQ560" s="184"/>
      <c r="AR560" s="184"/>
      <c r="AS560" s="184"/>
      <c r="AT560" s="184"/>
      <c r="AU560" s="184"/>
      <c r="AV560" s="184"/>
      <c r="AW560" s="184"/>
      <c r="AX560" s="184"/>
      <c r="AY560" s="184"/>
      <c r="AZ560" s="184"/>
      <c r="BA560" s="184"/>
      <c r="BB560" s="184"/>
      <c r="BC560" s="184"/>
      <c r="BD560" s="184"/>
      <c r="BE560" s="184"/>
      <c r="BF560" s="184"/>
      <c r="BG560" s="184"/>
      <c r="BH560" s="184"/>
      <c r="BI560" s="184"/>
      <c r="BJ560" s="184"/>
    </row>
    <row r="561" spans="2:62" ht="15.75" customHeight="1">
      <c r="B561" s="181"/>
      <c r="C561" s="420"/>
      <c r="D561" s="420"/>
      <c r="E561" s="411"/>
      <c r="F561" s="411"/>
      <c r="G561" s="420"/>
      <c r="H561" s="411"/>
      <c r="I561" s="411"/>
      <c r="J561" s="411"/>
      <c r="K561" s="411"/>
      <c r="L561" s="411"/>
      <c r="M561" s="411"/>
      <c r="N561" s="411"/>
      <c r="O561" s="411"/>
      <c r="P561" s="432"/>
      <c r="Q561" s="423"/>
      <c r="R561" s="411"/>
      <c r="S561" s="423"/>
      <c r="T561" s="411"/>
      <c r="U561" s="411"/>
      <c r="V561" s="411"/>
      <c r="W561" s="411"/>
      <c r="X561" s="411"/>
      <c r="Y561" s="184"/>
      <c r="Z561" s="184"/>
      <c r="AA561" s="184"/>
      <c r="AB561" s="184"/>
      <c r="AC561" s="184"/>
      <c r="AD561" s="184"/>
      <c r="AE561" s="184"/>
      <c r="AF561" s="184"/>
      <c r="AG561" s="184"/>
      <c r="AH561" s="184"/>
      <c r="AI561" s="184"/>
      <c r="AJ561" s="184"/>
      <c r="AK561" s="184"/>
      <c r="AL561" s="184"/>
      <c r="AM561" s="184"/>
      <c r="AN561" s="184"/>
      <c r="AO561" s="184"/>
      <c r="AP561" s="184"/>
      <c r="AQ561" s="184"/>
      <c r="AR561" s="184"/>
      <c r="AS561" s="184"/>
      <c r="AT561" s="184"/>
      <c r="AU561" s="184"/>
      <c r="AV561" s="184"/>
      <c r="AW561" s="184"/>
      <c r="AX561" s="184"/>
      <c r="AY561" s="184"/>
      <c r="AZ561" s="184"/>
      <c r="BA561" s="184"/>
      <c r="BB561" s="184"/>
      <c r="BC561" s="184"/>
      <c r="BD561" s="184"/>
      <c r="BE561" s="184"/>
      <c r="BF561" s="184"/>
      <c r="BG561" s="184"/>
      <c r="BH561" s="184"/>
      <c r="BI561" s="184"/>
      <c r="BJ561" s="184"/>
    </row>
    <row r="562" spans="2:62" ht="15.75" customHeight="1">
      <c r="B562" s="181"/>
      <c r="C562" s="411"/>
      <c r="D562" s="411"/>
      <c r="E562" s="411"/>
      <c r="F562" s="411"/>
      <c r="G562" s="411"/>
      <c r="H562" s="411"/>
      <c r="I562" s="411"/>
      <c r="J562" s="411"/>
      <c r="K562" s="411"/>
      <c r="L562" s="411"/>
      <c r="M562" s="411"/>
      <c r="N562" s="411"/>
      <c r="O562" s="411"/>
      <c r="P562" s="432"/>
      <c r="Q562" s="432"/>
      <c r="R562" s="411"/>
      <c r="S562" s="411"/>
      <c r="T562" s="411"/>
      <c r="U562" s="411"/>
      <c r="V562" s="411"/>
      <c r="W562" s="411"/>
      <c r="X562" s="411"/>
      <c r="Y562" s="184"/>
      <c r="Z562" s="184"/>
      <c r="AA562" s="184"/>
      <c r="AB562" s="184"/>
      <c r="AC562" s="184"/>
      <c r="AD562" s="184"/>
      <c r="AE562" s="184"/>
      <c r="AF562" s="184"/>
      <c r="AG562" s="184"/>
      <c r="AH562" s="184"/>
      <c r="AI562" s="184"/>
      <c r="AJ562" s="184"/>
      <c r="AK562" s="184"/>
      <c r="AL562" s="184"/>
      <c r="AM562" s="184"/>
      <c r="AN562" s="184"/>
      <c r="AO562" s="184"/>
      <c r="AP562" s="184"/>
      <c r="AQ562" s="184"/>
      <c r="AR562" s="184"/>
      <c r="AS562" s="184"/>
      <c r="AT562" s="184"/>
      <c r="AU562" s="184"/>
      <c r="AV562" s="184"/>
      <c r="AW562" s="184"/>
      <c r="AX562" s="184"/>
      <c r="AY562" s="184"/>
      <c r="AZ562" s="184"/>
      <c r="BA562" s="184"/>
      <c r="BB562" s="184"/>
      <c r="BC562" s="184"/>
      <c r="BD562" s="184"/>
      <c r="BE562" s="184"/>
      <c r="BF562" s="184"/>
      <c r="BG562" s="184"/>
      <c r="BH562" s="184"/>
      <c r="BI562" s="184"/>
      <c r="BJ562" s="184"/>
    </row>
    <row r="563" spans="2:62" ht="15.75" customHeight="1">
      <c r="B563" s="181"/>
      <c r="C563" s="411"/>
      <c r="D563" s="411"/>
      <c r="E563" s="411"/>
      <c r="F563" s="411"/>
      <c r="G563" s="411"/>
      <c r="H563" s="411"/>
      <c r="I563" s="411"/>
      <c r="J563" s="411"/>
      <c r="K563" s="411"/>
      <c r="L563" s="411"/>
      <c r="M563" s="411"/>
      <c r="N563" s="411"/>
      <c r="O563" s="411"/>
      <c r="P563" s="430"/>
      <c r="Q563" s="421"/>
      <c r="R563" s="411"/>
      <c r="S563" s="421"/>
      <c r="T563" s="411"/>
      <c r="U563" s="411"/>
      <c r="V563" s="411"/>
      <c r="W563" s="411"/>
      <c r="X563" s="411"/>
      <c r="Y563" s="184"/>
      <c r="Z563" s="184"/>
      <c r="AA563" s="184"/>
      <c r="AB563" s="184"/>
      <c r="AC563" s="184"/>
      <c r="AD563" s="184"/>
      <c r="AE563" s="184"/>
      <c r="AF563" s="184"/>
      <c r="AG563" s="184"/>
      <c r="AH563" s="184"/>
      <c r="AI563" s="184"/>
      <c r="AJ563" s="184"/>
      <c r="AK563" s="184"/>
      <c r="AL563" s="184"/>
      <c r="AM563" s="184"/>
      <c r="AN563" s="184"/>
      <c r="AO563" s="184"/>
      <c r="AP563" s="184"/>
      <c r="AQ563" s="184"/>
      <c r="AR563" s="184"/>
      <c r="AS563" s="184"/>
      <c r="AT563" s="184"/>
      <c r="AU563" s="184"/>
      <c r="AV563" s="184"/>
      <c r="AW563" s="184"/>
      <c r="AX563" s="184"/>
      <c r="AY563" s="184"/>
      <c r="AZ563" s="184"/>
      <c r="BA563" s="184"/>
      <c r="BB563" s="184"/>
      <c r="BC563" s="184"/>
      <c r="BD563" s="184"/>
      <c r="BE563" s="184"/>
      <c r="BF563" s="184"/>
      <c r="BG563" s="184"/>
      <c r="BH563" s="184"/>
      <c r="BI563" s="184"/>
      <c r="BJ563" s="184"/>
    </row>
    <row r="564" spans="2:62" ht="15.75" customHeight="1">
      <c r="B564" s="181"/>
      <c r="C564" s="411"/>
      <c r="D564" s="411"/>
      <c r="E564" s="411"/>
      <c r="F564" s="411"/>
      <c r="G564" s="411"/>
      <c r="H564" s="411"/>
      <c r="I564" s="411"/>
      <c r="J564" s="411"/>
      <c r="K564" s="411"/>
      <c r="L564" s="411"/>
      <c r="M564" s="411"/>
      <c r="N564" s="411"/>
      <c r="O564" s="411"/>
      <c r="P564" s="430"/>
      <c r="Q564" s="421"/>
      <c r="R564" s="411"/>
      <c r="S564" s="421"/>
      <c r="T564" s="411"/>
      <c r="U564" s="411"/>
      <c r="V564" s="411"/>
      <c r="W564" s="411"/>
      <c r="X564" s="411"/>
      <c r="Y564" s="184"/>
      <c r="Z564" s="184"/>
      <c r="AA564" s="184"/>
      <c r="AB564" s="184"/>
      <c r="AC564" s="184"/>
      <c r="AD564" s="184"/>
      <c r="AE564" s="184"/>
      <c r="AF564" s="184"/>
      <c r="AG564" s="184"/>
      <c r="AH564" s="184"/>
      <c r="AI564" s="184"/>
      <c r="AJ564" s="184"/>
      <c r="AK564" s="184"/>
      <c r="AL564" s="184"/>
      <c r="AM564" s="184"/>
      <c r="AN564" s="184"/>
      <c r="AO564" s="184"/>
      <c r="AP564" s="184"/>
      <c r="AQ564" s="184"/>
      <c r="AR564" s="184"/>
      <c r="AS564" s="184"/>
      <c r="AT564" s="184"/>
      <c r="AU564" s="184"/>
      <c r="AV564" s="184"/>
      <c r="AW564" s="184"/>
      <c r="AX564" s="184"/>
      <c r="AY564" s="184"/>
      <c r="AZ564" s="184"/>
      <c r="BA564" s="184"/>
      <c r="BB564" s="184"/>
      <c r="BC564" s="184"/>
      <c r="BD564" s="184"/>
      <c r="BE564" s="184"/>
      <c r="BF564" s="184"/>
      <c r="BG564" s="184"/>
      <c r="BH564" s="184"/>
      <c r="BI564" s="184"/>
      <c r="BJ564" s="184"/>
    </row>
    <row r="565" spans="2:62" ht="15.75" customHeight="1">
      <c r="B565" s="181"/>
      <c r="C565" s="420"/>
      <c r="D565" s="411"/>
      <c r="E565" s="411"/>
      <c r="F565" s="411"/>
      <c r="G565" s="411"/>
      <c r="H565" s="411"/>
      <c r="I565" s="411"/>
      <c r="J565" s="411"/>
      <c r="K565" s="411"/>
      <c r="L565" s="411"/>
      <c r="M565" s="411"/>
      <c r="N565" s="411"/>
      <c r="O565" s="411"/>
      <c r="P565" s="432"/>
      <c r="Q565" s="423"/>
      <c r="R565" s="411"/>
      <c r="S565" s="423"/>
      <c r="T565" s="411"/>
      <c r="U565" s="411"/>
      <c r="V565" s="411"/>
      <c r="W565" s="411"/>
      <c r="X565" s="411"/>
      <c r="Y565" s="184"/>
      <c r="Z565" s="184"/>
      <c r="AA565" s="184"/>
      <c r="AB565" s="184"/>
      <c r="AC565" s="184"/>
      <c r="AD565" s="184"/>
      <c r="AE565" s="184"/>
      <c r="AF565" s="184"/>
      <c r="AG565" s="184"/>
      <c r="AH565" s="184"/>
      <c r="AI565" s="184"/>
      <c r="AJ565" s="184"/>
      <c r="AK565" s="184"/>
      <c r="AL565" s="184"/>
      <c r="AM565" s="184"/>
      <c r="AN565" s="184"/>
      <c r="AO565" s="184"/>
      <c r="AP565" s="184"/>
      <c r="AQ565" s="184"/>
      <c r="AR565" s="184"/>
      <c r="AS565" s="184"/>
      <c r="AT565" s="184"/>
      <c r="AU565" s="184"/>
      <c r="AV565" s="184"/>
      <c r="AW565" s="184"/>
      <c r="AX565" s="184"/>
      <c r="AY565" s="184"/>
      <c r="AZ565" s="184"/>
      <c r="BA565" s="184"/>
      <c r="BB565" s="184"/>
      <c r="BC565" s="184"/>
      <c r="BD565" s="184"/>
      <c r="BE565" s="184"/>
      <c r="BF565" s="184"/>
      <c r="BG565" s="184"/>
      <c r="BH565" s="184"/>
      <c r="BI565" s="184"/>
      <c r="BJ565" s="184"/>
    </row>
    <row r="566" spans="2:62" ht="15.75" customHeight="1">
      <c r="B566" s="181"/>
      <c r="C566" s="411"/>
      <c r="D566" s="411"/>
      <c r="E566" s="411"/>
      <c r="F566" s="411"/>
      <c r="G566" s="411"/>
      <c r="H566" s="411"/>
      <c r="I566" s="411"/>
      <c r="J566" s="411"/>
      <c r="K566" s="411"/>
      <c r="L566" s="411"/>
      <c r="M566" s="411"/>
      <c r="N566" s="411"/>
      <c r="O566" s="411"/>
      <c r="P566" s="432"/>
      <c r="Q566" s="432"/>
      <c r="R566" s="411"/>
      <c r="S566" s="411"/>
      <c r="T566" s="411"/>
      <c r="U566" s="411"/>
      <c r="V566" s="411"/>
      <c r="W566" s="411"/>
      <c r="X566" s="411"/>
      <c r="Y566" s="184"/>
      <c r="Z566" s="184"/>
      <c r="AA566" s="184"/>
      <c r="AB566" s="184"/>
      <c r="AC566" s="184"/>
      <c r="AD566" s="184"/>
      <c r="AE566" s="184"/>
      <c r="AF566" s="184"/>
      <c r="AG566" s="184"/>
      <c r="AH566" s="184"/>
      <c r="AI566" s="184"/>
      <c r="AJ566" s="184"/>
      <c r="AK566" s="184"/>
      <c r="AL566" s="184"/>
      <c r="AM566" s="184"/>
      <c r="AN566" s="184"/>
      <c r="AO566" s="184"/>
      <c r="AP566" s="184"/>
      <c r="AQ566" s="184"/>
      <c r="AR566" s="184"/>
      <c r="AS566" s="184"/>
      <c r="AT566" s="184"/>
      <c r="AU566" s="184"/>
      <c r="AV566" s="184"/>
      <c r="AW566" s="184"/>
      <c r="AX566" s="184"/>
      <c r="AY566" s="184"/>
      <c r="AZ566" s="184"/>
      <c r="BA566" s="184"/>
      <c r="BB566" s="184"/>
      <c r="BC566" s="184"/>
      <c r="BD566" s="184"/>
      <c r="BE566" s="184"/>
      <c r="BF566" s="184"/>
      <c r="BG566" s="184"/>
      <c r="BH566" s="184"/>
      <c r="BI566" s="184"/>
      <c r="BJ566" s="184"/>
    </row>
    <row r="567" spans="2:62" ht="15.75" customHeight="1">
      <c r="B567" s="181"/>
      <c r="C567" s="411"/>
      <c r="D567" s="411"/>
      <c r="E567" s="411"/>
      <c r="F567" s="411"/>
      <c r="G567" s="411"/>
      <c r="H567" s="411"/>
      <c r="I567" s="411"/>
      <c r="J567" s="411"/>
      <c r="K567" s="411"/>
      <c r="L567" s="411"/>
      <c r="M567" s="411"/>
      <c r="N567" s="411"/>
      <c r="O567" s="411"/>
      <c r="P567" s="430"/>
      <c r="Q567" s="421"/>
      <c r="R567" s="411"/>
      <c r="S567" s="421"/>
      <c r="T567" s="411"/>
      <c r="U567" s="411"/>
      <c r="V567" s="411"/>
      <c r="W567" s="411"/>
      <c r="X567" s="411"/>
      <c r="Y567" s="184"/>
      <c r="Z567" s="184"/>
      <c r="AA567" s="184"/>
      <c r="AB567" s="184"/>
      <c r="AC567" s="184"/>
      <c r="AD567" s="184"/>
      <c r="AE567" s="184"/>
      <c r="AF567" s="184"/>
      <c r="AG567" s="184"/>
      <c r="AH567" s="184"/>
      <c r="AI567" s="184"/>
      <c r="AJ567" s="184"/>
      <c r="AK567" s="184"/>
      <c r="AL567" s="184"/>
      <c r="AM567" s="184"/>
      <c r="AN567" s="184"/>
      <c r="AO567" s="184"/>
      <c r="AP567" s="184"/>
      <c r="AQ567" s="184"/>
      <c r="AR567" s="184"/>
      <c r="AS567" s="184"/>
      <c r="AT567" s="184"/>
      <c r="AU567" s="184"/>
      <c r="AV567" s="184"/>
      <c r="AW567" s="184"/>
      <c r="AX567" s="184"/>
      <c r="AY567" s="184"/>
      <c r="AZ567" s="184"/>
      <c r="BA567" s="184"/>
      <c r="BB567" s="184"/>
      <c r="BC567" s="184"/>
      <c r="BD567" s="184"/>
      <c r="BE567" s="184"/>
      <c r="BF567" s="184"/>
      <c r="BG567" s="184"/>
      <c r="BH567" s="184"/>
      <c r="BI567" s="184"/>
      <c r="BJ567" s="184"/>
    </row>
    <row r="568" spans="2:62" ht="15.75" customHeight="1">
      <c r="B568" s="181"/>
      <c r="C568" s="420"/>
      <c r="D568" s="420"/>
      <c r="E568" s="411"/>
      <c r="F568" s="411"/>
      <c r="G568" s="420"/>
      <c r="H568" s="411"/>
      <c r="I568" s="411"/>
      <c r="J568" s="411"/>
      <c r="K568" s="411"/>
      <c r="L568" s="411"/>
      <c r="M568" s="411"/>
      <c r="N568" s="411"/>
      <c r="O568" s="411"/>
      <c r="P568" s="432"/>
      <c r="Q568" s="423"/>
      <c r="R568" s="411"/>
      <c r="S568" s="423"/>
      <c r="T568" s="411"/>
      <c r="U568" s="411"/>
      <c r="V568" s="411"/>
      <c r="W568" s="411"/>
      <c r="X568" s="411"/>
      <c r="Y568" s="184"/>
      <c r="Z568" s="184"/>
      <c r="AA568" s="184"/>
      <c r="AB568" s="184"/>
      <c r="AC568" s="184"/>
      <c r="AD568" s="184"/>
      <c r="AE568" s="184"/>
      <c r="AF568" s="184"/>
      <c r="AG568" s="184"/>
      <c r="AH568" s="184"/>
      <c r="AI568" s="184"/>
      <c r="AJ568" s="184"/>
      <c r="AK568" s="184"/>
      <c r="AL568" s="184"/>
      <c r="AM568" s="184"/>
      <c r="AN568" s="184"/>
      <c r="AO568" s="184"/>
      <c r="AP568" s="184"/>
      <c r="AQ568" s="184"/>
      <c r="AR568" s="184"/>
      <c r="AS568" s="184"/>
      <c r="AT568" s="184"/>
      <c r="AU568" s="184"/>
      <c r="AV568" s="184"/>
      <c r="AW568" s="184"/>
      <c r="AX568" s="184"/>
      <c r="AY568" s="184"/>
      <c r="AZ568" s="184"/>
      <c r="BA568" s="184"/>
      <c r="BB568" s="184"/>
      <c r="BC568" s="184"/>
      <c r="BD568" s="184"/>
      <c r="BE568" s="184"/>
      <c r="BF568" s="184"/>
      <c r="BG568" s="184"/>
      <c r="BH568" s="184"/>
      <c r="BI568" s="184"/>
      <c r="BJ568" s="184"/>
    </row>
    <row r="569" spans="2:62" ht="15.75" customHeight="1">
      <c r="B569" s="181"/>
      <c r="C569" s="411"/>
      <c r="D569" s="411"/>
      <c r="E569" s="411"/>
      <c r="F569" s="411"/>
      <c r="G569" s="411"/>
      <c r="H569" s="411"/>
      <c r="I569" s="411"/>
      <c r="J569" s="411"/>
      <c r="K569" s="411"/>
      <c r="L569" s="411"/>
      <c r="M569" s="411"/>
      <c r="N569" s="411"/>
      <c r="O569" s="411"/>
      <c r="P569" s="432"/>
      <c r="Q569" s="432"/>
      <c r="R569" s="411"/>
      <c r="S569" s="411"/>
      <c r="T569" s="411"/>
      <c r="U569" s="411"/>
      <c r="V569" s="411"/>
      <c r="W569" s="411"/>
      <c r="X569" s="411"/>
      <c r="Y569" s="184"/>
      <c r="Z569" s="184"/>
      <c r="AA569" s="184"/>
      <c r="AB569" s="184"/>
      <c r="AC569" s="184"/>
      <c r="AD569" s="184"/>
      <c r="AE569" s="184"/>
      <c r="AF569" s="184"/>
      <c r="AG569" s="184"/>
      <c r="AH569" s="184"/>
      <c r="AI569" s="184"/>
      <c r="AJ569" s="184"/>
      <c r="AK569" s="184"/>
      <c r="AL569" s="184"/>
      <c r="AM569" s="184"/>
      <c r="AN569" s="184"/>
      <c r="AO569" s="184"/>
      <c r="AP569" s="184"/>
      <c r="AQ569" s="184"/>
      <c r="AR569" s="184"/>
      <c r="AS569" s="184"/>
      <c r="AT569" s="184"/>
      <c r="AU569" s="184"/>
      <c r="AV569" s="184"/>
      <c r="AW569" s="184"/>
      <c r="AX569" s="184"/>
      <c r="AY569" s="184"/>
      <c r="AZ569" s="184"/>
      <c r="BA569" s="184"/>
      <c r="BB569" s="184"/>
      <c r="BC569" s="184"/>
      <c r="BD569" s="184"/>
      <c r="BE569" s="184"/>
      <c r="BF569" s="184"/>
      <c r="BG569" s="184"/>
      <c r="BH569" s="184"/>
      <c r="BI569" s="184"/>
      <c r="BJ569" s="184"/>
    </row>
    <row r="570" spans="2:62" ht="15.75" customHeight="1">
      <c r="B570" s="181"/>
      <c r="C570" s="411"/>
      <c r="D570" s="411"/>
      <c r="E570" s="421"/>
      <c r="F570" s="430"/>
      <c r="G570" s="411"/>
      <c r="H570" s="421"/>
      <c r="I570" s="430"/>
      <c r="J570" s="430"/>
      <c r="K570" s="421"/>
      <c r="L570" s="430"/>
      <c r="M570" s="421"/>
      <c r="N570" s="430"/>
      <c r="O570" s="421"/>
      <c r="P570" s="430"/>
      <c r="Q570" s="421"/>
      <c r="R570" s="421"/>
      <c r="S570" s="411"/>
      <c r="T570" s="411"/>
      <c r="U570" s="411"/>
      <c r="V570" s="411"/>
      <c r="W570" s="411"/>
      <c r="X570" s="411"/>
      <c r="Y570" s="184"/>
      <c r="Z570" s="184"/>
      <c r="AA570" s="184"/>
      <c r="AB570" s="184"/>
      <c r="AC570" s="184"/>
      <c r="AD570" s="184"/>
      <c r="AE570" s="184"/>
      <c r="AF570" s="184"/>
      <c r="AG570" s="184"/>
      <c r="AH570" s="184"/>
      <c r="AI570" s="184"/>
      <c r="AJ570" s="184"/>
      <c r="AK570" s="184"/>
      <c r="AL570" s="184"/>
      <c r="AM570" s="184"/>
      <c r="AN570" s="184"/>
      <c r="AO570" s="184"/>
      <c r="AP570" s="184"/>
      <c r="AQ570" s="184"/>
      <c r="AR570" s="184"/>
      <c r="AS570" s="184"/>
      <c r="AT570" s="184"/>
      <c r="AU570" s="184"/>
      <c r="AV570" s="184"/>
      <c r="AW570" s="184"/>
      <c r="AX570" s="184"/>
      <c r="AY570" s="184"/>
      <c r="AZ570" s="184"/>
      <c r="BA570" s="184"/>
      <c r="BB570" s="184"/>
      <c r="BC570" s="184"/>
      <c r="BD570" s="184"/>
      <c r="BE570" s="184"/>
      <c r="BF570" s="184"/>
      <c r="BG570" s="184"/>
      <c r="BH570" s="184"/>
      <c r="BI570" s="184"/>
      <c r="BJ570" s="184"/>
    </row>
    <row r="571" spans="2:62" ht="15.75" customHeight="1">
      <c r="B571" s="181"/>
      <c r="C571" s="420"/>
      <c r="D571" s="420"/>
      <c r="E571" s="423"/>
      <c r="F571" s="432"/>
      <c r="G571" s="420"/>
      <c r="H571" s="423"/>
      <c r="I571" s="432"/>
      <c r="J571" s="432"/>
      <c r="K571" s="423"/>
      <c r="L571" s="432"/>
      <c r="M571" s="423"/>
      <c r="N571" s="432"/>
      <c r="O571" s="423"/>
      <c r="P571" s="432"/>
      <c r="Q571" s="423"/>
      <c r="R571" s="423"/>
      <c r="S571" s="423"/>
      <c r="T571" s="411"/>
      <c r="U571" s="411"/>
      <c r="V571" s="411"/>
      <c r="W571" s="411"/>
      <c r="X571" s="411"/>
      <c r="Y571" s="184"/>
      <c r="Z571" s="184"/>
      <c r="AA571" s="184"/>
      <c r="AB571" s="184"/>
      <c r="AC571" s="184"/>
      <c r="AD571" s="184"/>
      <c r="AE571" s="184"/>
      <c r="AF571" s="184"/>
      <c r="AG571" s="184"/>
      <c r="AH571" s="184"/>
      <c r="AI571" s="184"/>
      <c r="AJ571" s="184"/>
      <c r="AK571" s="184"/>
      <c r="AL571" s="184"/>
      <c r="AM571" s="184"/>
      <c r="AN571" s="184"/>
      <c r="AO571" s="184"/>
      <c r="AP571" s="184"/>
      <c r="AQ571" s="184"/>
      <c r="AR571" s="184"/>
      <c r="AS571" s="184"/>
      <c r="AT571" s="184"/>
      <c r="AU571" s="184"/>
      <c r="AV571" s="184"/>
      <c r="AW571" s="184"/>
      <c r="AX571" s="184"/>
      <c r="AY571" s="184"/>
      <c r="AZ571" s="184"/>
      <c r="BA571" s="184"/>
      <c r="BB571" s="184"/>
      <c r="BC571" s="184"/>
      <c r="BD571" s="184"/>
      <c r="BE571" s="184"/>
      <c r="BF571" s="184"/>
      <c r="BG571" s="184"/>
      <c r="BH571" s="184"/>
      <c r="BI571" s="184"/>
      <c r="BJ571" s="184"/>
    </row>
    <row r="572" spans="2:62" ht="15.75" customHeight="1">
      <c r="B572" s="181"/>
      <c r="C572" s="411"/>
      <c r="D572" s="411"/>
      <c r="E572" s="421"/>
      <c r="F572" s="430"/>
      <c r="G572" s="411"/>
      <c r="H572" s="421"/>
      <c r="I572" s="430"/>
      <c r="J572" s="421"/>
      <c r="K572" s="430"/>
      <c r="L572" s="421"/>
      <c r="M572" s="411"/>
      <c r="N572" s="421"/>
      <c r="O572" s="430"/>
      <c r="P572" s="423"/>
      <c r="Q572" s="432"/>
      <c r="R572" s="432"/>
      <c r="S572" s="421"/>
      <c r="T572" s="411"/>
      <c r="U572" s="411"/>
      <c r="V572" s="411"/>
      <c r="W572" s="411"/>
      <c r="X572" s="411"/>
      <c r="Y572" s="184"/>
      <c r="Z572" s="184"/>
      <c r="AA572" s="184"/>
      <c r="AB572" s="184"/>
      <c r="AC572" s="184"/>
      <c r="AD572" s="184"/>
      <c r="AE572" s="184"/>
      <c r="AF572" s="184"/>
      <c r="AG572" s="184"/>
      <c r="AH572" s="184"/>
      <c r="AI572" s="184"/>
      <c r="AJ572" s="184"/>
      <c r="AK572" s="184"/>
      <c r="AL572" s="184"/>
      <c r="AM572" s="184"/>
      <c r="AN572" s="184"/>
      <c r="AO572" s="184"/>
      <c r="AP572" s="184"/>
      <c r="AQ572" s="184"/>
      <c r="AR572" s="184"/>
      <c r="AS572" s="184"/>
      <c r="AT572" s="184"/>
      <c r="AU572" s="184"/>
      <c r="AV572" s="184"/>
      <c r="AW572" s="184"/>
      <c r="AX572" s="184"/>
      <c r="AY572" s="184"/>
      <c r="AZ572" s="184"/>
      <c r="BA572" s="184"/>
      <c r="BB572" s="184"/>
      <c r="BC572" s="184"/>
      <c r="BD572" s="184"/>
      <c r="BE572" s="184"/>
      <c r="BF572" s="184"/>
      <c r="BG572" s="184"/>
      <c r="BH572" s="184"/>
      <c r="BI572" s="184"/>
      <c r="BJ572" s="184"/>
    </row>
    <row r="573" spans="2:62" ht="15.75" customHeight="1">
      <c r="B573" s="181"/>
      <c r="C573" s="411"/>
      <c r="D573" s="411"/>
      <c r="E573" s="421"/>
      <c r="F573" s="430"/>
      <c r="G573" s="411"/>
      <c r="H573" s="421"/>
      <c r="I573" s="430"/>
      <c r="J573" s="421"/>
      <c r="K573" s="430"/>
      <c r="L573" s="421"/>
      <c r="M573" s="411"/>
      <c r="N573" s="421"/>
      <c r="O573" s="430"/>
      <c r="P573" s="421"/>
      <c r="Q573" s="411"/>
      <c r="R573" s="430"/>
      <c r="S573" s="421"/>
      <c r="T573" s="411"/>
      <c r="U573" s="411"/>
      <c r="V573" s="411"/>
      <c r="W573" s="411"/>
      <c r="X573" s="411"/>
      <c r="Y573" s="184"/>
      <c r="Z573" s="184"/>
      <c r="AA573" s="184"/>
      <c r="AB573" s="184"/>
      <c r="AC573" s="184"/>
      <c r="AD573" s="184"/>
      <c r="AE573" s="184"/>
      <c r="AF573" s="184"/>
      <c r="AG573" s="184"/>
      <c r="AH573" s="184"/>
      <c r="AI573" s="184"/>
      <c r="AJ573" s="184"/>
      <c r="AK573" s="184"/>
      <c r="AL573" s="184"/>
      <c r="AM573" s="184"/>
      <c r="AN573" s="184"/>
      <c r="AO573" s="184"/>
      <c r="AP573" s="184"/>
      <c r="AQ573" s="184"/>
      <c r="AR573" s="184"/>
      <c r="AS573" s="184"/>
      <c r="AT573" s="184"/>
      <c r="AU573" s="184"/>
      <c r="AV573" s="184"/>
      <c r="AW573" s="184"/>
      <c r="AX573" s="184"/>
      <c r="AY573" s="184"/>
      <c r="AZ573" s="184"/>
      <c r="BA573" s="184"/>
      <c r="BB573" s="184"/>
      <c r="BC573" s="184"/>
      <c r="BD573" s="184"/>
      <c r="BE573" s="184"/>
      <c r="BF573" s="184"/>
      <c r="BG573" s="184"/>
      <c r="BH573" s="184"/>
      <c r="BI573" s="184"/>
      <c r="BJ573" s="184"/>
    </row>
    <row r="574" spans="2:62" ht="15.75" customHeight="1">
      <c r="B574" s="181"/>
      <c r="C574" s="411"/>
      <c r="D574" s="411"/>
      <c r="E574" s="411"/>
      <c r="F574" s="411"/>
      <c r="G574" s="411"/>
      <c r="H574" s="411"/>
      <c r="I574" s="411"/>
      <c r="J574" s="411"/>
      <c r="K574" s="411"/>
      <c r="L574" s="411"/>
      <c r="M574" s="411"/>
      <c r="N574" s="411"/>
      <c r="O574" s="411"/>
      <c r="P574" s="411"/>
      <c r="Q574" s="411"/>
      <c r="R574" s="430"/>
      <c r="S574" s="421"/>
      <c r="T574" s="411"/>
      <c r="U574" s="411"/>
      <c r="V574" s="411"/>
      <c r="W574" s="411"/>
      <c r="X574" s="411"/>
      <c r="Y574" s="184"/>
      <c r="Z574" s="184"/>
      <c r="AA574" s="184"/>
      <c r="AB574" s="184"/>
      <c r="AC574" s="184"/>
      <c r="AD574" s="184"/>
      <c r="AE574" s="184"/>
      <c r="AF574" s="184"/>
      <c r="AG574" s="184"/>
      <c r="AH574" s="184"/>
      <c r="AI574" s="184"/>
      <c r="AJ574" s="184"/>
      <c r="AK574" s="184"/>
      <c r="AL574" s="184"/>
      <c r="AM574" s="184"/>
      <c r="AN574" s="184"/>
      <c r="AO574" s="184"/>
      <c r="AP574" s="184"/>
      <c r="AQ574" s="184"/>
      <c r="AR574" s="184"/>
      <c r="AS574" s="184"/>
      <c r="AT574" s="184"/>
      <c r="AU574" s="184"/>
      <c r="AV574" s="184"/>
      <c r="AW574" s="184"/>
      <c r="AX574" s="184"/>
      <c r="AY574" s="184"/>
      <c r="AZ574" s="184"/>
      <c r="BA574" s="184"/>
      <c r="BB574" s="184"/>
      <c r="BC574" s="184"/>
      <c r="BD574" s="184"/>
      <c r="BE574" s="184"/>
      <c r="BF574" s="184"/>
      <c r="BG574" s="184"/>
      <c r="BH574" s="184"/>
      <c r="BI574" s="184"/>
      <c r="BJ574" s="184"/>
    </row>
    <row r="575" spans="2:62" ht="15.75" customHeight="1">
      <c r="B575" s="181"/>
      <c r="C575" s="411"/>
      <c r="D575" s="411"/>
      <c r="E575" s="421"/>
      <c r="F575" s="430"/>
      <c r="G575" s="411"/>
      <c r="H575" s="421"/>
      <c r="I575" s="430"/>
      <c r="J575" s="421"/>
      <c r="K575" s="430"/>
      <c r="L575" s="421"/>
      <c r="M575" s="411"/>
      <c r="N575" s="421"/>
      <c r="O575" s="430"/>
      <c r="P575" s="421"/>
      <c r="Q575" s="411"/>
      <c r="R575" s="430"/>
      <c r="S575" s="421"/>
      <c r="T575" s="411"/>
      <c r="U575" s="411"/>
      <c r="V575" s="411"/>
      <c r="W575" s="411"/>
      <c r="X575" s="411"/>
      <c r="Y575" s="184"/>
      <c r="Z575" s="184"/>
      <c r="AA575" s="184"/>
      <c r="AB575" s="184"/>
      <c r="AC575" s="184"/>
      <c r="AD575" s="184"/>
      <c r="AE575" s="184"/>
      <c r="AF575" s="184"/>
      <c r="AG575" s="184"/>
      <c r="AH575" s="184"/>
      <c r="AI575" s="184"/>
      <c r="AJ575" s="184"/>
      <c r="AK575" s="184"/>
      <c r="AL575" s="184"/>
      <c r="AM575" s="184"/>
      <c r="AN575" s="184"/>
      <c r="AO575" s="184"/>
      <c r="AP575" s="184"/>
      <c r="AQ575" s="184"/>
      <c r="AR575" s="184"/>
      <c r="AS575" s="184"/>
      <c r="AT575" s="184"/>
      <c r="AU575" s="184"/>
      <c r="AV575" s="184"/>
      <c r="AW575" s="184"/>
      <c r="AX575" s="184"/>
      <c r="AY575" s="184"/>
      <c r="AZ575" s="184"/>
      <c r="BA575" s="184"/>
      <c r="BB575" s="184"/>
      <c r="BC575" s="184"/>
      <c r="BD575" s="184"/>
      <c r="BE575" s="184"/>
      <c r="BF575" s="184"/>
      <c r="BG575" s="184"/>
      <c r="BH575" s="184"/>
      <c r="BI575" s="184"/>
      <c r="BJ575" s="184"/>
    </row>
    <row r="576" spans="2:62" ht="15.75" customHeight="1">
      <c r="B576" s="181"/>
      <c r="C576" s="411"/>
      <c r="D576" s="411"/>
      <c r="E576" s="421"/>
      <c r="F576" s="430"/>
      <c r="G576" s="411"/>
      <c r="H576" s="421"/>
      <c r="I576" s="430"/>
      <c r="J576" s="421"/>
      <c r="K576" s="430"/>
      <c r="L576" s="421"/>
      <c r="M576" s="411"/>
      <c r="N576" s="421"/>
      <c r="O576" s="430"/>
      <c r="P576" s="421"/>
      <c r="Q576" s="411"/>
      <c r="R576" s="430"/>
      <c r="S576" s="421"/>
      <c r="T576" s="411"/>
      <c r="U576" s="411"/>
      <c r="V576" s="411"/>
      <c r="W576" s="411"/>
      <c r="X576" s="411"/>
      <c r="Y576" s="184"/>
      <c r="Z576" s="184"/>
      <c r="AA576" s="184"/>
      <c r="AB576" s="184"/>
      <c r="AC576" s="184"/>
      <c r="AD576" s="184"/>
      <c r="AE576" s="184"/>
      <c r="AF576" s="184"/>
      <c r="AG576" s="184"/>
      <c r="AH576" s="184"/>
      <c r="AI576" s="184"/>
      <c r="AJ576" s="184"/>
      <c r="AK576" s="184"/>
      <c r="AL576" s="184"/>
      <c r="AM576" s="184"/>
      <c r="AN576" s="184"/>
      <c r="AO576" s="184"/>
      <c r="AP576" s="184"/>
      <c r="AQ576" s="184"/>
      <c r="AR576" s="184"/>
      <c r="AS576" s="184"/>
      <c r="AT576" s="184"/>
      <c r="AU576" s="184"/>
      <c r="AV576" s="184"/>
      <c r="AW576" s="184"/>
      <c r="AX576" s="184"/>
      <c r="AY576" s="184"/>
      <c r="AZ576" s="184"/>
      <c r="BA576" s="184"/>
      <c r="BB576" s="184"/>
      <c r="BC576" s="184"/>
      <c r="BD576" s="184"/>
      <c r="BE576" s="184"/>
      <c r="BF576" s="184"/>
      <c r="BG576" s="184"/>
      <c r="BH576" s="184"/>
      <c r="BI576" s="184"/>
      <c r="BJ576" s="184"/>
    </row>
    <row r="577" spans="2:62" ht="15.75" customHeight="1">
      <c r="B577" s="181"/>
      <c r="C577" s="411"/>
      <c r="D577" s="411"/>
      <c r="E577" s="421"/>
      <c r="F577" s="430"/>
      <c r="G577" s="411"/>
      <c r="H577" s="421"/>
      <c r="I577" s="430"/>
      <c r="J577" s="421"/>
      <c r="K577" s="430"/>
      <c r="L577" s="421"/>
      <c r="M577" s="411"/>
      <c r="N577" s="421"/>
      <c r="O577" s="430"/>
      <c r="P577" s="421"/>
      <c r="Q577" s="411"/>
      <c r="R577" s="430"/>
      <c r="S577" s="421"/>
      <c r="T577" s="411"/>
      <c r="U577" s="411"/>
      <c r="V577" s="411"/>
      <c r="W577" s="411"/>
      <c r="X577" s="411"/>
      <c r="Y577" s="184"/>
      <c r="Z577" s="184"/>
      <c r="AA577" s="184"/>
      <c r="AB577" s="184"/>
      <c r="AC577" s="184"/>
      <c r="AD577" s="184"/>
      <c r="AE577" s="184"/>
      <c r="AF577" s="184"/>
      <c r="AG577" s="184"/>
      <c r="AH577" s="184"/>
      <c r="AI577" s="184"/>
      <c r="AJ577" s="184"/>
      <c r="AK577" s="184"/>
      <c r="AL577" s="184"/>
      <c r="AM577" s="184"/>
      <c r="AN577" s="184"/>
      <c r="AO577" s="184"/>
      <c r="AP577" s="184"/>
      <c r="AQ577" s="184"/>
      <c r="AR577" s="184"/>
      <c r="AS577" s="184"/>
      <c r="AT577" s="184"/>
      <c r="AU577" s="184"/>
      <c r="AV577" s="184"/>
      <c r="AW577" s="184"/>
      <c r="AX577" s="184"/>
      <c r="AY577" s="184"/>
      <c r="AZ577" s="184"/>
      <c r="BA577" s="184"/>
      <c r="BB577" s="184"/>
      <c r="BC577" s="184"/>
      <c r="BD577" s="184"/>
      <c r="BE577" s="184"/>
      <c r="BF577" s="184"/>
      <c r="BG577" s="184"/>
      <c r="BH577" s="184"/>
      <c r="BI577" s="184"/>
      <c r="BJ577" s="184"/>
    </row>
    <row r="578" spans="2:62" ht="15.75" customHeight="1">
      <c r="B578" s="181"/>
      <c r="C578" s="411"/>
      <c r="D578" s="411"/>
      <c r="E578" s="421"/>
      <c r="F578" s="430"/>
      <c r="G578" s="411"/>
      <c r="H578" s="421"/>
      <c r="I578" s="430"/>
      <c r="J578" s="421"/>
      <c r="K578" s="430"/>
      <c r="L578" s="421"/>
      <c r="M578" s="411"/>
      <c r="N578" s="421"/>
      <c r="O578" s="430"/>
      <c r="P578" s="421"/>
      <c r="Q578" s="411"/>
      <c r="R578" s="430"/>
      <c r="S578" s="421"/>
      <c r="T578" s="411"/>
      <c r="U578" s="411"/>
      <c r="V578" s="411"/>
      <c r="W578" s="411"/>
      <c r="X578" s="411"/>
      <c r="Y578" s="184"/>
      <c r="Z578" s="184"/>
      <c r="AA578" s="184"/>
      <c r="AB578" s="184"/>
      <c r="AC578" s="184"/>
      <c r="AD578" s="184"/>
      <c r="AE578" s="184"/>
      <c r="AF578" s="184"/>
      <c r="AG578" s="184"/>
      <c r="AH578" s="184"/>
      <c r="AI578" s="184"/>
      <c r="AJ578" s="184"/>
      <c r="AK578" s="184"/>
      <c r="AL578" s="184"/>
      <c r="AM578" s="184"/>
      <c r="AN578" s="184"/>
      <c r="AO578" s="184"/>
      <c r="AP578" s="184"/>
      <c r="AQ578" s="184"/>
      <c r="AR578" s="184"/>
      <c r="AS578" s="184"/>
      <c r="AT578" s="184"/>
      <c r="AU578" s="184"/>
      <c r="AV578" s="184"/>
      <c r="AW578" s="184"/>
      <c r="AX578" s="184"/>
      <c r="AY578" s="184"/>
      <c r="AZ578" s="184"/>
      <c r="BA578" s="184"/>
      <c r="BB578" s="184"/>
      <c r="BC578" s="184"/>
      <c r="BD578" s="184"/>
      <c r="BE578" s="184"/>
      <c r="BF578" s="184"/>
      <c r="BG578" s="184"/>
      <c r="BH578" s="184"/>
      <c r="BI578" s="184"/>
      <c r="BJ578" s="184"/>
    </row>
    <row r="579" spans="2:62" ht="15.75" customHeight="1">
      <c r="B579" s="181"/>
      <c r="C579" s="411"/>
      <c r="D579" s="411"/>
      <c r="E579" s="421"/>
      <c r="F579" s="430"/>
      <c r="G579" s="411"/>
      <c r="H579" s="421"/>
      <c r="I579" s="430"/>
      <c r="J579" s="421"/>
      <c r="K579" s="430"/>
      <c r="L579" s="421"/>
      <c r="M579" s="411"/>
      <c r="N579" s="421"/>
      <c r="O579" s="430"/>
      <c r="P579" s="421"/>
      <c r="Q579" s="411"/>
      <c r="R579" s="430"/>
      <c r="S579" s="421"/>
      <c r="T579" s="411"/>
      <c r="U579" s="411"/>
      <c r="V579" s="411"/>
      <c r="W579" s="411"/>
      <c r="X579" s="411"/>
      <c r="Y579" s="184"/>
      <c r="Z579" s="184"/>
      <c r="AA579" s="184"/>
      <c r="AB579" s="184"/>
      <c r="AC579" s="184"/>
      <c r="AD579" s="184"/>
      <c r="AE579" s="184"/>
      <c r="AF579" s="184"/>
      <c r="AG579" s="184"/>
      <c r="AH579" s="184"/>
      <c r="AI579" s="184"/>
      <c r="AJ579" s="184"/>
      <c r="AK579" s="184"/>
      <c r="AL579" s="184"/>
      <c r="AM579" s="184"/>
      <c r="AN579" s="184"/>
      <c r="AO579" s="184"/>
      <c r="AP579" s="184"/>
      <c r="AQ579" s="184"/>
      <c r="AR579" s="184"/>
      <c r="AS579" s="184"/>
      <c r="AT579" s="184"/>
      <c r="AU579" s="184"/>
      <c r="AV579" s="184"/>
      <c r="AW579" s="184"/>
      <c r="AX579" s="184"/>
      <c r="AY579" s="184"/>
      <c r="AZ579" s="184"/>
      <c r="BA579" s="184"/>
      <c r="BB579" s="184"/>
      <c r="BC579" s="184"/>
      <c r="BD579" s="184"/>
      <c r="BE579" s="184"/>
      <c r="BF579" s="184"/>
      <c r="BG579" s="184"/>
      <c r="BH579" s="184"/>
      <c r="BI579" s="184"/>
      <c r="BJ579" s="184"/>
    </row>
    <row r="580" spans="2:62" ht="15.75" customHeight="1">
      <c r="B580" s="181"/>
      <c r="C580" s="411"/>
      <c r="D580" s="411"/>
      <c r="E580" s="421"/>
      <c r="F580" s="430"/>
      <c r="G580" s="411"/>
      <c r="H580" s="421"/>
      <c r="I580" s="430"/>
      <c r="J580" s="421"/>
      <c r="K580" s="430"/>
      <c r="L580" s="421"/>
      <c r="M580" s="411"/>
      <c r="N580" s="421"/>
      <c r="O580" s="430"/>
      <c r="P580" s="421"/>
      <c r="Q580" s="411"/>
      <c r="R580" s="430"/>
      <c r="S580" s="421"/>
      <c r="T580" s="411"/>
      <c r="U580" s="411"/>
      <c r="V580" s="411"/>
      <c r="W580" s="411"/>
      <c r="X580" s="411"/>
      <c r="Y580" s="184"/>
      <c r="Z580" s="184"/>
      <c r="AA580" s="184"/>
      <c r="AB580" s="184"/>
      <c r="AC580" s="184"/>
      <c r="AD580" s="184"/>
      <c r="AE580" s="184"/>
      <c r="AF580" s="184"/>
      <c r="AG580" s="184"/>
      <c r="AH580" s="184"/>
      <c r="AI580" s="184"/>
      <c r="AJ580" s="184"/>
      <c r="AK580" s="184"/>
      <c r="AL580" s="184"/>
      <c r="AM580" s="184"/>
      <c r="AN580" s="184"/>
      <c r="AO580" s="184"/>
      <c r="AP580" s="184"/>
      <c r="AQ580" s="184"/>
      <c r="AR580" s="184"/>
      <c r="AS580" s="184"/>
      <c r="AT580" s="184"/>
      <c r="AU580" s="184"/>
      <c r="AV580" s="184"/>
      <c r="AW580" s="184"/>
      <c r="AX580" s="184"/>
      <c r="AY580" s="184"/>
      <c r="AZ580" s="184"/>
      <c r="BA580" s="184"/>
      <c r="BB580" s="184"/>
      <c r="BC580" s="184"/>
      <c r="BD580" s="184"/>
      <c r="BE580" s="184"/>
      <c r="BF580" s="184"/>
      <c r="BG580" s="184"/>
      <c r="BH580" s="184"/>
      <c r="BI580" s="184"/>
      <c r="BJ580" s="184"/>
    </row>
    <row r="581" spans="2:62" ht="15.75" customHeight="1">
      <c r="B581" s="181"/>
      <c r="C581" s="411"/>
      <c r="D581" s="411"/>
      <c r="E581" s="421"/>
      <c r="F581" s="430"/>
      <c r="G581" s="411"/>
      <c r="H581" s="421"/>
      <c r="I581" s="430"/>
      <c r="J581" s="421"/>
      <c r="K581" s="430"/>
      <c r="L581" s="421"/>
      <c r="M581" s="411"/>
      <c r="N581" s="421"/>
      <c r="O581" s="430"/>
      <c r="P581" s="421"/>
      <c r="Q581" s="411"/>
      <c r="R581" s="430"/>
      <c r="S581" s="421"/>
      <c r="T581" s="411"/>
      <c r="U581" s="411"/>
      <c r="V581" s="411"/>
      <c r="W581" s="411"/>
      <c r="X581" s="411"/>
      <c r="Y581" s="184"/>
      <c r="Z581" s="184"/>
      <c r="AA581" s="184"/>
      <c r="AB581" s="184"/>
      <c r="AC581" s="184"/>
      <c r="AD581" s="184"/>
      <c r="AE581" s="184"/>
      <c r="AF581" s="184"/>
      <c r="AG581" s="184"/>
      <c r="AH581" s="184"/>
      <c r="AI581" s="184"/>
      <c r="AJ581" s="184"/>
      <c r="AK581" s="184"/>
      <c r="AL581" s="184"/>
      <c r="AM581" s="184"/>
      <c r="AN581" s="184"/>
      <c r="AO581" s="184"/>
      <c r="AP581" s="184"/>
      <c r="AQ581" s="184"/>
      <c r="AR581" s="184"/>
      <c r="AS581" s="184"/>
      <c r="AT581" s="184"/>
      <c r="AU581" s="184"/>
      <c r="AV581" s="184"/>
      <c r="AW581" s="184"/>
      <c r="AX581" s="184"/>
      <c r="AY581" s="184"/>
      <c r="AZ581" s="184"/>
      <c r="BA581" s="184"/>
      <c r="BB581" s="184"/>
      <c r="BC581" s="184"/>
      <c r="BD581" s="184"/>
      <c r="BE581" s="184"/>
      <c r="BF581" s="184"/>
      <c r="BG581" s="184"/>
      <c r="BH581" s="184"/>
      <c r="BI581" s="184"/>
      <c r="BJ581" s="184"/>
    </row>
    <row r="582" spans="2:62" ht="15.75" customHeight="1">
      <c r="B582" s="181"/>
      <c r="C582" s="411"/>
      <c r="D582" s="411"/>
      <c r="E582" s="411"/>
      <c r="F582" s="411"/>
      <c r="G582" s="411"/>
      <c r="H582" s="411"/>
      <c r="I582" s="411"/>
      <c r="J582" s="411"/>
      <c r="K582" s="411"/>
      <c r="L582" s="411"/>
      <c r="M582" s="411"/>
      <c r="N582" s="411"/>
      <c r="O582" s="411"/>
      <c r="P582" s="411"/>
      <c r="Q582" s="411"/>
      <c r="R582" s="411"/>
      <c r="S582" s="411"/>
      <c r="T582" s="411"/>
      <c r="U582" s="411"/>
      <c r="V582" s="411"/>
      <c r="W582" s="411"/>
      <c r="X582" s="411"/>
      <c r="Y582" s="184"/>
      <c r="Z582" s="184"/>
      <c r="AA582" s="184"/>
      <c r="AB582" s="184"/>
      <c r="AC582" s="184"/>
      <c r="AD582" s="184"/>
      <c r="AE582" s="184"/>
      <c r="AF582" s="184"/>
      <c r="AG582" s="184"/>
      <c r="AH582" s="184"/>
      <c r="AI582" s="184"/>
      <c r="AJ582" s="184"/>
      <c r="AK582" s="184"/>
      <c r="AL582" s="184"/>
      <c r="AM582" s="184"/>
      <c r="AN582" s="184"/>
      <c r="AO582" s="184"/>
      <c r="AP582" s="184"/>
      <c r="AQ582" s="184"/>
      <c r="AR582" s="184"/>
      <c r="AS582" s="184"/>
      <c r="AT582" s="184"/>
      <c r="AU582" s="184"/>
      <c r="AV582" s="184"/>
      <c r="AW582" s="184"/>
      <c r="AX582" s="184"/>
      <c r="AY582" s="184"/>
      <c r="AZ582" s="184"/>
      <c r="BA582" s="184"/>
      <c r="BB582" s="184"/>
      <c r="BC582" s="184"/>
      <c r="BD582" s="184"/>
      <c r="BE582" s="184"/>
      <c r="BF582" s="184"/>
      <c r="BG582" s="184"/>
      <c r="BH582" s="184"/>
      <c r="BI582" s="184"/>
      <c r="BJ582" s="184"/>
    </row>
    <row r="583" spans="2:62" ht="15.75" customHeight="1">
      <c r="B583" s="181"/>
      <c r="C583" s="411"/>
      <c r="D583" s="411"/>
      <c r="E583" s="411"/>
      <c r="F583" s="411"/>
      <c r="G583" s="411"/>
      <c r="H583" s="411"/>
      <c r="I583" s="411"/>
      <c r="J583" s="411"/>
      <c r="K583" s="411"/>
      <c r="L583" s="411"/>
      <c r="M583" s="411"/>
      <c r="N583" s="411"/>
      <c r="O583" s="411"/>
      <c r="P583" s="411"/>
      <c r="Q583" s="411"/>
      <c r="R583" s="411"/>
      <c r="S583" s="411"/>
      <c r="T583" s="411"/>
      <c r="U583" s="411"/>
      <c r="V583" s="411"/>
      <c r="W583" s="411"/>
      <c r="X583" s="411"/>
      <c r="Y583" s="184"/>
      <c r="Z583" s="184"/>
      <c r="AA583" s="184"/>
      <c r="AB583" s="184"/>
      <c r="AC583" s="184"/>
      <c r="AD583" s="184"/>
      <c r="AE583" s="184"/>
      <c r="AF583" s="184"/>
      <c r="AG583" s="184"/>
      <c r="AH583" s="184"/>
      <c r="AI583" s="184"/>
      <c r="AJ583" s="184"/>
      <c r="AK583" s="184"/>
      <c r="AL583" s="184"/>
      <c r="AM583" s="184"/>
      <c r="AN583" s="184"/>
      <c r="AO583" s="184"/>
      <c r="AP583" s="184"/>
      <c r="AQ583" s="184"/>
      <c r="AR583" s="184"/>
      <c r="AS583" s="184"/>
      <c r="AT583" s="184"/>
      <c r="AU583" s="184"/>
      <c r="AV583" s="184"/>
      <c r="AW583" s="184"/>
      <c r="AX583" s="184"/>
      <c r="AY583" s="184"/>
      <c r="AZ583" s="184"/>
      <c r="BA583" s="184"/>
      <c r="BB583" s="184"/>
      <c r="BC583" s="184"/>
      <c r="BD583" s="184"/>
      <c r="BE583" s="184"/>
      <c r="BF583" s="184"/>
      <c r="BG583" s="184"/>
      <c r="BH583" s="184"/>
      <c r="BI583" s="184"/>
      <c r="BJ583" s="184"/>
    </row>
    <row r="584" spans="2:62" ht="15.75" customHeight="1">
      <c r="B584" s="181"/>
      <c r="C584" s="411"/>
      <c r="D584" s="411"/>
      <c r="E584" s="411"/>
      <c r="F584" s="411"/>
      <c r="G584" s="411"/>
      <c r="H584" s="411"/>
      <c r="I584" s="411"/>
      <c r="J584" s="411"/>
      <c r="K584" s="411"/>
      <c r="L584" s="411"/>
      <c r="M584" s="411"/>
      <c r="N584" s="411"/>
      <c r="O584" s="411"/>
      <c r="P584" s="411"/>
      <c r="Q584" s="411"/>
      <c r="R584" s="411"/>
      <c r="S584" s="411"/>
      <c r="T584" s="411"/>
      <c r="U584" s="411"/>
      <c r="V584" s="411"/>
      <c r="W584" s="411"/>
      <c r="X584" s="411"/>
      <c r="Y584" s="184"/>
      <c r="Z584" s="184"/>
      <c r="AA584" s="184"/>
      <c r="AB584" s="184"/>
      <c r="AC584" s="184"/>
      <c r="AD584" s="184"/>
      <c r="AE584" s="184"/>
      <c r="AF584" s="184"/>
      <c r="AG584" s="184"/>
      <c r="AH584" s="184"/>
      <c r="AI584" s="184"/>
      <c r="AJ584" s="184"/>
      <c r="AK584" s="184"/>
      <c r="AL584" s="184"/>
      <c r="AM584" s="184"/>
      <c r="AN584" s="184"/>
      <c r="AO584" s="184"/>
      <c r="AP584" s="184"/>
      <c r="AQ584" s="184"/>
      <c r="AR584" s="184"/>
      <c r="AS584" s="184"/>
      <c r="AT584" s="184"/>
      <c r="AU584" s="184"/>
      <c r="AV584" s="184"/>
      <c r="AW584" s="184"/>
      <c r="AX584" s="184"/>
      <c r="AY584" s="184"/>
      <c r="AZ584" s="184"/>
      <c r="BA584" s="184"/>
      <c r="BB584" s="184"/>
      <c r="BC584" s="184"/>
      <c r="BD584" s="184"/>
      <c r="BE584" s="184"/>
      <c r="BF584" s="184"/>
      <c r="BG584" s="184"/>
      <c r="BH584" s="184"/>
      <c r="BI584" s="184"/>
      <c r="BJ584" s="184"/>
    </row>
    <row r="585" spans="2:62" ht="15.75" customHeight="1">
      <c r="B585" s="181"/>
      <c r="C585" s="411"/>
      <c r="D585" s="411"/>
      <c r="E585" s="411"/>
      <c r="F585" s="411"/>
      <c r="G585" s="411"/>
      <c r="H585" s="411"/>
      <c r="I585" s="411"/>
      <c r="J585" s="411"/>
      <c r="K585" s="411"/>
      <c r="L585" s="411"/>
      <c r="M585" s="411"/>
      <c r="N585" s="411"/>
      <c r="O585" s="411"/>
      <c r="P585" s="411"/>
      <c r="Q585" s="411"/>
      <c r="R585" s="411"/>
      <c r="S585" s="411"/>
      <c r="T585" s="411"/>
      <c r="U585" s="411"/>
      <c r="V585" s="411"/>
      <c r="W585" s="411"/>
      <c r="X585" s="411"/>
      <c r="Y585" s="184"/>
      <c r="Z585" s="184"/>
      <c r="AA585" s="184"/>
      <c r="AB585" s="184"/>
      <c r="AC585" s="184"/>
      <c r="AD585" s="184"/>
      <c r="AE585" s="184"/>
      <c r="AF585" s="184"/>
      <c r="AG585" s="184"/>
      <c r="AH585" s="184"/>
      <c r="AI585" s="184"/>
      <c r="AJ585" s="184"/>
      <c r="AK585" s="184"/>
      <c r="AL585" s="184"/>
      <c r="AM585" s="184"/>
      <c r="AN585" s="184"/>
      <c r="AO585" s="184"/>
      <c r="AP585" s="184"/>
      <c r="AQ585" s="184"/>
      <c r="AR585" s="184"/>
      <c r="AS585" s="184"/>
      <c r="AT585" s="184"/>
      <c r="AU585" s="184"/>
      <c r="AV585" s="184"/>
      <c r="AW585" s="184"/>
      <c r="AX585" s="184"/>
      <c r="AY585" s="184"/>
      <c r="AZ585" s="184"/>
      <c r="BA585" s="184"/>
      <c r="BB585" s="184"/>
      <c r="BC585" s="184"/>
      <c r="BD585" s="184"/>
      <c r="BE585" s="184"/>
      <c r="BF585" s="184"/>
      <c r="BG585" s="184"/>
      <c r="BH585" s="184"/>
      <c r="BI585" s="184"/>
      <c r="BJ585" s="184"/>
    </row>
    <row r="586" spans="2:62" ht="15.75" customHeight="1">
      <c r="B586" s="181"/>
      <c r="C586" s="411"/>
      <c r="D586" s="411"/>
      <c r="E586" s="411"/>
      <c r="F586" s="411"/>
      <c r="G586" s="411"/>
      <c r="H586" s="411"/>
      <c r="I586" s="411"/>
      <c r="J586" s="411"/>
      <c r="K586" s="411"/>
      <c r="L586" s="411"/>
      <c r="M586" s="411"/>
      <c r="N586" s="411"/>
      <c r="O586" s="411"/>
      <c r="P586" s="411"/>
      <c r="Q586" s="411"/>
      <c r="R586" s="411"/>
      <c r="S586" s="411"/>
      <c r="T586" s="411"/>
      <c r="U586" s="411"/>
      <c r="V586" s="411"/>
      <c r="W586" s="411"/>
      <c r="X586" s="411"/>
      <c r="Y586" s="184"/>
      <c r="Z586" s="184"/>
      <c r="AA586" s="184"/>
      <c r="AB586" s="184"/>
      <c r="AC586" s="184"/>
      <c r="AD586" s="184"/>
      <c r="AE586" s="184"/>
      <c r="AF586" s="184"/>
      <c r="AG586" s="184"/>
      <c r="AH586" s="184"/>
      <c r="AI586" s="184"/>
      <c r="AJ586" s="184"/>
      <c r="AK586" s="184"/>
      <c r="AL586" s="184"/>
      <c r="AM586" s="184"/>
      <c r="AN586" s="184"/>
      <c r="AO586" s="184"/>
      <c r="AP586" s="184"/>
      <c r="AQ586" s="184"/>
      <c r="AR586" s="184"/>
      <c r="AS586" s="184"/>
      <c r="AT586" s="184"/>
      <c r="AU586" s="184"/>
      <c r="AV586" s="184"/>
      <c r="AW586" s="184"/>
      <c r="AX586" s="184"/>
      <c r="AY586" s="184"/>
      <c r="AZ586" s="184"/>
      <c r="BA586" s="184"/>
      <c r="BB586" s="184"/>
      <c r="BC586" s="184"/>
      <c r="BD586" s="184"/>
      <c r="BE586" s="184"/>
      <c r="BF586" s="184"/>
      <c r="BG586" s="184"/>
      <c r="BH586" s="184"/>
      <c r="BI586" s="184"/>
      <c r="BJ586" s="184"/>
    </row>
    <row r="587" spans="2:62" ht="15.75" customHeight="1">
      <c r="B587" s="181"/>
      <c r="C587" s="411"/>
      <c r="D587" s="411"/>
      <c r="E587" s="411"/>
      <c r="F587" s="411"/>
      <c r="G587" s="411"/>
      <c r="H587" s="411"/>
      <c r="I587" s="411"/>
      <c r="J587" s="411"/>
      <c r="K587" s="411"/>
      <c r="L587" s="411"/>
      <c r="M587" s="411"/>
      <c r="N587" s="411"/>
      <c r="O587" s="411"/>
      <c r="P587" s="411"/>
      <c r="Q587" s="411"/>
      <c r="R587" s="411"/>
      <c r="S587" s="411"/>
      <c r="T587" s="411"/>
      <c r="U587" s="411"/>
      <c r="V587" s="411"/>
      <c r="W587" s="411"/>
      <c r="X587" s="411"/>
      <c r="Y587" s="184"/>
      <c r="Z587" s="184"/>
      <c r="AA587" s="184"/>
      <c r="AB587" s="184"/>
      <c r="AC587" s="184"/>
      <c r="AD587" s="184"/>
      <c r="AE587" s="184"/>
      <c r="AF587" s="184"/>
      <c r="AG587" s="184"/>
      <c r="AH587" s="184"/>
      <c r="AI587" s="184"/>
      <c r="AJ587" s="184"/>
      <c r="AK587" s="184"/>
      <c r="AL587" s="184"/>
      <c r="AM587" s="184"/>
      <c r="AN587" s="184"/>
      <c r="AO587" s="184"/>
      <c r="AP587" s="184"/>
      <c r="AQ587" s="184"/>
      <c r="AR587" s="184"/>
      <c r="AS587" s="184"/>
      <c r="AT587" s="184"/>
      <c r="AU587" s="184"/>
      <c r="AV587" s="184"/>
      <c r="AW587" s="184"/>
      <c r="AX587" s="184"/>
      <c r="AY587" s="184"/>
      <c r="AZ587" s="184"/>
      <c r="BA587" s="184"/>
      <c r="BB587" s="184"/>
      <c r="BC587" s="184"/>
      <c r="BD587" s="184"/>
      <c r="BE587" s="184"/>
      <c r="BF587" s="184"/>
      <c r="BG587" s="184"/>
      <c r="BH587" s="184"/>
      <c r="BI587" s="184"/>
      <c r="BJ587" s="184"/>
    </row>
    <row r="588" spans="2:62" ht="15.75" customHeight="1">
      <c r="B588" s="181"/>
      <c r="C588" s="411"/>
      <c r="D588" s="411"/>
      <c r="E588" s="411"/>
      <c r="F588" s="411"/>
      <c r="G588" s="411"/>
      <c r="H588" s="411"/>
      <c r="I588" s="411"/>
      <c r="J588" s="411"/>
      <c r="K588" s="411"/>
      <c r="L588" s="411"/>
      <c r="M588" s="411"/>
      <c r="N588" s="411"/>
      <c r="O588" s="411"/>
      <c r="P588" s="411"/>
      <c r="Q588" s="411"/>
      <c r="R588" s="411"/>
      <c r="S588" s="411"/>
      <c r="T588" s="411"/>
      <c r="U588" s="411"/>
      <c r="V588" s="411"/>
      <c r="W588" s="411"/>
      <c r="X588" s="411"/>
      <c r="Y588" s="184"/>
      <c r="Z588" s="184"/>
      <c r="AA588" s="184"/>
      <c r="AB588" s="184"/>
      <c r="AC588" s="184"/>
      <c r="AD588" s="184"/>
      <c r="AE588" s="184"/>
      <c r="AF588" s="184"/>
      <c r="AG588" s="184"/>
      <c r="AH588" s="184"/>
      <c r="AI588" s="184"/>
      <c r="AJ588" s="184"/>
      <c r="AK588" s="184"/>
      <c r="AL588" s="184"/>
      <c r="AM588" s="184"/>
      <c r="AN588" s="184"/>
      <c r="AO588" s="184"/>
      <c r="AP588" s="184"/>
      <c r="AQ588" s="184"/>
      <c r="AR588" s="184"/>
      <c r="AS588" s="184"/>
      <c r="AT588" s="184"/>
      <c r="AU588" s="184"/>
      <c r="AV588" s="184"/>
      <c r="AW588" s="184"/>
      <c r="AX588" s="184"/>
      <c r="AY588" s="184"/>
      <c r="AZ588" s="184"/>
      <c r="BA588" s="184"/>
      <c r="BB588" s="184"/>
      <c r="BC588" s="184"/>
      <c r="BD588" s="184"/>
      <c r="BE588" s="184"/>
      <c r="BF588" s="184"/>
      <c r="BG588" s="184"/>
      <c r="BH588" s="184"/>
      <c r="BI588" s="184"/>
      <c r="BJ588" s="184"/>
    </row>
    <row r="589" spans="2:62" ht="15.75" customHeight="1">
      <c r="B589" s="181"/>
      <c r="C589" s="411"/>
      <c r="D589" s="411"/>
      <c r="E589" s="411"/>
      <c r="F589" s="411"/>
      <c r="G589" s="411"/>
      <c r="H589" s="411"/>
      <c r="I589" s="411"/>
      <c r="J589" s="411"/>
      <c r="K589" s="411"/>
      <c r="L589" s="411"/>
      <c r="M589" s="411"/>
      <c r="N589" s="411"/>
      <c r="O589" s="411"/>
      <c r="P589" s="411"/>
      <c r="Q589" s="411"/>
      <c r="R589" s="411"/>
      <c r="S589" s="411"/>
      <c r="T589" s="411"/>
      <c r="U589" s="411"/>
      <c r="V589" s="411"/>
      <c r="W589" s="411"/>
      <c r="X589" s="411"/>
      <c r="Y589" s="184"/>
      <c r="Z589" s="184"/>
      <c r="AA589" s="184"/>
      <c r="AB589" s="184"/>
      <c r="AC589" s="184"/>
      <c r="AD589" s="184"/>
      <c r="AE589" s="184"/>
      <c r="AF589" s="184"/>
      <c r="AG589" s="184"/>
      <c r="AH589" s="184"/>
      <c r="AI589" s="184"/>
      <c r="AJ589" s="184"/>
      <c r="AK589" s="184"/>
      <c r="AL589" s="184"/>
      <c r="AM589" s="184"/>
      <c r="AN589" s="184"/>
      <c r="AO589" s="184"/>
      <c r="AP589" s="184"/>
      <c r="AQ589" s="184"/>
      <c r="AR589" s="184"/>
      <c r="AS589" s="184"/>
      <c r="AT589" s="184"/>
      <c r="AU589" s="184"/>
      <c r="AV589" s="184"/>
      <c r="AW589" s="184"/>
      <c r="AX589" s="184"/>
      <c r="AY589" s="184"/>
      <c r="AZ589" s="184"/>
      <c r="BA589" s="184"/>
      <c r="BB589" s="184"/>
      <c r="BC589" s="184"/>
      <c r="BD589" s="184"/>
      <c r="BE589" s="184"/>
      <c r="BF589" s="184"/>
      <c r="BG589" s="184"/>
      <c r="BH589" s="184"/>
      <c r="BI589" s="184"/>
      <c r="BJ589" s="184"/>
    </row>
    <row r="590" spans="2:62" ht="15.75" customHeight="1">
      <c r="B590" s="181"/>
      <c r="C590" s="411"/>
      <c r="D590" s="411"/>
      <c r="E590" s="411"/>
      <c r="F590" s="411"/>
      <c r="G590" s="411"/>
      <c r="H590" s="411"/>
      <c r="I590" s="411"/>
      <c r="J590" s="411"/>
      <c r="K590" s="411"/>
      <c r="L590" s="411"/>
      <c r="M590" s="411"/>
      <c r="N590" s="411"/>
      <c r="O590" s="411"/>
      <c r="P590" s="411"/>
      <c r="Q590" s="411"/>
      <c r="R590" s="411"/>
      <c r="S590" s="411"/>
      <c r="T590" s="411"/>
      <c r="U590" s="411"/>
      <c r="V590" s="411"/>
      <c r="W590" s="411"/>
      <c r="X590" s="411"/>
      <c r="Y590" s="184"/>
      <c r="Z590" s="184"/>
      <c r="AA590" s="184"/>
      <c r="AB590" s="184"/>
      <c r="AC590" s="184"/>
      <c r="AD590" s="184"/>
      <c r="AE590" s="184"/>
      <c r="AF590" s="184"/>
      <c r="AG590" s="184"/>
      <c r="AH590" s="184"/>
      <c r="AI590" s="184"/>
      <c r="AJ590" s="184"/>
      <c r="AK590" s="184"/>
      <c r="AL590" s="184"/>
      <c r="AM590" s="184"/>
      <c r="AN590" s="184"/>
      <c r="AO590" s="184"/>
      <c r="AP590" s="184"/>
      <c r="AQ590" s="184"/>
      <c r="AR590" s="184"/>
      <c r="AS590" s="184"/>
      <c r="AT590" s="184"/>
      <c r="AU590" s="184"/>
      <c r="AV590" s="184"/>
      <c r="AW590" s="184"/>
      <c r="AX590" s="184"/>
      <c r="AY590" s="184"/>
      <c r="AZ590" s="184"/>
      <c r="BA590" s="184"/>
      <c r="BB590" s="184"/>
      <c r="BC590" s="184"/>
      <c r="BD590" s="184"/>
      <c r="BE590" s="184"/>
      <c r="BF590" s="184"/>
      <c r="BG590" s="184"/>
      <c r="BH590" s="184"/>
      <c r="BI590" s="184"/>
      <c r="BJ590" s="184"/>
    </row>
    <row r="591" spans="2:62" ht="15.75" customHeight="1">
      <c r="B591" s="181"/>
      <c r="C591" s="411"/>
      <c r="D591" s="411"/>
      <c r="E591" s="411"/>
      <c r="F591" s="411"/>
      <c r="G591" s="411"/>
      <c r="H591" s="411"/>
      <c r="I591" s="411"/>
      <c r="J591" s="411"/>
      <c r="K591" s="411"/>
      <c r="L591" s="411"/>
      <c r="M591" s="411"/>
      <c r="N591" s="411"/>
      <c r="O591" s="411"/>
      <c r="P591" s="411"/>
      <c r="Q591" s="411"/>
      <c r="R591" s="411"/>
      <c r="S591" s="411"/>
      <c r="T591" s="411"/>
      <c r="U591" s="411"/>
      <c r="V591" s="411"/>
      <c r="W591" s="411"/>
      <c r="X591" s="411"/>
      <c r="Y591" s="184"/>
      <c r="Z591" s="184"/>
      <c r="AA591" s="184"/>
      <c r="AB591" s="184"/>
      <c r="AC591" s="184"/>
      <c r="AD591" s="184"/>
      <c r="AE591" s="184"/>
      <c r="AF591" s="184"/>
      <c r="AG591" s="184"/>
      <c r="AH591" s="184"/>
      <c r="AI591" s="184"/>
      <c r="AJ591" s="184"/>
      <c r="AK591" s="184"/>
      <c r="AL591" s="184"/>
      <c r="AM591" s="184"/>
      <c r="AN591" s="184"/>
      <c r="AO591" s="184"/>
      <c r="AP591" s="184"/>
      <c r="AQ591" s="184"/>
      <c r="AR591" s="184"/>
      <c r="AS591" s="184"/>
      <c r="AT591" s="184"/>
      <c r="AU591" s="184"/>
      <c r="AV591" s="184"/>
      <c r="AW591" s="184"/>
      <c r="AX591" s="184"/>
      <c r="AY591" s="184"/>
      <c r="AZ591" s="184"/>
      <c r="BA591" s="184"/>
      <c r="BB591" s="184"/>
      <c r="BC591" s="184"/>
      <c r="BD591" s="184"/>
      <c r="BE591" s="184"/>
      <c r="BF591" s="184"/>
      <c r="BG591" s="184"/>
      <c r="BH591" s="184"/>
      <c r="BI591" s="184"/>
      <c r="BJ591" s="184"/>
    </row>
    <row r="592" spans="2:62" ht="15.75" customHeight="1">
      <c r="B592" s="181"/>
      <c r="C592" s="411"/>
      <c r="D592" s="411"/>
      <c r="E592" s="411"/>
      <c r="F592" s="411"/>
      <c r="G592" s="411"/>
      <c r="H592" s="411"/>
      <c r="I592" s="411"/>
      <c r="J592" s="411"/>
      <c r="K592" s="411"/>
      <c r="L592" s="411"/>
      <c r="M592" s="411"/>
      <c r="N592" s="411"/>
      <c r="O592" s="411"/>
      <c r="P592" s="411"/>
      <c r="Q592" s="411"/>
      <c r="R592" s="411"/>
      <c r="S592" s="411"/>
      <c r="T592" s="411"/>
      <c r="U592" s="411"/>
      <c r="V592" s="411"/>
      <c r="W592" s="411"/>
      <c r="X592" s="411"/>
      <c r="Y592" s="184"/>
      <c r="Z592" s="184"/>
      <c r="AA592" s="184"/>
      <c r="AB592" s="184"/>
      <c r="AC592" s="184"/>
      <c r="AD592" s="184"/>
      <c r="AE592" s="184"/>
      <c r="AF592" s="184"/>
      <c r="AG592" s="184"/>
      <c r="AH592" s="184"/>
      <c r="AI592" s="184"/>
      <c r="AJ592" s="184"/>
      <c r="AK592" s="184"/>
      <c r="AL592" s="184"/>
      <c r="AM592" s="184"/>
      <c r="AN592" s="184"/>
      <c r="AO592" s="184"/>
      <c r="AP592" s="184"/>
      <c r="AQ592" s="184"/>
      <c r="AR592" s="184"/>
      <c r="AS592" s="184"/>
      <c r="AT592" s="184"/>
      <c r="AU592" s="184"/>
      <c r="AV592" s="184"/>
      <c r="AW592" s="184"/>
      <c r="AX592" s="184"/>
      <c r="AY592" s="184"/>
      <c r="AZ592" s="184"/>
      <c r="BA592" s="184"/>
      <c r="BB592" s="184"/>
      <c r="BC592" s="184"/>
      <c r="BD592" s="184"/>
      <c r="BE592" s="184"/>
      <c r="BF592" s="184"/>
      <c r="BG592" s="184"/>
      <c r="BH592" s="184"/>
      <c r="BI592" s="184"/>
      <c r="BJ592" s="184"/>
    </row>
    <row r="593" spans="2:62" ht="15.75" customHeight="1">
      <c r="B593" s="181"/>
      <c r="C593" s="411"/>
      <c r="D593" s="411"/>
      <c r="E593" s="411"/>
      <c r="F593" s="411"/>
      <c r="G593" s="411"/>
      <c r="H593" s="411"/>
      <c r="I593" s="411"/>
      <c r="J593" s="411"/>
      <c r="K593" s="411"/>
      <c r="L593" s="411"/>
      <c r="M593" s="411"/>
      <c r="N593" s="411"/>
      <c r="O593" s="411"/>
      <c r="P593" s="411"/>
      <c r="Q593" s="411"/>
      <c r="R593" s="411"/>
      <c r="S593" s="411"/>
      <c r="T593" s="411"/>
      <c r="U593" s="411"/>
      <c r="V593" s="411"/>
      <c r="W593" s="411"/>
      <c r="X593" s="411"/>
      <c r="Y593" s="184"/>
      <c r="Z593" s="184"/>
      <c r="AA593" s="184"/>
      <c r="AB593" s="184"/>
      <c r="AC593" s="184"/>
      <c r="AD593" s="184"/>
      <c r="AE593" s="184"/>
      <c r="AF593" s="184"/>
      <c r="AG593" s="184"/>
      <c r="AH593" s="184"/>
      <c r="AI593" s="184"/>
      <c r="AJ593" s="184"/>
      <c r="AK593" s="184"/>
      <c r="AL593" s="184"/>
      <c r="AM593" s="184"/>
      <c r="AN593" s="184"/>
      <c r="AO593" s="184"/>
      <c r="AP593" s="184"/>
      <c r="AQ593" s="184"/>
      <c r="AR593" s="184"/>
      <c r="AS593" s="184"/>
      <c r="AT593" s="184"/>
      <c r="AU593" s="184"/>
      <c r="AV593" s="184"/>
      <c r="AW593" s="184"/>
      <c r="AX593" s="184"/>
      <c r="AY593" s="184"/>
      <c r="AZ593" s="184"/>
      <c r="BA593" s="184"/>
      <c r="BB593" s="184"/>
      <c r="BC593" s="184"/>
      <c r="BD593" s="184"/>
      <c r="BE593" s="184"/>
      <c r="BF593" s="184"/>
      <c r="BG593" s="184"/>
      <c r="BH593" s="184"/>
      <c r="BI593" s="184"/>
      <c r="BJ593" s="184"/>
    </row>
    <row r="594" spans="2:62" ht="15.75" customHeight="1">
      <c r="B594" s="181"/>
      <c r="C594" s="411"/>
      <c r="D594" s="411"/>
      <c r="E594" s="411"/>
      <c r="F594" s="411"/>
      <c r="G594" s="411"/>
      <c r="H594" s="411"/>
      <c r="I594" s="411"/>
      <c r="J594" s="411"/>
      <c r="K594" s="411"/>
      <c r="L594" s="411"/>
      <c r="M594" s="411"/>
      <c r="N594" s="411"/>
      <c r="O594" s="411"/>
      <c r="P594" s="411"/>
      <c r="Q594" s="411"/>
      <c r="R594" s="411"/>
      <c r="S594" s="411"/>
      <c r="T594" s="411"/>
      <c r="U594" s="411"/>
      <c r="V594" s="411"/>
      <c r="W594" s="411"/>
      <c r="X594" s="411"/>
      <c r="Y594" s="184"/>
      <c r="Z594" s="184"/>
      <c r="AA594" s="184"/>
      <c r="AB594" s="184"/>
      <c r="AC594" s="184"/>
      <c r="AD594" s="184"/>
      <c r="AE594" s="184"/>
      <c r="AF594" s="184"/>
      <c r="AG594" s="184"/>
      <c r="AH594" s="184"/>
      <c r="AI594" s="184"/>
      <c r="AJ594" s="184"/>
      <c r="AK594" s="184"/>
      <c r="AL594" s="184"/>
      <c r="AM594" s="184"/>
      <c r="AN594" s="184"/>
      <c r="AO594" s="184"/>
      <c r="AP594" s="184"/>
      <c r="AQ594" s="184"/>
      <c r="AR594" s="184"/>
      <c r="AS594" s="184"/>
      <c r="AT594" s="184"/>
      <c r="AU594" s="184"/>
      <c r="AV594" s="184"/>
      <c r="AW594" s="184"/>
      <c r="AX594" s="184"/>
      <c r="AY594" s="184"/>
      <c r="AZ594" s="184"/>
      <c r="BA594" s="184"/>
      <c r="BB594" s="184"/>
      <c r="BC594" s="184"/>
      <c r="BD594" s="184"/>
      <c r="BE594" s="184"/>
      <c r="BF594" s="184"/>
      <c r="BG594" s="184"/>
      <c r="BH594" s="184"/>
      <c r="BI594" s="184"/>
      <c r="BJ594" s="184"/>
    </row>
    <row r="595" spans="2:62" ht="15.75" customHeight="1">
      <c r="B595" s="18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184"/>
      <c r="Z595" s="184"/>
      <c r="AA595" s="184"/>
      <c r="AB595" s="184"/>
      <c r="AC595" s="184"/>
      <c r="AD595" s="184"/>
      <c r="AE595" s="184"/>
      <c r="AF595" s="184"/>
      <c r="AG595" s="184"/>
      <c r="AH595" s="184"/>
      <c r="AI595" s="184"/>
      <c r="AJ595" s="184"/>
      <c r="AK595" s="184"/>
      <c r="AL595" s="184"/>
      <c r="AM595" s="184"/>
      <c r="AN595" s="184"/>
      <c r="AO595" s="184"/>
      <c r="AP595" s="184"/>
      <c r="AQ595" s="184"/>
      <c r="AR595" s="184"/>
      <c r="AS595" s="184"/>
      <c r="AT595" s="184"/>
      <c r="AU595" s="184"/>
      <c r="AV595" s="184"/>
      <c r="AW595" s="184"/>
      <c r="AX595" s="184"/>
      <c r="AY595" s="184"/>
      <c r="AZ595" s="184"/>
      <c r="BA595" s="184"/>
      <c r="BB595" s="184"/>
      <c r="BC595" s="184"/>
      <c r="BD595" s="184"/>
      <c r="BE595" s="184"/>
      <c r="BF595" s="184"/>
      <c r="BG595" s="184"/>
      <c r="BH595" s="184"/>
      <c r="BI595" s="184"/>
      <c r="BJ595" s="184"/>
    </row>
    <row r="596" spans="2:62" ht="15.75" customHeight="1">
      <c r="B596" s="181"/>
      <c r="C596" s="411"/>
      <c r="D596" s="411"/>
      <c r="E596" s="411"/>
      <c r="F596" s="411"/>
      <c r="G596" s="411"/>
      <c r="H596" s="411"/>
      <c r="I596" s="411"/>
      <c r="J596" s="411"/>
      <c r="K596" s="411"/>
      <c r="L596" s="411"/>
      <c r="M596" s="411"/>
      <c r="N596" s="411"/>
      <c r="O596" s="411"/>
      <c r="P596" s="411"/>
      <c r="Q596" s="411"/>
      <c r="R596" s="411"/>
      <c r="S596" s="411"/>
      <c r="T596" s="411"/>
      <c r="U596" s="411"/>
      <c r="V596" s="411"/>
      <c r="W596" s="411"/>
      <c r="X596" s="411"/>
      <c r="Y596" s="184"/>
      <c r="Z596" s="184"/>
      <c r="AA596" s="184"/>
      <c r="AB596" s="184"/>
      <c r="AC596" s="184"/>
      <c r="AD596" s="184"/>
      <c r="AE596" s="184"/>
      <c r="AF596" s="184"/>
      <c r="AG596" s="184"/>
      <c r="AH596" s="184"/>
      <c r="AI596" s="184"/>
      <c r="AJ596" s="184"/>
      <c r="AK596" s="184"/>
      <c r="AL596" s="184"/>
      <c r="AM596" s="184"/>
      <c r="AN596" s="184"/>
      <c r="AO596" s="184"/>
      <c r="AP596" s="184"/>
      <c r="AQ596" s="184"/>
      <c r="AR596" s="184"/>
      <c r="AS596" s="184"/>
      <c r="AT596" s="184"/>
      <c r="AU596" s="184"/>
      <c r="AV596" s="184"/>
      <c r="AW596" s="184"/>
      <c r="AX596" s="184"/>
      <c r="AY596" s="184"/>
      <c r="AZ596" s="184"/>
      <c r="BA596" s="184"/>
      <c r="BB596" s="184"/>
      <c r="BC596" s="184"/>
      <c r="BD596" s="184"/>
      <c r="BE596" s="184"/>
      <c r="BF596" s="184"/>
      <c r="BG596" s="184"/>
      <c r="BH596" s="184"/>
      <c r="BI596" s="184"/>
      <c r="BJ596" s="184"/>
    </row>
    <row r="597" spans="2:62" ht="15.75" customHeight="1">
      <c r="B597" s="181"/>
      <c r="C597" s="411"/>
      <c r="D597" s="411"/>
      <c r="E597" s="411"/>
      <c r="F597" s="411"/>
      <c r="G597" s="411"/>
      <c r="H597" s="411"/>
      <c r="I597" s="411"/>
      <c r="J597" s="411"/>
      <c r="K597" s="411"/>
      <c r="L597" s="411"/>
      <c r="M597" s="411"/>
      <c r="N597" s="411"/>
      <c r="O597" s="411"/>
      <c r="P597" s="411"/>
      <c r="Q597" s="411"/>
      <c r="R597" s="411"/>
      <c r="S597" s="411"/>
      <c r="T597" s="411"/>
      <c r="U597" s="411"/>
      <c r="V597" s="411"/>
      <c r="W597" s="411"/>
      <c r="X597" s="411"/>
      <c r="Y597" s="184"/>
      <c r="Z597" s="184"/>
      <c r="AA597" s="184"/>
      <c r="AB597" s="184"/>
      <c r="AC597" s="184"/>
      <c r="AD597" s="184"/>
      <c r="AE597" s="184"/>
      <c r="AF597" s="184"/>
      <c r="AG597" s="184"/>
      <c r="AH597" s="184"/>
      <c r="AI597" s="184"/>
      <c r="AJ597" s="184"/>
      <c r="AK597" s="184"/>
      <c r="AL597" s="184"/>
      <c r="AM597" s="184"/>
      <c r="AN597" s="184"/>
      <c r="AO597" s="184"/>
      <c r="AP597" s="184"/>
      <c r="AQ597" s="184"/>
      <c r="AR597" s="184"/>
      <c r="AS597" s="184"/>
      <c r="AT597" s="184"/>
      <c r="AU597" s="184"/>
      <c r="AV597" s="184"/>
      <c r="AW597" s="184"/>
      <c r="AX597" s="184"/>
      <c r="AY597" s="184"/>
      <c r="AZ597" s="184"/>
      <c r="BA597" s="184"/>
      <c r="BB597" s="184"/>
      <c r="BC597" s="184"/>
      <c r="BD597" s="184"/>
      <c r="BE597" s="184"/>
      <c r="BF597" s="184"/>
      <c r="BG597" s="184"/>
      <c r="BH597" s="184"/>
      <c r="BI597" s="184"/>
      <c r="BJ597" s="184"/>
    </row>
    <row r="598" spans="2:62" ht="15.75" customHeight="1">
      <c r="B598" s="181"/>
      <c r="C598" s="411"/>
      <c r="D598" s="411"/>
      <c r="E598" s="411"/>
      <c r="F598" s="411"/>
      <c r="G598" s="411"/>
      <c r="H598" s="411"/>
      <c r="I598" s="411"/>
      <c r="J598" s="411"/>
      <c r="K598" s="411"/>
      <c r="L598" s="411"/>
      <c r="M598" s="411"/>
      <c r="N598" s="411"/>
      <c r="O598" s="411"/>
      <c r="P598" s="411"/>
      <c r="Q598" s="411"/>
      <c r="R598" s="411"/>
      <c r="S598" s="411"/>
      <c r="T598" s="411"/>
      <c r="U598" s="411"/>
      <c r="V598" s="411"/>
      <c r="W598" s="411"/>
      <c r="X598" s="411"/>
      <c r="Y598" s="184"/>
      <c r="Z598" s="184"/>
      <c r="AA598" s="184"/>
      <c r="AB598" s="184"/>
      <c r="AC598" s="184"/>
      <c r="AD598" s="184"/>
      <c r="AE598" s="184"/>
      <c r="AF598" s="184"/>
      <c r="AG598" s="184"/>
      <c r="AH598" s="184"/>
      <c r="AI598" s="184"/>
      <c r="AJ598" s="184"/>
      <c r="AK598" s="184"/>
      <c r="AL598" s="184"/>
      <c r="AM598" s="184"/>
      <c r="AN598" s="184"/>
      <c r="AO598" s="184"/>
      <c r="AP598" s="184"/>
      <c r="AQ598" s="184"/>
      <c r="AR598" s="184"/>
      <c r="AS598" s="184"/>
      <c r="AT598" s="184"/>
      <c r="AU598" s="184"/>
      <c r="AV598" s="184"/>
      <c r="AW598" s="184"/>
      <c r="AX598" s="184"/>
      <c r="AY598" s="184"/>
      <c r="AZ598" s="184"/>
      <c r="BA598" s="184"/>
      <c r="BB598" s="184"/>
      <c r="BC598" s="184"/>
      <c r="BD598" s="184"/>
      <c r="BE598" s="184"/>
      <c r="BF598" s="184"/>
      <c r="BG598" s="184"/>
      <c r="BH598" s="184"/>
      <c r="BI598" s="184"/>
      <c r="BJ598" s="184"/>
    </row>
    <row r="599" spans="2:62" ht="15.75" customHeight="1">
      <c r="B599" s="181"/>
      <c r="C599" s="411"/>
      <c r="D599" s="411"/>
      <c r="E599" s="411"/>
      <c r="F599" s="411"/>
      <c r="G599" s="411"/>
      <c r="H599" s="411"/>
      <c r="I599" s="411"/>
      <c r="J599" s="411"/>
      <c r="K599" s="411"/>
      <c r="L599" s="411"/>
      <c r="M599" s="411"/>
      <c r="N599" s="411"/>
      <c r="O599" s="411"/>
      <c r="P599" s="411"/>
      <c r="Q599" s="411"/>
      <c r="R599" s="411"/>
      <c r="S599" s="411"/>
      <c r="T599" s="411"/>
      <c r="U599" s="411"/>
      <c r="V599" s="411"/>
      <c r="W599" s="411"/>
      <c r="X599" s="411"/>
      <c r="Y599" s="184"/>
      <c r="Z599" s="184"/>
      <c r="AA599" s="184"/>
      <c r="AB599" s="184"/>
      <c r="AC599" s="184"/>
      <c r="AD599" s="184"/>
      <c r="AE599" s="184"/>
      <c r="AF599" s="184"/>
      <c r="AG599" s="184"/>
      <c r="AH599" s="184"/>
      <c r="AI599" s="184"/>
      <c r="AJ599" s="184"/>
      <c r="AK599" s="184"/>
      <c r="AL599" s="184"/>
      <c r="AM599" s="184"/>
      <c r="AN599" s="184"/>
      <c r="AO599" s="184"/>
      <c r="AP599" s="184"/>
      <c r="AQ599" s="184"/>
      <c r="AR599" s="184"/>
      <c r="AS599" s="184"/>
      <c r="AT599" s="184"/>
      <c r="AU599" s="184"/>
      <c r="AV599" s="184"/>
      <c r="AW599" s="184"/>
      <c r="AX599" s="184"/>
      <c r="AY599" s="184"/>
      <c r="AZ599" s="184"/>
      <c r="BA599" s="184"/>
      <c r="BB599" s="184"/>
      <c r="BC599" s="184"/>
      <c r="BD599" s="184"/>
      <c r="BE599" s="184"/>
      <c r="BF599" s="184"/>
      <c r="BG599" s="184"/>
      <c r="BH599" s="184"/>
      <c r="BI599" s="184"/>
      <c r="BJ599" s="184"/>
    </row>
    <row r="600" spans="2:62" ht="15.75" customHeight="1">
      <c r="B600" s="181"/>
      <c r="C600" s="411"/>
      <c r="D600" s="411"/>
      <c r="E600" s="411"/>
      <c r="F600" s="411"/>
      <c r="G600" s="411"/>
      <c r="H600" s="411"/>
      <c r="I600" s="411"/>
      <c r="J600" s="411"/>
      <c r="K600" s="411"/>
      <c r="L600" s="411"/>
      <c r="M600" s="411"/>
      <c r="N600" s="411"/>
      <c r="O600" s="411"/>
      <c r="P600" s="411"/>
      <c r="Q600" s="411"/>
      <c r="R600" s="411"/>
      <c r="S600" s="411"/>
      <c r="T600" s="411"/>
      <c r="U600" s="411"/>
      <c r="V600" s="411"/>
      <c r="W600" s="411"/>
      <c r="X600" s="411"/>
      <c r="Y600" s="184"/>
      <c r="Z600" s="184"/>
      <c r="AA600" s="184"/>
      <c r="AB600" s="184"/>
      <c r="AC600" s="184"/>
      <c r="AD600" s="184"/>
      <c r="AE600" s="184"/>
      <c r="AF600" s="184"/>
      <c r="AG600" s="184"/>
      <c r="AH600" s="184"/>
      <c r="AI600" s="184"/>
      <c r="AJ600" s="184"/>
      <c r="AK600" s="184"/>
      <c r="AL600" s="184"/>
      <c r="AM600" s="184"/>
      <c r="AN600" s="184"/>
      <c r="AO600" s="184"/>
      <c r="AP600" s="184"/>
      <c r="AQ600" s="184"/>
      <c r="AR600" s="184"/>
      <c r="AS600" s="184"/>
      <c r="AT600" s="184"/>
      <c r="AU600" s="184"/>
      <c r="AV600" s="184"/>
      <c r="AW600" s="184"/>
      <c r="AX600" s="184"/>
      <c r="AY600" s="184"/>
      <c r="AZ600" s="184"/>
      <c r="BA600" s="184"/>
      <c r="BB600" s="184"/>
      <c r="BC600" s="184"/>
      <c r="BD600" s="184"/>
      <c r="BE600" s="184"/>
      <c r="BF600" s="184"/>
      <c r="BG600" s="184"/>
      <c r="BH600" s="184"/>
      <c r="BI600" s="184"/>
      <c r="BJ600" s="184"/>
    </row>
    <row r="601" spans="2:62" ht="15.75" customHeight="1">
      <c r="B601" s="181"/>
      <c r="C601" s="411"/>
      <c r="D601" s="411"/>
      <c r="E601" s="411"/>
      <c r="F601" s="411"/>
      <c r="G601" s="411"/>
      <c r="H601" s="411"/>
      <c r="I601" s="411"/>
      <c r="J601" s="411"/>
      <c r="K601" s="411"/>
      <c r="L601" s="411"/>
      <c r="M601" s="411"/>
      <c r="N601" s="411"/>
      <c r="O601" s="411"/>
      <c r="P601" s="411"/>
      <c r="Q601" s="411"/>
      <c r="R601" s="411"/>
      <c r="S601" s="411"/>
      <c r="T601" s="411"/>
      <c r="U601" s="411"/>
      <c r="V601" s="411"/>
      <c r="W601" s="411"/>
      <c r="X601" s="411"/>
      <c r="Y601" s="184"/>
      <c r="Z601" s="184"/>
      <c r="AA601" s="184"/>
      <c r="AB601" s="184"/>
      <c r="AC601" s="184"/>
      <c r="AD601" s="184"/>
      <c r="AE601" s="184"/>
      <c r="AF601" s="184"/>
      <c r="AG601" s="184"/>
      <c r="AH601" s="184"/>
      <c r="AI601" s="184"/>
      <c r="AJ601" s="184"/>
      <c r="AK601" s="184"/>
      <c r="AL601" s="184"/>
      <c r="AM601" s="184"/>
      <c r="AN601" s="184"/>
      <c r="AO601" s="184"/>
      <c r="AP601" s="184"/>
      <c r="AQ601" s="184"/>
      <c r="AR601" s="184"/>
      <c r="AS601" s="184"/>
      <c r="AT601" s="184"/>
      <c r="AU601" s="184"/>
      <c r="AV601" s="184"/>
      <c r="AW601" s="184"/>
      <c r="AX601" s="184"/>
      <c r="AY601" s="184"/>
      <c r="AZ601" s="184"/>
      <c r="BA601" s="184"/>
      <c r="BB601" s="184"/>
      <c r="BC601" s="184"/>
      <c r="BD601" s="184"/>
      <c r="BE601" s="184"/>
      <c r="BF601" s="184"/>
      <c r="BG601" s="184"/>
      <c r="BH601" s="184"/>
      <c r="BI601" s="184"/>
      <c r="BJ601" s="184"/>
    </row>
    <row r="602" spans="2:62" ht="15.75" customHeight="1">
      <c r="B602" s="181"/>
      <c r="C602" s="411"/>
      <c r="D602" s="411"/>
      <c r="E602" s="411"/>
      <c r="F602" s="411"/>
      <c r="G602" s="411"/>
      <c r="H602" s="411"/>
      <c r="I602" s="411"/>
      <c r="J602" s="411"/>
      <c r="K602" s="411"/>
      <c r="L602" s="411"/>
      <c r="M602" s="411"/>
      <c r="N602" s="411"/>
      <c r="O602" s="411"/>
      <c r="P602" s="411"/>
      <c r="Q602" s="411"/>
      <c r="R602" s="411"/>
      <c r="S602" s="411"/>
      <c r="T602" s="411"/>
      <c r="U602" s="411"/>
      <c r="V602" s="411"/>
      <c r="W602" s="411"/>
      <c r="X602" s="411"/>
      <c r="Y602" s="184"/>
      <c r="Z602" s="184"/>
      <c r="AA602" s="184"/>
      <c r="AB602" s="184"/>
      <c r="AC602" s="184"/>
      <c r="AD602" s="184"/>
      <c r="AE602" s="184"/>
      <c r="AF602" s="184"/>
      <c r="AG602" s="184"/>
      <c r="AH602" s="184"/>
      <c r="AI602" s="184"/>
      <c r="AJ602" s="184"/>
      <c r="AK602" s="184"/>
      <c r="AL602" s="184"/>
      <c r="AM602" s="184"/>
      <c r="AN602" s="184"/>
      <c r="AO602" s="184"/>
      <c r="AP602" s="184"/>
      <c r="AQ602" s="184"/>
      <c r="AR602" s="184"/>
      <c r="AS602" s="184"/>
      <c r="AT602" s="184"/>
      <c r="AU602" s="184"/>
      <c r="AV602" s="184"/>
      <c r="AW602" s="184"/>
      <c r="AX602" s="184"/>
      <c r="AY602" s="184"/>
      <c r="AZ602" s="184"/>
      <c r="BA602" s="184"/>
      <c r="BB602" s="184"/>
      <c r="BC602" s="184"/>
      <c r="BD602" s="184"/>
      <c r="BE602" s="184"/>
      <c r="BF602" s="184"/>
      <c r="BG602" s="184"/>
      <c r="BH602" s="184"/>
      <c r="BI602" s="184"/>
      <c r="BJ602" s="184"/>
    </row>
    <row r="603" spans="2:62" ht="15.75" customHeight="1">
      <c r="B603" s="181"/>
      <c r="C603" s="411"/>
      <c r="D603" s="411"/>
      <c r="E603" s="411"/>
      <c r="F603" s="411"/>
      <c r="G603" s="411"/>
      <c r="H603" s="411"/>
      <c r="I603" s="411"/>
      <c r="J603" s="411"/>
      <c r="K603" s="411"/>
      <c r="L603" s="411"/>
      <c r="M603" s="411"/>
      <c r="N603" s="411"/>
      <c r="O603" s="411"/>
      <c r="P603" s="411"/>
      <c r="Q603" s="411"/>
      <c r="R603" s="411"/>
      <c r="S603" s="411"/>
      <c r="T603" s="411"/>
      <c r="U603" s="411"/>
      <c r="V603" s="411"/>
      <c r="W603" s="411"/>
      <c r="X603" s="411"/>
      <c r="Y603" s="184"/>
      <c r="Z603" s="184"/>
      <c r="AA603" s="184"/>
      <c r="AB603" s="184"/>
      <c r="AC603" s="184"/>
      <c r="AD603" s="184"/>
      <c r="AE603" s="184"/>
      <c r="AF603" s="184"/>
      <c r="AG603" s="184"/>
      <c r="AH603" s="184"/>
      <c r="AI603" s="184"/>
      <c r="AJ603" s="184"/>
      <c r="AK603" s="184"/>
      <c r="AL603" s="184"/>
      <c r="AM603" s="184"/>
      <c r="AN603" s="184"/>
      <c r="AO603" s="184"/>
      <c r="AP603" s="184"/>
      <c r="AQ603" s="184"/>
      <c r="AR603" s="184"/>
      <c r="AS603" s="184"/>
      <c r="AT603" s="184"/>
      <c r="AU603" s="184"/>
      <c r="AV603" s="184"/>
      <c r="AW603" s="184"/>
      <c r="AX603" s="184"/>
      <c r="AY603" s="184"/>
      <c r="AZ603" s="184"/>
      <c r="BA603" s="184"/>
      <c r="BB603" s="184"/>
      <c r="BC603" s="184"/>
      <c r="BD603" s="184"/>
      <c r="BE603" s="184"/>
      <c r="BF603" s="184"/>
      <c r="BG603" s="184"/>
      <c r="BH603" s="184"/>
      <c r="BI603" s="184"/>
      <c r="BJ603" s="184"/>
    </row>
    <row r="604" spans="2:62" ht="15.75" customHeight="1">
      <c r="B604" s="181"/>
      <c r="C604" s="411"/>
      <c r="D604" s="411"/>
      <c r="E604" s="411"/>
      <c r="F604" s="411"/>
      <c r="G604" s="411"/>
      <c r="H604" s="411"/>
      <c r="I604" s="411"/>
      <c r="J604" s="411"/>
      <c r="K604" s="411"/>
      <c r="L604" s="411"/>
      <c r="M604" s="411"/>
      <c r="N604" s="411"/>
      <c r="O604" s="411"/>
      <c r="P604" s="411"/>
      <c r="Q604" s="411"/>
      <c r="R604" s="411"/>
      <c r="S604" s="411"/>
      <c r="T604" s="411"/>
      <c r="U604" s="411"/>
      <c r="V604" s="411"/>
      <c r="W604" s="411"/>
      <c r="X604" s="411"/>
      <c r="Y604" s="184"/>
      <c r="Z604" s="184"/>
      <c r="AA604" s="184"/>
      <c r="AB604" s="184"/>
      <c r="AC604" s="184"/>
      <c r="AD604" s="184"/>
      <c r="AE604" s="184"/>
      <c r="AF604" s="184"/>
      <c r="AG604" s="184"/>
      <c r="AH604" s="184"/>
      <c r="AI604" s="184"/>
      <c r="AJ604" s="184"/>
      <c r="AK604" s="184"/>
      <c r="AL604" s="184"/>
      <c r="AM604" s="184"/>
      <c r="AN604" s="184"/>
      <c r="AO604" s="184"/>
      <c r="AP604" s="184"/>
      <c r="AQ604" s="184"/>
      <c r="AR604" s="184"/>
      <c r="AS604" s="184"/>
      <c r="AT604" s="184"/>
      <c r="AU604" s="184"/>
      <c r="AV604" s="184"/>
      <c r="AW604" s="184"/>
      <c r="AX604" s="184"/>
      <c r="AY604" s="184"/>
      <c r="AZ604" s="184"/>
      <c r="BA604" s="184"/>
      <c r="BB604" s="184"/>
      <c r="BC604" s="184"/>
      <c r="BD604" s="184"/>
      <c r="BE604" s="184"/>
      <c r="BF604" s="184"/>
      <c r="BG604" s="184"/>
      <c r="BH604" s="184"/>
      <c r="BI604" s="184"/>
      <c r="BJ604" s="184"/>
    </row>
    <row r="605" spans="2:62" ht="15.75" customHeight="1">
      <c r="B605" s="181"/>
      <c r="C605" s="411"/>
      <c r="D605" s="411"/>
      <c r="E605" s="411"/>
      <c r="F605" s="411"/>
      <c r="G605" s="411"/>
      <c r="H605" s="411"/>
      <c r="I605" s="411"/>
      <c r="J605" s="411"/>
      <c r="K605" s="411"/>
      <c r="L605" s="411"/>
      <c r="M605" s="411"/>
      <c r="N605" s="411"/>
      <c r="O605" s="411"/>
      <c r="P605" s="411"/>
      <c r="Q605" s="411"/>
      <c r="R605" s="411"/>
      <c r="S605" s="411"/>
      <c r="T605" s="411"/>
      <c r="U605" s="411"/>
      <c r="V605" s="411"/>
      <c r="W605" s="411"/>
      <c r="X605" s="411"/>
      <c r="Y605" s="184"/>
      <c r="Z605" s="184"/>
      <c r="AA605" s="184"/>
      <c r="AB605" s="184"/>
      <c r="AC605" s="184"/>
      <c r="AD605" s="184"/>
      <c r="AE605" s="184"/>
      <c r="AF605" s="184"/>
      <c r="AG605" s="184"/>
      <c r="AH605" s="184"/>
      <c r="AI605" s="184"/>
      <c r="AJ605" s="184"/>
      <c r="AK605" s="184"/>
      <c r="AL605" s="184"/>
      <c r="AM605" s="184"/>
      <c r="AN605" s="184"/>
      <c r="AO605" s="184"/>
      <c r="AP605" s="184"/>
      <c r="AQ605" s="184"/>
      <c r="AR605" s="184"/>
      <c r="AS605" s="184"/>
      <c r="AT605" s="184"/>
      <c r="AU605" s="184"/>
      <c r="AV605" s="184"/>
      <c r="AW605" s="184"/>
      <c r="AX605" s="184"/>
      <c r="AY605" s="184"/>
      <c r="AZ605" s="184"/>
      <c r="BA605" s="184"/>
      <c r="BB605" s="184"/>
      <c r="BC605" s="184"/>
      <c r="BD605" s="184"/>
      <c r="BE605" s="184"/>
      <c r="BF605" s="184"/>
      <c r="BG605" s="184"/>
      <c r="BH605" s="184"/>
      <c r="BI605" s="184"/>
      <c r="BJ605" s="184"/>
    </row>
    <row r="606" spans="2:62" ht="15.75" customHeight="1">
      <c r="B606" s="181"/>
      <c r="C606" s="411"/>
      <c r="D606" s="411"/>
      <c r="E606" s="411"/>
      <c r="F606" s="411"/>
      <c r="G606" s="411"/>
      <c r="H606" s="411"/>
      <c r="I606" s="411"/>
      <c r="J606" s="411"/>
      <c r="K606" s="411"/>
      <c r="L606" s="411"/>
      <c r="M606" s="411"/>
      <c r="N606" s="411"/>
      <c r="O606" s="411"/>
      <c r="P606" s="411"/>
      <c r="Q606" s="411"/>
      <c r="R606" s="411"/>
      <c r="S606" s="411"/>
      <c r="T606" s="411"/>
      <c r="U606" s="411"/>
      <c r="V606" s="411"/>
      <c r="W606" s="411"/>
      <c r="X606" s="411"/>
      <c r="Y606" s="184"/>
      <c r="Z606" s="184"/>
      <c r="AA606" s="184"/>
      <c r="AB606" s="184"/>
      <c r="AC606" s="184"/>
      <c r="AD606" s="184"/>
      <c r="AE606" s="184"/>
      <c r="AF606" s="184"/>
      <c r="AG606" s="184"/>
      <c r="AH606" s="184"/>
      <c r="AI606" s="184"/>
      <c r="AJ606" s="184"/>
      <c r="AK606" s="184"/>
      <c r="AL606" s="184"/>
      <c r="AM606" s="184"/>
      <c r="AN606" s="184"/>
      <c r="AO606" s="184"/>
      <c r="AP606" s="184"/>
      <c r="AQ606" s="184"/>
      <c r="AR606" s="184"/>
      <c r="AS606" s="184"/>
      <c r="AT606" s="184"/>
      <c r="AU606" s="184"/>
      <c r="AV606" s="184"/>
      <c r="AW606" s="184"/>
      <c r="AX606" s="184"/>
      <c r="AY606" s="184"/>
      <c r="AZ606" s="184"/>
      <c r="BA606" s="184"/>
      <c r="BB606" s="184"/>
      <c r="BC606" s="184"/>
      <c r="BD606" s="184"/>
      <c r="BE606" s="184"/>
      <c r="BF606" s="184"/>
      <c r="BG606" s="184"/>
      <c r="BH606" s="184"/>
      <c r="BI606" s="184"/>
      <c r="BJ606" s="184"/>
    </row>
    <row r="607" spans="2:62" ht="15.75" customHeight="1">
      <c r="B607" s="181"/>
      <c r="C607" s="411"/>
      <c r="D607" s="411"/>
      <c r="E607" s="411"/>
      <c r="F607" s="411"/>
      <c r="G607" s="411"/>
      <c r="H607" s="411"/>
      <c r="I607" s="411"/>
      <c r="J607" s="411"/>
      <c r="K607" s="411"/>
      <c r="L607" s="411"/>
      <c r="M607" s="411"/>
      <c r="N607" s="411"/>
      <c r="O607" s="411"/>
      <c r="P607" s="411"/>
      <c r="Q607" s="411"/>
      <c r="R607" s="411"/>
      <c r="S607" s="411"/>
      <c r="T607" s="411"/>
      <c r="U607" s="411"/>
      <c r="V607" s="411"/>
      <c r="W607" s="411"/>
      <c r="X607" s="411"/>
      <c r="Y607" s="184"/>
      <c r="Z607" s="184"/>
      <c r="AA607" s="184"/>
      <c r="AB607" s="184"/>
      <c r="AC607" s="184"/>
      <c r="AD607" s="184"/>
      <c r="AE607" s="184"/>
      <c r="AF607" s="184"/>
      <c r="AG607" s="184"/>
      <c r="AH607" s="184"/>
      <c r="AI607" s="184"/>
      <c r="AJ607" s="184"/>
      <c r="AK607" s="184"/>
      <c r="AL607" s="184"/>
      <c r="AM607" s="184"/>
      <c r="AN607" s="184"/>
      <c r="AO607" s="184"/>
      <c r="AP607" s="184"/>
      <c r="AQ607" s="184"/>
      <c r="AR607" s="184"/>
      <c r="AS607" s="184"/>
      <c r="AT607" s="184"/>
      <c r="AU607" s="184"/>
      <c r="AV607" s="184"/>
      <c r="AW607" s="184"/>
      <c r="AX607" s="184"/>
      <c r="AY607" s="184"/>
      <c r="AZ607" s="184"/>
      <c r="BA607" s="184"/>
      <c r="BB607" s="184"/>
      <c r="BC607" s="184"/>
      <c r="BD607" s="184"/>
      <c r="BE607" s="184"/>
      <c r="BF607" s="184"/>
      <c r="BG607" s="184"/>
      <c r="BH607" s="184"/>
      <c r="BI607" s="184"/>
      <c r="BJ607" s="184"/>
    </row>
    <row r="608" spans="2:62" ht="15.75" customHeight="1">
      <c r="B608" s="181"/>
      <c r="C608" s="411"/>
      <c r="D608" s="411"/>
      <c r="E608" s="411"/>
      <c r="F608" s="411"/>
      <c r="G608" s="411"/>
      <c r="H608" s="411"/>
      <c r="I608" s="411"/>
      <c r="J608" s="411"/>
      <c r="K608" s="411"/>
      <c r="L608" s="411"/>
      <c r="M608" s="411"/>
      <c r="N608" s="411"/>
      <c r="O608" s="411"/>
      <c r="P608" s="411"/>
      <c r="Q608" s="411"/>
      <c r="R608" s="411"/>
      <c r="S608" s="411"/>
      <c r="T608" s="411"/>
      <c r="U608" s="411"/>
      <c r="V608" s="411"/>
      <c r="W608" s="411"/>
      <c r="X608" s="411"/>
      <c r="Y608" s="184"/>
      <c r="Z608" s="184"/>
      <c r="AA608" s="184"/>
      <c r="AB608" s="184"/>
      <c r="AC608" s="184"/>
      <c r="AD608" s="184"/>
      <c r="AE608" s="184"/>
      <c r="AF608" s="184"/>
      <c r="AG608" s="184"/>
      <c r="AH608" s="184"/>
      <c r="AI608" s="184"/>
      <c r="AJ608" s="184"/>
      <c r="AK608" s="184"/>
      <c r="AL608" s="184"/>
      <c r="AM608" s="184"/>
      <c r="AN608" s="184"/>
      <c r="AO608" s="184"/>
      <c r="AP608" s="184"/>
      <c r="AQ608" s="184"/>
      <c r="AR608" s="184"/>
      <c r="AS608" s="184"/>
      <c r="AT608" s="184"/>
      <c r="AU608" s="184"/>
      <c r="AV608" s="184"/>
      <c r="AW608" s="184"/>
      <c r="AX608" s="184"/>
      <c r="AY608" s="184"/>
      <c r="AZ608" s="184"/>
      <c r="BA608" s="184"/>
      <c r="BB608" s="184"/>
      <c r="BC608" s="184"/>
      <c r="BD608" s="184"/>
      <c r="BE608" s="184"/>
      <c r="BF608" s="184"/>
      <c r="BG608" s="184"/>
      <c r="BH608" s="184"/>
      <c r="BI608" s="184"/>
      <c r="BJ608" s="184"/>
    </row>
    <row r="609" spans="2:62" ht="15.75" customHeight="1">
      <c r="B609" s="181"/>
      <c r="C609" s="411"/>
      <c r="D609" s="411"/>
      <c r="E609" s="411"/>
      <c r="F609" s="411"/>
      <c r="G609" s="411"/>
      <c r="H609" s="411"/>
      <c r="I609" s="411"/>
      <c r="J609" s="411"/>
      <c r="K609" s="411"/>
      <c r="L609" s="411"/>
      <c r="M609" s="411"/>
      <c r="N609" s="411"/>
      <c r="O609" s="411"/>
      <c r="P609" s="411"/>
      <c r="Q609" s="411"/>
      <c r="R609" s="411"/>
      <c r="S609" s="411"/>
      <c r="T609" s="411"/>
      <c r="U609" s="411"/>
      <c r="V609" s="411"/>
      <c r="W609" s="411"/>
      <c r="X609" s="411"/>
      <c r="Y609" s="184"/>
      <c r="Z609" s="184"/>
      <c r="AA609" s="184"/>
      <c r="AB609" s="184"/>
      <c r="AC609" s="184"/>
      <c r="AD609" s="184"/>
      <c r="AE609" s="184"/>
      <c r="AF609" s="184"/>
      <c r="AG609" s="184"/>
      <c r="AH609" s="184"/>
      <c r="AI609" s="184"/>
      <c r="AJ609" s="184"/>
      <c r="AK609" s="184"/>
      <c r="AL609" s="184"/>
      <c r="AM609" s="184"/>
      <c r="AN609" s="184"/>
      <c r="AO609" s="184"/>
      <c r="AP609" s="184"/>
      <c r="AQ609" s="184"/>
      <c r="AR609" s="184"/>
      <c r="AS609" s="184"/>
      <c r="AT609" s="184"/>
      <c r="AU609" s="184"/>
      <c r="AV609" s="184"/>
      <c r="AW609" s="184"/>
      <c r="AX609" s="184"/>
      <c r="AY609" s="184"/>
      <c r="AZ609" s="184"/>
      <c r="BA609" s="184"/>
      <c r="BB609" s="184"/>
      <c r="BC609" s="184"/>
      <c r="BD609" s="184"/>
      <c r="BE609" s="184"/>
      <c r="BF609" s="184"/>
      <c r="BG609" s="184"/>
      <c r="BH609" s="184"/>
      <c r="BI609" s="184"/>
      <c r="BJ609" s="184"/>
    </row>
    <row r="610" spans="2:62" ht="15.75" customHeight="1">
      <c r="B610" s="181"/>
      <c r="C610" s="411"/>
      <c r="D610" s="411"/>
      <c r="E610" s="411"/>
      <c r="F610" s="411"/>
      <c r="G610" s="411"/>
      <c r="H610" s="411"/>
      <c r="I610" s="411"/>
      <c r="J610" s="411"/>
      <c r="K610" s="411"/>
      <c r="L610" s="411"/>
      <c r="M610" s="411"/>
      <c r="N610" s="411"/>
      <c r="O610" s="411"/>
      <c r="P610" s="411"/>
      <c r="Q610" s="411"/>
      <c r="R610" s="411"/>
      <c r="S610" s="411"/>
      <c r="T610" s="411"/>
      <c r="U610" s="411"/>
      <c r="V610" s="411"/>
      <c r="W610" s="411"/>
      <c r="X610" s="411"/>
      <c r="Y610" s="184"/>
      <c r="Z610" s="184"/>
      <c r="AA610" s="184"/>
      <c r="AB610" s="184"/>
      <c r="AC610" s="184"/>
      <c r="AD610" s="184"/>
      <c r="AE610" s="184"/>
      <c r="AF610" s="184"/>
      <c r="AG610" s="184"/>
      <c r="AH610" s="184"/>
      <c r="AI610" s="184"/>
      <c r="AJ610" s="184"/>
      <c r="AK610" s="184"/>
      <c r="AL610" s="184"/>
      <c r="AM610" s="184"/>
      <c r="AN610" s="184"/>
      <c r="AO610" s="184"/>
      <c r="AP610" s="184"/>
      <c r="AQ610" s="184"/>
      <c r="AR610" s="184"/>
      <c r="AS610" s="184"/>
      <c r="AT610" s="184"/>
      <c r="AU610" s="184"/>
      <c r="AV610" s="184"/>
      <c r="AW610" s="184"/>
      <c r="AX610" s="184"/>
      <c r="AY610" s="184"/>
      <c r="AZ610" s="184"/>
      <c r="BA610" s="184"/>
      <c r="BB610" s="184"/>
      <c r="BC610" s="184"/>
      <c r="BD610" s="184"/>
      <c r="BE610" s="184"/>
      <c r="BF610" s="184"/>
      <c r="BG610" s="184"/>
      <c r="BH610" s="184"/>
      <c r="BI610" s="184"/>
      <c r="BJ610" s="184"/>
    </row>
    <row r="611" spans="2:62" ht="15.75" customHeight="1">
      <c r="B611" s="181"/>
      <c r="C611" s="411"/>
      <c r="D611" s="411"/>
      <c r="E611" s="411"/>
      <c r="F611" s="411"/>
      <c r="G611" s="411"/>
      <c r="H611" s="411"/>
      <c r="I611" s="411"/>
      <c r="J611" s="411"/>
      <c r="K611" s="411"/>
      <c r="L611" s="411"/>
      <c r="M611" s="411"/>
      <c r="N611" s="411"/>
      <c r="O611" s="411"/>
      <c r="P611" s="411"/>
      <c r="Q611" s="411"/>
      <c r="R611" s="411"/>
      <c r="S611" s="411"/>
      <c r="T611" s="411"/>
      <c r="U611" s="411"/>
      <c r="V611" s="411"/>
      <c r="W611" s="411"/>
      <c r="X611" s="411"/>
      <c r="Y611" s="184"/>
      <c r="Z611" s="184"/>
      <c r="AA611" s="184"/>
      <c r="AB611" s="184"/>
      <c r="AC611" s="184"/>
      <c r="AD611" s="184"/>
      <c r="AE611" s="184"/>
      <c r="AF611" s="184"/>
      <c r="AG611" s="184"/>
      <c r="AH611" s="184"/>
      <c r="AI611" s="184"/>
      <c r="AJ611" s="184"/>
      <c r="AK611" s="184"/>
      <c r="AL611" s="184"/>
      <c r="AM611" s="184"/>
      <c r="AN611" s="184"/>
      <c r="AO611" s="184"/>
      <c r="AP611" s="184"/>
      <c r="AQ611" s="184"/>
      <c r="AR611" s="184"/>
      <c r="AS611" s="184"/>
      <c r="AT611" s="184"/>
      <c r="AU611" s="184"/>
      <c r="AV611" s="184"/>
      <c r="AW611" s="184"/>
      <c r="AX611" s="184"/>
      <c r="AY611" s="184"/>
      <c r="AZ611" s="184"/>
      <c r="BA611" s="184"/>
      <c r="BB611" s="184"/>
      <c r="BC611" s="184"/>
      <c r="BD611" s="184"/>
      <c r="BE611" s="184"/>
      <c r="BF611" s="184"/>
      <c r="BG611" s="184"/>
      <c r="BH611" s="184"/>
      <c r="BI611" s="184"/>
      <c r="BJ611" s="184"/>
    </row>
    <row r="612" spans="2:62" ht="15.75" customHeight="1">
      <c r="B612" s="181"/>
      <c r="C612" s="411"/>
      <c r="D612" s="411"/>
      <c r="E612" s="411"/>
      <c r="F612" s="411"/>
      <c r="G612" s="411"/>
      <c r="H612" s="411"/>
      <c r="I612" s="411"/>
      <c r="J612" s="411"/>
      <c r="K612" s="411"/>
      <c r="L612" s="411"/>
      <c r="M612" s="411"/>
      <c r="N612" s="411"/>
      <c r="O612" s="411"/>
      <c r="P612" s="411"/>
      <c r="Q612" s="411"/>
      <c r="R612" s="411"/>
      <c r="S612" s="411"/>
      <c r="T612" s="411"/>
      <c r="U612" s="411"/>
      <c r="V612" s="411"/>
      <c r="W612" s="411"/>
      <c r="X612" s="411"/>
      <c r="Y612" s="184"/>
      <c r="Z612" s="184"/>
      <c r="AA612" s="184"/>
      <c r="AB612" s="184"/>
      <c r="AC612" s="184"/>
      <c r="AD612" s="184"/>
      <c r="AE612" s="184"/>
      <c r="AF612" s="184"/>
      <c r="AG612" s="184"/>
      <c r="AH612" s="184"/>
      <c r="AI612" s="184"/>
      <c r="AJ612" s="184"/>
      <c r="AK612" s="184"/>
      <c r="AL612" s="184"/>
      <c r="AM612" s="184"/>
      <c r="AN612" s="184"/>
      <c r="AO612" s="184"/>
      <c r="AP612" s="184"/>
      <c r="AQ612" s="184"/>
      <c r="AR612" s="184"/>
      <c r="AS612" s="184"/>
      <c r="AT612" s="184"/>
      <c r="AU612" s="184"/>
      <c r="AV612" s="184"/>
      <c r="AW612" s="184"/>
      <c r="AX612" s="184"/>
      <c r="AY612" s="184"/>
      <c r="AZ612" s="184"/>
      <c r="BA612" s="184"/>
      <c r="BB612" s="184"/>
      <c r="BC612" s="184"/>
      <c r="BD612" s="184"/>
      <c r="BE612" s="184"/>
      <c r="BF612" s="184"/>
      <c r="BG612" s="184"/>
      <c r="BH612" s="184"/>
      <c r="BI612" s="184"/>
      <c r="BJ612" s="184"/>
    </row>
    <row r="613" spans="2:62" ht="15.75" customHeight="1">
      <c r="B613" s="181"/>
      <c r="C613" s="411"/>
      <c r="D613" s="411"/>
      <c r="E613" s="411"/>
      <c r="F613" s="411"/>
      <c r="G613" s="411"/>
      <c r="H613" s="411"/>
      <c r="I613" s="411"/>
      <c r="J613" s="411"/>
      <c r="K613" s="411"/>
      <c r="L613" s="411"/>
      <c r="M613" s="411"/>
      <c r="N613" s="411"/>
      <c r="O613" s="411"/>
      <c r="P613" s="411"/>
      <c r="Q613" s="411"/>
      <c r="R613" s="411"/>
      <c r="S613" s="411"/>
      <c r="T613" s="411"/>
      <c r="U613" s="411"/>
      <c r="V613" s="411"/>
      <c r="W613" s="411"/>
      <c r="X613" s="411"/>
      <c r="Y613" s="184"/>
      <c r="Z613" s="184"/>
      <c r="AA613" s="184"/>
      <c r="AB613" s="184"/>
      <c r="AC613" s="184"/>
      <c r="AD613" s="184"/>
      <c r="AE613" s="184"/>
      <c r="AF613" s="184"/>
      <c r="AG613" s="184"/>
      <c r="AH613" s="184"/>
      <c r="AI613" s="184"/>
      <c r="AJ613" s="184"/>
      <c r="AK613" s="184"/>
      <c r="AL613" s="184"/>
      <c r="AM613" s="184"/>
      <c r="AN613" s="184"/>
      <c r="AO613" s="184"/>
      <c r="AP613" s="184"/>
      <c r="AQ613" s="184"/>
      <c r="AR613" s="184"/>
      <c r="AS613" s="184"/>
      <c r="AT613" s="184"/>
      <c r="AU613" s="184"/>
      <c r="AV613" s="184"/>
      <c r="AW613" s="184"/>
      <c r="AX613" s="184"/>
      <c r="AY613" s="184"/>
      <c r="AZ613" s="184"/>
      <c r="BA613" s="184"/>
      <c r="BB613" s="184"/>
      <c r="BC613" s="184"/>
      <c r="BD613" s="184"/>
      <c r="BE613" s="184"/>
      <c r="BF613" s="184"/>
      <c r="BG613" s="184"/>
      <c r="BH613" s="184"/>
      <c r="BI613" s="184"/>
      <c r="BJ613" s="184"/>
    </row>
    <row r="614" spans="2:62" ht="15.75" customHeight="1">
      <c r="B614" s="181"/>
      <c r="C614" s="411"/>
      <c r="D614" s="411"/>
      <c r="E614" s="411"/>
      <c r="F614" s="411"/>
      <c r="G614" s="411"/>
      <c r="H614" s="411"/>
      <c r="I614" s="411"/>
      <c r="J614" s="411"/>
      <c r="K614" s="411"/>
      <c r="L614" s="411"/>
      <c r="M614" s="411"/>
      <c r="N614" s="411"/>
      <c r="O614" s="411"/>
      <c r="P614" s="411"/>
      <c r="Q614" s="411"/>
      <c r="R614" s="411"/>
      <c r="S614" s="411"/>
      <c r="T614" s="411"/>
      <c r="U614" s="411"/>
      <c r="V614" s="411"/>
      <c r="W614" s="411"/>
      <c r="X614" s="411"/>
      <c r="Y614" s="184"/>
      <c r="Z614" s="184"/>
      <c r="AA614" s="184"/>
      <c r="AB614" s="184"/>
      <c r="AC614" s="184"/>
      <c r="AD614" s="184"/>
      <c r="AE614" s="184"/>
      <c r="AF614" s="184"/>
      <c r="AG614" s="184"/>
      <c r="AH614" s="184"/>
      <c r="AI614" s="184"/>
      <c r="AJ614" s="184"/>
      <c r="AK614" s="184"/>
      <c r="AL614" s="184"/>
      <c r="AM614" s="184"/>
      <c r="AN614" s="184"/>
      <c r="AO614" s="184"/>
      <c r="AP614" s="184"/>
      <c r="AQ614" s="184"/>
      <c r="AR614" s="184"/>
      <c r="AS614" s="184"/>
      <c r="AT614" s="184"/>
      <c r="AU614" s="184"/>
      <c r="AV614" s="184"/>
      <c r="AW614" s="184"/>
      <c r="AX614" s="184"/>
      <c r="AY614" s="184"/>
      <c r="AZ614" s="184"/>
      <c r="BA614" s="184"/>
      <c r="BB614" s="184"/>
      <c r="BC614" s="184"/>
      <c r="BD614" s="184"/>
      <c r="BE614" s="184"/>
      <c r="BF614" s="184"/>
      <c r="BG614" s="184"/>
      <c r="BH614" s="184"/>
      <c r="BI614" s="184"/>
      <c r="BJ614" s="184"/>
    </row>
    <row r="615" spans="2:62" ht="15.75" customHeight="1">
      <c r="B615" s="181"/>
      <c r="C615" s="411"/>
      <c r="D615" s="411"/>
      <c r="E615" s="411"/>
      <c r="F615" s="411"/>
      <c r="G615" s="411"/>
      <c r="H615" s="411"/>
      <c r="I615" s="411"/>
      <c r="J615" s="411"/>
      <c r="K615" s="411"/>
      <c r="L615" s="411"/>
      <c r="M615" s="411"/>
      <c r="N615" s="411"/>
      <c r="O615" s="411"/>
      <c r="P615" s="411"/>
      <c r="Q615" s="411"/>
      <c r="R615" s="411"/>
      <c r="S615" s="411"/>
      <c r="T615" s="411"/>
      <c r="U615" s="411"/>
      <c r="V615" s="411"/>
      <c r="W615" s="411"/>
      <c r="X615" s="411"/>
      <c r="Y615" s="184"/>
      <c r="Z615" s="184"/>
      <c r="AA615" s="184"/>
      <c r="AB615" s="184"/>
      <c r="AC615" s="184"/>
      <c r="AD615" s="184"/>
      <c r="AE615" s="184"/>
      <c r="AF615" s="184"/>
      <c r="AG615" s="184"/>
      <c r="AH615" s="184"/>
      <c r="AI615" s="184"/>
      <c r="AJ615" s="184"/>
      <c r="AK615" s="184"/>
      <c r="AL615" s="184"/>
      <c r="AM615" s="184"/>
      <c r="AN615" s="184"/>
      <c r="AO615" s="184"/>
      <c r="AP615" s="184"/>
      <c r="AQ615" s="184"/>
      <c r="AR615" s="184"/>
      <c r="AS615" s="184"/>
      <c r="AT615" s="184"/>
      <c r="AU615" s="184"/>
      <c r="AV615" s="184"/>
      <c r="AW615" s="184"/>
      <c r="AX615" s="184"/>
      <c r="AY615" s="184"/>
      <c r="AZ615" s="184"/>
      <c r="BA615" s="184"/>
      <c r="BB615" s="184"/>
      <c r="BC615" s="184"/>
      <c r="BD615" s="184"/>
      <c r="BE615" s="184"/>
      <c r="BF615" s="184"/>
      <c r="BG615" s="184"/>
      <c r="BH615" s="184"/>
      <c r="BI615" s="184"/>
      <c r="BJ615" s="184"/>
    </row>
    <row r="616" spans="2:62" ht="15.75" customHeight="1">
      <c r="B616" s="181"/>
      <c r="C616" s="411"/>
      <c r="D616" s="411"/>
      <c r="E616" s="411"/>
      <c r="F616" s="411"/>
      <c r="G616" s="411"/>
      <c r="H616" s="411"/>
      <c r="I616" s="411"/>
      <c r="J616" s="411"/>
      <c r="K616" s="411"/>
      <c r="L616" s="411"/>
      <c r="M616" s="411"/>
      <c r="N616" s="411"/>
      <c r="O616" s="411"/>
      <c r="P616" s="411"/>
      <c r="Q616" s="411"/>
      <c r="R616" s="411"/>
      <c r="S616" s="411"/>
      <c r="T616" s="411"/>
      <c r="U616" s="411"/>
      <c r="V616" s="411"/>
      <c r="W616" s="411"/>
      <c r="X616" s="411"/>
      <c r="Y616" s="184"/>
      <c r="Z616" s="184"/>
      <c r="AA616" s="184"/>
      <c r="AB616" s="184"/>
      <c r="AC616" s="184"/>
      <c r="AD616" s="184"/>
      <c r="AE616" s="184"/>
      <c r="AF616" s="184"/>
      <c r="AG616" s="184"/>
      <c r="AH616" s="184"/>
      <c r="AI616" s="184"/>
      <c r="AJ616" s="184"/>
      <c r="AK616" s="184"/>
      <c r="AL616" s="184"/>
      <c r="AM616" s="184"/>
      <c r="AN616" s="184"/>
      <c r="AO616" s="184"/>
      <c r="AP616" s="184"/>
      <c r="AQ616" s="184"/>
      <c r="AR616" s="184"/>
      <c r="AS616" s="184"/>
      <c r="AT616" s="184"/>
      <c r="AU616" s="184"/>
      <c r="AV616" s="184"/>
      <c r="AW616" s="184"/>
      <c r="AX616" s="184"/>
      <c r="AY616" s="184"/>
      <c r="AZ616" s="184"/>
      <c r="BA616" s="184"/>
      <c r="BB616" s="184"/>
      <c r="BC616" s="184"/>
      <c r="BD616" s="184"/>
      <c r="BE616" s="184"/>
      <c r="BF616" s="184"/>
      <c r="BG616" s="184"/>
      <c r="BH616" s="184"/>
      <c r="BI616" s="184"/>
      <c r="BJ616" s="184"/>
    </row>
    <row r="617" spans="2:62" ht="15.75" customHeight="1">
      <c r="B617" s="181"/>
      <c r="C617" s="411"/>
      <c r="D617" s="411"/>
      <c r="E617" s="411"/>
      <c r="F617" s="411"/>
      <c r="G617" s="411"/>
      <c r="H617" s="411"/>
      <c r="I617" s="411"/>
      <c r="J617" s="411"/>
      <c r="K617" s="411"/>
      <c r="L617" s="411"/>
      <c r="M617" s="411"/>
      <c r="N617" s="411"/>
      <c r="O617" s="411"/>
      <c r="P617" s="411"/>
      <c r="Q617" s="411"/>
      <c r="R617" s="411"/>
      <c r="S617" s="411"/>
      <c r="T617" s="411"/>
      <c r="U617" s="411"/>
      <c r="V617" s="411"/>
      <c r="W617" s="411"/>
      <c r="X617" s="411"/>
      <c r="Y617" s="184"/>
      <c r="Z617" s="184"/>
      <c r="AA617" s="184"/>
      <c r="AB617" s="184"/>
      <c r="AC617" s="184"/>
      <c r="AD617" s="184"/>
      <c r="AE617" s="184"/>
      <c r="AF617" s="184"/>
      <c r="AG617" s="184"/>
      <c r="AH617" s="184"/>
      <c r="AI617" s="184"/>
      <c r="AJ617" s="184"/>
      <c r="AK617" s="184"/>
      <c r="AL617" s="184"/>
      <c r="AM617" s="184"/>
      <c r="AN617" s="184"/>
      <c r="AO617" s="184"/>
      <c r="AP617" s="184"/>
      <c r="AQ617" s="184"/>
      <c r="AR617" s="184"/>
      <c r="AS617" s="184"/>
      <c r="AT617" s="184"/>
      <c r="AU617" s="184"/>
      <c r="AV617" s="184"/>
      <c r="AW617" s="184"/>
      <c r="AX617" s="184"/>
      <c r="AY617" s="184"/>
      <c r="AZ617" s="184"/>
      <c r="BA617" s="184"/>
      <c r="BB617" s="184"/>
      <c r="BC617" s="184"/>
      <c r="BD617" s="184"/>
      <c r="BE617" s="184"/>
      <c r="BF617" s="184"/>
      <c r="BG617" s="184"/>
      <c r="BH617" s="184"/>
      <c r="BI617" s="184"/>
      <c r="BJ617" s="184"/>
    </row>
    <row r="618" spans="2:62" ht="15.75" customHeight="1">
      <c r="B618" s="181"/>
      <c r="C618" s="411"/>
      <c r="D618" s="411"/>
      <c r="E618" s="411"/>
      <c r="F618" s="411"/>
      <c r="G618" s="411"/>
      <c r="H618" s="411"/>
      <c r="I618" s="411"/>
      <c r="J618" s="411"/>
      <c r="K618" s="411"/>
      <c r="L618" s="411"/>
      <c r="M618" s="411"/>
      <c r="N618" s="411"/>
      <c r="O618" s="411"/>
      <c r="P618" s="411"/>
      <c r="Q618" s="411"/>
      <c r="R618" s="411"/>
      <c r="S618" s="411"/>
      <c r="T618" s="411"/>
      <c r="U618" s="411"/>
      <c r="V618" s="411"/>
      <c r="W618" s="411"/>
      <c r="X618" s="411"/>
      <c r="Y618" s="184"/>
      <c r="Z618" s="184"/>
      <c r="AA618" s="184"/>
      <c r="AB618" s="184"/>
      <c r="AC618" s="184"/>
      <c r="AD618" s="184"/>
      <c r="AE618" s="184"/>
      <c r="AF618" s="184"/>
      <c r="AG618" s="184"/>
      <c r="AH618" s="184"/>
      <c r="AI618" s="184"/>
      <c r="AJ618" s="184"/>
      <c r="AK618" s="184"/>
      <c r="AL618" s="184"/>
      <c r="AM618" s="184"/>
      <c r="AN618" s="184"/>
      <c r="AO618" s="184"/>
      <c r="AP618" s="184"/>
      <c r="AQ618" s="184"/>
      <c r="AR618" s="184"/>
      <c r="AS618" s="184"/>
      <c r="AT618" s="184"/>
      <c r="AU618" s="184"/>
      <c r="AV618" s="184"/>
      <c r="AW618" s="184"/>
      <c r="AX618" s="184"/>
      <c r="AY618" s="184"/>
      <c r="AZ618" s="184"/>
      <c r="BA618" s="184"/>
      <c r="BB618" s="184"/>
      <c r="BC618" s="184"/>
      <c r="BD618" s="184"/>
      <c r="BE618" s="184"/>
      <c r="BF618" s="184"/>
      <c r="BG618" s="184"/>
      <c r="BH618" s="184"/>
      <c r="BI618" s="184"/>
      <c r="BJ618" s="184"/>
    </row>
    <row r="619" spans="2:62" ht="15.75" customHeight="1">
      <c r="B619" s="181"/>
      <c r="C619" s="411"/>
      <c r="D619" s="411"/>
      <c r="E619" s="411"/>
      <c r="F619" s="411"/>
      <c r="G619" s="411"/>
      <c r="H619" s="411"/>
      <c r="I619" s="411"/>
      <c r="J619" s="411"/>
      <c r="K619" s="411"/>
      <c r="L619" s="411"/>
      <c r="M619" s="411"/>
      <c r="N619" s="411"/>
      <c r="O619" s="411"/>
      <c r="P619" s="411"/>
      <c r="Q619" s="411"/>
      <c r="R619" s="411"/>
      <c r="S619" s="411"/>
      <c r="T619" s="411"/>
      <c r="U619" s="411"/>
      <c r="V619" s="411"/>
      <c r="W619" s="411"/>
      <c r="X619" s="411"/>
      <c r="Y619" s="184"/>
      <c r="Z619" s="184"/>
      <c r="AA619" s="184"/>
      <c r="AB619" s="184"/>
      <c r="AC619" s="184"/>
      <c r="AD619" s="184"/>
      <c r="AE619" s="184"/>
      <c r="AF619" s="184"/>
      <c r="AG619" s="184"/>
      <c r="AH619" s="184"/>
      <c r="AI619" s="184"/>
      <c r="AJ619" s="184"/>
      <c r="AK619" s="184"/>
      <c r="AL619" s="184"/>
      <c r="AM619" s="184"/>
      <c r="AN619" s="184"/>
      <c r="AO619" s="184"/>
      <c r="AP619" s="184"/>
      <c r="AQ619" s="184"/>
      <c r="AR619" s="184"/>
      <c r="AS619" s="184"/>
      <c r="AT619" s="184"/>
      <c r="AU619" s="184"/>
      <c r="AV619" s="184"/>
      <c r="AW619" s="184"/>
      <c r="AX619" s="184"/>
      <c r="AY619" s="184"/>
      <c r="AZ619" s="184"/>
      <c r="BA619" s="184"/>
      <c r="BB619" s="184"/>
      <c r="BC619" s="184"/>
      <c r="BD619" s="184"/>
      <c r="BE619" s="184"/>
      <c r="BF619" s="184"/>
      <c r="BG619" s="184"/>
      <c r="BH619" s="184"/>
      <c r="BI619" s="184"/>
      <c r="BJ619" s="184"/>
    </row>
    <row r="620" spans="2:62" ht="15.75" customHeight="1">
      <c r="B620" s="181"/>
      <c r="C620" s="411"/>
      <c r="D620" s="411"/>
      <c r="E620" s="411"/>
      <c r="F620" s="411"/>
      <c r="G620" s="411"/>
      <c r="H620" s="411"/>
      <c r="I620" s="411"/>
      <c r="J620" s="411"/>
      <c r="K620" s="411"/>
      <c r="L620" s="411"/>
      <c r="M620" s="411"/>
      <c r="N620" s="411"/>
      <c r="O620" s="411"/>
      <c r="P620" s="411"/>
      <c r="Q620" s="411"/>
      <c r="R620" s="411"/>
      <c r="S620" s="411"/>
      <c r="T620" s="411"/>
      <c r="U620" s="411"/>
      <c r="V620" s="411"/>
      <c r="W620" s="411"/>
      <c r="X620" s="411"/>
      <c r="Y620" s="184"/>
      <c r="Z620" s="184"/>
      <c r="AA620" s="184"/>
      <c r="AB620" s="184"/>
      <c r="AC620" s="184"/>
      <c r="AD620" s="184"/>
      <c r="AE620" s="184"/>
      <c r="AF620" s="184"/>
      <c r="AG620" s="184"/>
      <c r="AH620" s="184"/>
      <c r="AI620" s="184"/>
      <c r="AJ620" s="184"/>
      <c r="AK620" s="184"/>
      <c r="AL620" s="184"/>
      <c r="AM620" s="184"/>
      <c r="AN620" s="184"/>
      <c r="AO620" s="184"/>
      <c r="AP620" s="184"/>
      <c r="AQ620" s="184"/>
      <c r="AR620" s="184"/>
      <c r="AS620" s="184"/>
      <c r="AT620" s="184"/>
      <c r="AU620" s="184"/>
      <c r="AV620" s="184"/>
      <c r="AW620" s="184"/>
      <c r="AX620" s="184"/>
      <c r="AY620" s="184"/>
      <c r="AZ620" s="184"/>
      <c r="BA620" s="184"/>
      <c r="BB620" s="184"/>
      <c r="BC620" s="184"/>
      <c r="BD620" s="184"/>
      <c r="BE620" s="184"/>
      <c r="BF620" s="184"/>
      <c r="BG620" s="184"/>
      <c r="BH620" s="184"/>
      <c r="BI620" s="184"/>
      <c r="BJ620" s="184"/>
    </row>
    <row r="621" spans="2:62" ht="15.75" customHeight="1">
      <c r="B621" s="181"/>
      <c r="C621" s="411"/>
      <c r="D621" s="411"/>
      <c r="E621" s="411"/>
      <c r="F621" s="411"/>
      <c r="G621" s="411"/>
      <c r="H621" s="411"/>
      <c r="I621" s="411"/>
      <c r="J621" s="411"/>
      <c r="K621" s="411"/>
      <c r="L621" s="411"/>
      <c r="M621" s="411"/>
      <c r="N621" s="411"/>
      <c r="O621" s="411"/>
      <c r="P621" s="411"/>
      <c r="Q621" s="411"/>
      <c r="R621" s="411"/>
      <c r="S621" s="411"/>
      <c r="T621" s="411"/>
      <c r="U621" s="411"/>
      <c r="V621" s="411"/>
      <c r="W621" s="411"/>
      <c r="X621" s="411"/>
      <c r="Y621" s="184"/>
      <c r="Z621" s="184"/>
      <c r="AA621" s="184"/>
      <c r="AB621" s="184"/>
      <c r="AC621" s="184"/>
      <c r="AD621" s="184"/>
      <c r="AE621" s="184"/>
      <c r="AF621" s="184"/>
      <c r="AG621" s="184"/>
      <c r="AH621" s="184"/>
      <c r="AI621" s="184"/>
      <c r="AJ621" s="184"/>
      <c r="AK621" s="184"/>
      <c r="AL621" s="184"/>
      <c r="AM621" s="184"/>
      <c r="AN621" s="184"/>
      <c r="AO621" s="184"/>
      <c r="AP621" s="184"/>
      <c r="AQ621" s="184"/>
      <c r="AR621" s="184"/>
      <c r="AS621" s="184"/>
      <c r="AT621" s="184"/>
      <c r="AU621" s="184"/>
      <c r="AV621" s="184"/>
      <c r="AW621" s="184"/>
      <c r="AX621" s="184"/>
      <c r="AY621" s="184"/>
      <c r="AZ621" s="184"/>
      <c r="BA621" s="184"/>
      <c r="BB621" s="184"/>
      <c r="BC621" s="184"/>
      <c r="BD621" s="184"/>
      <c r="BE621" s="184"/>
      <c r="BF621" s="184"/>
      <c r="BG621" s="184"/>
      <c r="BH621" s="184"/>
      <c r="BI621" s="184"/>
      <c r="BJ621" s="184"/>
    </row>
    <row r="622" spans="2:62" ht="15.75" customHeight="1">
      <c r="B622" s="181"/>
      <c r="C622" s="411"/>
      <c r="D622" s="411"/>
      <c r="E622" s="411"/>
      <c r="F622" s="411"/>
      <c r="G622" s="411"/>
      <c r="H622" s="411"/>
      <c r="I622" s="411"/>
      <c r="J622" s="411"/>
      <c r="K622" s="411"/>
      <c r="L622" s="411"/>
      <c r="M622" s="411"/>
      <c r="N622" s="411"/>
      <c r="O622" s="411"/>
      <c r="P622" s="411"/>
      <c r="Q622" s="411"/>
      <c r="R622" s="411"/>
      <c r="S622" s="411"/>
      <c r="T622" s="411"/>
      <c r="U622" s="411"/>
      <c r="V622" s="411"/>
      <c r="W622" s="411"/>
      <c r="X622" s="411"/>
      <c r="Y622" s="184"/>
      <c r="Z622" s="184"/>
      <c r="AA622" s="184"/>
      <c r="AB622" s="184"/>
      <c r="AC622" s="184"/>
      <c r="AD622" s="184"/>
      <c r="AE622" s="184"/>
      <c r="AF622" s="184"/>
      <c r="AG622" s="184"/>
      <c r="AH622" s="184"/>
      <c r="AI622" s="184"/>
      <c r="AJ622" s="184"/>
      <c r="AK622" s="184"/>
      <c r="AL622" s="184"/>
      <c r="AM622" s="184"/>
      <c r="AN622" s="184"/>
      <c r="AO622" s="184"/>
      <c r="AP622" s="184"/>
      <c r="AQ622" s="184"/>
      <c r="AR622" s="184"/>
      <c r="AS622" s="184"/>
      <c r="AT622" s="184"/>
      <c r="AU622" s="184"/>
      <c r="AV622" s="184"/>
      <c r="AW622" s="184"/>
      <c r="AX622" s="184"/>
      <c r="AY622" s="184"/>
      <c r="AZ622" s="184"/>
      <c r="BA622" s="184"/>
      <c r="BB622" s="184"/>
      <c r="BC622" s="184"/>
      <c r="BD622" s="184"/>
      <c r="BE622" s="184"/>
      <c r="BF622" s="184"/>
      <c r="BG622" s="184"/>
      <c r="BH622" s="184"/>
      <c r="BI622" s="184"/>
      <c r="BJ622" s="184"/>
    </row>
    <row r="623" spans="2:62" ht="15.75" customHeight="1">
      <c r="B623" s="181"/>
      <c r="C623" s="411"/>
      <c r="D623" s="411"/>
      <c r="E623" s="411"/>
      <c r="F623" s="411"/>
      <c r="G623" s="411"/>
      <c r="H623" s="411"/>
      <c r="I623" s="411"/>
      <c r="J623" s="411"/>
      <c r="K623" s="411"/>
      <c r="L623" s="411"/>
      <c r="M623" s="411"/>
      <c r="N623" s="411"/>
      <c r="O623" s="411"/>
      <c r="P623" s="411"/>
      <c r="Q623" s="411"/>
      <c r="R623" s="411"/>
      <c r="S623" s="411"/>
      <c r="T623" s="411"/>
      <c r="U623" s="411"/>
      <c r="V623" s="411"/>
      <c r="W623" s="411"/>
      <c r="X623" s="411"/>
      <c r="Y623" s="184"/>
      <c r="Z623" s="184"/>
      <c r="AA623" s="184"/>
      <c r="AB623" s="184"/>
      <c r="AC623" s="184"/>
      <c r="AD623" s="184"/>
      <c r="AE623" s="184"/>
      <c r="AF623" s="184"/>
      <c r="AG623" s="184"/>
      <c r="AH623" s="184"/>
      <c r="AI623" s="184"/>
      <c r="AJ623" s="184"/>
      <c r="AK623" s="184"/>
      <c r="AL623" s="184"/>
      <c r="AM623" s="184"/>
      <c r="AN623" s="184"/>
      <c r="AO623" s="184"/>
      <c r="AP623" s="184"/>
      <c r="AQ623" s="184"/>
      <c r="AR623" s="184"/>
      <c r="AS623" s="184"/>
      <c r="AT623" s="184"/>
      <c r="AU623" s="184"/>
      <c r="AV623" s="184"/>
      <c r="AW623" s="184"/>
      <c r="AX623" s="184"/>
      <c r="AY623" s="184"/>
      <c r="AZ623" s="184"/>
      <c r="BA623" s="184"/>
      <c r="BB623" s="184"/>
      <c r="BC623" s="184"/>
      <c r="BD623" s="184"/>
      <c r="BE623" s="184"/>
      <c r="BF623" s="184"/>
      <c r="BG623" s="184"/>
      <c r="BH623" s="184"/>
      <c r="BI623" s="184"/>
      <c r="BJ623" s="184"/>
    </row>
    <row r="624" spans="2:62" ht="15.75" customHeight="1">
      <c r="B624" s="181"/>
      <c r="C624" s="411"/>
      <c r="D624" s="411"/>
      <c r="E624" s="411"/>
      <c r="F624" s="411"/>
      <c r="G624" s="411"/>
      <c r="H624" s="411"/>
      <c r="I624" s="411"/>
      <c r="J624" s="411"/>
      <c r="K624" s="411"/>
      <c r="L624" s="411"/>
      <c r="M624" s="411"/>
      <c r="N624" s="411"/>
      <c r="O624" s="411"/>
      <c r="P624" s="411"/>
      <c r="Q624" s="411"/>
      <c r="R624" s="411"/>
      <c r="S624" s="411"/>
      <c r="T624" s="411"/>
      <c r="U624" s="411"/>
      <c r="V624" s="411"/>
      <c r="W624" s="411"/>
      <c r="X624" s="411"/>
      <c r="Y624" s="184"/>
      <c r="Z624" s="184"/>
      <c r="AA624" s="184"/>
      <c r="AB624" s="184"/>
      <c r="AC624" s="184"/>
      <c r="AD624" s="184"/>
      <c r="AE624" s="184"/>
      <c r="AF624" s="184"/>
      <c r="AG624" s="184"/>
      <c r="AH624" s="184"/>
      <c r="AI624" s="184"/>
      <c r="AJ624" s="184"/>
      <c r="AK624" s="184"/>
      <c r="AL624" s="184"/>
      <c r="AM624" s="184"/>
      <c r="AN624" s="184"/>
      <c r="AO624" s="184"/>
      <c r="AP624" s="184"/>
      <c r="AQ624" s="184"/>
      <c r="AR624" s="184"/>
      <c r="AS624" s="184"/>
      <c r="AT624" s="184"/>
      <c r="AU624" s="184"/>
      <c r="AV624" s="184"/>
      <c r="AW624" s="184"/>
      <c r="AX624" s="184"/>
      <c r="AY624" s="184"/>
      <c r="AZ624" s="184"/>
      <c r="BA624" s="184"/>
      <c r="BB624" s="184"/>
      <c r="BC624" s="184"/>
      <c r="BD624" s="184"/>
      <c r="BE624" s="184"/>
      <c r="BF624" s="184"/>
      <c r="BG624" s="184"/>
      <c r="BH624" s="184"/>
      <c r="BI624" s="184"/>
      <c r="BJ624" s="184"/>
    </row>
    <row r="625" spans="2:62" ht="15.75" customHeight="1">
      <c r="B625" s="181"/>
      <c r="C625" s="411"/>
      <c r="D625" s="411"/>
      <c r="E625" s="411"/>
      <c r="F625" s="411"/>
      <c r="G625" s="411"/>
      <c r="H625" s="411"/>
      <c r="I625" s="411"/>
      <c r="J625" s="411"/>
      <c r="K625" s="411"/>
      <c r="L625" s="411"/>
      <c r="M625" s="411"/>
      <c r="N625" s="411"/>
      <c r="O625" s="411"/>
      <c r="P625" s="411"/>
      <c r="Q625" s="411"/>
      <c r="R625" s="411"/>
      <c r="S625" s="411"/>
      <c r="T625" s="411"/>
      <c r="U625" s="411"/>
      <c r="V625" s="411"/>
      <c r="W625" s="411"/>
      <c r="X625" s="411"/>
      <c r="Y625" s="184"/>
      <c r="Z625" s="184"/>
      <c r="AA625" s="184"/>
      <c r="AB625" s="184"/>
      <c r="AC625" s="184"/>
      <c r="AD625" s="184"/>
      <c r="AE625" s="184"/>
      <c r="AF625" s="184"/>
      <c r="AG625" s="184"/>
      <c r="AH625" s="184"/>
      <c r="AI625" s="184"/>
      <c r="AJ625" s="184"/>
      <c r="AK625" s="184"/>
      <c r="AL625" s="184"/>
      <c r="AM625" s="184"/>
      <c r="AN625" s="184"/>
      <c r="AO625" s="184"/>
      <c r="AP625" s="184"/>
      <c r="AQ625" s="184"/>
      <c r="AR625" s="184"/>
      <c r="AS625" s="184"/>
      <c r="AT625" s="184"/>
      <c r="AU625" s="184"/>
      <c r="AV625" s="184"/>
      <c r="AW625" s="184"/>
      <c r="AX625" s="184"/>
      <c r="AY625" s="184"/>
      <c r="AZ625" s="184"/>
      <c r="BA625" s="184"/>
      <c r="BB625" s="184"/>
      <c r="BC625" s="184"/>
      <c r="BD625" s="184"/>
      <c r="BE625" s="184"/>
      <c r="BF625" s="184"/>
      <c r="BG625" s="184"/>
      <c r="BH625" s="184"/>
      <c r="BI625" s="184"/>
      <c r="BJ625" s="184"/>
    </row>
    <row r="626" spans="2:62" ht="15.75" customHeight="1">
      <c r="B626" s="181"/>
      <c r="C626" s="411"/>
      <c r="D626" s="411"/>
      <c r="E626" s="411"/>
      <c r="F626" s="411"/>
      <c r="G626" s="411"/>
      <c r="H626" s="411"/>
      <c r="I626" s="411"/>
      <c r="J626" s="411"/>
      <c r="K626" s="411"/>
      <c r="L626" s="411"/>
      <c r="M626" s="411"/>
      <c r="N626" s="411"/>
      <c r="O626" s="411"/>
      <c r="P626" s="411"/>
      <c r="Q626" s="411"/>
      <c r="R626" s="411"/>
      <c r="S626" s="411"/>
      <c r="T626" s="411"/>
      <c r="U626" s="411"/>
      <c r="V626" s="411"/>
      <c r="W626" s="411"/>
      <c r="X626" s="411"/>
      <c r="Y626" s="184"/>
      <c r="Z626" s="184"/>
      <c r="AA626" s="184"/>
      <c r="AB626" s="184"/>
      <c r="AC626" s="184"/>
      <c r="AD626" s="184"/>
      <c r="AE626" s="184"/>
      <c r="AF626" s="184"/>
      <c r="AG626" s="184"/>
      <c r="AH626" s="184"/>
      <c r="AI626" s="184"/>
      <c r="AJ626" s="184"/>
      <c r="AK626" s="184"/>
      <c r="AL626" s="184"/>
      <c r="AM626" s="184"/>
      <c r="AN626" s="184"/>
      <c r="AO626" s="184"/>
      <c r="AP626" s="184"/>
      <c r="AQ626" s="184"/>
      <c r="AR626" s="184"/>
      <c r="AS626" s="184"/>
      <c r="AT626" s="184"/>
      <c r="AU626" s="184"/>
      <c r="AV626" s="184"/>
      <c r="AW626" s="184"/>
      <c r="AX626" s="184"/>
      <c r="AY626" s="184"/>
      <c r="AZ626" s="184"/>
      <c r="BA626" s="184"/>
      <c r="BB626" s="184"/>
      <c r="BC626" s="184"/>
      <c r="BD626" s="184"/>
      <c r="BE626" s="184"/>
      <c r="BF626" s="184"/>
      <c r="BG626" s="184"/>
      <c r="BH626" s="184"/>
      <c r="BI626" s="184"/>
      <c r="BJ626" s="184"/>
    </row>
    <row r="627" spans="2:62" ht="15.75" customHeight="1">
      <c r="B627" s="181"/>
      <c r="C627" s="411"/>
      <c r="D627" s="411"/>
      <c r="E627" s="411"/>
      <c r="F627" s="411"/>
      <c r="G627" s="411"/>
      <c r="H627" s="411"/>
      <c r="I627" s="411"/>
      <c r="J627" s="411"/>
      <c r="K627" s="411"/>
      <c r="L627" s="411"/>
      <c r="M627" s="411"/>
      <c r="N627" s="411"/>
      <c r="O627" s="411"/>
      <c r="P627" s="411"/>
      <c r="Q627" s="411"/>
      <c r="R627" s="411"/>
      <c r="S627" s="411"/>
      <c r="T627" s="411"/>
      <c r="U627" s="411"/>
      <c r="V627" s="411"/>
      <c r="W627" s="411"/>
      <c r="X627" s="411"/>
      <c r="Y627" s="184"/>
      <c r="Z627" s="184"/>
      <c r="AA627" s="184"/>
      <c r="AB627" s="184"/>
      <c r="AC627" s="184"/>
      <c r="AD627" s="184"/>
      <c r="AE627" s="184"/>
      <c r="AF627" s="184"/>
      <c r="AG627" s="184"/>
      <c r="AH627" s="184"/>
      <c r="AI627" s="184"/>
      <c r="AJ627" s="184"/>
      <c r="AK627" s="184"/>
      <c r="AL627" s="184"/>
      <c r="AM627" s="184"/>
      <c r="AN627" s="184"/>
      <c r="AO627" s="184"/>
      <c r="AP627" s="184"/>
      <c r="AQ627" s="184"/>
      <c r="AR627" s="184"/>
      <c r="AS627" s="184"/>
      <c r="AT627" s="184"/>
      <c r="AU627" s="184"/>
      <c r="AV627" s="184"/>
      <c r="AW627" s="184"/>
      <c r="AX627" s="184"/>
      <c r="AY627" s="184"/>
      <c r="AZ627" s="184"/>
      <c r="BA627" s="184"/>
      <c r="BB627" s="184"/>
      <c r="BC627" s="184"/>
      <c r="BD627" s="184"/>
      <c r="BE627" s="184"/>
      <c r="BF627" s="184"/>
      <c r="BG627" s="184"/>
      <c r="BH627" s="184"/>
      <c r="BI627" s="184"/>
      <c r="BJ627" s="184"/>
    </row>
    <row r="628" spans="2:62" ht="15.75" customHeight="1">
      <c r="B628" s="181"/>
      <c r="C628" s="411"/>
      <c r="D628" s="411"/>
      <c r="E628" s="411"/>
      <c r="F628" s="411"/>
      <c r="G628" s="411"/>
      <c r="H628" s="411"/>
      <c r="I628" s="411"/>
      <c r="J628" s="411"/>
      <c r="K628" s="411"/>
      <c r="L628" s="411"/>
      <c r="M628" s="411"/>
      <c r="N628" s="411"/>
      <c r="O628" s="411"/>
      <c r="P628" s="411"/>
      <c r="Q628" s="411"/>
      <c r="R628" s="411"/>
      <c r="S628" s="411"/>
      <c r="T628" s="411"/>
      <c r="U628" s="411"/>
      <c r="V628" s="411"/>
      <c r="W628" s="411"/>
      <c r="X628" s="411"/>
      <c r="Y628" s="184"/>
      <c r="Z628" s="184"/>
      <c r="AA628" s="184"/>
      <c r="AB628" s="184"/>
      <c r="AC628" s="184"/>
      <c r="AD628" s="184"/>
      <c r="AE628" s="184"/>
      <c r="AF628" s="184"/>
      <c r="AG628" s="184"/>
      <c r="AH628" s="184"/>
      <c r="AI628" s="184"/>
      <c r="AJ628" s="184"/>
      <c r="AK628" s="184"/>
      <c r="AL628" s="184"/>
      <c r="AM628" s="184"/>
      <c r="AN628" s="184"/>
      <c r="AO628" s="184"/>
      <c r="AP628" s="184"/>
      <c r="AQ628" s="184"/>
      <c r="AR628" s="184"/>
      <c r="AS628" s="184"/>
      <c r="AT628" s="184"/>
      <c r="AU628" s="184"/>
      <c r="AV628" s="184"/>
      <c r="AW628" s="184"/>
      <c r="AX628" s="184"/>
      <c r="AY628" s="184"/>
      <c r="AZ628" s="184"/>
      <c r="BA628" s="184"/>
      <c r="BB628" s="184"/>
      <c r="BC628" s="184"/>
      <c r="BD628" s="184"/>
      <c r="BE628" s="184"/>
      <c r="BF628" s="184"/>
      <c r="BG628" s="184"/>
      <c r="BH628" s="184"/>
      <c r="BI628" s="184"/>
      <c r="BJ628" s="184"/>
    </row>
    <row r="629" spans="2:62" ht="15.75" customHeight="1">
      <c r="B629" s="181"/>
      <c r="C629" s="411"/>
      <c r="D629" s="411"/>
      <c r="E629" s="411"/>
      <c r="F629" s="411"/>
      <c r="G629" s="411"/>
      <c r="H629" s="411"/>
      <c r="I629" s="411"/>
      <c r="J629" s="411"/>
      <c r="K629" s="411"/>
      <c r="L629" s="411"/>
      <c r="M629" s="411"/>
      <c r="N629" s="411"/>
      <c r="O629" s="411"/>
      <c r="P629" s="411"/>
      <c r="Q629" s="411"/>
      <c r="R629" s="411"/>
      <c r="S629" s="411"/>
      <c r="T629" s="411"/>
      <c r="U629" s="411"/>
      <c r="V629" s="411"/>
      <c r="W629" s="411"/>
      <c r="X629" s="411"/>
      <c r="Y629" s="184"/>
      <c r="Z629" s="184"/>
      <c r="AA629" s="184"/>
      <c r="AB629" s="184"/>
      <c r="AC629" s="184"/>
      <c r="AD629" s="184"/>
      <c r="AE629" s="184"/>
      <c r="AF629" s="184"/>
      <c r="AG629" s="184"/>
      <c r="AH629" s="184"/>
      <c r="AI629" s="184"/>
      <c r="AJ629" s="184"/>
      <c r="AK629" s="184"/>
      <c r="AL629" s="184"/>
      <c r="AM629" s="184"/>
      <c r="AN629" s="184"/>
      <c r="AO629" s="184"/>
      <c r="AP629" s="184"/>
      <c r="AQ629" s="184"/>
      <c r="AR629" s="184"/>
      <c r="AS629" s="184"/>
      <c r="AT629" s="184"/>
      <c r="AU629" s="184"/>
      <c r="AV629" s="184"/>
      <c r="AW629" s="184"/>
      <c r="AX629" s="184"/>
      <c r="AY629" s="184"/>
      <c r="AZ629" s="184"/>
      <c r="BA629" s="184"/>
      <c r="BB629" s="184"/>
      <c r="BC629" s="184"/>
      <c r="BD629" s="184"/>
      <c r="BE629" s="184"/>
      <c r="BF629" s="184"/>
      <c r="BG629" s="184"/>
      <c r="BH629" s="184"/>
      <c r="BI629" s="184"/>
      <c r="BJ629" s="184"/>
    </row>
    <row r="630" spans="2:62" ht="15.75" customHeight="1">
      <c r="B630" s="181"/>
      <c r="C630" s="411"/>
      <c r="D630" s="411"/>
      <c r="E630" s="411"/>
      <c r="F630" s="411"/>
      <c r="G630" s="411"/>
      <c r="H630" s="411"/>
      <c r="I630" s="411"/>
      <c r="J630" s="411"/>
      <c r="K630" s="411"/>
      <c r="L630" s="411"/>
      <c r="M630" s="411"/>
      <c r="N630" s="411"/>
      <c r="O630" s="411"/>
      <c r="P630" s="411"/>
      <c r="Q630" s="411"/>
      <c r="R630" s="411"/>
      <c r="S630" s="411"/>
      <c r="T630" s="411"/>
      <c r="U630" s="411"/>
      <c r="V630" s="411"/>
      <c r="W630" s="411"/>
      <c r="X630" s="411"/>
      <c r="Y630" s="184"/>
      <c r="Z630" s="184"/>
      <c r="AA630" s="184"/>
      <c r="AB630" s="184"/>
      <c r="AC630" s="184"/>
      <c r="AD630" s="184"/>
      <c r="AE630" s="184"/>
      <c r="AF630" s="184"/>
      <c r="AG630" s="184"/>
      <c r="AH630" s="184"/>
      <c r="AI630" s="184"/>
      <c r="AJ630" s="184"/>
      <c r="AK630" s="184"/>
      <c r="AL630" s="184"/>
      <c r="AM630" s="184"/>
      <c r="AN630" s="184"/>
      <c r="AO630" s="184"/>
      <c r="AP630" s="184"/>
      <c r="AQ630" s="184"/>
      <c r="AR630" s="184"/>
      <c r="AS630" s="184"/>
      <c r="AT630" s="184"/>
      <c r="AU630" s="184"/>
      <c r="AV630" s="184"/>
      <c r="AW630" s="184"/>
      <c r="AX630" s="184"/>
      <c r="AY630" s="184"/>
      <c r="AZ630" s="184"/>
      <c r="BA630" s="184"/>
      <c r="BB630" s="184"/>
      <c r="BC630" s="184"/>
      <c r="BD630" s="184"/>
      <c r="BE630" s="184"/>
      <c r="BF630" s="184"/>
      <c r="BG630" s="184"/>
      <c r="BH630" s="184"/>
      <c r="BI630" s="184"/>
      <c r="BJ630" s="184"/>
    </row>
    <row r="631" spans="2:62" ht="15.75" customHeight="1">
      <c r="B631" s="181"/>
      <c r="C631" s="411"/>
      <c r="D631" s="411"/>
      <c r="E631" s="411"/>
      <c r="F631" s="411"/>
      <c r="G631" s="411"/>
      <c r="H631" s="411"/>
      <c r="I631" s="411"/>
      <c r="J631" s="411"/>
      <c r="K631" s="411"/>
      <c r="L631" s="411"/>
      <c r="M631" s="411"/>
      <c r="N631" s="411"/>
      <c r="O631" s="411"/>
      <c r="P631" s="411"/>
      <c r="Q631" s="411"/>
      <c r="R631" s="411"/>
      <c r="S631" s="411"/>
      <c r="T631" s="411"/>
      <c r="U631" s="411"/>
      <c r="V631" s="411"/>
      <c r="W631" s="411"/>
      <c r="X631" s="411"/>
      <c r="Y631" s="184"/>
      <c r="Z631" s="184"/>
      <c r="AA631" s="184"/>
      <c r="AB631" s="184"/>
      <c r="AC631" s="184"/>
      <c r="AD631" s="184"/>
      <c r="AE631" s="184"/>
      <c r="AF631" s="184"/>
      <c r="AG631" s="184"/>
      <c r="AH631" s="184"/>
      <c r="AI631" s="184"/>
      <c r="AJ631" s="184"/>
      <c r="AK631" s="184"/>
      <c r="AL631" s="184"/>
      <c r="AM631" s="184"/>
      <c r="AN631" s="184"/>
      <c r="AO631" s="184"/>
      <c r="AP631" s="184"/>
      <c r="AQ631" s="184"/>
      <c r="AR631" s="184"/>
      <c r="AS631" s="184"/>
      <c r="AT631" s="184"/>
      <c r="AU631" s="184"/>
      <c r="AV631" s="184"/>
      <c r="AW631" s="184"/>
      <c r="AX631" s="184"/>
      <c r="AY631" s="184"/>
      <c r="AZ631" s="184"/>
      <c r="BA631" s="184"/>
      <c r="BB631" s="184"/>
      <c r="BC631" s="184"/>
      <c r="BD631" s="184"/>
      <c r="BE631" s="184"/>
      <c r="BF631" s="184"/>
      <c r="BG631" s="184"/>
      <c r="BH631" s="184"/>
      <c r="BI631" s="184"/>
      <c r="BJ631" s="184"/>
    </row>
    <row r="632" spans="2:62" ht="15.75" customHeight="1">
      <c r="B632" s="181"/>
      <c r="C632" s="411"/>
      <c r="D632" s="411"/>
      <c r="E632" s="411"/>
      <c r="F632" s="411"/>
      <c r="G632" s="411"/>
      <c r="H632" s="411"/>
      <c r="I632" s="411"/>
      <c r="J632" s="411"/>
      <c r="K632" s="411"/>
      <c r="L632" s="411"/>
      <c r="M632" s="411"/>
      <c r="N632" s="411"/>
      <c r="O632" s="411"/>
      <c r="P632" s="411"/>
      <c r="Q632" s="411"/>
      <c r="R632" s="411"/>
      <c r="S632" s="411"/>
      <c r="T632" s="411"/>
      <c r="U632" s="411"/>
      <c r="V632" s="411"/>
      <c r="W632" s="411"/>
      <c r="X632" s="411"/>
      <c r="Y632" s="184"/>
      <c r="Z632" s="184"/>
      <c r="AA632" s="184"/>
      <c r="AB632" s="184"/>
      <c r="AC632" s="184"/>
      <c r="AD632" s="184"/>
      <c r="AE632" s="184"/>
      <c r="AF632" s="184"/>
      <c r="AG632" s="184"/>
      <c r="AH632" s="184"/>
      <c r="AI632" s="184"/>
      <c r="AJ632" s="184"/>
      <c r="AK632" s="184"/>
      <c r="AL632" s="184"/>
      <c r="AM632" s="184"/>
      <c r="AN632" s="184"/>
      <c r="AO632" s="184"/>
      <c r="AP632" s="184"/>
      <c r="AQ632" s="184"/>
      <c r="AR632" s="184"/>
      <c r="AS632" s="184"/>
      <c r="AT632" s="184"/>
      <c r="AU632" s="184"/>
      <c r="AV632" s="184"/>
      <c r="AW632" s="184"/>
      <c r="AX632" s="184"/>
      <c r="AY632" s="184"/>
      <c r="AZ632" s="184"/>
      <c r="BA632" s="184"/>
      <c r="BB632" s="184"/>
      <c r="BC632" s="184"/>
      <c r="BD632" s="184"/>
      <c r="BE632" s="184"/>
      <c r="BF632" s="184"/>
      <c r="BG632" s="184"/>
      <c r="BH632" s="184"/>
      <c r="BI632" s="184"/>
      <c r="BJ632" s="184"/>
    </row>
    <row r="633" spans="2:62" ht="15.75" customHeight="1">
      <c r="B633" s="181"/>
      <c r="C633" s="411"/>
      <c r="D633" s="411"/>
      <c r="E633" s="411"/>
      <c r="F633" s="411"/>
      <c r="G633" s="411"/>
      <c r="H633" s="411"/>
      <c r="I633" s="411"/>
      <c r="J633" s="411"/>
      <c r="K633" s="411"/>
      <c r="L633" s="411"/>
      <c r="M633" s="411"/>
      <c r="N633" s="411"/>
      <c r="O633" s="411"/>
      <c r="P633" s="411"/>
      <c r="Q633" s="411"/>
      <c r="R633" s="411"/>
      <c r="S633" s="411"/>
      <c r="T633" s="411"/>
      <c r="U633" s="411"/>
      <c r="V633" s="411"/>
      <c r="W633" s="411"/>
      <c r="X633" s="411"/>
      <c r="Y633" s="184"/>
      <c r="Z633" s="184"/>
      <c r="AA633" s="184"/>
      <c r="AB633" s="184"/>
      <c r="AC633" s="184"/>
      <c r="AD633" s="184"/>
      <c r="AE633" s="184"/>
      <c r="AF633" s="184"/>
      <c r="AG633" s="184"/>
      <c r="AH633" s="184"/>
      <c r="AI633" s="184"/>
      <c r="AJ633" s="184"/>
      <c r="AK633" s="184"/>
      <c r="AL633" s="184"/>
      <c r="AM633" s="184"/>
      <c r="AN633" s="184"/>
      <c r="AO633" s="184"/>
      <c r="AP633" s="184"/>
      <c r="AQ633" s="184"/>
      <c r="AR633" s="184"/>
      <c r="AS633" s="184"/>
      <c r="AT633" s="184"/>
      <c r="AU633" s="184"/>
      <c r="AV633" s="184"/>
      <c r="AW633" s="184"/>
      <c r="AX633" s="184"/>
      <c r="AY633" s="184"/>
      <c r="AZ633" s="184"/>
      <c r="BA633" s="184"/>
      <c r="BB633" s="184"/>
      <c r="BC633" s="184"/>
      <c r="BD633" s="184"/>
      <c r="BE633" s="184"/>
      <c r="BF633" s="184"/>
      <c r="BG633" s="184"/>
      <c r="BH633" s="184"/>
      <c r="BI633" s="184"/>
      <c r="BJ633" s="184"/>
    </row>
    <row r="634" spans="2:62" ht="15.75" customHeight="1">
      <c r="B634" s="181"/>
      <c r="C634" s="411"/>
      <c r="D634" s="411"/>
      <c r="E634" s="411"/>
      <c r="F634" s="411"/>
      <c r="G634" s="411"/>
      <c r="H634" s="411"/>
      <c r="I634" s="411"/>
      <c r="J634" s="411"/>
      <c r="K634" s="411"/>
      <c r="L634" s="411"/>
      <c r="M634" s="411"/>
      <c r="N634" s="411"/>
      <c r="O634" s="411"/>
      <c r="P634" s="411"/>
      <c r="Q634" s="411"/>
      <c r="R634" s="411"/>
      <c r="S634" s="411"/>
      <c r="T634" s="411"/>
      <c r="U634" s="411"/>
      <c r="V634" s="411"/>
      <c r="W634" s="411"/>
      <c r="X634" s="411"/>
      <c r="Y634" s="184"/>
      <c r="Z634" s="184"/>
      <c r="AA634" s="184"/>
      <c r="AB634" s="184"/>
      <c r="AC634" s="184"/>
      <c r="AD634" s="184"/>
      <c r="AE634" s="184"/>
      <c r="AF634" s="184"/>
      <c r="AG634" s="184"/>
      <c r="AH634" s="184"/>
      <c r="AI634" s="184"/>
      <c r="AJ634" s="184"/>
      <c r="AK634" s="184"/>
      <c r="AL634" s="184"/>
      <c r="AM634" s="184"/>
      <c r="AN634" s="184"/>
      <c r="AO634" s="184"/>
      <c r="AP634" s="184"/>
      <c r="AQ634" s="184"/>
      <c r="AR634" s="184"/>
      <c r="AS634" s="184"/>
      <c r="AT634" s="184"/>
      <c r="AU634" s="184"/>
      <c r="AV634" s="184"/>
      <c r="AW634" s="184"/>
      <c r="AX634" s="184"/>
      <c r="AY634" s="184"/>
      <c r="AZ634" s="184"/>
      <c r="BA634" s="184"/>
      <c r="BB634" s="184"/>
      <c r="BC634" s="184"/>
      <c r="BD634" s="184"/>
      <c r="BE634" s="184"/>
      <c r="BF634" s="184"/>
      <c r="BG634" s="184"/>
      <c r="BH634" s="184"/>
      <c r="BI634" s="184"/>
      <c r="BJ634" s="184"/>
    </row>
    <row r="635" spans="2:62" ht="15.75" customHeight="1">
      <c r="B635" s="181"/>
      <c r="C635" s="411"/>
      <c r="D635" s="411"/>
      <c r="E635" s="411"/>
      <c r="F635" s="411"/>
      <c r="G635" s="411"/>
      <c r="H635" s="411"/>
      <c r="I635" s="411"/>
      <c r="J635" s="411"/>
      <c r="K635" s="411"/>
      <c r="L635" s="411"/>
      <c r="M635" s="411"/>
      <c r="N635" s="411"/>
      <c r="O635" s="411"/>
      <c r="P635" s="411"/>
      <c r="Q635" s="411"/>
      <c r="R635" s="411"/>
      <c r="S635" s="411"/>
      <c r="T635" s="411"/>
      <c r="U635" s="411"/>
      <c r="V635" s="411"/>
      <c r="W635" s="411"/>
      <c r="X635" s="411"/>
      <c r="Y635" s="184"/>
      <c r="Z635" s="184"/>
      <c r="AA635" s="184"/>
      <c r="AB635" s="184"/>
      <c r="AC635" s="184"/>
      <c r="AD635" s="184"/>
      <c r="AE635" s="184"/>
      <c r="AF635" s="184"/>
      <c r="AG635" s="184"/>
      <c r="AH635" s="184"/>
      <c r="AI635" s="184"/>
      <c r="AJ635" s="184"/>
      <c r="AK635" s="184"/>
      <c r="AL635" s="184"/>
      <c r="AM635" s="184"/>
      <c r="AN635" s="184"/>
      <c r="AO635" s="184"/>
      <c r="AP635" s="184"/>
      <c r="AQ635" s="184"/>
      <c r="AR635" s="184"/>
      <c r="AS635" s="184"/>
      <c r="AT635" s="184"/>
      <c r="AU635" s="184"/>
      <c r="AV635" s="184"/>
      <c r="AW635" s="184"/>
      <c r="AX635" s="184"/>
      <c r="AY635" s="184"/>
      <c r="AZ635" s="184"/>
      <c r="BA635" s="184"/>
      <c r="BB635" s="184"/>
      <c r="BC635" s="184"/>
      <c r="BD635" s="184"/>
      <c r="BE635" s="184"/>
      <c r="BF635" s="184"/>
      <c r="BG635" s="184"/>
      <c r="BH635" s="184"/>
      <c r="BI635" s="184"/>
      <c r="BJ635" s="184"/>
    </row>
    <row r="636" spans="2:62" ht="15.75" customHeight="1">
      <c r="B636" s="181"/>
      <c r="C636" s="411"/>
      <c r="D636" s="411"/>
      <c r="E636" s="411"/>
      <c r="F636" s="411"/>
      <c r="G636" s="411"/>
      <c r="H636" s="411"/>
      <c r="I636" s="411"/>
      <c r="J636" s="411"/>
      <c r="K636" s="411"/>
      <c r="L636" s="411"/>
      <c r="M636" s="411"/>
      <c r="N636" s="411"/>
      <c r="O636" s="411"/>
      <c r="P636" s="411"/>
      <c r="Q636" s="411"/>
      <c r="R636" s="411"/>
      <c r="S636" s="411"/>
      <c r="T636" s="411"/>
      <c r="U636" s="411"/>
      <c r="V636" s="411"/>
      <c r="W636" s="411"/>
      <c r="X636" s="411"/>
      <c r="Y636" s="184"/>
      <c r="Z636" s="184"/>
      <c r="AA636" s="184"/>
      <c r="AB636" s="184"/>
      <c r="AC636" s="184"/>
      <c r="AD636" s="184"/>
      <c r="AE636" s="184"/>
      <c r="AF636" s="184"/>
      <c r="AG636" s="184"/>
      <c r="AH636" s="184"/>
      <c r="AI636" s="184"/>
      <c r="AJ636" s="184"/>
      <c r="AK636" s="184"/>
      <c r="AL636" s="184"/>
      <c r="AM636" s="184"/>
      <c r="AN636" s="184"/>
      <c r="AO636" s="184"/>
      <c r="AP636" s="184"/>
      <c r="AQ636" s="184"/>
      <c r="AR636" s="184"/>
      <c r="AS636" s="184"/>
      <c r="AT636" s="184"/>
      <c r="AU636" s="184"/>
      <c r="AV636" s="184"/>
      <c r="AW636" s="184"/>
      <c r="AX636" s="184"/>
      <c r="AY636" s="184"/>
      <c r="AZ636" s="184"/>
      <c r="BA636" s="184"/>
      <c r="BB636" s="184"/>
      <c r="BC636" s="184"/>
      <c r="BD636" s="184"/>
      <c r="BE636" s="184"/>
      <c r="BF636" s="184"/>
      <c r="BG636" s="184"/>
      <c r="BH636" s="184"/>
      <c r="BI636" s="184"/>
      <c r="BJ636" s="184"/>
    </row>
    <row r="637" spans="2:62" ht="15.75" customHeight="1">
      <c r="B637" s="181"/>
      <c r="C637" s="411"/>
      <c r="D637" s="411"/>
      <c r="E637" s="411"/>
      <c r="F637" s="411"/>
      <c r="G637" s="411"/>
      <c r="H637" s="411"/>
      <c r="I637" s="411"/>
      <c r="J637" s="411"/>
      <c r="K637" s="411"/>
      <c r="L637" s="411"/>
      <c r="M637" s="411"/>
      <c r="N637" s="411"/>
      <c r="O637" s="411"/>
      <c r="P637" s="411"/>
      <c r="Q637" s="411"/>
      <c r="R637" s="411"/>
      <c r="S637" s="411"/>
      <c r="T637" s="411"/>
      <c r="U637" s="411"/>
      <c r="V637" s="411"/>
      <c r="W637" s="411"/>
      <c r="X637" s="411"/>
      <c r="Y637" s="184"/>
      <c r="Z637" s="184"/>
      <c r="AA637" s="184"/>
      <c r="AB637" s="184"/>
      <c r="AC637" s="184"/>
      <c r="AD637" s="184"/>
      <c r="AE637" s="184"/>
      <c r="AF637" s="184"/>
      <c r="AG637" s="184"/>
      <c r="AH637" s="184"/>
      <c r="AI637" s="184"/>
      <c r="AJ637" s="184"/>
      <c r="AK637" s="184"/>
      <c r="AL637" s="184"/>
      <c r="AM637" s="184"/>
      <c r="AN637" s="184"/>
      <c r="AO637" s="184"/>
      <c r="AP637" s="184"/>
      <c r="AQ637" s="184"/>
      <c r="AR637" s="184"/>
      <c r="AS637" s="184"/>
      <c r="AT637" s="184"/>
      <c r="AU637" s="184"/>
      <c r="AV637" s="184"/>
      <c r="AW637" s="184"/>
      <c r="AX637" s="184"/>
      <c r="AY637" s="184"/>
      <c r="AZ637" s="184"/>
      <c r="BA637" s="184"/>
      <c r="BB637" s="184"/>
      <c r="BC637" s="184"/>
      <c r="BD637" s="184"/>
      <c r="BE637" s="184"/>
      <c r="BF637" s="184"/>
      <c r="BG637" s="184"/>
      <c r="BH637" s="184"/>
      <c r="BI637" s="184"/>
      <c r="BJ637" s="184"/>
    </row>
    <row r="638" spans="2:62" ht="15.75" customHeight="1">
      <c r="B638" s="181"/>
      <c r="C638" s="411"/>
      <c r="D638" s="411"/>
      <c r="E638" s="411"/>
      <c r="F638" s="411"/>
      <c r="G638" s="411"/>
      <c r="H638" s="411"/>
      <c r="I638" s="411"/>
      <c r="J638" s="411"/>
      <c r="K638" s="411"/>
      <c r="L638" s="411"/>
      <c r="M638" s="411"/>
      <c r="N638" s="411"/>
      <c r="O638" s="411"/>
      <c r="P638" s="411"/>
      <c r="Q638" s="411"/>
      <c r="R638" s="411"/>
      <c r="S638" s="411"/>
      <c r="T638" s="411"/>
      <c r="U638" s="411"/>
      <c r="V638" s="411"/>
      <c r="W638" s="411"/>
      <c r="X638" s="411"/>
      <c r="Y638" s="184"/>
      <c r="Z638" s="184"/>
      <c r="AA638" s="184"/>
      <c r="AB638" s="184"/>
      <c r="AC638" s="184"/>
      <c r="AD638" s="184"/>
      <c r="AE638" s="184"/>
      <c r="AF638" s="184"/>
      <c r="AG638" s="184"/>
      <c r="AH638" s="184"/>
      <c r="AI638" s="184"/>
      <c r="AJ638" s="184"/>
      <c r="AK638" s="184"/>
      <c r="AL638" s="184"/>
      <c r="AM638" s="184"/>
      <c r="AN638" s="184"/>
      <c r="AO638" s="184"/>
      <c r="AP638" s="184"/>
      <c r="AQ638" s="184"/>
      <c r="AR638" s="184"/>
      <c r="AS638" s="184"/>
      <c r="AT638" s="184"/>
      <c r="AU638" s="184"/>
      <c r="AV638" s="184"/>
      <c r="AW638" s="184"/>
      <c r="AX638" s="184"/>
      <c r="AY638" s="184"/>
      <c r="AZ638" s="184"/>
      <c r="BA638" s="184"/>
      <c r="BB638" s="184"/>
      <c r="BC638" s="184"/>
      <c r="BD638" s="184"/>
      <c r="BE638" s="184"/>
      <c r="BF638" s="184"/>
      <c r="BG638" s="184"/>
      <c r="BH638" s="184"/>
      <c r="BI638" s="184"/>
      <c r="BJ638" s="184"/>
    </row>
    <row r="639" spans="2:62" ht="15.75" customHeight="1">
      <c r="B639" s="181"/>
      <c r="C639" s="411"/>
      <c r="D639" s="411"/>
      <c r="E639" s="411"/>
      <c r="F639" s="411"/>
      <c r="G639" s="411"/>
      <c r="H639" s="411"/>
      <c r="I639" s="411"/>
      <c r="J639" s="411"/>
      <c r="K639" s="411"/>
      <c r="L639" s="411"/>
      <c r="M639" s="411"/>
      <c r="N639" s="411"/>
      <c r="O639" s="411"/>
      <c r="P639" s="411"/>
      <c r="Q639" s="411"/>
      <c r="R639" s="411"/>
      <c r="S639" s="411"/>
      <c r="T639" s="411"/>
      <c r="U639" s="411"/>
      <c r="V639" s="411"/>
      <c r="W639" s="411"/>
      <c r="X639" s="411"/>
      <c r="Y639" s="184"/>
      <c r="Z639" s="184"/>
      <c r="AA639" s="184"/>
      <c r="AB639" s="184"/>
      <c r="AC639" s="184"/>
      <c r="AD639" s="184"/>
      <c r="AE639" s="184"/>
      <c r="AF639" s="184"/>
      <c r="AG639" s="184"/>
      <c r="AH639" s="184"/>
      <c r="AI639" s="184"/>
      <c r="AJ639" s="184"/>
      <c r="AK639" s="184"/>
      <c r="AL639" s="184"/>
      <c r="AM639" s="184"/>
      <c r="AN639" s="184"/>
      <c r="AO639" s="184"/>
      <c r="AP639" s="184"/>
      <c r="AQ639" s="184"/>
      <c r="AR639" s="184"/>
      <c r="AS639" s="184"/>
      <c r="AT639" s="184"/>
      <c r="AU639" s="184"/>
      <c r="AV639" s="184"/>
      <c r="AW639" s="184"/>
      <c r="AX639" s="184"/>
      <c r="AY639" s="184"/>
      <c r="AZ639" s="184"/>
      <c r="BA639" s="184"/>
      <c r="BB639" s="184"/>
      <c r="BC639" s="184"/>
      <c r="BD639" s="184"/>
      <c r="BE639" s="184"/>
      <c r="BF639" s="184"/>
      <c r="BG639" s="184"/>
      <c r="BH639" s="184"/>
      <c r="BI639" s="184"/>
      <c r="BJ639" s="184"/>
    </row>
    <row r="640" spans="2:62" ht="15.75" customHeight="1">
      <c r="B640" s="181"/>
      <c r="C640" s="411"/>
      <c r="D640" s="411"/>
      <c r="E640" s="411"/>
      <c r="F640" s="411"/>
      <c r="G640" s="411"/>
      <c r="H640" s="411"/>
      <c r="I640" s="411"/>
      <c r="J640" s="411"/>
      <c r="K640" s="411"/>
      <c r="L640" s="411"/>
      <c r="M640" s="411"/>
      <c r="N640" s="411"/>
      <c r="O640" s="411"/>
      <c r="P640" s="411"/>
      <c r="Q640" s="411"/>
      <c r="R640" s="411"/>
      <c r="S640" s="411"/>
      <c r="T640" s="411"/>
      <c r="U640" s="411"/>
      <c r="V640" s="411"/>
      <c r="W640" s="411"/>
      <c r="X640" s="411"/>
      <c r="Y640" s="184"/>
      <c r="Z640" s="184"/>
      <c r="AA640" s="184"/>
      <c r="AB640" s="184"/>
      <c r="AC640" s="184"/>
      <c r="AD640" s="184"/>
      <c r="AE640" s="184"/>
      <c r="AF640" s="184"/>
      <c r="AG640" s="184"/>
      <c r="AH640" s="184"/>
      <c r="AI640" s="184"/>
      <c r="AJ640" s="184"/>
      <c r="AK640" s="184"/>
      <c r="AL640" s="184"/>
      <c r="AM640" s="184"/>
      <c r="AN640" s="184"/>
      <c r="AO640" s="184"/>
      <c r="AP640" s="184"/>
      <c r="AQ640" s="184"/>
      <c r="AR640" s="184"/>
      <c r="AS640" s="184"/>
      <c r="AT640" s="184"/>
      <c r="AU640" s="184"/>
      <c r="AV640" s="184"/>
      <c r="AW640" s="184"/>
      <c r="AX640" s="184"/>
      <c r="AY640" s="184"/>
      <c r="AZ640" s="184"/>
      <c r="BA640" s="184"/>
      <c r="BB640" s="184"/>
      <c r="BC640" s="184"/>
      <c r="BD640" s="184"/>
      <c r="BE640" s="184"/>
      <c r="BF640" s="184"/>
      <c r="BG640" s="184"/>
      <c r="BH640" s="184"/>
      <c r="BI640" s="184"/>
      <c r="BJ640" s="184"/>
    </row>
    <row r="641" spans="2:62" ht="15.75" customHeight="1">
      <c r="B641" s="181"/>
      <c r="C641" s="411"/>
      <c r="D641" s="411"/>
      <c r="E641" s="411"/>
      <c r="F641" s="411"/>
      <c r="G641" s="411"/>
      <c r="H641" s="411"/>
      <c r="I641" s="411"/>
      <c r="J641" s="411"/>
      <c r="K641" s="411"/>
      <c r="L641" s="411"/>
      <c r="M641" s="411"/>
      <c r="N641" s="411"/>
      <c r="O641" s="411"/>
      <c r="P641" s="411"/>
      <c r="Q641" s="411"/>
      <c r="R641" s="411"/>
      <c r="S641" s="411"/>
      <c r="T641" s="411"/>
      <c r="U641" s="411"/>
      <c r="V641" s="411"/>
      <c r="W641" s="411"/>
      <c r="X641" s="411"/>
      <c r="Y641" s="184"/>
      <c r="Z641" s="184"/>
      <c r="AA641" s="184"/>
      <c r="AB641" s="184"/>
      <c r="AC641" s="184"/>
      <c r="AD641" s="184"/>
      <c r="AE641" s="184"/>
      <c r="AF641" s="184"/>
      <c r="AG641" s="184"/>
      <c r="AH641" s="184"/>
      <c r="AI641" s="184"/>
      <c r="AJ641" s="184"/>
      <c r="AK641" s="184"/>
      <c r="AL641" s="184"/>
      <c r="AM641" s="184"/>
      <c r="AN641" s="184"/>
      <c r="AO641" s="184"/>
      <c r="AP641" s="184"/>
      <c r="AQ641" s="184"/>
      <c r="AR641" s="184"/>
      <c r="AS641" s="184"/>
      <c r="AT641" s="184"/>
      <c r="AU641" s="184"/>
      <c r="AV641" s="184"/>
      <c r="AW641" s="184"/>
      <c r="AX641" s="184"/>
      <c r="AY641" s="184"/>
      <c r="AZ641" s="184"/>
      <c r="BA641" s="184"/>
      <c r="BB641" s="184"/>
      <c r="BC641" s="184"/>
      <c r="BD641" s="184"/>
      <c r="BE641" s="184"/>
      <c r="BF641" s="184"/>
      <c r="BG641" s="184"/>
      <c r="BH641" s="184"/>
      <c r="BI641" s="184"/>
      <c r="BJ641" s="184"/>
    </row>
    <row r="642" spans="2:62" ht="15.75" customHeight="1">
      <c r="B642" s="181"/>
      <c r="C642" s="411"/>
      <c r="D642" s="411"/>
      <c r="E642" s="411"/>
      <c r="F642" s="411"/>
      <c r="G642" s="411"/>
      <c r="H642" s="411"/>
      <c r="I642" s="411"/>
      <c r="J642" s="411"/>
      <c r="K642" s="411"/>
      <c r="L642" s="411"/>
      <c r="M642" s="411"/>
      <c r="N642" s="411"/>
      <c r="O642" s="411"/>
      <c r="P642" s="411"/>
      <c r="Q642" s="411"/>
      <c r="R642" s="411"/>
      <c r="S642" s="411"/>
      <c r="T642" s="411"/>
      <c r="U642" s="411"/>
      <c r="V642" s="411"/>
      <c r="W642" s="411"/>
      <c r="X642" s="411"/>
      <c r="Y642" s="184"/>
      <c r="Z642" s="184"/>
      <c r="AA642" s="184"/>
      <c r="AB642" s="184"/>
      <c r="AC642" s="184"/>
      <c r="AD642" s="184"/>
      <c r="AE642" s="184"/>
      <c r="AF642" s="184"/>
      <c r="AG642" s="184"/>
      <c r="AH642" s="184"/>
      <c r="AI642" s="184"/>
      <c r="AJ642" s="184"/>
      <c r="AK642" s="184"/>
      <c r="AL642" s="184"/>
      <c r="AM642" s="184"/>
      <c r="AN642" s="184"/>
      <c r="AO642" s="184"/>
      <c r="AP642" s="184"/>
      <c r="AQ642" s="184"/>
      <c r="AR642" s="184"/>
      <c r="AS642" s="184"/>
      <c r="AT642" s="184"/>
      <c r="AU642" s="184"/>
      <c r="AV642" s="184"/>
      <c r="AW642" s="184"/>
      <c r="AX642" s="184"/>
      <c r="AY642" s="184"/>
      <c r="AZ642" s="184"/>
      <c r="BA642" s="184"/>
      <c r="BB642" s="184"/>
      <c r="BC642" s="184"/>
      <c r="BD642" s="184"/>
      <c r="BE642" s="184"/>
      <c r="BF642" s="184"/>
      <c r="BG642" s="184"/>
      <c r="BH642" s="184"/>
      <c r="BI642" s="184"/>
      <c r="BJ642" s="184"/>
    </row>
    <row r="643" spans="2:62" ht="15.75" customHeight="1">
      <c r="B643" s="181"/>
      <c r="C643" s="411"/>
      <c r="D643" s="411"/>
      <c r="E643" s="411"/>
      <c r="F643" s="411"/>
      <c r="G643" s="411"/>
      <c r="H643" s="411"/>
      <c r="I643" s="411"/>
      <c r="J643" s="411"/>
      <c r="K643" s="411"/>
      <c r="L643" s="411"/>
      <c r="M643" s="411"/>
      <c r="N643" s="411"/>
      <c r="O643" s="411"/>
      <c r="P643" s="411"/>
      <c r="Q643" s="411"/>
      <c r="R643" s="411"/>
      <c r="S643" s="411"/>
      <c r="T643" s="411"/>
      <c r="U643" s="411"/>
      <c r="V643" s="411"/>
      <c r="W643" s="411"/>
      <c r="X643" s="411"/>
      <c r="Y643" s="184"/>
      <c r="Z643" s="184"/>
      <c r="AA643" s="184"/>
      <c r="AB643" s="184"/>
      <c r="AC643" s="184"/>
      <c r="AD643" s="184"/>
      <c r="AE643" s="184"/>
      <c r="AF643" s="184"/>
      <c r="AG643" s="184"/>
      <c r="AH643" s="184"/>
      <c r="AI643" s="184"/>
      <c r="AJ643" s="184"/>
      <c r="AK643" s="184"/>
      <c r="AL643" s="184"/>
      <c r="AM643" s="184"/>
      <c r="AN643" s="184"/>
      <c r="AO643" s="184"/>
      <c r="AP643" s="184"/>
      <c r="AQ643" s="184"/>
      <c r="AR643" s="184"/>
      <c r="AS643" s="184"/>
      <c r="AT643" s="184"/>
      <c r="AU643" s="184"/>
      <c r="AV643" s="184"/>
      <c r="AW643" s="184"/>
      <c r="AX643" s="184"/>
      <c r="AY643" s="184"/>
      <c r="AZ643" s="184"/>
      <c r="BA643" s="184"/>
      <c r="BB643" s="184"/>
      <c r="BC643" s="184"/>
      <c r="BD643" s="184"/>
      <c r="BE643" s="184"/>
      <c r="BF643" s="184"/>
      <c r="BG643" s="184"/>
      <c r="BH643" s="184"/>
      <c r="BI643" s="184"/>
      <c r="BJ643" s="184"/>
    </row>
    <row r="644" spans="2:62" ht="15.75" customHeight="1">
      <c r="B644" s="181"/>
      <c r="C644" s="411"/>
      <c r="D644" s="411"/>
      <c r="E644" s="411"/>
      <c r="F644" s="411"/>
      <c r="G644" s="411"/>
      <c r="H644" s="411"/>
      <c r="I644" s="411"/>
      <c r="J644" s="411"/>
      <c r="K644" s="411"/>
      <c r="L644" s="411"/>
      <c r="M644" s="411"/>
      <c r="N644" s="411"/>
      <c r="O644" s="411"/>
      <c r="P644" s="411"/>
      <c r="Q644" s="411"/>
      <c r="R644" s="411"/>
      <c r="S644" s="411"/>
      <c r="T644" s="411"/>
      <c r="U644" s="411"/>
      <c r="V644" s="411"/>
      <c r="W644" s="411"/>
      <c r="X644" s="411"/>
      <c r="Y644" s="184"/>
      <c r="Z644" s="184"/>
      <c r="AA644" s="184"/>
      <c r="AB644" s="184"/>
      <c r="AC644" s="184"/>
      <c r="AD644" s="184"/>
      <c r="AE644" s="184"/>
      <c r="AF644" s="184"/>
      <c r="AG644" s="184"/>
      <c r="AH644" s="184"/>
      <c r="AI644" s="184"/>
      <c r="AJ644" s="184"/>
      <c r="AK644" s="184"/>
      <c r="AL644" s="184"/>
      <c r="AM644" s="184"/>
      <c r="AN644" s="184"/>
      <c r="AO644" s="184"/>
      <c r="AP644" s="184"/>
      <c r="AQ644" s="184"/>
      <c r="AR644" s="184"/>
      <c r="AS644" s="184"/>
      <c r="AT644" s="184"/>
      <c r="AU644" s="184"/>
      <c r="AV644" s="184"/>
      <c r="AW644" s="184"/>
      <c r="AX644" s="184"/>
      <c r="AY644" s="184"/>
      <c r="AZ644" s="184"/>
      <c r="BA644" s="184"/>
      <c r="BB644" s="184"/>
      <c r="BC644" s="184"/>
      <c r="BD644" s="184"/>
      <c r="BE644" s="184"/>
      <c r="BF644" s="184"/>
      <c r="BG644" s="184"/>
      <c r="BH644" s="184"/>
      <c r="BI644" s="184"/>
      <c r="BJ644" s="184"/>
    </row>
    <row r="645" spans="2:62" ht="15.75" customHeight="1">
      <c r="B645" s="181"/>
      <c r="C645" s="433"/>
      <c r="D645" s="411"/>
      <c r="E645" s="411"/>
      <c r="F645" s="411"/>
      <c r="G645" s="411"/>
      <c r="H645" s="411"/>
      <c r="I645" s="411"/>
      <c r="J645" s="411"/>
      <c r="K645" s="411"/>
      <c r="L645" s="411"/>
      <c r="M645" s="411"/>
      <c r="N645" s="411"/>
      <c r="O645" s="128"/>
      <c r="P645" s="411"/>
      <c r="Q645" s="411"/>
      <c r="R645" s="411"/>
      <c r="S645" s="411"/>
      <c r="T645" s="411"/>
      <c r="U645" s="411"/>
      <c r="V645" s="411"/>
      <c r="W645" s="411"/>
      <c r="X645" s="411"/>
      <c r="Y645" s="184"/>
      <c r="Z645" s="184"/>
      <c r="AA645" s="184"/>
      <c r="AB645" s="184"/>
      <c r="AC645" s="184"/>
      <c r="AD645" s="184"/>
      <c r="AE645" s="184"/>
      <c r="AF645" s="184"/>
      <c r="AG645" s="184"/>
      <c r="AH645" s="184"/>
      <c r="AI645" s="184"/>
      <c r="AJ645" s="184"/>
      <c r="AK645" s="184"/>
      <c r="AL645" s="184"/>
      <c r="AM645" s="184"/>
      <c r="AN645" s="184"/>
      <c r="AO645" s="184"/>
      <c r="AP645" s="184"/>
      <c r="AQ645" s="184"/>
      <c r="AR645" s="184"/>
      <c r="AS645" s="184"/>
      <c r="AT645" s="184"/>
      <c r="AU645" s="184"/>
      <c r="AV645" s="184"/>
      <c r="AW645" s="184"/>
      <c r="AX645" s="184"/>
      <c r="AY645" s="184"/>
      <c r="AZ645" s="184"/>
      <c r="BA645" s="184"/>
      <c r="BB645" s="184"/>
      <c r="BC645" s="184"/>
      <c r="BD645" s="184"/>
      <c r="BE645" s="184"/>
      <c r="BF645" s="184"/>
      <c r="BG645" s="184"/>
      <c r="BH645" s="184"/>
      <c r="BI645" s="184"/>
      <c r="BJ645" s="184"/>
    </row>
    <row r="646" spans="2:62" ht="15.75" customHeight="1">
      <c r="B646" s="181"/>
      <c r="C646" s="127"/>
      <c r="D646" s="427"/>
      <c r="E646" s="427"/>
      <c r="F646" s="427"/>
      <c r="G646" s="427"/>
      <c r="H646" s="427"/>
      <c r="I646" s="427"/>
      <c r="J646" s="427"/>
      <c r="K646" s="427"/>
      <c r="L646" s="427"/>
      <c r="M646" s="427"/>
      <c r="N646" s="427"/>
      <c r="O646" s="427"/>
      <c r="P646" s="427"/>
      <c r="Q646" s="434"/>
      <c r="R646" s="427"/>
      <c r="S646" s="427"/>
      <c r="T646" s="411"/>
      <c r="U646" s="411"/>
      <c r="V646" s="411"/>
      <c r="W646" s="411"/>
      <c r="X646" s="411"/>
      <c r="Y646" s="184"/>
      <c r="Z646" s="184"/>
      <c r="AA646" s="184"/>
      <c r="AB646" s="184"/>
      <c r="AC646" s="184"/>
      <c r="AD646" s="184"/>
      <c r="AE646" s="184"/>
      <c r="AF646" s="184"/>
      <c r="AG646" s="184"/>
      <c r="AH646" s="184"/>
      <c r="AI646" s="184"/>
      <c r="AJ646" s="184"/>
      <c r="AK646" s="184"/>
      <c r="AL646" s="184"/>
      <c r="AM646" s="184"/>
      <c r="AN646" s="184"/>
      <c r="AO646" s="184"/>
      <c r="AP646" s="184"/>
      <c r="AQ646" s="184"/>
      <c r="AR646" s="184"/>
      <c r="AS646" s="184"/>
      <c r="AT646" s="184"/>
      <c r="AU646" s="184"/>
      <c r="AV646" s="184"/>
      <c r="AW646" s="184"/>
      <c r="AX646" s="184"/>
      <c r="AY646" s="184"/>
      <c r="AZ646" s="184"/>
      <c r="BA646" s="184"/>
      <c r="BB646" s="184"/>
      <c r="BC646" s="184"/>
      <c r="BD646" s="184"/>
      <c r="BE646" s="184"/>
      <c r="BF646" s="184"/>
      <c r="BG646" s="184"/>
      <c r="BH646" s="184"/>
      <c r="BI646" s="184"/>
      <c r="BJ646" s="184"/>
    </row>
    <row r="647" spans="2:62" ht="15.75" customHeight="1">
      <c r="B647" s="181"/>
      <c r="C647" s="411"/>
      <c r="D647" s="424"/>
      <c r="E647" s="424"/>
      <c r="F647" s="128"/>
      <c r="G647" s="424"/>
      <c r="H647" s="424"/>
      <c r="I647" s="128"/>
      <c r="J647" s="428"/>
      <c r="K647" s="428"/>
      <c r="L647" s="435"/>
      <c r="M647" s="428"/>
      <c r="N647" s="428"/>
      <c r="O647" s="428"/>
      <c r="P647" s="428"/>
      <c r="Q647" s="425"/>
      <c r="R647" s="424"/>
      <c r="S647" s="128"/>
      <c r="T647" s="411"/>
      <c r="U647" s="411"/>
      <c r="V647" s="411"/>
      <c r="W647" s="411"/>
      <c r="X647" s="411"/>
      <c r="Y647" s="184"/>
      <c r="Z647" s="184"/>
      <c r="AA647" s="184"/>
      <c r="AB647" s="184"/>
      <c r="AC647" s="184"/>
      <c r="AD647" s="184"/>
      <c r="AE647" s="184"/>
      <c r="AF647" s="184"/>
      <c r="AG647" s="184"/>
      <c r="AH647" s="184"/>
      <c r="AI647" s="184"/>
      <c r="AJ647" s="184"/>
      <c r="AK647" s="184"/>
      <c r="AL647" s="184"/>
      <c r="AM647" s="184"/>
      <c r="AN647" s="184"/>
      <c r="AO647" s="184"/>
      <c r="AP647" s="184"/>
      <c r="AQ647" s="184"/>
      <c r="AR647" s="184"/>
      <c r="AS647" s="184"/>
      <c r="AT647" s="184"/>
      <c r="AU647" s="184"/>
      <c r="AV647" s="184"/>
      <c r="AW647" s="184"/>
      <c r="AX647" s="184"/>
      <c r="AY647" s="184"/>
      <c r="AZ647" s="184"/>
      <c r="BA647" s="184"/>
      <c r="BB647" s="184"/>
      <c r="BC647" s="184"/>
      <c r="BD647" s="184"/>
      <c r="BE647" s="184"/>
      <c r="BF647" s="184"/>
      <c r="BG647" s="184"/>
      <c r="BH647" s="184"/>
      <c r="BI647" s="184"/>
      <c r="BJ647" s="184"/>
    </row>
    <row r="648" spans="2:62" ht="15.75" customHeight="1">
      <c r="B648" s="181"/>
      <c r="C648" s="436"/>
      <c r="D648" s="411"/>
      <c r="E648" s="411"/>
      <c r="F648" s="427"/>
      <c r="G648" s="411"/>
      <c r="H648" s="411"/>
      <c r="I648" s="427"/>
      <c r="J648" s="427"/>
      <c r="K648" s="427"/>
      <c r="L648" s="411"/>
      <c r="M648" s="427"/>
      <c r="N648" s="427"/>
      <c r="O648" s="411"/>
      <c r="P648" s="427"/>
      <c r="Q648" s="427"/>
      <c r="R648" s="411"/>
      <c r="S648" s="427"/>
      <c r="T648" s="411"/>
      <c r="U648" s="411"/>
      <c r="V648" s="411"/>
      <c r="W648" s="411"/>
      <c r="X648" s="411"/>
      <c r="Y648" s="184"/>
      <c r="Z648" s="184"/>
      <c r="AA648" s="184"/>
      <c r="AB648" s="184"/>
      <c r="AC648" s="184"/>
      <c r="AD648" s="184"/>
      <c r="AE648" s="184"/>
      <c r="AF648" s="184"/>
      <c r="AG648" s="184"/>
      <c r="AH648" s="184"/>
      <c r="AI648" s="184"/>
      <c r="AJ648" s="184"/>
      <c r="AK648" s="184"/>
      <c r="AL648" s="184"/>
      <c r="AM648" s="184"/>
      <c r="AN648" s="184"/>
      <c r="AO648" s="184"/>
      <c r="AP648" s="184"/>
      <c r="AQ648" s="184"/>
      <c r="AR648" s="184"/>
      <c r="AS648" s="184"/>
      <c r="AT648" s="184"/>
      <c r="AU648" s="184"/>
      <c r="AV648" s="184"/>
      <c r="AW648" s="184"/>
      <c r="AX648" s="184"/>
      <c r="AY648" s="184"/>
      <c r="AZ648" s="184"/>
      <c r="BA648" s="184"/>
      <c r="BB648" s="184"/>
      <c r="BC648" s="184"/>
      <c r="BD648" s="184"/>
      <c r="BE648" s="184"/>
      <c r="BF648" s="184"/>
      <c r="BG648" s="184"/>
      <c r="BH648" s="184"/>
      <c r="BI648" s="184"/>
      <c r="BJ648" s="184"/>
    </row>
    <row r="649" spans="2:62" ht="15.75" customHeight="1">
      <c r="B649" s="181"/>
      <c r="C649" s="411"/>
      <c r="D649" s="411"/>
      <c r="E649" s="411"/>
      <c r="F649" s="421"/>
      <c r="G649" s="411"/>
      <c r="H649" s="411"/>
      <c r="I649" s="421"/>
      <c r="J649" s="421"/>
      <c r="K649" s="421"/>
      <c r="L649" s="421"/>
      <c r="M649" s="421"/>
      <c r="N649" s="421"/>
      <c r="O649" s="421"/>
      <c r="P649" s="421"/>
      <c r="Q649" s="421"/>
      <c r="R649" s="421"/>
      <c r="S649" s="421"/>
      <c r="T649" s="411"/>
      <c r="U649" s="411"/>
      <c r="V649" s="411"/>
      <c r="W649" s="411"/>
      <c r="X649" s="411"/>
      <c r="Y649" s="184"/>
      <c r="Z649" s="184"/>
      <c r="AA649" s="184"/>
      <c r="AB649" s="184"/>
      <c r="AC649" s="184"/>
      <c r="AD649" s="184"/>
      <c r="AE649" s="184"/>
      <c r="AF649" s="184"/>
      <c r="AG649" s="184"/>
      <c r="AH649" s="184"/>
      <c r="AI649" s="184"/>
      <c r="AJ649" s="184"/>
      <c r="AK649" s="184"/>
      <c r="AL649" s="184"/>
      <c r="AM649" s="184"/>
      <c r="AN649" s="184"/>
      <c r="AO649" s="184"/>
      <c r="AP649" s="184"/>
      <c r="AQ649" s="184"/>
      <c r="AR649" s="184"/>
      <c r="AS649" s="184"/>
      <c r="AT649" s="184"/>
      <c r="AU649" s="184"/>
      <c r="AV649" s="184"/>
      <c r="AW649" s="184"/>
      <c r="AX649" s="184"/>
      <c r="AY649" s="184"/>
      <c r="AZ649" s="184"/>
      <c r="BA649" s="184"/>
      <c r="BB649" s="184"/>
      <c r="BC649" s="184"/>
      <c r="BD649" s="184"/>
      <c r="BE649" s="184"/>
      <c r="BF649" s="184"/>
      <c r="BG649" s="184"/>
      <c r="BH649" s="184"/>
      <c r="BI649" s="184"/>
      <c r="BJ649" s="184"/>
    </row>
    <row r="650" spans="2:62" ht="15.75" customHeight="1">
      <c r="B650" s="181"/>
      <c r="C650" s="420"/>
      <c r="D650" s="420"/>
      <c r="E650" s="420"/>
      <c r="F650" s="423"/>
      <c r="G650" s="420"/>
      <c r="H650" s="420"/>
      <c r="I650" s="423"/>
      <c r="J650" s="423"/>
      <c r="K650" s="423"/>
      <c r="L650" s="423"/>
      <c r="M650" s="423"/>
      <c r="N650" s="423"/>
      <c r="O650" s="423"/>
      <c r="P650" s="423"/>
      <c r="Q650" s="423"/>
      <c r="R650" s="423"/>
      <c r="S650" s="423"/>
      <c r="T650" s="411"/>
      <c r="U650" s="411"/>
      <c r="V650" s="411"/>
      <c r="W650" s="411"/>
      <c r="X650" s="411"/>
      <c r="Y650" s="184"/>
      <c r="Z650" s="184"/>
      <c r="AA650" s="184"/>
      <c r="AB650" s="184"/>
      <c r="AC650" s="184"/>
      <c r="AD650" s="184"/>
      <c r="AE650" s="184"/>
      <c r="AF650" s="184"/>
      <c r="AG650" s="184"/>
      <c r="AH650" s="184"/>
      <c r="AI650" s="184"/>
      <c r="AJ650" s="184"/>
      <c r="AK650" s="184"/>
      <c r="AL650" s="184"/>
      <c r="AM650" s="184"/>
      <c r="AN650" s="184"/>
      <c r="AO650" s="184"/>
      <c r="AP650" s="184"/>
      <c r="AQ650" s="184"/>
      <c r="AR650" s="184"/>
      <c r="AS650" s="184"/>
      <c r="AT650" s="184"/>
      <c r="AU650" s="184"/>
      <c r="AV650" s="184"/>
      <c r="AW650" s="184"/>
      <c r="AX650" s="184"/>
      <c r="AY650" s="184"/>
      <c r="AZ650" s="184"/>
      <c r="BA650" s="184"/>
      <c r="BB650" s="184"/>
      <c r="BC650" s="184"/>
      <c r="BD650" s="184"/>
      <c r="BE650" s="184"/>
      <c r="BF650" s="184"/>
      <c r="BG650" s="184"/>
      <c r="BH650" s="184"/>
      <c r="BI650" s="184"/>
      <c r="BJ650" s="184"/>
    </row>
    <row r="651" spans="2:62" ht="15.75" customHeight="1">
      <c r="B651" s="181"/>
      <c r="C651" s="411"/>
      <c r="D651" s="411"/>
      <c r="E651" s="411"/>
      <c r="F651" s="411"/>
      <c r="G651" s="411"/>
      <c r="H651" s="411"/>
      <c r="I651" s="411"/>
      <c r="J651" s="421"/>
      <c r="K651" s="421"/>
      <c r="L651" s="421"/>
      <c r="M651" s="421"/>
      <c r="N651" s="421"/>
      <c r="O651" s="421"/>
      <c r="P651" s="421"/>
      <c r="Q651" s="421"/>
      <c r="R651" s="421"/>
      <c r="S651" s="421"/>
      <c r="T651" s="411"/>
      <c r="U651" s="411"/>
      <c r="V651" s="411"/>
      <c r="W651" s="411"/>
      <c r="X651" s="411"/>
      <c r="Y651" s="184"/>
      <c r="Z651" s="184"/>
      <c r="AA651" s="184"/>
      <c r="AB651" s="184"/>
      <c r="AC651" s="184"/>
      <c r="AD651" s="184"/>
      <c r="AE651" s="184"/>
      <c r="AF651" s="184"/>
      <c r="AG651" s="184"/>
      <c r="AH651" s="184"/>
      <c r="AI651" s="184"/>
      <c r="AJ651" s="184"/>
      <c r="AK651" s="184"/>
      <c r="AL651" s="184"/>
      <c r="AM651" s="184"/>
      <c r="AN651" s="184"/>
      <c r="AO651" s="184"/>
      <c r="AP651" s="184"/>
      <c r="AQ651" s="184"/>
      <c r="AR651" s="184"/>
      <c r="AS651" s="184"/>
      <c r="AT651" s="184"/>
      <c r="AU651" s="184"/>
      <c r="AV651" s="184"/>
      <c r="AW651" s="184"/>
      <c r="AX651" s="184"/>
      <c r="AY651" s="184"/>
      <c r="AZ651" s="184"/>
      <c r="BA651" s="184"/>
      <c r="BB651" s="184"/>
      <c r="BC651" s="184"/>
      <c r="BD651" s="184"/>
      <c r="BE651" s="184"/>
      <c r="BF651" s="184"/>
      <c r="BG651" s="184"/>
      <c r="BH651" s="184"/>
      <c r="BI651" s="184"/>
      <c r="BJ651" s="184"/>
    </row>
    <row r="652" spans="2:62" ht="15.75" customHeight="1">
      <c r="B652" s="181"/>
      <c r="C652" s="411"/>
      <c r="D652" s="411"/>
      <c r="E652" s="411"/>
      <c r="F652" s="411"/>
      <c r="G652" s="411"/>
      <c r="H652" s="411"/>
      <c r="I652" s="411"/>
      <c r="J652" s="411"/>
      <c r="K652" s="421"/>
      <c r="L652" s="421"/>
      <c r="M652" s="411"/>
      <c r="N652" s="421"/>
      <c r="O652" s="421"/>
      <c r="P652" s="411"/>
      <c r="Q652" s="421"/>
      <c r="R652" s="421"/>
      <c r="S652" s="411"/>
      <c r="T652" s="411"/>
      <c r="U652" s="411"/>
      <c r="V652" s="411"/>
      <c r="W652" s="411"/>
      <c r="X652" s="411"/>
      <c r="Y652" s="184"/>
      <c r="Z652" s="184"/>
      <c r="AA652" s="184"/>
      <c r="AB652" s="184"/>
      <c r="AC652" s="184"/>
      <c r="AD652" s="184"/>
      <c r="AE652" s="184"/>
      <c r="AF652" s="184"/>
      <c r="AG652" s="184"/>
      <c r="AH652" s="184"/>
      <c r="AI652" s="184"/>
      <c r="AJ652" s="184"/>
      <c r="AK652" s="184"/>
      <c r="AL652" s="184"/>
      <c r="AM652" s="184"/>
      <c r="AN652" s="184"/>
      <c r="AO652" s="184"/>
      <c r="AP652" s="184"/>
      <c r="AQ652" s="184"/>
      <c r="AR652" s="184"/>
      <c r="AS652" s="184"/>
      <c r="AT652" s="184"/>
      <c r="AU652" s="184"/>
      <c r="AV652" s="184"/>
      <c r="AW652" s="184"/>
      <c r="AX652" s="184"/>
      <c r="AY652" s="184"/>
      <c r="AZ652" s="184"/>
      <c r="BA652" s="184"/>
      <c r="BB652" s="184"/>
      <c r="BC652" s="184"/>
      <c r="BD652" s="184"/>
      <c r="BE652" s="184"/>
      <c r="BF652" s="184"/>
      <c r="BG652" s="184"/>
      <c r="BH652" s="184"/>
      <c r="BI652" s="184"/>
      <c r="BJ652" s="184"/>
    </row>
    <row r="653" spans="2:62" ht="15.75" customHeight="1">
      <c r="B653" s="181"/>
      <c r="C653" s="411"/>
      <c r="D653" s="411"/>
      <c r="E653" s="411"/>
      <c r="F653" s="411"/>
      <c r="G653" s="411"/>
      <c r="H653" s="411"/>
      <c r="I653" s="411"/>
      <c r="J653" s="411"/>
      <c r="K653" s="421"/>
      <c r="L653" s="421"/>
      <c r="M653" s="411"/>
      <c r="N653" s="421"/>
      <c r="O653" s="421"/>
      <c r="P653" s="411"/>
      <c r="Q653" s="421"/>
      <c r="R653" s="421"/>
      <c r="S653" s="411"/>
      <c r="T653" s="411"/>
      <c r="U653" s="411"/>
      <c r="V653" s="411"/>
      <c r="W653" s="411"/>
      <c r="X653" s="411"/>
      <c r="Y653" s="184"/>
      <c r="Z653" s="184"/>
      <c r="AA653" s="184"/>
      <c r="AB653" s="184"/>
      <c r="AC653" s="184"/>
      <c r="AD653" s="184"/>
      <c r="AE653" s="184"/>
      <c r="AF653" s="184"/>
      <c r="AG653" s="184"/>
      <c r="AH653" s="184"/>
      <c r="AI653" s="184"/>
      <c r="AJ653" s="184"/>
      <c r="AK653" s="184"/>
      <c r="AL653" s="184"/>
      <c r="AM653" s="184"/>
      <c r="AN653" s="184"/>
      <c r="AO653" s="184"/>
      <c r="AP653" s="184"/>
      <c r="AQ653" s="184"/>
      <c r="AR653" s="184"/>
      <c r="AS653" s="184"/>
      <c r="AT653" s="184"/>
      <c r="AU653" s="184"/>
      <c r="AV653" s="184"/>
      <c r="AW653" s="184"/>
      <c r="AX653" s="184"/>
      <c r="AY653" s="184"/>
      <c r="AZ653" s="184"/>
      <c r="BA653" s="184"/>
      <c r="BB653" s="184"/>
      <c r="BC653" s="184"/>
      <c r="BD653" s="184"/>
      <c r="BE653" s="184"/>
      <c r="BF653" s="184"/>
      <c r="BG653" s="184"/>
      <c r="BH653" s="184"/>
      <c r="BI653" s="184"/>
      <c r="BJ653" s="184"/>
    </row>
    <row r="654" spans="2:62" ht="15.75" customHeight="1">
      <c r="B654" s="181"/>
      <c r="C654" s="411"/>
      <c r="D654" s="411"/>
      <c r="E654" s="411"/>
      <c r="F654" s="411"/>
      <c r="G654" s="411"/>
      <c r="H654" s="411"/>
      <c r="I654" s="411"/>
      <c r="J654" s="411"/>
      <c r="K654" s="421"/>
      <c r="L654" s="421"/>
      <c r="M654" s="411"/>
      <c r="N654" s="421"/>
      <c r="O654" s="421"/>
      <c r="P654" s="411"/>
      <c r="Q654" s="421"/>
      <c r="R654" s="421"/>
      <c r="S654" s="411"/>
      <c r="T654" s="411"/>
      <c r="U654" s="411"/>
      <c r="V654" s="411"/>
      <c r="W654" s="411"/>
      <c r="X654" s="411"/>
      <c r="Y654" s="184"/>
      <c r="Z654" s="184"/>
      <c r="AA654" s="184"/>
      <c r="AB654" s="184"/>
      <c r="AC654" s="184"/>
      <c r="AD654" s="184"/>
      <c r="AE654" s="184"/>
      <c r="AF654" s="184"/>
      <c r="AG654" s="184"/>
      <c r="AH654" s="184"/>
      <c r="AI654" s="184"/>
      <c r="AJ654" s="184"/>
      <c r="AK654" s="184"/>
      <c r="AL654" s="184"/>
      <c r="AM654" s="184"/>
      <c r="AN654" s="184"/>
      <c r="AO654" s="184"/>
      <c r="AP654" s="184"/>
      <c r="AQ654" s="184"/>
      <c r="AR654" s="184"/>
      <c r="AS654" s="184"/>
      <c r="AT654" s="184"/>
      <c r="AU654" s="184"/>
      <c r="AV654" s="184"/>
      <c r="AW654" s="184"/>
      <c r="AX654" s="184"/>
      <c r="AY654" s="184"/>
      <c r="AZ654" s="184"/>
      <c r="BA654" s="184"/>
      <c r="BB654" s="184"/>
      <c r="BC654" s="184"/>
      <c r="BD654" s="184"/>
      <c r="BE654" s="184"/>
      <c r="BF654" s="184"/>
      <c r="BG654" s="184"/>
      <c r="BH654" s="184"/>
      <c r="BI654" s="184"/>
      <c r="BJ654" s="184"/>
    </row>
    <row r="655" spans="2:62" ht="15.75" customHeight="1">
      <c r="B655" s="181"/>
      <c r="C655" s="411"/>
      <c r="D655" s="411"/>
      <c r="E655" s="411"/>
      <c r="F655" s="411"/>
      <c r="G655" s="411"/>
      <c r="H655" s="411"/>
      <c r="I655" s="411"/>
      <c r="J655" s="411"/>
      <c r="K655" s="421"/>
      <c r="L655" s="421"/>
      <c r="M655" s="411"/>
      <c r="N655" s="421"/>
      <c r="O655" s="421"/>
      <c r="P655" s="411"/>
      <c r="Q655" s="421"/>
      <c r="R655" s="421"/>
      <c r="S655" s="411"/>
      <c r="T655" s="411"/>
      <c r="U655" s="411"/>
      <c r="V655" s="411"/>
      <c r="W655" s="411"/>
      <c r="X655" s="411"/>
      <c r="Y655" s="184"/>
      <c r="Z655" s="184"/>
      <c r="AA655" s="184"/>
      <c r="AB655" s="184"/>
      <c r="AC655" s="184"/>
      <c r="AD655" s="184"/>
      <c r="AE655" s="184"/>
      <c r="AF655" s="184"/>
      <c r="AG655" s="184"/>
      <c r="AH655" s="184"/>
      <c r="AI655" s="184"/>
      <c r="AJ655" s="184"/>
      <c r="AK655" s="184"/>
      <c r="AL655" s="184"/>
      <c r="AM655" s="184"/>
      <c r="AN655" s="184"/>
      <c r="AO655" s="184"/>
      <c r="AP655" s="184"/>
      <c r="AQ655" s="184"/>
      <c r="AR655" s="184"/>
      <c r="AS655" s="184"/>
      <c r="AT655" s="184"/>
      <c r="AU655" s="184"/>
      <c r="AV655" s="184"/>
      <c r="AW655" s="184"/>
      <c r="AX655" s="184"/>
      <c r="AY655" s="184"/>
      <c r="AZ655" s="184"/>
      <c r="BA655" s="184"/>
      <c r="BB655" s="184"/>
      <c r="BC655" s="184"/>
      <c r="BD655" s="184"/>
      <c r="BE655" s="184"/>
      <c r="BF655" s="184"/>
      <c r="BG655" s="184"/>
      <c r="BH655" s="184"/>
      <c r="BI655" s="184"/>
      <c r="BJ655" s="184"/>
    </row>
    <row r="656" spans="2:62" ht="15.75" customHeight="1">
      <c r="B656" s="181"/>
      <c r="C656" s="411"/>
      <c r="D656" s="411"/>
      <c r="E656" s="411"/>
      <c r="F656" s="411"/>
      <c r="G656" s="411"/>
      <c r="H656" s="411"/>
      <c r="I656" s="411"/>
      <c r="J656" s="411"/>
      <c r="K656" s="421"/>
      <c r="L656" s="421"/>
      <c r="M656" s="411"/>
      <c r="N656" s="421"/>
      <c r="O656" s="421"/>
      <c r="P656" s="411"/>
      <c r="Q656" s="421"/>
      <c r="R656" s="421"/>
      <c r="S656" s="411"/>
      <c r="T656" s="411"/>
      <c r="U656" s="411"/>
      <c r="V656" s="411"/>
      <c r="W656" s="411"/>
      <c r="X656" s="411"/>
      <c r="Y656" s="184"/>
      <c r="Z656" s="184"/>
      <c r="AA656" s="184"/>
      <c r="AB656" s="184"/>
      <c r="AC656" s="184"/>
      <c r="AD656" s="184"/>
      <c r="AE656" s="184"/>
      <c r="AF656" s="184"/>
      <c r="AG656" s="184"/>
      <c r="AH656" s="184"/>
      <c r="AI656" s="184"/>
      <c r="AJ656" s="184"/>
      <c r="AK656" s="184"/>
      <c r="AL656" s="184"/>
      <c r="AM656" s="184"/>
      <c r="AN656" s="184"/>
      <c r="AO656" s="184"/>
      <c r="AP656" s="184"/>
      <c r="AQ656" s="184"/>
      <c r="AR656" s="184"/>
      <c r="AS656" s="184"/>
      <c r="AT656" s="184"/>
      <c r="AU656" s="184"/>
      <c r="AV656" s="184"/>
      <c r="AW656" s="184"/>
      <c r="AX656" s="184"/>
      <c r="AY656" s="184"/>
      <c r="AZ656" s="184"/>
      <c r="BA656" s="184"/>
      <c r="BB656" s="184"/>
      <c r="BC656" s="184"/>
      <c r="BD656" s="184"/>
      <c r="BE656" s="184"/>
      <c r="BF656" s="184"/>
      <c r="BG656" s="184"/>
      <c r="BH656" s="184"/>
      <c r="BI656" s="184"/>
      <c r="BJ656" s="184"/>
    </row>
    <row r="657" spans="2:62" ht="15.75" customHeight="1">
      <c r="B657" s="181"/>
      <c r="C657" s="411"/>
      <c r="D657" s="411"/>
      <c r="E657" s="411"/>
      <c r="F657" s="411"/>
      <c r="G657" s="411"/>
      <c r="H657" s="411"/>
      <c r="I657" s="411"/>
      <c r="J657" s="411"/>
      <c r="K657" s="421"/>
      <c r="L657" s="423"/>
      <c r="M657" s="411"/>
      <c r="N657" s="421"/>
      <c r="O657" s="421"/>
      <c r="P657" s="411"/>
      <c r="Q657" s="421"/>
      <c r="R657" s="423"/>
      <c r="S657" s="411"/>
      <c r="T657" s="411"/>
      <c r="U657" s="411"/>
      <c r="V657" s="411"/>
      <c r="W657" s="411"/>
      <c r="X657" s="411"/>
      <c r="Y657" s="184"/>
      <c r="Z657" s="184"/>
      <c r="AA657" s="184"/>
      <c r="AB657" s="184"/>
      <c r="AC657" s="184"/>
      <c r="AD657" s="184"/>
      <c r="AE657" s="184"/>
      <c r="AF657" s="184"/>
      <c r="AG657" s="184"/>
      <c r="AH657" s="184"/>
      <c r="AI657" s="184"/>
      <c r="AJ657" s="184"/>
      <c r="AK657" s="184"/>
      <c r="AL657" s="184"/>
      <c r="AM657" s="184"/>
      <c r="AN657" s="184"/>
      <c r="AO657" s="184"/>
      <c r="AP657" s="184"/>
      <c r="AQ657" s="184"/>
      <c r="AR657" s="184"/>
      <c r="AS657" s="184"/>
      <c r="AT657" s="184"/>
      <c r="AU657" s="184"/>
      <c r="AV657" s="184"/>
      <c r="AW657" s="184"/>
      <c r="AX657" s="184"/>
      <c r="AY657" s="184"/>
      <c r="AZ657" s="184"/>
      <c r="BA657" s="184"/>
      <c r="BB657" s="184"/>
      <c r="BC657" s="184"/>
      <c r="BD657" s="184"/>
      <c r="BE657" s="184"/>
      <c r="BF657" s="184"/>
      <c r="BG657" s="184"/>
      <c r="BH657" s="184"/>
      <c r="BI657" s="184"/>
      <c r="BJ657" s="184"/>
    </row>
    <row r="658" spans="2:62" ht="15.75" customHeight="1">
      <c r="B658" s="181"/>
      <c r="C658" s="411"/>
      <c r="D658" s="411"/>
      <c r="E658" s="411"/>
      <c r="F658" s="411"/>
      <c r="G658" s="411"/>
      <c r="H658" s="411"/>
      <c r="I658" s="411"/>
      <c r="J658" s="411"/>
      <c r="K658" s="421"/>
      <c r="L658" s="421"/>
      <c r="M658" s="411"/>
      <c r="N658" s="421"/>
      <c r="O658" s="421"/>
      <c r="P658" s="411"/>
      <c r="Q658" s="421"/>
      <c r="R658" s="421"/>
      <c r="S658" s="411"/>
      <c r="T658" s="411"/>
      <c r="U658" s="411"/>
      <c r="V658" s="411"/>
      <c r="W658" s="411"/>
      <c r="X658" s="411"/>
      <c r="Y658" s="184"/>
      <c r="Z658" s="184"/>
      <c r="AA658" s="184"/>
      <c r="AB658" s="184"/>
      <c r="AC658" s="184"/>
      <c r="AD658" s="184"/>
      <c r="AE658" s="184"/>
      <c r="AF658" s="184"/>
      <c r="AG658" s="184"/>
      <c r="AH658" s="184"/>
      <c r="AI658" s="184"/>
      <c r="AJ658" s="184"/>
      <c r="AK658" s="184"/>
      <c r="AL658" s="184"/>
      <c r="AM658" s="184"/>
      <c r="AN658" s="184"/>
      <c r="AO658" s="184"/>
      <c r="AP658" s="184"/>
      <c r="AQ658" s="184"/>
      <c r="AR658" s="184"/>
      <c r="AS658" s="184"/>
      <c r="AT658" s="184"/>
      <c r="AU658" s="184"/>
      <c r="AV658" s="184"/>
      <c r="AW658" s="184"/>
      <c r="AX658" s="184"/>
      <c r="AY658" s="184"/>
      <c r="AZ658" s="184"/>
      <c r="BA658" s="184"/>
      <c r="BB658" s="184"/>
      <c r="BC658" s="184"/>
      <c r="BD658" s="184"/>
      <c r="BE658" s="184"/>
      <c r="BF658" s="184"/>
      <c r="BG658" s="184"/>
      <c r="BH658" s="184"/>
      <c r="BI658" s="184"/>
      <c r="BJ658" s="184"/>
    </row>
    <row r="659" spans="2:62" ht="15.75" customHeight="1">
      <c r="B659" s="181"/>
      <c r="C659" s="411"/>
      <c r="D659" s="411"/>
      <c r="E659" s="411"/>
      <c r="F659" s="411"/>
      <c r="G659" s="411"/>
      <c r="H659" s="411"/>
      <c r="I659" s="411"/>
      <c r="J659" s="411"/>
      <c r="K659" s="411"/>
      <c r="L659" s="411"/>
      <c r="M659" s="411"/>
      <c r="N659" s="423"/>
      <c r="O659" s="423"/>
      <c r="P659" s="411"/>
      <c r="Q659" s="423"/>
      <c r="R659" s="411"/>
      <c r="S659" s="411"/>
      <c r="T659" s="411"/>
      <c r="U659" s="411"/>
      <c r="V659" s="411"/>
      <c r="W659" s="411"/>
      <c r="X659" s="411"/>
      <c r="Y659" s="184"/>
      <c r="Z659" s="184"/>
      <c r="AA659" s="184"/>
      <c r="AB659" s="184"/>
      <c r="AC659" s="184"/>
      <c r="AD659" s="184"/>
      <c r="AE659" s="184"/>
      <c r="AF659" s="184"/>
      <c r="AG659" s="184"/>
      <c r="AH659" s="184"/>
      <c r="AI659" s="184"/>
      <c r="AJ659" s="184"/>
      <c r="AK659" s="184"/>
      <c r="AL659" s="184"/>
      <c r="AM659" s="184"/>
      <c r="AN659" s="184"/>
      <c r="AO659" s="184"/>
      <c r="AP659" s="184"/>
      <c r="AQ659" s="184"/>
      <c r="AR659" s="184"/>
      <c r="AS659" s="184"/>
      <c r="AT659" s="184"/>
      <c r="AU659" s="184"/>
      <c r="AV659" s="184"/>
      <c r="AW659" s="184"/>
      <c r="AX659" s="184"/>
      <c r="AY659" s="184"/>
      <c r="AZ659" s="184"/>
      <c r="BA659" s="184"/>
      <c r="BB659" s="184"/>
      <c r="BC659" s="184"/>
      <c r="BD659" s="184"/>
      <c r="BE659" s="184"/>
      <c r="BF659" s="184"/>
      <c r="BG659" s="184"/>
      <c r="BH659" s="184"/>
      <c r="BI659" s="184"/>
      <c r="BJ659" s="184"/>
    </row>
    <row r="660" spans="2:62" ht="15.75" customHeight="1">
      <c r="B660" s="181"/>
      <c r="C660" s="411"/>
      <c r="D660" s="411"/>
      <c r="E660" s="411"/>
      <c r="F660" s="411"/>
      <c r="G660" s="411"/>
      <c r="H660" s="411"/>
      <c r="I660" s="411"/>
      <c r="J660" s="411"/>
      <c r="K660" s="423"/>
      <c r="L660" s="423"/>
      <c r="M660" s="411"/>
      <c r="N660" s="421"/>
      <c r="O660" s="421"/>
      <c r="P660" s="411"/>
      <c r="Q660" s="421"/>
      <c r="R660" s="423"/>
      <c r="S660" s="411"/>
      <c r="T660" s="411"/>
      <c r="U660" s="411"/>
      <c r="V660" s="411"/>
      <c r="W660" s="411"/>
      <c r="X660" s="411"/>
      <c r="Y660" s="184"/>
      <c r="Z660" s="184"/>
      <c r="AA660" s="184"/>
      <c r="AB660" s="184"/>
      <c r="AC660" s="184"/>
      <c r="AD660" s="184"/>
      <c r="AE660" s="184"/>
      <c r="AF660" s="184"/>
      <c r="AG660" s="184"/>
      <c r="AH660" s="184"/>
      <c r="AI660" s="184"/>
      <c r="AJ660" s="184"/>
      <c r="AK660" s="184"/>
      <c r="AL660" s="184"/>
      <c r="AM660" s="184"/>
      <c r="AN660" s="184"/>
      <c r="AO660" s="184"/>
      <c r="AP660" s="184"/>
      <c r="AQ660" s="184"/>
      <c r="AR660" s="184"/>
      <c r="AS660" s="184"/>
      <c r="AT660" s="184"/>
      <c r="AU660" s="184"/>
      <c r="AV660" s="184"/>
      <c r="AW660" s="184"/>
      <c r="AX660" s="184"/>
      <c r="AY660" s="184"/>
      <c r="AZ660" s="184"/>
      <c r="BA660" s="184"/>
      <c r="BB660" s="184"/>
      <c r="BC660" s="184"/>
      <c r="BD660" s="184"/>
      <c r="BE660" s="184"/>
      <c r="BF660" s="184"/>
      <c r="BG660" s="184"/>
      <c r="BH660" s="184"/>
      <c r="BI660" s="184"/>
      <c r="BJ660" s="184"/>
    </row>
    <row r="661" spans="2:62" ht="15.75" customHeight="1">
      <c r="B661" s="181"/>
      <c r="C661" s="411"/>
      <c r="D661" s="411"/>
      <c r="E661" s="411"/>
      <c r="F661" s="411"/>
      <c r="G661" s="411"/>
      <c r="H661" s="411"/>
      <c r="I661" s="411"/>
      <c r="J661" s="411"/>
      <c r="K661" s="421"/>
      <c r="L661" s="421"/>
      <c r="M661" s="411"/>
      <c r="N661" s="421"/>
      <c r="O661" s="421"/>
      <c r="P661" s="411"/>
      <c r="Q661" s="421"/>
      <c r="R661" s="421"/>
      <c r="S661" s="411"/>
      <c r="T661" s="411"/>
      <c r="U661" s="411"/>
      <c r="V661" s="411"/>
      <c r="W661" s="411"/>
      <c r="X661" s="411"/>
      <c r="Y661" s="184"/>
      <c r="Z661" s="184"/>
      <c r="AA661" s="184"/>
      <c r="AB661" s="184"/>
      <c r="AC661" s="184"/>
      <c r="AD661" s="184"/>
      <c r="AE661" s="184"/>
      <c r="AF661" s="184"/>
      <c r="AG661" s="184"/>
      <c r="AH661" s="184"/>
      <c r="AI661" s="184"/>
      <c r="AJ661" s="184"/>
      <c r="AK661" s="184"/>
      <c r="AL661" s="184"/>
      <c r="AM661" s="184"/>
      <c r="AN661" s="184"/>
      <c r="AO661" s="184"/>
      <c r="AP661" s="184"/>
      <c r="AQ661" s="184"/>
      <c r="AR661" s="184"/>
      <c r="AS661" s="184"/>
      <c r="AT661" s="184"/>
      <c r="AU661" s="184"/>
      <c r="AV661" s="184"/>
      <c r="AW661" s="184"/>
      <c r="AX661" s="184"/>
      <c r="AY661" s="184"/>
      <c r="AZ661" s="184"/>
      <c r="BA661" s="184"/>
      <c r="BB661" s="184"/>
      <c r="BC661" s="184"/>
      <c r="BD661" s="184"/>
      <c r="BE661" s="184"/>
      <c r="BF661" s="184"/>
      <c r="BG661" s="184"/>
      <c r="BH661" s="184"/>
      <c r="BI661" s="184"/>
      <c r="BJ661" s="184"/>
    </row>
    <row r="662" spans="2:62" ht="15.75" customHeight="1">
      <c r="B662" s="181"/>
      <c r="C662" s="411"/>
      <c r="D662" s="411"/>
      <c r="E662" s="411"/>
      <c r="F662" s="411"/>
      <c r="G662" s="411"/>
      <c r="H662" s="411"/>
      <c r="I662" s="411"/>
      <c r="J662" s="411"/>
      <c r="K662" s="421"/>
      <c r="L662" s="421"/>
      <c r="M662" s="411"/>
      <c r="N662" s="421"/>
      <c r="O662" s="421"/>
      <c r="P662" s="411"/>
      <c r="Q662" s="421"/>
      <c r="R662" s="421"/>
      <c r="S662" s="411"/>
      <c r="T662" s="411"/>
      <c r="U662" s="411"/>
      <c r="V662" s="411"/>
      <c r="W662" s="411"/>
      <c r="X662" s="411"/>
      <c r="Y662" s="184"/>
      <c r="Z662" s="184"/>
      <c r="AA662" s="184"/>
      <c r="AB662" s="184"/>
      <c r="AC662" s="184"/>
      <c r="AD662" s="184"/>
      <c r="AE662" s="184"/>
      <c r="AF662" s="184"/>
      <c r="AG662" s="184"/>
      <c r="AH662" s="184"/>
      <c r="AI662" s="184"/>
      <c r="AJ662" s="184"/>
      <c r="AK662" s="184"/>
      <c r="AL662" s="184"/>
      <c r="AM662" s="184"/>
      <c r="AN662" s="184"/>
      <c r="AO662" s="184"/>
      <c r="AP662" s="184"/>
      <c r="AQ662" s="184"/>
      <c r="AR662" s="184"/>
      <c r="AS662" s="184"/>
      <c r="AT662" s="184"/>
      <c r="AU662" s="184"/>
      <c r="AV662" s="184"/>
      <c r="AW662" s="184"/>
      <c r="AX662" s="184"/>
      <c r="AY662" s="184"/>
      <c r="AZ662" s="184"/>
      <c r="BA662" s="184"/>
      <c r="BB662" s="184"/>
      <c r="BC662" s="184"/>
      <c r="BD662" s="184"/>
      <c r="BE662" s="184"/>
      <c r="BF662" s="184"/>
      <c r="BG662" s="184"/>
      <c r="BH662" s="184"/>
      <c r="BI662" s="184"/>
      <c r="BJ662" s="184"/>
    </row>
    <row r="663" spans="2:62" ht="15.75" customHeight="1">
      <c r="B663" s="181"/>
      <c r="C663" s="411"/>
      <c r="D663" s="411"/>
      <c r="E663" s="411"/>
      <c r="F663" s="411"/>
      <c r="G663" s="411"/>
      <c r="H663" s="411"/>
      <c r="I663" s="411"/>
      <c r="J663" s="411"/>
      <c r="K663" s="421"/>
      <c r="L663" s="421"/>
      <c r="M663" s="411"/>
      <c r="N663" s="421"/>
      <c r="O663" s="421"/>
      <c r="P663" s="411"/>
      <c r="Q663" s="421"/>
      <c r="R663" s="421"/>
      <c r="S663" s="411"/>
      <c r="T663" s="411"/>
      <c r="U663" s="411"/>
      <c r="V663" s="411"/>
      <c r="W663" s="411"/>
      <c r="X663" s="411"/>
      <c r="Y663" s="184"/>
      <c r="Z663" s="184"/>
      <c r="AA663" s="184"/>
      <c r="AB663" s="184"/>
      <c r="AC663" s="184"/>
      <c r="AD663" s="184"/>
      <c r="AE663" s="184"/>
      <c r="AF663" s="184"/>
      <c r="AG663" s="184"/>
      <c r="AH663" s="184"/>
      <c r="AI663" s="184"/>
      <c r="AJ663" s="184"/>
      <c r="AK663" s="184"/>
      <c r="AL663" s="184"/>
      <c r="AM663" s="184"/>
      <c r="AN663" s="184"/>
      <c r="AO663" s="184"/>
      <c r="AP663" s="184"/>
      <c r="AQ663" s="184"/>
      <c r="AR663" s="184"/>
      <c r="AS663" s="184"/>
      <c r="AT663" s="184"/>
      <c r="AU663" s="184"/>
      <c r="AV663" s="184"/>
      <c r="AW663" s="184"/>
      <c r="AX663" s="184"/>
      <c r="AY663" s="184"/>
      <c r="AZ663" s="184"/>
      <c r="BA663" s="184"/>
      <c r="BB663" s="184"/>
      <c r="BC663" s="184"/>
      <c r="BD663" s="184"/>
      <c r="BE663" s="184"/>
      <c r="BF663" s="184"/>
      <c r="BG663" s="184"/>
      <c r="BH663" s="184"/>
      <c r="BI663" s="184"/>
      <c r="BJ663" s="184"/>
    </row>
    <row r="664" spans="2:62" ht="15.75" customHeight="1">
      <c r="B664" s="181"/>
      <c r="C664" s="411"/>
      <c r="D664" s="411"/>
      <c r="E664" s="411"/>
      <c r="F664" s="411"/>
      <c r="G664" s="411"/>
      <c r="H664" s="411"/>
      <c r="I664" s="411"/>
      <c r="J664" s="411"/>
      <c r="K664" s="421"/>
      <c r="L664" s="421"/>
      <c r="M664" s="411"/>
      <c r="N664" s="421"/>
      <c r="O664" s="421"/>
      <c r="P664" s="411"/>
      <c r="Q664" s="421"/>
      <c r="R664" s="421"/>
      <c r="S664" s="411"/>
      <c r="T664" s="411"/>
      <c r="U664" s="411"/>
      <c r="V664" s="411"/>
      <c r="W664" s="411"/>
      <c r="X664" s="411"/>
      <c r="Y664" s="184"/>
      <c r="Z664" s="184"/>
      <c r="AA664" s="184"/>
      <c r="AB664" s="184"/>
      <c r="AC664" s="184"/>
      <c r="AD664" s="184"/>
      <c r="AE664" s="184"/>
      <c r="AF664" s="184"/>
      <c r="AG664" s="184"/>
      <c r="AH664" s="184"/>
      <c r="AI664" s="184"/>
      <c r="AJ664" s="184"/>
      <c r="AK664" s="184"/>
      <c r="AL664" s="184"/>
      <c r="AM664" s="184"/>
      <c r="AN664" s="184"/>
      <c r="AO664" s="184"/>
      <c r="AP664" s="184"/>
      <c r="AQ664" s="184"/>
      <c r="AR664" s="184"/>
      <c r="AS664" s="184"/>
      <c r="AT664" s="184"/>
      <c r="AU664" s="184"/>
      <c r="AV664" s="184"/>
      <c r="AW664" s="184"/>
      <c r="AX664" s="184"/>
      <c r="AY664" s="184"/>
      <c r="AZ664" s="184"/>
      <c r="BA664" s="184"/>
      <c r="BB664" s="184"/>
      <c r="BC664" s="184"/>
      <c r="BD664" s="184"/>
      <c r="BE664" s="184"/>
      <c r="BF664" s="184"/>
      <c r="BG664" s="184"/>
      <c r="BH664" s="184"/>
      <c r="BI664" s="184"/>
      <c r="BJ664" s="184"/>
    </row>
    <row r="665" spans="2:62" ht="15.75" customHeight="1">
      <c r="B665" s="181"/>
      <c r="C665" s="411"/>
      <c r="D665" s="411"/>
      <c r="E665" s="411"/>
      <c r="F665" s="411"/>
      <c r="G665" s="411"/>
      <c r="H665" s="411"/>
      <c r="I665" s="411"/>
      <c r="J665" s="411"/>
      <c r="K665" s="421"/>
      <c r="L665" s="421"/>
      <c r="M665" s="411"/>
      <c r="N665" s="421"/>
      <c r="O665" s="421"/>
      <c r="P665" s="411"/>
      <c r="Q665" s="421"/>
      <c r="R665" s="421"/>
      <c r="S665" s="411"/>
      <c r="T665" s="411"/>
      <c r="U665" s="411"/>
      <c r="V665" s="411"/>
      <c r="W665" s="411"/>
      <c r="X665" s="411"/>
      <c r="Y665" s="184"/>
      <c r="Z665" s="184"/>
      <c r="AA665" s="184"/>
      <c r="AB665" s="184"/>
      <c r="AC665" s="184"/>
      <c r="AD665" s="184"/>
      <c r="AE665" s="184"/>
      <c r="AF665" s="184"/>
      <c r="AG665" s="184"/>
      <c r="AH665" s="184"/>
      <c r="AI665" s="184"/>
      <c r="AJ665" s="184"/>
      <c r="AK665" s="184"/>
      <c r="AL665" s="184"/>
      <c r="AM665" s="184"/>
      <c r="AN665" s="184"/>
      <c r="AO665" s="184"/>
      <c r="AP665" s="184"/>
      <c r="AQ665" s="184"/>
      <c r="AR665" s="184"/>
      <c r="AS665" s="184"/>
      <c r="AT665" s="184"/>
      <c r="AU665" s="184"/>
      <c r="AV665" s="184"/>
      <c r="AW665" s="184"/>
      <c r="AX665" s="184"/>
      <c r="AY665" s="184"/>
      <c r="AZ665" s="184"/>
      <c r="BA665" s="184"/>
      <c r="BB665" s="184"/>
      <c r="BC665" s="184"/>
      <c r="BD665" s="184"/>
      <c r="BE665" s="184"/>
      <c r="BF665" s="184"/>
      <c r="BG665" s="184"/>
      <c r="BH665" s="184"/>
      <c r="BI665" s="184"/>
      <c r="BJ665" s="184"/>
    </row>
    <row r="666" spans="2:62" ht="15.75" customHeight="1">
      <c r="B666" s="181"/>
      <c r="C666" s="411"/>
      <c r="D666" s="411"/>
      <c r="E666" s="411"/>
      <c r="F666" s="411"/>
      <c r="G666" s="411"/>
      <c r="H666" s="411"/>
      <c r="I666" s="411"/>
      <c r="J666" s="411"/>
      <c r="K666" s="421"/>
      <c r="L666" s="421"/>
      <c r="M666" s="411"/>
      <c r="N666" s="421"/>
      <c r="O666" s="421"/>
      <c r="P666" s="411"/>
      <c r="Q666" s="421"/>
      <c r="R666" s="421"/>
      <c r="S666" s="411"/>
      <c r="T666" s="411"/>
      <c r="U666" s="411"/>
      <c r="V666" s="411"/>
      <c r="W666" s="411"/>
      <c r="X666" s="411"/>
      <c r="Y666" s="184"/>
      <c r="Z666" s="184"/>
      <c r="AA666" s="184"/>
      <c r="AB666" s="184"/>
      <c r="AC666" s="184"/>
      <c r="AD666" s="184"/>
      <c r="AE666" s="184"/>
      <c r="AF666" s="184"/>
      <c r="AG666" s="184"/>
      <c r="AH666" s="184"/>
      <c r="AI666" s="184"/>
      <c r="AJ666" s="184"/>
      <c r="AK666" s="184"/>
      <c r="AL666" s="184"/>
      <c r="AM666" s="184"/>
      <c r="AN666" s="184"/>
      <c r="AO666" s="184"/>
      <c r="AP666" s="184"/>
      <c r="AQ666" s="184"/>
      <c r="AR666" s="184"/>
      <c r="AS666" s="184"/>
      <c r="AT666" s="184"/>
      <c r="AU666" s="184"/>
      <c r="AV666" s="184"/>
      <c r="AW666" s="184"/>
      <c r="AX666" s="184"/>
      <c r="AY666" s="184"/>
      <c r="AZ666" s="184"/>
      <c r="BA666" s="184"/>
      <c r="BB666" s="184"/>
      <c r="BC666" s="184"/>
      <c r="BD666" s="184"/>
      <c r="BE666" s="184"/>
      <c r="BF666" s="184"/>
      <c r="BG666" s="184"/>
      <c r="BH666" s="184"/>
      <c r="BI666" s="184"/>
      <c r="BJ666" s="184"/>
    </row>
    <row r="667" spans="2:62" ht="15.75" customHeight="1">
      <c r="B667" s="181"/>
      <c r="C667" s="411"/>
      <c r="D667" s="411"/>
      <c r="E667" s="411"/>
      <c r="F667" s="411"/>
      <c r="G667" s="411"/>
      <c r="H667" s="411"/>
      <c r="I667" s="411"/>
      <c r="J667" s="411"/>
      <c r="K667" s="421"/>
      <c r="L667" s="421"/>
      <c r="M667" s="411"/>
      <c r="N667" s="421"/>
      <c r="O667" s="421"/>
      <c r="P667" s="411"/>
      <c r="Q667" s="421"/>
      <c r="R667" s="421"/>
      <c r="S667" s="411"/>
      <c r="T667" s="411"/>
      <c r="U667" s="411"/>
      <c r="V667" s="411"/>
      <c r="W667" s="411"/>
      <c r="X667" s="411"/>
      <c r="Y667" s="184"/>
      <c r="Z667" s="184"/>
      <c r="AA667" s="184"/>
      <c r="AB667" s="184"/>
      <c r="AC667" s="184"/>
      <c r="AD667" s="184"/>
      <c r="AE667" s="184"/>
      <c r="AF667" s="184"/>
      <c r="AG667" s="184"/>
      <c r="AH667" s="184"/>
      <c r="AI667" s="184"/>
      <c r="AJ667" s="184"/>
      <c r="AK667" s="184"/>
      <c r="AL667" s="184"/>
      <c r="AM667" s="184"/>
      <c r="AN667" s="184"/>
      <c r="AO667" s="184"/>
      <c r="AP667" s="184"/>
      <c r="AQ667" s="184"/>
      <c r="AR667" s="184"/>
      <c r="AS667" s="184"/>
      <c r="AT667" s="184"/>
      <c r="AU667" s="184"/>
      <c r="AV667" s="184"/>
      <c r="AW667" s="184"/>
      <c r="AX667" s="184"/>
      <c r="AY667" s="184"/>
      <c r="AZ667" s="184"/>
      <c r="BA667" s="184"/>
      <c r="BB667" s="184"/>
      <c r="BC667" s="184"/>
      <c r="BD667" s="184"/>
      <c r="BE667" s="184"/>
      <c r="BF667" s="184"/>
      <c r="BG667" s="184"/>
      <c r="BH667" s="184"/>
      <c r="BI667" s="184"/>
      <c r="BJ667" s="184"/>
    </row>
    <row r="668" spans="2:62" ht="15.75" customHeight="1">
      <c r="B668" s="181"/>
      <c r="C668" s="411"/>
      <c r="D668" s="411"/>
      <c r="E668" s="411"/>
      <c r="F668" s="411"/>
      <c r="G668" s="411"/>
      <c r="H668" s="411"/>
      <c r="I668" s="411"/>
      <c r="J668" s="411"/>
      <c r="K668" s="421"/>
      <c r="L668" s="421"/>
      <c r="M668" s="411"/>
      <c r="N668" s="421"/>
      <c r="O668" s="421"/>
      <c r="P668" s="411"/>
      <c r="Q668" s="421"/>
      <c r="R668" s="421"/>
      <c r="S668" s="411"/>
      <c r="T668" s="411"/>
      <c r="U668" s="411"/>
      <c r="V668" s="411"/>
      <c r="W668" s="411"/>
      <c r="X668" s="411"/>
      <c r="Y668" s="184"/>
      <c r="Z668" s="184"/>
      <c r="AA668" s="184"/>
      <c r="AB668" s="184"/>
      <c r="AC668" s="184"/>
      <c r="AD668" s="184"/>
      <c r="AE668" s="184"/>
      <c r="AF668" s="184"/>
      <c r="AG668" s="184"/>
      <c r="AH668" s="184"/>
      <c r="AI668" s="184"/>
      <c r="AJ668" s="184"/>
      <c r="AK668" s="184"/>
      <c r="AL668" s="184"/>
      <c r="AM668" s="184"/>
      <c r="AN668" s="184"/>
      <c r="AO668" s="184"/>
      <c r="AP668" s="184"/>
      <c r="AQ668" s="184"/>
      <c r="AR668" s="184"/>
      <c r="AS668" s="184"/>
      <c r="AT668" s="184"/>
      <c r="AU668" s="184"/>
      <c r="AV668" s="184"/>
      <c r="AW668" s="184"/>
      <c r="AX668" s="184"/>
      <c r="AY668" s="184"/>
      <c r="AZ668" s="184"/>
      <c r="BA668" s="184"/>
      <c r="BB668" s="184"/>
      <c r="BC668" s="184"/>
      <c r="BD668" s="184"/>
      <c r="BE668" s="184"/>
      <c r="BF668" s="184"/>
      <c r="BG668" s="184"/>
      <c r="BH668" s="184"/>
      <c r="BI668" s="184"/>
      <c r="BJ668" s="184"/>
    </row>
    <row r="669" spans="2:62" ht="15.75" customHeight="1">
      <c r="B669" s="181"/>
      <c r="C669" s="411"/>
      <c r="D669" s="411"/>
      <c r="E669" s="411"/>
      <c r="F669" s="411"/>
      <c r="G669" s="411"/>
      <c r="H669" s="411"/>
      <c r="I669" s="411"/>
      <c r="J669" s="411"/>
      <c r="K669" s="421"/>
      <c r="L669" s="421"/>
      <c r="M669" s="411"/>
      <c r="N669" s="423"/>
      <c r="O669" s="423"/>
      <c r="P669" s="411"/>
      <c r="Q669" s="423"/>
      <c r="R669" s="421"/>
      <c r="S669" s="411"/>
      <c r="T669" s="411"/>
      <c r="U669" s="411"/>
      <c r="V669" s="411"/>
      <c r="W669" s="411"/>
      <c r="X669" s="411"/>
      <c r="Y669" s="184"/>
      <c r="Z669" s="184"/>
      <c r="AA669" s="184"/>
      <c r="AB669" s="184"/>
      <c r="AC669" s="184"/>
      <c r="AD669" s="184"/>
      <c r="AE669" s="184"/>
      <c r="AF669" s="184"/>
      <c r="AG669" s="184"/>
      <c r="AH669" s="184"/>
      <c r="AI669" s="184"/>
      <c r="AJ669" s="184"/>
      <c r="AK669" s="184"/>
      <c r="AL669" s="184"/>
      <c r="AM669" s="184"/>
      <c r="AN669" s="184"/>
      <c r="AO669" s="184"/>
      <c r="AP669" s="184"/>
      <c r="AQ669" s="184"/>
      <c r="AR669" s="184"/>
      <c r="AS669" s="184"/>
      <c r="AT669" s="184"/>
      <c r="AU669" s="184"/>
      <c r="AV669" s="184"/>
      <c r="AW669" s="184"/>
      <c r="AX669" s="184"/>
      <c r="AY669" s="184"/>
      <c r="AZ669" s="184"/>
      <c r="BA669" s="184"/>
      <c r="BB669" s="184"/>
      <c r="BC669" s="184"/>
      <c r="BD669" s="184"/>
      <c r="BE669" s="184"/>
      <c r="BF669" s="184"/>
      <c r="BG669" s="184"/>
      <c r="BH669" s="184"/>
      <c r="BI669" s="184"/>
      <c r="BJ669" s="184"/>
    </row>
    <row r="670" spans="2:62" ht="15.75" customHeight="1">
      <c r="B670" s="181"/>
      <c r="C670" s="411"/>
      <c r="D670" s="411"/>
      <c r="E670" s="411"/>
      <c r="F670" s="411"/>
      <c r="G670" s="411"/>
      <c r="H670" s="411"/>
      <c r="I670" s="411"/>
      <c r="J670" s="411"/>
      <c r="K670" s="423"/>
      <c r="L670" s="423"/>
      <c r="M670" s="411"/>
      <c r="N670" s="421"/>
      <c r="O670" s="421"/>
      <c r="P670" s="411"/>
      <c r="Q670" s="421"/>
      <c r="R670" s="423"/>
      <c r="S670" s="411"/>
      <c r="T670" s="411"/>
      <c r="U670" s="411"/>
      <c r="V670" s="411"/>
      <c r="W670" s="411"/>
      <c r="X670" s="411"/>
      <c r="Y670" s="184"/>
      <c r="Z670" s="184"/>
      <c r="AA670" s="184"/>
      <c r="AB670" s="184"/>
      <c r="AC670" s="184"/>
      <c r="AD670" s="184"/>
      <c r="AE670" s="184"/>
      <c r="AF670" s="184"/>
      <c r="AG670" s="184"/>
      <c r="AH670" s="184"/>
      <c r="AI670" s="184"/>
      <c r="AJ670" s="184"/>
      <c r="AK670" s="184"/>
      <c r="AL670" s="184"/>
      <c r="AM670" s="184"/>
      <c r="AN670" s="184"/>
      <c r="AO670" s="184"/>
      <c r="AP670" s="184"/>
      <c r="AQ670" s="184"/>
      <c r="AR670" s="184"/>
      <c r="AS670" s="184"/>
      <c r="AT670" s="184"/>
      <c r="AU670" s="184"/>
      <c r="AV670" s="184"/>
      <c r="AW670" s="184"/>
      <c r="AX670" s="184"/>
      <c r="AY670" s="184"/>
      <c r="AZ670" s="184"/>
      <c r="BA670" s="184"/>
      <c r="BB670" s="184"/>
      <c r="BC670" s="184"/>
      <c r="BD670" s="184"/>
      <c r="BE670" s="184"/>
      <c r="BF670" s="184"/>
      <c r="BG670" s="184"/>
      <c r="BH670" s="184"/>
      <c r="BI670" s="184"/>
      <c r="BJ670" s="184"/>
    </row>
    <row r="671" spans="2:62" ht="15.75" customHeight="1">
      <c r="B671" s="181"/>
      <c r="C671" s="411"/>
      <c r="D671" s="411"/>
      <c r="E671" s="411"/>
      <c r="F671" s="411"/>
      <c r="G671" s="411"/>
      <c r="H671" s="411"/>
      <c r="I671" s="411"/>
      <c r="J671" s="411"/>
      <c r="K671" s="421"/>
      <c r="L671" s="421"/>
      <c r="M671" s="411"/>
      <c r="N671" s="421"/>
      <c r="O671" s="421"/>
      <c r="P671" s="411"/>
      <c r="Q671" s="421"/>
      <c r="R671" s="421"/>
      <c r="S671" s="411"/>
      <c r="T671" s="411"/>
      <c r="U671" s="411"/>
      <c r="V671" s="411"/>
      <c r="W671" s="411"/>
      <c r="X671" s="411"/>
      <c r="Y671" s="184"/>
      <c r="Z671" s="184"/>
      <c r="AA671" s="184"/>
      <c r="AB671" s="184"/>
      <c r="AC671" s="184"/>
      <c r="AD671" s="184"/>
      <c r="AE671" s="184"/>
      <c r="AF671" s="184"/>
      <c r="AG671" s="184"/>
      <c r="AH671" s="184"/>
      <c r="AI671" s="184"/>
      <c r="AJ671" s="184"/>
      <c r="AK671" s="184"/>
      <c r="AL671" s="184"/>
      <c r="AM671" s="184"/>
      <c r="AN671" s="184"/>
      <c r="AO671" s="184"/>
      <c r="AP671" s="184"/>
      <c r="AQ671" s="184"/>
      <c r="AR671" s="184"/>
      <c r="AS671" s="184"/>
      <c r="AT671" s="184"/>
      <c r="AU671" s="184"/>
      <c r="AV671" s="184"/>
      <c r="AW671" s="184"/>
      <c r="AX671" s="184"/>
      <c r="AY671" s="184"/>
      <c r="AZ671" s="184"/>
      <c r="BA671" s="184"/>
      <c r="BB671" s="184"/>
      <c r="BC671" s="184"/>
      <c r="BD671" s="184"/>
      <c r="BE671" s="184"/>
      <c r="BF671" s="184"/>
      <c r="BG671" s="184"/>
      <c r="BH671" s="184"/>
      <c r="BI671" s="184"/>
      <c r="BJ671" s="184"/>
    </row>
    <row r="672" spans="2:62" ht="15.75" customHeight="1">
      <c r="B672" s="181"/>
      <c r="C672" s="411"/>
      <c r="D672" s="411"/>
      <c r="E672" s="411"/>
      <c r="F672" s="411"/>
      <c r="G672" s="411"/>
      <c r="H672" s="411"/>
      <c r="I672" s="411"/>
      <c r="J672" s="411"/>
      <c r="K672" s="421"/>
      <c r="L672" s="421"/>
      <c r="M672" s="411"/>
      <c r="N672" s="421"/>
      <c r="O672" s="421"/>
      <c r="P672" s="411"/>
      <c r="Q672" s="421"/>
      <c r="R672" s="421"/>
      <c r="S672" s="411"/>
      <c r="T672" s="411"/>
      <c r="U672" s="411"/>
      <c r="V672" s="411"/>
      <c r="W672" s="411"/>
      <c r="X672" s="411"/>
      <c r="Y672" s="184"/>
      <c r="Z672" s="184"/>
      <c r="AA672" s="184"/>
      <c r="AB672" s="184"/>
      <c r="AC672" s="184"/>
      <c r="AD672" s="184"/>
      <c r="AE672" s="184"/>
      <c r="AF672" s="184"/>
      <c r="AG672" s="184"/>
      <c r="AH672" s="184"/>
      <c r="AI672" s="184"/>
      <c r="AJ672" s="184"/>
      <c r="AK672" s="184"/>
      <c r="AL672" s="184"/>
      <c r="AM672" s="184"/>
      <c r="AN672" s="184"/>
      <c r="AO672" s="184"/>
      <c r="AP672" s="184"/>
      <c r="AQ672" s="184"/>
      <c r="AR672" s="184"/>
      <c r="AS672" s="184"/>
      <c r="AT672" s="184"/>
      <c r="AU672" s="184"/>
      <c r="AV672" s="184"/>
      <c r="AW672" s="184"/>
      <c r="AX672" s="184"/>
      <c r="AY672" s="184"/>
      <c r="AZ672" s="184"/>
      <c r="BA672" s="184"/>
      <c r="BB672" s="184"/>
      <c r="BC672" s="184"/>
      <c r="BD672" s="184"/>
      <c r="BE672" s="184"/>
      <c r="BF672" s="184"/>
      <c r="BG672" s="184"/>
      <c r="BH672" s="184"/>
      <c r="BI672" s="184"/>
      <c r="BJ672" s="184"/>
    </row>
    <row r="673" spans="2:62" ht="15.75" customHeight="1">
      <c r="B673" s="181"/>
      <c r="C673" s="411"/>
      <c r="D673" s="411"/>
      <c r="E673" s="411"/>
      <c r="F673" s="411"/>
      <c r="G673" s="411"/>
      <c r="H673" s="411"/>
      <c r="I673" s="411"/>
      <c r="J673" s="411"/>
      <c r="K673" s="421"/>
      <c r="L673" s="421"/>
      <c r="M673" s="411"/>
      <c r="N673" s="421"/>
      <c r="O673" s="421"/>
      <c r="P673" s="411"/>
      <c r="Q673" s="421"/>
      <c r="R673" s="421"/>
      <c r="S673" s="411"/>
      <c r="T673" s="411"/>
      <c r="U673" s="411"/>
      <c r="V673" s="411"/>
      <c r="W673" s="411"/>
      <c r="X673" s="411"/>
      <c r="Y673" s="184"/>
      <c r="Z673" s="184"/>
      <c r="AA673" s="184"/>
      <c r="AB673" s="184"/>
      <c r="AC673" s="184"/>
      <c r="AD673" s="184"/>
      <c r="AE673" s="184"/>
      <c r="AF673" s="184"/>
      <c r="AG673" s="184"/>
      <c r="AH673" s="184"/>
      <c r="AI673" s="184"/>
      <c r="AJ673" s="184"/>
      <c r="AK673" s="184"/>
      <c r="AL673" s="184"/>
      <c r="AM673" s="184"/>
      <c r="AN673" s="184"/>
      <c r="AO673" s="184"/>
      <c r="AP673" s="184"/>
      <c r="AQ673" s="184"/>
      <c r="AR673" s="184"/>
      <c r="AS673" s="184"/>
      <c r="AT673" s="184"/>
      <c r="AU673" s="184"/>
      <c r="AV673" s="184"/>
      <c r="AW673" s="184"/>
      <c r="AX673" s="184"/>
      <c r="AY673" s="184"/>
      <c r="AZ673" s="184"/>
      <c r="BA673" s="184"/>
      <c r="BB673" s="184"/>
      <c r="BC673" s="184"/>
      <c r="BD673" s="184"/>
      <c r="BE673" s="184"/>
      <c r="BF673" s="184"/>
      <c r="BG673" s="184"/>
      <c r="BH673" s="184"/>
      <c r="BI673" s="184"/>
      <c r="BJ673" s="184"/>
    </row>
    <row r="674" spans="2:62" ht="15.75" customHeight="1">
      <c r="B674" s="181"/>
      <c r="C674" s="411"/>
      <c r="D674" s="411"/>
      <c r="E674" s="411"/>
      <c r="F674" s="411"/>
      <c r="G674" s="411"/>
      <c r="H674" s="411"/>
      <c r="I674" s="411"/>
      <c r="J674" s="411"/>
      <c r="K674" s="421"/>
      <c r="L674" s="421"/>
      <c r="M674" s="411"/>
      <c r="N674" s="421"/>
      <c r="O674" s="421"/>
      <c r="P674" s="411"/>
      <c r="Q674" s="421"/>
      <c r="R674" s="421"/>
      <c r="S674" s="411"/>
      <c r="T674" s="411"/>
      <c r="U674" s="411"/>
      <c r="V674" s="411"/>
      <c r="W674" s="411"/>
      <c r="X674" s="411"/>
      <c r="Y674" s="184"/>
      <c r="Z674" s="184"/>
      <c r="AA674" s="184"/>
      <c r="AB674" s="184"/>
      <c r="AC674" s="184"/>
      <c r="AD674" s="184"/>
      <c r="AE674" s="184"/>
      <c r="AF674" s="184"/>
      <c r="AG674" s="184"/>
      <c r="AH674" s="184"/>
      <c r="AI674" s="184"/>
      <c r="AJ674" s="184"/>
      <c r="AK674" s="184"/>
      <c r="AL674" s="184"/>
      <c r="AM674" s="184"/>
      <c r="AN674" s="184"/>
      <c r="AO674" s="184"/>
      <c r="AP674" s="184"/>
      <c r="AQ674" s="184"/>
      <c r="AR674" s="184"/>
      <c r="AS674" s="184"/>
      <c r="AT674" s="184"/>
      <c r="AU674" s="184"/>
      <c r="AV674" s="184"/>
      <c r="AW674" s="184"/>
      <c r="AX674" s="184"/>
      <c r="AY674" s="184"/>
      <c r="AZ674" s="184"/>
      <c r="BA674" s="184"/>
      <c r="BB674" s="184"/>
      <c r="BC674" s="184"/>
      <c r="BD674" s="184"/>
      <c r="BE674" s="184"/>
      <c r="BF674" s="184"/>
      <c r="BG674" s="184"/>
      <c r="BH674" s="184"/>
      <c r="BI674" s="184"/>
      <c r="BJ674" s="184"/>
    </row>
    <row r="675" spans="2:62" ht="15.75" customHeight="1">
      <c r="B675" s="181"/>
      <c r="C675" s="411"/>
      <c r="D675" s="411"/>
      <c r="E675" s="411"/>
      <c r="F675" s="411"/>
      <c r="G675" s="411"/>
      <c r="H675" s="411"/>
      <c r="I675" s="411"/>
      <c r="J675" s="411"/>
      <c r="K675" s="421"/>
      <c r="L675" s="421"/>
      <c r="M675" s="411"/>
      <c r="N675" s="421"/>
      <c r="O675" s="421"/>
      <c r="P675" s="411"/>
      <c r="Q675" s="421"/>
      <c r="R675" s="421"/>
      <c r="S675" s="411"/>
      <c r="T675" s="411"/>
      <c r="U675" s="411"/>
      <c r="V675" s="411"/>
      <c r="W675" s="411"/>
      <c r="X675" s="411"/>
      <c r="Y675" s="184"/>
      <c r="Z675" s="184"/>
      <c r="AA675" s="184"/>
      <c r="AB675" s="184"/>
      <c r="AC675" s="184"/>
      <c r="AD675" s="184"/>
      <c r="AE675" s="184"/>
      <c r="AF675" s="184"/>
      <c r="AG675" s="184"/>
      <c r="AH675" s="184"/>
      <c r="AI675" s="184"/>
      <c r="AJ675" s="184"/>
      <c r="AK675" s="184"/>
      <c r="AL675" s="184"/>
      <c r="AM675" s="184"/>
      <c r="AN675" s="184"/>
      <c r="AO675" s="184"/>
      <c r="AP675" s="184"/>
      <c r="AQ675" s="184"/>
      <c r="AR675" s="184"/>
      <c r="AS675" s="184"/>
      <c r="AT675" s="184"/>
      <c r="AU675" s="184"/>
      <c r="AV675" s="184"/>
      <c r="AW675" s="184"/>
      <c r="AX675" s="184"/>
      <c r="AY675" s="184"/>
      <c r="AZ675" s="184"/>
      <c r="BA675" s="184"/>
      <c r="BB675" s="184"/>
      <c r="BC675" s="184"/>
      <c r="BD675" s="184"/>
      <c r="BE675" s="184"/>
      <c r="BF675" s="184"/>
      <c r="BG675" s="184"/>
      <c r="BH675" s="184"/>
      <c r="BI675" s="184"/>
      <c r="BJ675" s="184"/>
    </row>
    <row r="676" spans="2:62" ht="15.75" customHeight="1">
      <c r="B676" s="181"/>
      <c r="C676" s="411"/>
      <c r="D676" s="411"/>
      <c r="E676" s="411"/>
      <c r="F676" s="411"/>
      <c r="G676" s="411"/>
      <c r="H676" s="411"/>
      <c r="I676" s="411"/>
      <c r="J676" s="411"/>
      <c r="K676" s="421"/>
      <c r="L676" s="421"/>
      <c r="M676" s="411"/>
      <c r="N676" s="421"/>
      <c r="O676" s="421"/>
      <c r="P676" s="411"/>
      <c r="Q676" s="421"/>
      <c r="R676" s="421"/>
      <c r="S676" s="411"/>
      <c r="T676" s="411"/>
      <c r="U676" s="411"/>
      <c r="V676" s="411"/>
      <c r="W676" s="411"/>
      <c r="X676" s="411"/>
      <c r="Y676" s="184"/>
      <c r="Z676" s="184"/>
      <c r="AA676" s="184"/>
      <c r="AB676" s="184"/>
      <c r="AC676" s="184"/>
      <c r="AD676" s="184"/>
      <c r="AE676" s="184"/>
      <c r="AF676" s="184"/>
      <c r="AG676" s="184"/>
      <c r="AH676" s="184"/>
      <c r="AI676" s="184"/>
      <c r="AJ676" s="184"/>
      <c r="AK676" s="184"/>
      <c r="AL676" s="184"/>
      <c r="AM676" s="184"/>
      <c r="AN676" s="184"/>
      <c r="AO676" s="184"/>
      <c r="AP676" s="184"/>
      <c r="AQ676" s="184"/>
      <c r="AR676" s="184"/>
      <c r="AS676" s="184"/>
      <c r="AT676" s="184"/>
      <c r="AU676" s="184"/>
      <c r="AV676" s="184"/>
      <c r="AW676" s="184"/>
      <c r="AX676" s="184"/>
      <c r="AY676" s="184"/>
      <c r="AZ676" s="184"/>
      <c r="BA676" s="184"/>
      <c r="BB676" s="184"/>
      <c r="BC676" s="184"/>
      <c r="BD676" s="184"/>
      <c r="BE676" s="184"/>
      <c r="BF676" s="184"/>
      <c r="BG676" s="184"/>
      <c r="BH676" s="184"/>
      <c r="BI676" s="184"/>
      <c r="BJ676" s="184"/>
    </row>
    <row r="677" spans="2:62" ht="15.75" customHeight="1">
      <c r="B677" s="181"/>
      <c r="C677" s="411"/>
      <c r="D677" s="411"/>
      <c r="E677" s="411"/>
      <c r="F677" s="411"/>
      <c r="G677" s="411"/>
      <c r="H677" s="411"/>
      <c r="I677" s="411"/>
      <c r="J677" s="411"/>
      <c r="K677" s="421"/>
      <c r="L677" s="421"/>
      <c r="M677" s="411"/>
      <c r="N677" s="421"/>
      <c r="O677" s="421"/>
      <c r="P677" s="411"/>
      <c r="Q677" s="421"/>
      <c r="R677" s="421"/>
      <c r="S677" s="411"/>
      <c r="T677" s="411"/>
      <c r="U677" s="411"/>
      <c r="V677" s="411"/>
      <c r="W677" s="411"/>
      <c r="X677" s="411"/>
      <c r="Y677" s="184"/>
      <c r="Z677" s="184"/>
      <c r="AA677" s="184"/>
      <c r="AB677" s="184"/>
      <c r="AC677" s="184"/>
      <c r="AD677" s="184"/>
      <c r="AE677" s="184"/>
      <c r="AF677" s="184"/>
      <c r="AG677" s="184"/>
      <c r="AH677" s="184"/>
      <c r="AI677" s="184"/>
      <c r="AJ677" s="184"/>
      <c r="AK677" s="184"/>
      <c r="AL677" s="184"/>
      <c r="AM677" s="184"/>
      <c r="AN677" s="184"/>
      <c r="AO677" s="184"/>
      <c r="AP677" s="184"/>
      <c r="AQ677" s="184"/>
      <c r="AR677" s="184"/>
      <c r="AS677" s="184"/>
      <c r="AT677" s="184"/>
      <c r="AU677" s="184"/>
      <c r="AV677" s="184"/>
      <c r="AW677" s="184"/>
      <c r="AX677" s="184"/>
      <c r="AY677" s="184"/>
      <c r="AZ677" s="184"/>
      <c r="BA677" s="184"/>
      <c r="BB677" s="184"/>
      <c r="BC677" s="184"/>
      <c r="BD677" s="184"/>
      <c r="BE677" s="184"/>
      <c r="BF677" s="184"/>
      <c r="BG677" s="184"/>
      <c r="BH677" s="184"/>
      <c r="BI677" s="184"/>
      <c r="BJ677" s="184"/>
    </row>
    <row r="678" spans="2:62" ht="15.75" customHeight="1">
      <c r="B678" s="181"/>
      <c r="C678" s="411"/>
      <c r="D678" s="411"/>
      <c r="E678" s="411"/>
      <c r="F678" s="411"/>
      <c r="G678" s="411"/>
      <c r="H678" s="411"/>
      <c r="I678" s="411"/>
      <c r="J678" s="411"/>
      <c r="K678" s="421"/>
      <c r="L678" s="421"/>
      <c r="M678" s="411"/>
      <c r="N678" s="421"/>
      <c r="O678" s="421"/>
      <c r="P678" s="411"/>
      <c r="Q678" s="421"/>
      <c r="R678" s="421"/>
      <c r="S678" s="411"/>
      <c r="T678" s="411"/>
      <c r="U678" s="411"/>
      <c r="V678" s="411"/>
      <c r="W678" s="411"/>
      <c r="X678" s="411"/>
      <c r="Y678" s="184"/>
      <c r="Z678" s="184"/>
      <c r="AA678" s="184"/>
      <c r="AB678" s="184"/>
      <c r="AC678" s="184"/>
      <c r="AD678" s="184"/>
      <c r="AE678" s="184"/>
      <c r="AF678" s="184"/>
      <c r="AG678" s="184"/>
      <c r="AH678" s="184"/>
      <c r="AI678" s="184"/>
      <c r="AJ678" s="184"/>
      <c r="AK678" s="184"/>
      <c r="AL678" s="184"/>
      <c r="AM678" s="184"/>
      <c r="AN678" s="184"/>
      <c r="AO678" s="184"/>
      <c r="AP678" s="184"/>
      <c r="AQ678" s="184"/>
      <c r="AR678" s="184"/>
      <c r="AS678" s="184"/>
      <c r="AT678" s="184"/>
      <c r="AU678" s="184"/>
      <c r="AV678" s="184"/>
      <c r="AW678" s="184"/>
      <c r="AX678" s="184"/>
      <c r="AY678" s="184"/>
      <c r="AZ678" s="184"/>
      <c r="BA678" s="184"/>
      <c r="BB678" s="184"/>
      <c r="BC678" s="184"/>
      <c r="BD678" s="184"/>
      <c r="BE678" s="184"/>
      <c r="BF678" s="184"/>
      <c r="BG678" s="184"/>
      <c r="BH678" s="184"/>
      <c r="BI678" s="184"/>
      <c r="BJ678" s="184"/>
    </row>
    <row r="679" spans="2:62" ht="15.75" customHeight="1">
      <c r="B679" s="181"/>
      <c r="C679" s="411"/>
      <c r="D679" s="411"/>
      <c r="E679" s="411"/>
      <c r="F679" s="411"/>
      <c r="G679" s="411"/>
      <c r="H679" s="411"/>
      <c r="I679" s="411"/>
      <c r="J679" s="411"/>
      <c r="K679" s="421"/>
      <c r="L679" s="421"/>
      <c r="M679" s="411"/>
      <c r="N679" s="421"/>
      <c r="O679" s="421"/>
      <c r="P679" s="411"/>
      <c r="Q679" s="421"/>
      <c r="R679" s="421"/>
      <c r="S679" s="411"/>
      <c r="T679" s="411"/>
      <c r="U679" s="411"/>
      <c r="V679" s="411"/>
      <c r="W679" s="411"/>
      <c r="X679" s="411"/>
      <c r="Y679" s="184"/>
      <c r="Z679" s="184"/>
      <c r="AA679" s="184"/>
      <c r="AB679" s="184"/>
      <c r="AC679" s="184"/>
      <c r="AD679" s="184"/>
      <c r="AE679" s="184"/>
      <c r="AF679" s="184"/>
      <c r="AG679" s="184"/>
      <c r="AH679" s="184"/>
      <c r="AI679" s="184"/>
      <c r="AJ679" s="184"/>
      <c r="AK679" s="184"/>
      <c r="AL679" s="184"/>
      <c r="AM679" s="184"/>
      <c r="AN679" s="184"/>
      <c r="AO679" s="184"/>
      <c r="AP679" s="184"/>
      <c r="AQ679" s="184"/>
      <c r="AR679" s="184"/>
      <c r="AS679" s="184"/>
      <c r="AT679" s="184"/>
      <c r="AU679" s="184"/>
      <c r="AV679" s="184"/>
      <c r="AW679" s="184"/>
      <c r="AX679" s="184"/>
      <c r="AY679" s="184"/>
      <c r="AZ679" s="184"/>
      <c r="BA679" s="184"/>
      <c r="BB679" s="184"/>
      <c r="BC679" s="184"/>
      <c r="BD679" s="184"/>
      <c r="BE679" s="184"/>
      <c r="BF679" s="184"/>
      <c r="BG679" s="184"/>
      <c r="BH679" s="184"/>
      <c r="BI679" s="184"/>
      <c r="BJ679" s="184"/>
    </row>
    <row r="680" spans="2:62" ht="15.75" customHeight="1">
      <c r="B680" s="181"/>
      <c r="C680" s="411"/>
      <c r="D680" s="411"/>
      <c r="E680" s="411"/>
      <c r="F680" s="411"/>
      <c r="G680" s="411"/>
      <c r="H680" s="411"/>
      <c r="I680" s="411"/>
      <c r="J680" s="411"/>
      <c r="K680" s="421"/>
      <c r="L680" s="421"/>
      <c r="M680" s="411"/>
      <c r="N680" s="421"/>
      <c r="O680" s="421"/>
      <c r="P680" s="411"/>
      <c r="Q680" s="421"/>
      <c r="R680" s="421"/>
      <c r="S680" s="411"/>
      <c r="T680" s="411"/>
      <c r="U680" s="411"/>
      <c r="V680" s="411"/>
      <c r="W680" s="411"/>
      <c r="X680" s="411"/>
      <c r="Y680" s="184"/>
      <c r="Z680" s="184"/>
      <c r="AA680" s="184"/>
      <c r="AB680" s="184"/>
      <c r="AC680" s="184"/>
      <c r="AD680" s="184"/>
      <c r="AE680" s="184"/>
      <c r="AF680" s="184"/>
      <c r="AG680" s="184"/>
      <c r="AH680" s="184"/>
      <c r="AI680" s="184"/>
      <c r="AJ680" s="184"/>
      <c r="AK680" s="184"/>
      <c r="AL680" s="184"/>
      <c r="AM680" s="184"/>
      <c r="AN680" s="184"/>
      <c r="AO680" s="184"/>
      <c r="AP680" s="184"/>
      <c r="AQ680" s="184"/>
      <c r="AR680" s="184"/>
      <c r="AS680" s="184"/>
      <c r="AT680" s="184"/>
      <c r="AU680" s="184"/>
      <c r="AV680" s="184"/>
      <c r="AW680" s="184"/>
      <c r="AX680" s="184"/>
      <c r="AY680" s="184"/>
      <c r="AZ680" s="184"/>
      <c r="BA680" s="184"/>
      <c r="BB680" s="184"/>
      <c r="BC680" s="184"/>
      <c r="BD680" s="184"/>
      <c r="BE680" s="184"/>
      <c r="BF680" s="184"/>
      <c r="BG680" s="184"/>
      <c r="BH680" s="184"/>
      <c r="BI680" s="184"/>
      <c r="BJ680" s="184"/>
    </row>
    <row r="681" spans="2:62" ht="15.75" customHeight="1">
      <c r="B681" s="181"/>
      <c r="C681" s="411"/>
      <c r="D681" s="411"/>
      <c r="E681" s="411"/>
      <c r="F681" s="411"/>
      <c r="G681" s="411"/>
      <c r="H681" s="411"/>
      <c r="I681" s="411"/>
      <c r="J681" s="411"/>
      <c r="K681" s="421"/>
      <c r="L681" s="421"/>
      <c r="M681" s="411"/>
      <c r="N681" s="421"/>
      <c r="O681" s="421"/>
      <c r="P681" s="411"/>
      <c r="Q681" s="421"/>
      <c r="R681" s="421"/>
      <c r="S681" s="411"/>
      <c r="T681" s="411"/>
      <c r="U681" s="411"/>
      <c r="V681" s="411"/>
      <c r="W681" s="411"/>
      <c r="X681" s="411"/>
      <c r="Y681" s="184"/>
      <c r="Z681" s="184"/>
      <c r="AA681" s="184"/>
      <c r="AB681" s="184"/>
      <c r="AC681" s="184"/>
      <c r="AD681" s="184"/>
      <c r="AE681" s="184"/>
      <c r="AF681" s="184"/>
      <c r="AG681" s="184"/>
      <c r="AH681" s="184"/>
      <c r="AI681" s="184"/>
      <c r="AJ681" s="184"/>
      <c r="AK681" s="184"/>
      <c r="AL681" s="184"/>
      <c r="AM681" s="184"/>
      <c r="AN681" s="184"/>
      <c r="AO681" s="184"/>
      <c r="AP681" s="184"/>
      <c r="AQ681" s="184"/>
      <c r="AR681" s="184"/>
      <c r="AS681" s="184"/>
      <c r="AT681" s="184"/>
      <c r="AU681" s="184"/>
      <c r="AV681" s="184"/>
      <c r="AW681" s="184"/>
      <c r="AX681" s="184"/>
      <c r="AY681" s="184"/>
      <c r="AZ681" s="184"/>
      <c r="BA681" s="184"/>
      <c r="BB681" s="184"/>
      <c r="BC681" s="184"/>
      <c r="BD681" s="184"/>
      <c r="BE681" s="184"/>
      <c r="BF681" s="184"/>
      <c r="BG681" s="184"/>
      <c r="BH681" s="184"/>
      <c r="BI681" s="184"/>
      <c r="BJ681" s="184"/>
    </row>
    <row r="682" spans="2:62" ht="15.75" customHeight="1">
      <c r="B682" s="181"/>
      <c r="C682" s="411"/>
      <c r="D682" s="411"/>
      <c r="E682" s="411"/>
      <c r="F682" s="411"/>
      <c r="G682" s="411"/>
      <c r="H682" s="411"/>
      <c r="I682" s="411"/>
      <c r="J682" s="411"/>
      <c r="K682" s="421"/>
      <c r="L682" s="421"/>
      <c r="M682" s="411"/>
      <c r="N682" s="421"/>
      <c r="O682" s="421"/>
      <c r="P682" s="411"/>
      <c r="Q682" s="421"/>
      <c r="R682" s="421"/>
      <c r="S682" s="411"/>
      <c r="T682" s="411"/>
      <c r="U682" s="411"/>
      <c r="V682" s="411"/>
      <c r="W682" s="411"/>
      <c r="X682" s="411"/>
      <c r="Y682" s="184"/>
      <c r="Z682" s="184"/>
      <c r="AA682" s="184"/>
      <c r="AB682" s="184"/>
      <c r="AC682" s="184"/>
      <c r="AD682" s="184"/>
      <c r="AE682" s="184"/>
      <c r="AF682" s="184"/>
      <c r="AG682" s="184"/>
      <c r="AH682" s="184"/>
      <c r="AI682" s="184"/>
      <c r="AJ682" s="184"/>
      <c r="AK682" s="184"/>
      <c r="AL682" s="184"/>
      <c r="AM682" s="184"/>
      <c r="AN682" s="184"/>
      <c r="AO682" s="184"/>
      <c r="AP682" s="184"/>
      <c r="AQ682" s="184"/>
      <c r="AR682" s="184"/>
      <c r="AS682" s="184"/>
      <c r="AT682" s="184"/>
      <c r="AU682" s="184"/>
      <c r="AV682" s="184"/>
      <c r="AW682" s="184"/>
      <c r="AX682" s="184"/>
      <c r="AY682" s="184"/>
      <c r="AZ682" s="184"/>
      <c r="BA682" s="184"/>
      <c r="BB682" s="184"/>
      <c r="BC682" s="184"/>
      <c r="BD682" s="184"/>
      <c r="BE682" s="184"/>
      <c r="BF682" s="184"/>
      <c r="BG682" s="184"/>
      <c r="BH682" s="184"/>
      <c r="BI682" s="184"/>
      <c r="BJ682" s="184"/>
    </row>
    <row r="683" spans="2:62" ht="15.75" customHeight="1">
      <c r="B683" s="181"/>
      <c r="C683" s="411"/>
      <c r="D683" s="411"/>
      <c r="E683" s="411"/>
      <c r="F683" s="411"/>
      <c r="G683" s="411"/>
      <c r="H683" s="411"/>
      <c r="I683" s="411"/>
      <c r="J683" s="411"/>
      <c r="K683" s="421"/>
      <c r="L683" s="421"/>
      <c r="M683" s="411"/>
      <c r="N683" s="421"/>
      <c r="O683" s="421"/>
      <c r="P683" s="411"/>
      <c r="Q683" s="421"/>
      <c r="R683" s="421"/>
      <c r="S683" s="411"/>
      <c r="T683" s="411"/>
      <c r="U683" s="411"/>
      <c r="V683" s="411"/>
      <c r="W683" s="411"/>
      <c r="X683" s="411"/>
      <c r="Y683" s="184"/>
      <c r="Z683" s="184"/>
      <c r="AA683" s="184"/>
      <c r="AB683" s="184"/>
      <c r="AC683" s="184"/>
      <c r="AD683" s="184"/>
      <c r="AE683" s="184"/>
      <c r="AF683" s="184"/>
      <c r="AG683" s="184"/>
      <c r="AH683" s="184"/>
      <c r="AI683" s="184"/>
      <c r="AJ683" s="184"/>
      <c r="AK683" s="184"/>
      <c r="AL683" s="184"/>
      <c r="AM683" s="184"/>
      <c r="AN683" s="184"/>
      <c r="AO683" s="184"/>
      <c r="AP683" s="184"/>
      <c r="AQ683" s="184"/>
      <c r="AR683" s="184"/>
      <c r="AS683" s="184"/>
      <c r="AT683" s="184"/>
      <c r="AU683" s="184"/>
      <c r="AV683" s="184"/>
      <c r="AW683" s="184"/>
      <c r="AX683" s="184"/>
      <c r="AY683" s="184"/>
      <c r="AZ683" s="184"/>
      <c r="BA683" s="184"/>
      <c r="BB683" s="184"/>
      <c r="BC683" s="184"/>
      <c r="BD683" s="184"/>
      <c r="BE683" s="184"/>
      <c r="BF683" s="184"/>
      <c r="BG683" s="184"/>
      <c r="BH683" s="184"/>
      <c r="BI683" s="184"/>
      <c r="BJ683" s="184"/>
    </row>
    <row r="684" spans="2:62" ht="15.75" customHeight="1">
      <c r="B684" s="181"/>
      <c r="C684" s="411"/>
      <c r="D684" s="411"/>
      <c r="E684" s="411"/>
      <c r="F684" s="411"/>
      <c r="G684" s="411"/>
      <c r="H684" s="411"/>
      <c r="I684" s="411"/>
      <c r="J684" s="411"/>
      <c r="K684" s="421"/>
      <c r="L684" s="421"/>
      <c r="M684" s="411"/>
      <c r="N684" s="411"/>
      <c r="O684" s="411"/>
      <c r="P684" s="411"/>
      <c r="Q684" s="411"/>
      <c r="R684" s="421"/>
      <c r="S684" s="411"/>
      <c r="T684" s="411"/>
      <c r="U684" s="411"/>
      <c r="V684" s="411"/>
      <c r="W684" s="411"/>
      <c r="X684" s="411"/>
      <c r="Y684" s="184"/>
      <c r="Z684" s="184"/>
      <c r="AA684" s="184"/>
      <c r="AB684" s="184"/>
      <c r="AC684" s="184"/>
      <c r="AD684" s="184"/>
      <c r="AE684" s="184"/>
      <c r="AF684" s="184"/>
      <c r="AG684" s="184"/>
      <c r="AH684" s="184"/>
      <c r="AI684" s="184"/>
      <c r="AJ684" s="184"/>
      <c r="AK684" s="184"/>
      <c r="AL684" s="184"/>
      <c r="AM684" s="184"/>
      <c r="AN684" s="184"/>
      <c r="AO684" s="184"/>
      <c r="AP684" s="184"/>
      <c r="AQ684" s="184"/>
      <c r="AR684" s="184"/>
      <c r="AS684" s="184"/>
      <c r="AT684" s="184"/>
      <c r="AU684" s="184"/>
      <c r="AV684" s="184"/>
      <c r="AW684" s="184"/>
      <c r="AX684" s="184"/>
      <c r="AY684" s="184"/>
      <c r="AZ684" s="184"/>
      <c r="BA684" s="184"/>
      <c r="BB684" s="184"/>
      <c r="BC684" s="184"/>
      <c r="BD684" s="184"/>
      <c r="BE684" s="184"/>
      <c r="BF684" s="184"/>
      <c r="BG684" s="184"/>
      <c r="BH684" s="184"/>
      <c r="BI684" s="184"/>
      <c r="BJ684" s="184"/>
    </row>
    <row r="685" spans="2:62" ht="15.75" customHeight="1">
      <c r="B685" s="181"/>
      <c r="C685" s="411"/>
      <c r="D685" s="411"/>
      <c r="E685" s="411"/>
      <c r="F685" s="411"/>
      <c r="G685" s="411"/>
      <c r="H685" s="411"/>
      <c r="I685" s="411"/>
      <c r="J685" s="411"/>
      <c r="K685" s="421"/>
      <c r="L685" s="421"/>
      <c r="M685" s="411"/>
      <c r="N685" s="423"/>
      <c r="O685" s="423"/>
      <c r="P685" s="411"/>
      <c r="Q685" s="423"/>
      <c r="R685" s="421"/>
      <c r="S685" s="411"/>
      <c r="T685" s="411"/>
      <c r="U685" s="411"/>
      <c r="V685" s="411"/>
      <c r="W685" s="411"/>
      <c r="X685" s="411"/>
      <c r="Y685" s="184"/>
      <c r="Z685" s="184"/>
      <c r="AA685" s="184"/>
      <c r="AB685" s="184"/>
      <c r="AC685" s="184"/>
      <c r="AD685" s="184"/>
      <c r="AE685" s="184"/>
      <c r="AF685" s="184"/>
      <c r="AG685" s="184"/>
      <c r="AH685" s="184"/>
      <c r="AI685" s="184"/>
      <c r="AJ685" s="184"/>
      <c r="AK685" s="184"/>
      <c r="AL685" s="184"/>
      <c r="AM685" s="184"/>
      <c r="AN685" s="184"/>
      <c r="AO685" s="184"/>
      <c r="AP685" s="184"/>
      <c r="AQ685" s="184"/>
      <c r="AR685" s="184"/>
      <c r="AS685" s="184"/>
      <c r="AT685" s="184"/>
      <c r="AU685" s="184"/>
      <c r="AV685" s="184"/>
      <c r="AW685" s="184"/>
      <c r="AX685" s="184"/>
      <c r="AY685" s="184"/>
      <c r="AZ685" s="184"/>
      <c r="BA685" s="184"/>
      <c r="BB685" s="184"/>
      <c r="BC685" s="184"/>
      <c r="BD685" s="184"/>
      <c r="BE685" s="184"/>
      <c r="BF685" s="184"/>
      <c r="BG685" s="184"/>
      <c r="BH685" s="184"/>
      <c r="BI685" s="184"/>
      <c r="BJ685" s="184"/>
    </row>
    <row r="686" spans="2:62" ht="15.75" customHeight="1">
      <c r="B686" s="181"/>
      <c r="C686" s="411"/>
      <c r="D686" s="411"/>
      <c r="E686" s="411"/>
      <c r="F686" s="411"/>
      <c r="G686" s="411"/>
      <c r="H686" s="411"/>
      <c r="I686" s="411"/>
      <c r="J686" s="411"/>
      <c r="K686" s="411"/>
      <c r="L686" s="411"/>
      <c r="M686" s="411"/>
      <c r="N686" s="421"/>
      <c r="O686" s="421"/>
      <c r="P686" s="411"/>
      <c r="Q686" s="421"/>
      <c r="R686" s="411"/>
      <c r="S686" s="411"/>
      <c r="T686" s="411"/>
      <c r="U686" s="411"/>
      <c r="V686" s="411"/>
      <c r="W686" s="411"/>
      <c r="X686" s="411"/>
      <c r="Y686" s="184"/>
      <c r="Z686" s="184"/>
      <c r="AA686" s="184"/>
      <c r="AB686" s="184"/>
      <c r="AC686" s="184"/>
      <c r="AD686" s="184"/>
      <c r="AE686" s="184"/>
      <c r="AF686" s="184"/>
      <c r="AG686" s="184"/>
      <c r="AH686" s="184"/>
      <c r="AI686" s="184"/>
      <c r="AJ686" s="184"/>
      <c r="AK686" s="184"/>
      <c r="AL686" s="184"/>
      <c r="AM686" s="184"/>
      <c r="AN686" s="184"/>
      <c r="AO686" s="184"/>
      <c r="AP686" s="184"/>
      <c r="AQ686" s="184"/>
      <c r="AR686" s="184"/>
      <c r="AS686" s="184"/>
      <c r="AT686" s="184"/>
      <c r="AU686" s="184"/>
      <c r="AV686" s="184"/>
      <c r="AW686" s="184"/>
      <c r="AX686" s="184"/>
      <c r="AY686" s="184"/>
      <c r="AZ686" s="184"/>
      <c r="BA686" s="184"/>
      <c r="BB686" s="184"/>
      <c r="BC686" s="184"/>
      <c r="BD686" s="184"/>
      <c r="BE686" s="184"/>
      <c r="BF686" s="184"/>
      <c r="BG686" s="184"/>
      <c r="BH686" s="184"/>
      <c r="BI686" s="184"/>
      <c r="BJ686" s="184"/>
    </row>
    <row r="687" spans="2:62" ht="15.75" customHeight="1">
      <c r="B687" s="181"/>
      <c r="C687" s="411"/>
      <c r="D687" s="411"/>
      <c r="E687" s="411"/>
      <c r="F687" s="411"/>
      <c r="G687" s="411"/>
      <c r="H687" s="411"/>
      <c r="I687" s="411"/>
      <c r="J687" s="411"/>
      <c r="K687" s="423"/>
      <c r="L687" s="423"/>
      <c r="M687" s="411"/>
      <c r="N687" s="421"/>
      <c r="O687" s="421"/>
      <c r="P687" s="411"/>
      <c r="Q687" s="421"/>
      <c r="R687" s="423"/>
      <c r="S687" s="411"/>
      <c r="T687" s="411"/>
      <c r="U687" s="411"/>
      <c r="V687" s="411"/>
      <c r="W687" s="411"/>
      <c r="X687" s="411"/>
      <c r="Y687" s="184"/>
      <c r="Z687" s="184"/>
      <c r="AA687" s="184"/>
      <c r="AB687" s="184"/>
      <c r="AC687" s="184"/>
      <c r="AD687" s="184"/>
      <c r="AE687" s="184"/>
      <c r="AF687" s="184"/>
      <c r="AG687" s="184"/>
      <c r="AH687" s="184"/>
      <c r="AI687" s="184"/>
      <c r="AJ687" s="184"/>
      <c r="AK687" s="184"/>
      <c r="AL687" s="184"/>
      <c r="AM687" s="184"/>
      <c r="AN687" s="184"/>
      <c r="AO687" s="184"/>
      <c r="AP687" s="184"/>
      <c r="AQ687" s="184"/>
      <c r="AR687" s="184"/>
      <c r="AS687" s="184"/>
      <c r="AT687" s="184"/>
      <c r="AU687" s="184"/>
      <c r="AV687" s="184"/>
      <c r="AW687" s="184"/>
      <c r="AX687" s="184"/>
      <c r="AY687" s="184"/>
      <c r="AZ687" s="184"/>
      <c r="BA687" s="184"/>
      <c r="BB687" s="184"/>
      <c r="BC687" s="184"/>
      <c r="BD687" s="184"/>
      <c r="BE687" s="184"/>
      <c r="BF687" s="184"/>
      <c r="BG687" s="184"/>
      <c r="BH687" s="184"/>
      <c r="BI687" s="184"/>
      <c r="BJ687" s="184"/>
    </row>
    <row r="688" spans="2:62" ht="15.75" customHeight="1">
      <c r="B688" s="181"/>
      <c r="C688" s="411"/>
      <c r="D688" s="411"/>
      <c r="E688" s="411"/>
      <c r="F688" s="411"/>
      <c r="G688" s="411"/>
      <c r="H688" s="411"/>
      <c r="I688" s="411"/>
      <c r="J688" s="411"/>
      <c r="K688" s="421"/>
      <c r="L688" s="421"/>
      <c r="M688" s="411"/>
      <c r="N688" s="421"/>
      <c r="O688" s="421"/>
      <c r="P688" s="411"/>
      <c r="Q688" s="421"/>
      <c r="R688" s="421"/>
      <c r="S688" s="411"/>
      <c r="T688" s="411"/>
      <c r="U688" s="411"/>
      <c r="V688" s="411"/>
      <c r="W688" s="411"/>
      <c r="X688" s="411"/>
      <c r="Y688" s="184"/>
      <c r="Z688" s="184"/>
      <c r="AA688" s="184"/>
      <c r="AB688" s="184"/>
      <c r="AC688" s="184"/>
      <c r="AD688" s="184"/>
      <c r="AE688" s="184"/>
      <c r="AF688" s="184"/>
      <c r="AG688" s="184"/>
      <c r="AH688" s="184"/>
      <c r="AI688" s="184"/>
      <c r="AJ688" s="184"/>
      <c r="AK688" s="184"/>
      <c r="AL688" s="184"/>
      <c r="AM688" s="184"/>
      <c r="AN688" s="184"/>
      <c r="AO688" s="184"/>
      <c r="AP688" s="184"/>
      <c r="AQ688" s="184"/>
      <c r="AR688" s="184"/>
      <c r="AS688" s="184"/>
      <c r="AT688" s="184"/>
      <c r="AU688" s="184"/>
      <c r="AV688" s="184"/>
      <c r="AW688" s="184"/>
      <c r="AX688" s="184"/>
      <c r="AY688" s="184"/>
      <c r="AZ688" s="184"/>
      <c r="BA688" s="184"/>
      <c r="BB688" s="184"/>
      <c r="BC688" s="184"/>
      <c r="BD688" s="184"/>
      <c r="BE688" s="184"/>
      <c r="BF688" s="184"/>
      <c r="BG688" s="184"/>
      <c r="BH688" s="184"/>
      <c r="BI688" s="184"/>
      <c r="BJ688" s="184"/>
    </row>
    <row r="689" spans="2:62" ht="15.75" customHeight="1">
      <c r="B689" s="181"/>
      <c r="C689" s="411"/>
      <c r="D689" s="411"/>
      <c r="E689" s="411"/>
      <c r="F689" s="411"/>
      <c r="G689" s="411"/>
      <c r="H689" s="411"/>
      <c r="I689" s="411"/>
      <c r="J689" s="411"/>
      <c r="K689" s="421"/>
      <c r="L689" s="421"/>
      <c r="M689" s="411"/>
      <c r="N689" s="421"/>
      <c r="O689" s="421"/>
      <c r="P689" s="411"/>
      <c r="Q689" s="421"/>
      <c r="R689" s="421"/>
      <c r="S689" s="411"/>
      <c r="T689" s="411"/>
      <c r="U689" s="411"/>
      <c r="V689" s="411"/>
      <c r="W689" s="411"/>
      <c r="X689" s="411"/>
      <c r="Y689" s="184"/>
      <c r="Z689" s="184"/>
      <c r="AA689" s="184"/>
      <c r="AB689" s="184"/>
      <c r="AC689" s="184"/>
      <c r="AD689" s="184"/>
      <c r="AE689" s="184"/>
      <c r="AF689" s="184"/>
      <c r="AG689" s="184"/>
      <c r="AH689" s="184"/>
      <c r="AI689" s="184"/>
      <c r="AJ689" s="184"/>
      <c r="AK689" s="184"/>
      <c r="AL689" s="184"/>
      <c r="AM689" s="184"/>
      <c r="AN689" s="184"/>
      <c r="AO689" s="184"/>
      <c r="AP689" s="184"/>
      <c r="AQ689" s="184"/>
      <c r="AR689" s="184"/>
      <c r="AS689" s="184"/>
      <c r="AT689" s="184"/>
      <c r="AU689" s="184"/>
      <c r="AV689" s="184"/>
      <c r="AW689" s="184"/>
      <c r="AX689" s="184"/>
      <c r="AY689" s="184"/>
      <c r="AZ689" s="184"/>
      <c r="BA689" s="184"/>
      <c r="BB689" s="184"/>
      <c r="BC689" s="184"/>
      <c r="BD689" s="184"/>
      <c r="BE689" s="184"/>
      <c r="BF689" s="184"/>
      <c r="BG689" s="184"/>
      <c r="BH689" s="184"/>
      <c r="BI689" s="184"/>
      <c r="BJ689" s="184"/>
    </row>
    <row r="690" spans="2:62" ht="15.75" customHeight="1">
      <c r="B690" s="181"/>
      <c r="C690" s="411"/>
      <c r="D690" s="411"/>
      <c r="E690" s="411"/>
      <c r="F690" s="411"/>
      <c r="G690" s="411"/>
      <c r="H690" s="411"/>
      <c r="I690" s="411"/>
      <c r="J690" s="411"/>
      <c r="K690" s="421"/>
      <c r="L690" s="421"/>
      <c r="M690" s="411"/>
      <c r="N690" s="421"/>
      <c r="O690" s="421"/>
      <c r="P690" s="411"/>
      <c r="Q690" s="421"/>
      <c r="R690" s="421"/>
      <c r="S690" s="411"/>
      <c r="T690" s="411"/>
      <c r="U690" s="411"/>
      <c r="V690" s="411"/>
      <c r="W690" s="411"/>
      <c r="X690" s="411"/>
      <c r="Y690" s="184"/>
      <c r="Z690" s="184"/>
      <c r="AA690" s="184"/>
      <c r="AB690" s="184"/>
      <c r="AC690" s="184"/>
      <c r="AD690" s="184"/>
      <c r="AE690" s="184"/>
      <c r="AF690" s="184"/>
      <c r="AG690" s="184"/>
      <c r="AH690" s="184"/>
      <c r="AI690" s="184"/>
      <c r="AJ690" s="184"/>
      <c r="AK690" s="184"/>
      <c r="AL690" s="184"/>
      <c r="AM690" s="184"/>
      <c r="AN690" s="184"/>
      <c r="AO690" s="184"/>
      <c r="AP690" s="184"/>
      <c r="AQ690" s="184"/>
      <c r="AR690" s="184"/>
      <c r="AS690" s="184"/>
      <c r="AT690" s="184"/>
      <c r="AU690" s="184"/>
      <c r="AV690" s="184"/>
      <c r="AW690" s="184"/>
      <c r="AX690" s="184"/>
      <c r="AY690" s="184"/>
      <c r="AZ690" s="184"/>
      <c r="BA690" s="184"/>
      <c r="BB690" s="184"/>
      <c r="BC690" s="184"/>
      <c r="BD690" s="184"/>
      <c r="BE690" s="184"/>
      <c r="BF690" s="184"/>
      <c r="BG690" s="184"/>
      <c r="BH690" s="184"/>
      <c r="BI690" s="184"/>
      <c r="BJ690" s="184"/>
    </row>
    <row r="691" spans="2:62" ht="15.75" customHeight="1">
      <c r="B691" s="181"/>
      <c r="C691" s="411"/>
      <c r="D691" s="411"/>
      <c r="E691" s="411"/>
      <c r="F691" s="411"/>
      <c r="G691" s="411"/>
      <c r="H691" s="411"/>
      <c r="I691" s="411"/>
      <c r="J691" s="411"/>
      <c r="K691" s="421"/>
      <c r="L691" s="421"/>
      <c r="M691" s="411"/>
      <c r="N691" s="421"/>
      <c r="O691" s="421"/>
      <c r="P691" s="411"/>
      <c r="Q691" s="421"/>
      <c r="R691" s="421"/>
      <c r="S691" s="411"/>
      <c r="T691" s="411"/>
      <c r="U691" s="411"/>
      <c r="V691" s="411"/>
      <c r="W691" s="411"/>
      <c r="X691" s="411"/>
      <c r="Y691" s="184"/>
      <c r="Z691" s="184"/>
      <c r="AA691" s="184"/>
      <c r="AB691" s="184"/>
      <c r="AC691" s="184"/>
      <c r="AD691" s="184"/>
      <c r="AE691" s="184"/>
      <c r="AF691" s="184"/>
      <c r="AG691" s="184"/>
      <c r="AH691" s="184"/>
      <c r="AI691" s="184"/>
      <c r="AJ691" s="184"/>
      <c r="AK691" s="184"/>
      <c r="AL691" s="184"/>
      <c r="AM691" s="184"/>
      <c r="AN691" s="184"/>
      <c r="AO691" s="184"/>
      <c r="AP691" s="184"/>
      <c r="AQ691" s="184"/>
      <c r="AR691" s="184"/>
      <c r="AS691" s="184"/>
      <c r="AT691" s="184"/>
      <c r="AU691" s="184"/>
      <c r="AV691" s="184"/>
      <c r="AW691" s="184"/>
      <c r="AX691" s="184"/>
      <c r="AY691" s="184"/>
      <c r="AZ691" s="184"/>
      <c r="BA691" s="184"/>
      <c r="BB691" s="184"/>
      <c r="BC691" s="184"/>
      <c r="BD691" s="184"/>
      <c r="BE691" s="184"/>
      <c r="BF691" s="184"/>
      <c r="BG691" s="184"/>
      <c r="BH691" s="184"/>
      <c r="BI691" s="184"/>
      <c r="BJ691" s="184"/>
    </row>
    <row r="692" spans="2:62" ht="15.75" customHeight="1">
      <c r="B692" s="181"/>
      <c r="C692" s="411"/>
      <c r="D692" s="411"/>
      <c r="E692" s="411"/>
      <c r="F692" s="411"/>
      <c r="G692" s="411"/>
      <c r="H692" s="411"/>
      <c r="I692" s="411"/>
      <c r="J692" s="411"/>
      <c r="K692" s="421"/>
      <c r="L692" s="421"/>
      <c r="M692" s="411"/>
      <c r="N692" s="421"/>
      <c r="O692" s="421"/>
      <c r="P692" s="411"/>
      <c r="Q692" s="421"/>
      <c r="R692" s="421"/>
      <c r="S692" s="411"/>
      <c r="T692" s="411"/>
      <c r="U692" s="411"/>
      <c r="V692" s="411"/>
      <c r="W692" s="411"/>
      <c r="X692" s="411"/>
      <c r="Y692" s="184"/>
      <c r="Z692" s="184"/>
      <c r="AA692" s="184"/>
      <c r="AB692" s="184"/>
      <c r="AC692" s="184"/>
      <c r="AD692" s="184"/>
      <c r="AE692" s="184"/>
      <c r="AF692" s="184"/>
      <c r="AG692" s="184"/>
      <c r="AH692" s="184"/>
      <c r="AI692" s="184"/>
      <c r="AJ692" s="184"/>
      <c r="AK692" s="184"/>
      <c r="AL692" s="184"/>
      <c r="AM692" s="184"/>
      <c r="AN692" s="184"/>
      <c r="AO692" s="184"/>
      <c r="AP692" s="184"/>
      <c r="AQ692" s="184"/>
      <c r="AR692" s="184"/>
      <c r="AS692" s="184"/>
      <c r="AT692" s="184"/>
      <c r="AU692" s="184"/>
      <c r="AV692" s="184"/>
      <c r="AW692" s="184"/>
      <c r="AX692" s="184"/>
      <c r="AY692" s="184"/>
      <c r="AZ692" s="184"/>
      <c r="BA692" s="184"/>
      <c r="BB692" s="184"/>
      <c r="BC692" s="184"/>
      <c r="BD692" s="184"/>
      <c r="BE692" s="184"/>
      <c r="BF692" s="184"/>
      <c r="BG692" s="184"/>
      <c r="BH692" s="184"/>
      <c r="BI692" s="184"/>
      <c r="BJ692" s="184"/>
    </row>
    <row r="693" spans="2:62" ht="15.75" customHeight="1">
      <c r="B693" s="181"/>
      <c r="C693" s="411"/>
      <c r="D693" s="411"/>
      <c r="E693" s="411"/>
      <c r="F693" s="411"/>
      <c r="G693" s="411"/>
      <c r="H693" s="411"/>
      <c r="I693" s="411"/>
      <c r="J693" s="411"/>
      <c r="K693" s="421"/>
      <c r="L693" s="421"/>
      <c r="M693" s="411"/>
      <c r="N693" s="421"/>
      <c r="O693" s="421"/>
      <c r="P693" s="411"/>
      <c r="Q693" s="421"/>
      <c r="R693" s="421"/>
      <c r="S693" s="411"/>
      <c r="T693" s="411"/>
      <c r="U693" s="411"/>
      <c r="V693" s="411"/>
      <c r="W693" s="411"/>
      <c r="X693" s="411"/>
      <c r="Y693" s="184"/>
      <c r="Z693" s="184"/>
      <c r="AA693" s="184"/>
      <c r="AB693" s="184"/>
      <c r="AC693" s="184"/>
      <c r="AD693" s="184"/>
      <c r="AE693" s="184"/>
      <c r="AF693" s="184"/>
      <c r="AG693" s="184"/>
      <c r="AH693" s="184"/>
      <c r="AI693" s="184"/>
      <c r="AJ693" s="184"/>
      <c r="AK693" s="184"/>
      <c r="AL693" s="184"/>
      <c r="AM693" s="184"/>
      <c r="AN693" s="184"/>
      <c r="AO693" s="184"/>
      <c r="AP693" s="184"/>
      <c r="AQ693" s="184"/>
      <c r="AR693" s="184"/>
      <c r="AS693" s="184"/>
      <c r="AT693" s="184"/>
      <c r="AU693" s="184"/>
      <c r="AV693" s="184"/>
      <c r="AW693" s="184"/>
      <c r="AX693" s="184"/>
      <c r="AY693" s="184"/>
      <c r="AZ693" s="184"/>
      <c r="BA693" s="184"/>
      <c r="BB693" s="184"/>
      <c r="BC693" s="184"/>
      <c r="BD693" s="184"/>
      <c r="BE693" s="184"/>
      <c r="BF693" s="184"/>
      <c r="BG693" s="184"/>
      <c r="BH693" s="184"/>
      <c r="BI693" s="184"/>
      <c r="BJ693" s="184"/>
    </row>
    <row r="694" spans="2:62" ht="15.75" customHeight="1">
      <c r="B694" s="181"/>
      <c r="C694" s="411"/>
      <c r="D694" s="411"/>
      <c r="E694" s="411"/>
      <c r="F694" s="411"/>
      <c r="G694" s="411"/>
      <c r="H694" s="411"/>
      <c r="I694" s="411"/>
      <c r="J694" s="411"/>
      <c r="K694" s="421"/>
      <c r="L694" s="423"/>
      <c r="M694" s="411"/>
      <c r="N694" s="421"/>
      <c r="O694" s="421"/>
      <c r="P694" s="411"/>
      <c r="Q694" s="421"/>
      <c r="R694" s="423"/>
      <c r="S694" s="411"/>
      <c r="T694" s="411"/>
      <c r="U694" s="411"/>
      <c r="V694" s="411"/>
      <c r="W694" s="411"/>
      <c r="X694" s="411"/>
      <c r="Y694" s="184"/>
      <c r="Z694" s="184"/>
      <c r="AA694" s="184"/>
      <c r="AB694" s="184"/>
      <c r="AC694" s="184"/>
      <c r="AD694" s="184"/>
      <c r="AE694" s="184"/>
      <c r="AF694" s="184"/>
      <c r="AG694" s="184"/>
      <c r="AH694" s="184"/>
      <c r="AI694" s="184"/>
      <c r="AJ694" s="184"/>
      <c r="AK694" s="184"/>
      <c r="AL694" s="184"/>
      <c r="AM694" s="184"/>
      <c r="AN694" s="184"/>
      <c r="AO694" s="184"/>
      <c r="AP694" s="184"/>
      <c r="AQ694" s="184"/>
      <c r="AR694" s="184"/>
      <c r="AS694" s="184"/>
      <c r="AT694" s="184"/>
      <c r="AU694" s="184"/>
      <c r="AV694" s="184"/>
      <c r="AW694" s="184"/>
      <c r="AX694" s="184"/>
      <c r="AY694" s="184"/>
      <c r="AZ694" s="184"/>
      <c r="BA694" s="184"/>
      <c r="BB694" s="184"/>
      <c r="BC694" s="184"/>
      <c r="BD694" s="184"/>
      <c r="BE694" s="184"/>
      <c r="BF694" s="184"/>
      <c r="BG694" s="184"/>
      <c r="BH694" s="184"/>
      <c r="BI694" s="184"/>
      <c r="BJ694" s="184"/>
    </row>
    <row r="695" spans="2:62" ht="15.75" customHeight="1">
      <c r="B695" s="181"/>
      <c r="C695" s="411"/>
      <c r="D695" s="411"/>
      <c r="E695" s="411"/>
      <c r="F695" s="411"/>
      <c r="G695" s="411"/>
      <c r="H695" s="411"/>
      <c r="I695" s="411"/>
      <c r="J695" s="411"/>
      <c r="K695" s="421"/>
      <c r="L695" s="421"/>
      <c r="M695" s="411"/>
      <c r="N695" s="421"/>
      <c r="O695" s="421"/>
      <c r="P695" s="411"/>
      <c r="Q695" s="421"/>
      <c r="R695" s="421"/>
      <c r="S695" s="411"/>
      <c r="T695" s="411"/>
      <c r="U695" s="411"/>
      <c r="V695" s="411"/>
      <c r="W695" s="411"/>
      <c r="X695" s="411"/>
      <c r="Y695" s="184"/>
      <c r="Z695" s="184"/>
      <c r="AA695" s="184"/>
      <c r="AB695" s="184"/>
      <c r="AC695" s="184"/>
      <c r="AD695" s="184"/>
      <c r="AE695" s="184"/>
      <c r="AF695" s="184"/>
      <c r="AG695" s="184"/>
      <c r="AH695" s="184"/>
      <c r="AI695" s="184"/>
      <c r="AJ695" s="184"/>
      <c r="AK695" s="184"/>
      <c r="AL695" s="184"/>
      <c r="AM695" s="184"/>
      <c r="AN695" s="184"/>
      <c r="AO695" s="184"/>
      <c r="AP695" s="184"/>
      <c r="AQ695" s="184"/>
      <c r="AR695" s="184"/>
      <c r="AS695" s="184"/>
      <c r="AT695" s="184"/>
      <c r="AU695" s="184"/>
      <c r="AV695" s="184"/>
      <c r="AW695" s="184"/>
      <c r="AX695" s="184"/>
      <c r="AY695" s="184"/>
      <c r="AZ695" s="184"/>
      <c r="BA695" s="184"/>
      <c r="BB695" s="184"/>
      <c r="BC695" s="184"/>
      <c r="BD695" s="184"/>
      <c r="BE695" s="184"/>
      <c r="BF695" s="184"/>
      <c r="BG695" s="184"/>
      <c r="BH695" s="184"/>
      <c r="BI695" s="184"/>
      <c r="BJ695" s="184"/>
    </row>
    <row r="696" spans="2:62" ht="15.75" customHeight="1">
      <c r="B696" s="181"/>
      <c r="C696" s="411"/>
      <c r="D696" s="411"/>
      <c r="E696" s="411"/>
      <c r="F696" s="411"/>
      <c r="G696" s="411"/>
      <c r="H696" s="411"/>
      <c r="I696" s="411"/>
      <c r="J696" s="411"/>
      <c r="K696" s="421"/>
      <c r="L696" s="421"/>
      <c r="M696" s="411"/>
      <c r="N696" s="421"/>
      <c r="O696" s="421"/>
      <c r="P696" s="411"/>
      <c r="Q696" s="421"/>
      <c r="R696" s="421"/>
      <c r="S696" s="411"/>
      <c r="T696" s="411"/>
      <c r="U696" s="411"/>
      <c r="V696" s="411"/>
      <c r="W696" s="411"/>
      <c r="X696" s="411"/>
      <c r="Y696" s="184"/>
      <c r="Z696" s="184"/>
      <c r="AA696" s="184"/>
      <c r="AB696" s="184"/>
      <c r="AC696" s="184"/>
      <c r="AD696" s="184"/>
      <c r="AE696" s="184"/>
      <c r="AF696" s="184"/>
      <c r="AG696" s="184"/>
      <c r="AH696" s="184"/>
      <c r="AI696" s="184"/>
      <c r="AJ696" s="184"/>
      <c r="AK696" s="184"/>
      <c r="AL696" s="184"/>
      <c r="AM696" s="184"/>
      <c r="AN696" s="184"/>
      <c r="AO696" s="184"/>
      <c r="AP696" s="184"/>
      <c r="AQ696" s="184"/>
      <c r="AR696" s="184"/>
      <c r="AS696" s="184"/>
      <c r="AT696" s="184"/>
      <c r="AU696" s="184"/>
      <c r="AV696" s="184"/>
      <c r="AW696" s="184"/>
      <c r="AX696" s="184"/>
      <c r="AY696" s="184"/>
      <c r="AZ696" s="184"/>
      <c r="BA696" s="184"/>
      <c r="BB696" s="184"/>
      <c r="BC696" s="184"/>
      <c r="BD696" s="184"/>
      <c r="BE696" s="184"/>
      <c r="BF696" s="184"/>
      <c r="BG696" s="184"/>
      <c r="BH696" s="184"/>
      <c r="BI696" s="184"/>
      <c r="BJ696" s="184"/>
    </row>
    <row r="697" spans="2:62" ht="15.75" customHeight="1">
      <c r="B697" s="181"/>
      <c r="C697" s="411"/>
      <c r="D697" s="411"/>
      <c r="E697" s="411"/>
      <c r="F697" s="411"/>
      <c r="G697" s="411"/>
      <c r="H697" s="411"/>
      <c r="I697" s="411"/>
      <c r="J697" s="411"/>
      <c r="K697" s="421"/>
      <c r="L697" s="421"/>
      <c r="M697" s="411"/>
      <c r="N697" s="423"/>
      <c r="O697" s="423"/>
      <c r="P697" s="411"/>
      <c r="Q697" s="423"/>
      <c r="R697" s="421"/>
      <c r="S697" s="411"/>
      <c r="T697" s="411"/>
      <c r="U697" s="411"/>
      <c r="V697" s="411"/>
      <c r="W697" s="411"/>
      <c r="X697" s="411"/>
      <c r="Y697" s="184"/>
      <c r="Z697" s="184"/>
      <c r="AA697" s="184"/>
      <c r="AB697" s="184"/>
      <c r="AC697" s="184"/>
      <c r="AD697" s="184"/>
      <c r="AE697" s="184"/>
      <c r="AF697" s="184"/>
      <c r="AG697" s="184"/>
      <c r="AH697" s="184"/>
      <c r="AI697" s="184"/>
      <c r="AJ697" s="184"/>
      <c r="AK697" s="184"/>
      <c r="AL697" s="184"/>
      <c r="AM697" s="184"/>
      <c r="AN697" s="184"/>
      <c r="AO697" s="184"/>
      <c r="AP697" s="184"/>
      <c r="AQ697" s="184"/>
      <c r="AR697" s="184"/>
      <c r="AS697" s="184"/>
      <c r="AT697" s="184"/>
      <c r="AU697" s="184"/>
      <c r="AV697" s="184"/>
      <c r="AW697" s="184"/>
      <c r="AX697" s="184"/>
      <c r="AY697" s="184"/>
      <c r="AZ697" s="184"/>
      <c r="BA697" s="184"/>
      <c r="BB697" s="184"/>
      <c r="BC697" s="184"/>
      <c r="BD697" s="184"/>
      <c r="BE697" s="184"/>
      <c r="BF697" s="184"/>
      <c r="BG697" s="184"/>
      <c r="BH697" s="184"/>
      <c r="BI697" s="184"/>
      <c r="BJ697" s="184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3:AO403"/>
    <mergeCell ref="D357:F357"/>
    <mergeCell ref="G357:I357"/>
    <mergeCell ref="J357:L357"/>
    <mergeCell ref="M357:N357"/>
    <mergeCell ref="O357:Q357"/>
    <mergeCell ref="R357:S357"/>
    <mergeCell ref="X403:Z403"/>
    <mergeCell ref="AA403:AC403"/>
    <mergeCell ref="AD403:AF403"/>
    <mergeCell ref="AG403:AI403"/>
    <mergeCell ref="AJ403:AL403"/>
  </mergeCells>
  <phoneticPr fontId="22" type="noConversion"/>
  <conditionalFormatting sqref="F5 H318:H347 J318:K347 O318:P347">
    <cfRule type="expression" dxfId="285" priority="255" stopIfTrue="1">
      <formula>"esterreur(reference)"</formula>
    </cfRule>
  </conditionalFormatting>
  <conditionalFormatting sqref="F171">
    <cfRule type="expression" dxfId="284" priority="15" stopIfTrue="1">
      <formula>"esterreur(reference)"</formula>
    </cfRule>
  </conditionalFormatting>
  <conditionalFormatting sqref="F184">
    <cfRule type="expression" dxfId="283" priority="12" stopIfTrue="1">
      <formula>"esterreur(reference)"</formula>
    </cfRule>
  </conditionalFormatting>
  <conditionalFormatting sqref="F232">
    <cfRule type="expression" dxfId="282" priority="13" stopIfTrue="1">
      <formula>"esterreur(reference)"</formula>
    </cfRule>
  </conditionalFormatting>
  <conditionalFormatting sqref="G112:G113">
    <cfRule type="expression" dxfId="281" priority="75" stopIfTrue="1">
      <formula>"esterreur(reference)"</formula>
    </cfRule>
  </conditionalFormatting>
  <conditionalFormatting sqref="H136:H152">
    <cfRule type="expression" dxfId="280" priority="113" stopIfTrue="1">
      <formula>"esterreur(reference)"</formula>
    </cfRule>
  </conditionalFormatting>
  <conditionalFormatting sqref="H359">
    <cfRule type="expression" dxfId="279" priority="407" stopIfTrue="1">
      <formula>"esterreur(reference)"</formula>
    </cfRule>
  </conditionalFormatting>
  <conditionalFormatting sqref="H395:L398">
    <cfRule type="expression" dxfId="278" priority="404" stopIfTrue="1">
      <formula>"esterreur(reference)"</formula>
    </cfRule>
  </conditionalFormatting>
  <conditionalFormatting sqref="I5">
    <cfRule type="expression" dxfId="277" priority="74" stopIfTrue="1">
      <formula>"esterreur(reference)"</formula>
    </cfRule>
  </conditionalFormatting>
  <conditionalFormatting sqref="I184">
    <cfRule type="expression" dxfId="276" priority="71" stopIfTrue="1">
      <formula>"esterreur(reference)"</formula>
    </cfRule>
  </conditionalFormatting>
  <conditionalFormatting sqref="I376:L376 H377:H394">
    <cfRule type="expression" dxfId="275" priority="405" stopIfTrue="1">
      <formula>"esterreur(reference)"</formula>
    </cfRule>
  </conditionalFormatting>
  <conditionalFormatting sqref="J3 I13:J14 I16:J16 I17 I18:J18 J19 I20:J20 J21:J23 I24:J24 H25:L30 J31:K48 H31:H72 F83:F85 H83:L85 H86:K88 L87:L90 H90:I90 K90 J90:J91 H98:L98 I101:L101 H101:H104 I105:L111 H106:H134 I122:L122 H135:L135 H153:L153 H156:H157 J156:K157 H164:L164 H165 J165:K165 H166:K167 L167:L169 H169:I169 K169 J169:J171 H171:I171 K171:L171 H229 J229:K229 H232:L232 H233 J233:K233 H234:K235 L235:L237 H237:I237 K237 J237:J240 H239:I239 J243:L243 J252:L253 J254:K283 J284:J285 J288:L288 J289:K289 H290:K290 L291:L292 H292:I292 K292 J292:J293 H294:L294 H304:L306 H309:L310 H313:L317 H348:L348 H351:L351 H352:H354 J352:K354 H360:L363 H364:H375 H399 J399:K399">
    <cfRule type="expression" dxfId="274" priority="390" stopIfTrue="1">
      <formula>"esterreur(reference)"</formula>
    </cfRule>
  </conditionalFormatting>
  <conditionalFormatting sqref="J49:L72">
    <cfRule type="expression" dxfId="273" priority="118" stopIfTrue="1">
      <formula>"esterreur(reference)"</formula>
    </cfRule>
  </conditionalFormatting>
  <conditionalFormatting sqref="J102:L104">
    <cfRule type="expression" dxfId="272" priority="363" stopIfTrue="1">
      <formula>"esterreur(reference)"</formula>
    </cfRule>
  </conditionalFormatting>
  <conditionalFormatting sqref="J112:L121">
    <cfRule type="expression" dxfId="271" priority="335" stopIfTrue="1">
      <formula>"esterreur(reference)"</formula>
    </cfRule>
  </conditionalFormatting>
  <conditionalFormatting sqref="J123:L134">
    <cfRule type="expression" dxfId="270" priority="263" stopIfTrue="1">
      <formula>"esterreur(reference)"</formula>
    </cfRule>
  </conditionalFormatting>
  <conditionalFormatting sqref="J136:L152">
    <cfRule type="expression" dxfId="269" priority="112" stopIfTrue="1">
      <formula>"esterreur(reference)"</formula>
    </cfRule>
  </conditionalFormatting>
  <conditionalFormatting sqref="J295:L303">
    <cfRule type="expression" dxfId="268" priority="85" stopIfTrue="1">
      <formula>"esterreur(reference)"</formula>
    </cfRule>
  </conditionalFormatting>
  <conditionalFormatting sqref="J307:L308">
    <cfRule type="expression" dxfId="267" priority="279" stopIfTrue="1">
      <formula>"esterreur(reference)"</formula>
    </cfRule>
  </conditionalFormatting>
  <conditionalFormatting sqref="J359:L359">
    <cfRule type="expression" dxfId="266" priority="268" stopIfTrue="1">
      <formula>"esterreur(reference)"</formula>
    </cfRule>
  </conditionalFormatting>
  <conditionalFormatting sqref="J364:L375">
    <cfRule type="expression" dxfId="265" priority="275" stopIfTrue="1">
      <formula>"esterreur(reference)"</formula>
    </cfRule>
  </conditionalFormatting>
  <conditionalFormatting sqref="J377:L393">
    <cfRule type="expression" dxfId="264" priority="274" stopIfTrue="1">
      <formula>"esterreur(reference)"</formula>
    </cfRule>
  </conditionalFormatting>
  <conditionalFormatting sqref="J311:M312">
    <cfRule type="expression" dxfId="263" priority="36" stopIfTrue="1">
      <formula>"esterreur(reference)"</formula>
    </cfRule>
  </conditionalFormatting>
  <conditionalFormatting sqref="K5">
    <cfRule type="expression" dxfId="262" priority="284" stopIfTrue="1">
      <formula>"esterreur(reference)"</formula>
    </cfRule>
  </conditionalFormatting>
  <conditionalFormatting sqref="K394">
    <cfRule type="expression" dxfId="261" priority="408" stopIfTrue="1">
      <formula>"esterreur(reference)"</formula>
    </cfRule>
  </conditionalFormatting>
  <conditionalFormatting sqref="K93:L93">
    <cfRule type="expression" dxfId="260" priority="105" stopIfTrue="1">
      <formula>"esterreur(reference)"</formula>
    </cfRule>
  </conditionalFormatting>
  <conditionalFormatting sqref="K239:L241">
    <cfRule type="expression" dxfId="259" priority="86" stopIfTrue="1">
      <formula>"esterreur(reference)"</formula>
    </cfRule>
  </conditionalFormatting>
  <conditionalFormatting sqref="K244:L244">
    <cfRule type="expression" dxfId="258" priority="281" stopIfTrue="1">
      <formula>"esterreur(reference)"</formula>
    </cfRule>
  </conditionalFormatting>
  <conditionalFormatting sqref="K247:L247">
    <cfRule type="expression" dxfId="257" priority="280" stopIfTrue="1">
      <formula>"esterreur(reference)"</formula>
    </cfRule>
  </conditionalFormatting>
  <conditionalFormatting sqref="K99:M100">
    <cfRule type="expression" dxfId="256" priority="21" stopIfTrue="1">
      <formula>"esterreur(reference)"</formula>
    </cfRule>
  </conditionalFormatting>
  <conditionalFormatting sqref="L5:L14">
    <cfRule type="expression" dxfId="255" priority="73" stopIfTrue="1">
      <formula>"esterreur(reference)"</formula>
    </cfRule>
  </conditionalFormatting>
  <conditionalFormatting sqref="L16:L24">
    <cfRule type="expression" dxfId="254" priority="387" stopIfTrue="1">
      <formula>"esterreur(reference)"</formula>
    </cfRule>
  </conditionalFormatting>
  <conditionalFormatting sqref="L42:L48">
    <cfRule type="expression" dxfId="253" priority="383" stopIfTrue="1">
      <formula>"esterreur(reference)"</formula>
    </cfRule>
  </conditionalFormatting>
  <conditionalFormatting sqref="L75:L82">
    <cfRule type="expression" dxfId="252" priority="258" stopIfTrue="1">
      <formula>"esterreur(reference)"</formula>
    </cfRule>
  </conditionalFormatting>
  <conditionalFormatting sqref="L156:L162">
    <cfRule type="expression" dxfId="251" priority="109" stopIfTrue="1">
      <formula>"esterreur(reference)"</formula>
    </cfRule>
  </conditionalFormatting>
  <conditionalFormatting sqref="L184">
    <cfRule type="expression" dxfId="250" priority="70" stopIfTrue="1">
      <formula>"esterreur(reference)"</formula>
    </cfRule>
  </conditionalFormatting>
  <conditionalFormatting sqref="L254:L265">
    <cfRule type="expression" dxfId="249" priority="305" stopIfTrue="1">
      <formula>"esterreur(reference)"</formula>
    </cfRule>
  </conditionalFormatting>
  <conditionalFormatting sqref="L267:L285">
    <cfRule type="expression" dxfId="248" priority="260" stopIfTrue="1">
      <formula>"esterreur(reference)"</formula>
    </cfRule>
  </conditionalFormatting>
  <conditionalFormatting sqref="L318:L328">
    <cfRule type="expression" dxfId="247" priority="286" stopIfTrue="1">
      <formula>"esterreur(reference)"</formula>
    </cfRule>
  </conditionalFormatting>
  <conditionalFormatting sqref="L330:L347">
    <cfRule type="expression" dxfId="246" priority="259" stopIfTrue="1">
      <formula>"esterreur(reference)"</formula>
    </cfRule>
  </conditionalFormatting>
  <conditionalFormatting sqref="L355:L356 H356:I356 K356 J356:J357 H358:L358">
    <cfRule type="expression" dxfId="245" priority="403" stopIfTrue="1">
      <formula>"esterreur(reference)"</formula>
    </cfRule>
  </conditionalFormatting>
  <conditionalFormatting sqref="M13">
    <cfRule type="expression" dxfId="244" priority="24" stopIfTrue="1">
      <formula>"esterreur(reference)"</formula>
    </cfRule>
  </conditionalFormatting>
  <conditionalFormatting sqref="M95:M96">
    <cfRule type="expression" dxfId="243" priority="391" stopIfTrue="1">
      <formula>"esterreur(reference)"</formula>
    </cfRule>
  </conditionalFormatting>
  <conditionalFormatting sqref="M24:N24">
    <cfRule type="expression" dxfId="242" priority="23" stopIfTrue="1">
      <formula>"esterreur(reference)"</formula>
    </cfRule>
  </conditionalFormatting>
  <conditionalFormatting sqref="M27:N27">
    <cfRule type="expression" dxfId="241" priority="22" stopIfTrue="1">
      <formula>"esterreur(reference)"</formula>
    </cfRule>
  </conditionalFormatting>
  <conditionalFormatting sqref="N54">
    <cfRule type="expression" dxfId="240" priority="28" stopIfTrue="1">
      <formula>"esterreur(reference)"</formula>
    </cfRule>
  </conditionalFormatting>
  <conditionalFormatting sqref="N72">
    <cfRule type="expression" dxfId="239" priority="27" stopIfTrue="1">
      <formula>"esterreur(reference)"</formula>
    </cfRule>
  </conditionalFormatting>
  <conditionalFormatting sqref="N83">
    <cfRule type="expression" dxfId="238" priority="26" stopIfTrue="1">
      <formula>"esterreur(reference)"</formula>
    </cfRule>
  </conditionalFormatting>
  <conditionalFormatting sqref="N85">
    <cfRule type="expression" dxfId="237" priority="25" stopIfTrue="1">
      <formula>"esterreur(reference)"</formula>
    </cfRule>
  </conditionalFormatting>
  <conditionalFormatting sqref="N105">
    <cfRule type="expression" dxfId="236" priority="20" stopIfTrue="1">
      <formula>"esterreur(reference)"</formula>
    </cfRule>
  </conditionalFormatting>
  <conditionalFormatting sqref="N108">
    <cfRule type="expression" dxfId="235" priority="19" stopIfTrue="1">
      <formula>"esterreur(reference)"</formula>
    </cfRule>
  </conditionalFormatting>
  <conditionalFormatting sqref="N122">
    <cfRule type="expression" dxfId="234" priority="18" stopIfTrue="1">
      <formula>"esterreur(reference)"</formula>
    </cfRule>
  </conditionalFormatting>
  <conditionalFormatting sqref="N135">
    <cfRule type="expression" dxfId="233" priority="17" stopIfTrue="1">
      <formula>"esterreur(reference)"</formula>
    </cfRule>
  </conditionalFormatting>
  <conditionalFormatting sqref="N153">
    <cfRule type="expression" dxfId="232" priority="16" stopIfTrue="1">
      <formula>"esterreur(reference)"</formula>
    </cfRule>
  </conditionalFormatting>
  <conditionalFormatting sqref="N304">
    <cfRule type="expression" dxfId="231" priority="8" stopIfTrue="1">
      <formula>"esterreur(reference)"</formula>
    </cfRule>
  </conditionalFormatting>
  <conditionalFormatting sqref="N309">
    <cfRule type="expression" dxfId="230" priority="7" stopIfTrue="1">
      <formula>"esterreur(reference)"</formula>
    </cfRule>
  </conditionalFormatting>
  <conditionalFormatting sqref="N361">
    <cfRule type="expression" dxfId="229" priority="3" stopIfTrue="1">
      <formula>"esterreur(reference)"</formula>
    </cfRule>
  </conditionalFormatting>
  <conditionalFormatting sqref="N376">
    <cfRule type="expression" dxfId="228" priority="2" stopIfTrue="1">
      <formula>"esterreur(reference)"</formula>
    </cfRule>
  </conditionalFormatting>
  <conditionalFormatting sqref="N232:Q232">
    <cfRule type="expression" dxfId="227" priority="11" stopIfTrue="1">
      <formula>"esterreur(reference)"</formula>
    </cfRule>
  </conditionalFormatting>
  <conditionalFormatting sqref="N348:Q348">
    <cfRule type="expression" dxfId="226" priority="5" stopIfTrue="1">
      <formula>"esterreur(reference)"</formula>
    </cfRule>
  </conditionalFormatting>
  <conditionalFormatting sqref="N351:Q351">
    <cfRule type="expression" dxfId="225" priority="4" stopIfTrue="1">
      <formula>"esterreur(reference)"</formula>
    </cfRule>
  </conditionalFormatting>
  <conditionalFormatting sqref="N395:Q398">
    <cfRule type="expression" dxfId="224" priority="1" stopIfTrue="1">
      <formula>"esterreur(reference)"</formula>
    </cfRule>
  </conditionalFormatting>
  <conditionalFormatting sqref="O13:O14 O16 O18:O24 O83:Q85">
    <cfRule type="expression" dxfId="223" priority="250" stopIfTrue="1">
      <formula>"esterreur(reference)"</formula>
    </cfRule>
  </conditionalFormatting>
  <conditionalFormatting sqref="O229:P229 O233:P233">
    <cfRule type="expression" dxfId="222" priority="181" stopIfTrue="1">
      <formula>"esterreur(reference)"</formula>
    </cfRule>
  </conditionalFormatting>
  <conditionalFormatting sqref="O25:Q72">
    <cfRule type="expression" dxfId="221" priority="119" stopIfTrue="1">
      <formula>"esterreur(reference)"</formula>
    </cfRule>
  </conditionalFormatting>
  <conditionalFormatting sqref="O101:Q153">
    <cfRule type="expression" dxfId="220" priority="31" stopIfTrue="1">
      <formula>"esterreur(reference)"</formula>
    </cfRule>
  </conditionalFormatting>
  <conditionalFormatting sqref="O243:Q243 O252:Q253 O254:P283 O284:O285 O289:P289">
    <cfRule type="expression" dxfId="219" priority="66" stopIfTrue="1">
      <formula>"esterreur(reference)"</formula>
    </cfRule>
  </conditionalFormatting>
  <conditionalFormatting sqref="O288:Q288">
    <cfRule type="expression" dxfId="218" priority="10" stopIfTrue="1">
      <formula>"esterreur(reference)"</formula>
    </cfRule>
  </conditionalFormatting>
  <conditionalFormatting sqref="O295:Q310">
    <cfRule type="expression" dxfId="217" priority="132" stopIfTrue="1">
      <formula>"esterreur(reference)"</formula>
    </cfRule>
  </conditionalFormatting>
  <conditionalFormatting sqref="O313:Q317 O352:P352">
    <cfRule type="expression" dxfId="216" priority="146" stopIfTrue="1">
      <formula>"esterreur(reference)"</formula>
    </cfRule>
  </conditionalFormatting>
  <conditionalFormatting sqref="O358:Q393">
    <cfRule type="expression" dxfId="215" priority="120" stopIfTrue="1">
      <formula>"esterreur(reference)"</formula>
    </cfRule>
  </conditionalFormatting>
  <conditionalFormatting sqref="O311:R312">
    <cfRule type="expression" dxfId="214" priority="33" stopIfTrue="1">
      <formula>"esterreur(reference)"</formula>
    </cfRule>
  </conditionalFormatting>
  <conditionalFormatting sqref="P5">
    <cfRule type="expression" dxfId="213" priority="227" stopIfTrue="1">
      <formula>"esterreur(reference)"</formula>
    </cfRule>
  </conditionalFormatting>
  <conditionalFormatting sqref="P97 O98:Q98 O156:P157 O164:Q164 O165:P165">
    <cfRule type="expression" dxfId="212" priority="218" stopIfTrue="1">
      <formula>"esterreur(reference)"</formula>
    </cfRule>
  </conditionalFormatting>
  <conditionalFormatting sqref="P394">
    <cfRule type="expression" dxfId="211" priority="129" stopIfTrue="1">
      <formula>"esterreur(reference)"</formula>
    </cfRule>
  </conditionalFormatting>
  <conditionalFormatting sqref="P93:Q93">
    <cfRule type="expression" dxfId="210" priority="104" stopIfTrue="1">
      <formula>"esterreur(reference)"</formula>
    </cfRule>
  </conditionalFormatting>
  <conditionalFormatting sqref="P99:Q100">
    <cfRule type="expression" dxfId="209" priority="106" stopIfTrue="1">
      <formula>"esterreur(reference)"</formula>
    </cfRule>
  </conditionalFormatting>
  <conditionalFormatting sqref="P241:Q241">
    <cfRule type="expression" dxfId="208" priority="41" stopIfTrue="1">
      <formula>"esterreur(reference)"</formula>
    </cfRule>
  </conditionalFormatting>
  <conditionalFormatting sqref="P244:Q244">
    <cfRule type="expression" dxfId="207" priority="45" stopIfTrue="1">
      <formula>"esterreur(reference)"</formula>
    </cfRule>
  </conditionalFormatting>
  <conditionalFormatting sqref="P247:Q247">
    <cfRule type="expression" dxfId="206" priority="44" stopIfTrue="1">
      <formula>"esterreur(reference)"</formula>
    </cfRule>
  </conditionalFormatting>
  <conditionalFormatting sqref="Q5:Q14">
    <cfRule type="expression" dxfId="205" priority="72" stopIfTrue="1">
      <formula>"esterreur(reference)"</formula>
    </cfRule>
  </conditionalFormatting>
  <conditionalFormatting sqref="Q16:Q24">
    <cfRule type="expression" dxfId="204" priority="247" stopIfTrue="1">
      <formula>"esterreur(reference)"</formula>
    </cfRule>
  </conditionalFormatting>
  <conditionalFormatting sqref="Q75:Q82">
    <cfRule type="expression" dxfId="203" priority="229" stopIfTrue="1">
      <formula>"esterreur(reference)"</formula>
    </cfRule>
  </conditionalFormatting>
  <conditionalFormatting sqref="Q156:Q162">
    <cfRule type="expression" dxfId="202" priority="189" stopIfTrue="1">
      <formula>"esterreur(reference)"</formula>
    </cfRule>
  </conditionalFormatting>
  <conditionalFormatting sqref="Q184">
    <cfRule type="expression" dxfId="201" priority="69" stopIfTrue="1">
      <formula>"esterreur(reference)"</formula>
    </cfRule>
  </conditionalFormatting>
  <conditionalFormatting sqref="Q254:Q265">
    <cfRule type="expression" dxfId="200" priority="53" stopIfTrue="1">
      <formula>"esterreur(reference)"</formula>
    </cfRule>
  </conditionalFormatting>
  <conditionalFormatting sqref="Q267:Q285">
    <cfRule type="expression" dxfId="199" priority="43" stopIfTrue="1">
      <formula>"esterreur(reference)"</formula>
    </cfRule>
  </conditionalFormatting>
  <conditionalFormatting sqref="Q318:Q328">
    <cfRule type="expression" dxfId="198" priority="134" stopIfTrue="1">
      <formula>"esterreur(reference)"</formula>
    </cfRule>
  </conditionalFormatting>
  <conditionalFormatting sqref="Q330:Q347">
    <cfRule type="expression" dxfId="197" priority="130" stopIfTrue="1">
      <formula>"esterreur(reference)"</formula>
    </cfRule>
  </conditionalFormatting>
  <conditionalFormatting sqref="S186">
    <cfRule type="expression" dxfId="196" priority="267" stopIfTrue="1">
      <formula>"esterreur(reference)"</formula>
    </cfRule>
  </conditionalFormatting>
  <conditionalFormatting sqref="AG408:AG417 AI408:AI417">
    <cfRule type="cellIs" dxfId="195" priority="108" operator="greaterThan">
      <formula>0</formula>
    </cfRule>
  </conditionalFormatting>
  <conditionalFormatting sqref="AI419:AI450 AG431 AI452:AI459 AI465:AI467 AI490:AI495 AH496:AI496">
    <cfRule type="cellIs" dxfId="194" priority="399" operator="greaterThan">
      <formula>0</formula>
    </cfRule>
  </conditionalFormatting>
  <conditionalFormatting sqref="AI468:AI479">
    <cfRule type="cellIs" dxfId="193" priority="400" operator="lessThan">
      <formula>0</formula>
    </cfRule>
  </conditionalFormatting>
  <conditionalFormatting sqref="AO408:AO417">
    <cfRule type="cellIs" dxfId="192" priority="107" operator="greaterThan">
      <formula>0</formula>
    </cfRule>
  </conditionalFormatting>
  <printOptions horizontalCentered="1"/>
  <pageMargins left="0" right="0" top="0.5" bottom="0.25" header="0" footer="0"/>
  <pageSetup scale="34" orientation="landscape" r:id="rId1"/>
  <rowBreaks count="14" manualBreakCount="14">
    <brk id="87" min="2" max="18" man="1"/>
    <brk id="167" min="1" max="1" man="1"/>
    <brk id="88" min="1" max="1" man="1"/>
    <brk id="167" min="2" max="18" man="1"/>
    <brk id="233" min="2" max="18" man="1"/>
    <brk id="235" min="1" max="1" man="1"/>
    <brk id="290" min="2" max="18" man="1"/>
    <brk id="352" min="2" max="18" man="1"/>
    <brk id="398" min="1" max="1" man="1"/>
    <brk id="482" min="1" max="1" man="1"/>
    <brk id="290" min="1" max="1" man="1"/>
    <brk id="482" min="21" max="40" man="1"/>
    <brk id="483" min="1" max="1" man="1"/>
    <brk id="35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ColWidth="11.25"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44FE-DFE5-4C73-B440-CF42A54392C4}">
  <sheetPr>
    <tabColor rgb="FFFFC000"/>
  </sheetPr>
  <dimension ref="A1:BJ693"/>
  <sheetViews>
    <sheetView topLeftCell="V471" zoomScale="80" zoomScaleNormal="80" workbookViewId="0">
      <selection activeCell="Z511" sqref="Z511"/>
    </sheetView>
  </sheetViews>
  <sheetFormatPr baseColWidth="10" defaultColWidth="12.625" defaultRowHeight="15" customHeight="1"/>
  <cols>
    <col min="1" max="1" width="10.375" style="477" hidden="1" customWidth="1"/>
    <col min="2" max="2" width="21.875" style="477" hidden="1" customWidth="1"/>
    <col min="3" max="3" width="31.25" style="477" customWidth="1"/>
    <col min="4" max="4" width="16.5" style="477" customWidth="1"/>
    <col min="5" max="5" width="14.625" style="477" customWidth="1"/>
    <col min="6" max="6" width="14" style="477" customWidth="1"/>
    <col min="7" max="7" width="17.75" style="477" hidden="1" customWidth="1"/>
    <col min="8" max="8" width="15.125" style="477" hidden="1" customWidth="1"/>
    <col min="9" max="9" width="14" style="477" hidden="1" customWidth="1"/>
    <col min="10" max="10" width="15.625" style="477" customWidth="1"/>
    <col min="11" max="11" width="15.5" style="477" customWidth="1"/>
    <col min="12" max="12" width="14.875" style="477" customWidth="1"/>
    <col min="13" max="14" width="16.25" style="477" customWidth="1"/>
    <col min="15" max="15" width="15.5" style="477" customWidth="1"/>
    <col min="16" max="16" width="14.625" style="477" customWidth="1"/>
    <col min="17" max="17" width="14.875" style="477" bestFit="1" customWidth="1"/>
    <col min="18" max="18" width="14.75" style="477" customWidth="1"/>
    <col min="19" max="19" width="19" style="477" customWidth="1"/>
    <col min="20" max="20" width="4.625" style="477" customWidth="1"/>
    <col min="21" max="21" width="31.75" style="477" customWidth="1"/>
    <col min="22" max="22" width="34" style="477" customWidth="1"/>
    <col min="23" max="23" width="12.25" style="477" customWidth="1"/>
    <col min="24" max="24" width="13.75" style="477" customWidth="1"/>
    <col min="25" max="25" width="15.125" style="477" customWidth="1"/>
    <col min="26" max="26" width="15" style="477" customWidth="1"/>
    <col min="27" max="27" width="11.125" style="477" hidden="1" customWidth="1"/>
    <col min="28" max="28" width="9.375" style="477" hidden="1" customWidth="1"/>
    <col min="29" max="29" width="14.5" style="477" hidden="1" customWidth="1"/>
    <col min="30" max="30" width="13.5" style="477" customWidth="1"/>
    <col min="31" max="31" width="14.25" style="477" customWidth="1"/>
    <col min="32" max="32" width="14.125" style="477" customWidth="1"/>
    <col min="33" max="33" width="9" style="477" customWidth="1"/>
    <col min="34" max="34" width="13.5" style="477" customWidth="1"/>
    <col min="35" max="35" width="11.5" style="477" bestFit="1" customWidth="1"/>
    <col min="36" max="36" width="10.875" style="477" customWidth="1"/>
    <col min="37" max="37" width="11.375" style="477" customWidth="1"/>
    <col min="38" max="38" width="12.75" style="477" customWidth="1"/>
    <col min="39" max="39" width="9" style="477" customWidth="1"/>
    <col min="40" max="40" width="11.5" style="477" bestFit="1" customWidth="1"/>
    <col min="41" max="41" width="14.75" style="477" customWidth="1"/>
    <col min="42" max="42" width="11" style="477" customWidth="1"/>
    <col min="43" max="43" width="48.375" style="477" customWidth="1"/>
    <col min="44" max="62" width="11" style="477" customWidth="1"/>
    <col min="63" max="16384" width="12.625" style="477"/>
  </cols>
  <sheetData>
    <row r="1" spans="1:40" ht="36" thickBot="1">
      <c r="B1" s="478"/>
      <c r="C1" s="479" t="s">
        <v>478</v>
      </c>
      <c r="D1" s="480"/>
      <c r="E1" s="481"/>
      <c r="F1" s="480"/>
      <c r="G1" s="480"/>
      <c r="H1" s="478"/>
      <c r="I1" s="480"/>
      <c r="J1" s="478"/>
      <c r="K1" s="482" t="s">
        <v>0</v>
      </c>
      <c r="L1" s="480"/>
      <c r="M1" s="480"/>
      <c r="N1" s="483"/>
      <c r="O1" s="479"/>
      <c r="P1" s="484"/>
      <c r="Q1" s="479"/>
      <c r="R1" s="484"/>
      <c r="S1" s="485" t="s">
        <v>480</v>
      </c>
      <c r="T1" s="480" t="s">
        <v>1</v>
      </c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</row>
    <row r="2" spans="1:40" ht="15" customHeight="1" thickTop="1" thickBot="1">
      <c r="B2" s="486"/>
      <c r="C2" s="487"/>
      <c r="D2" s="488" t="s">
        <v>2</v>
      </c>
      <c r="E2" s="488" t="s">
        <v>3</v>
      </c>
      <c r="F2" s="488" t="s">
        <v>4</v>
      </c>
      <c r="G2" s="488"/>
      <c r="H2" s="488"/>
      <c r="I2" s="488"/>
      <c r="J2" s="488" t="s">
        <v>218</v>
      </c>
      <c r="K2" s="488"/>
      <c r="L2" s="488" t="s">
        <v>219</v>
      </c>
      <c r="M2" s="489"/>
      <c r="N2" s="489"/>
      <c r="O2" s="488" t="s">
        <v>2</v>
      </c>
      <c r="P2" s="488" t="s">
        <v>3</v>
      </c>
      <c r="Q2" s="488" t="s">
        <v>4</v>
      </c>
      <c r="R2" s="489"/>
      <c r="S2" s="489"/>
      <c r="T2" s="489"/>
      <c r="U2" s="489"/>
      <c r="V2" s="490" t="s">
        <v>471</v>
      </c>
      <c r="W2" s="491"/>
    </row>
    <row r="3" spans="1:40" ht="21" thickTop="1">
      <c r="B3" s="492"/>
      <c r="C3" s="493"/>
      <c r="D3" s="879" t="s">
        <v>5</v>
      </c>
      <c r="E3" s="880"/>
      <c r="F3" s="881"/>
      <c r="G3" s="882"/>
      <c r="H3" s="880"/>
      <c r="I3" s="881"/>
      <c r="J3" s="882" t="s">
        <v>7</v>
      </c>
      <c r="K3" s="880"/>
      <c r="L3" s="881"/>
      <c r="M3" s="882" t="s">
        <v>220</v>
      </c>
      <c r="N3" s="881"/>
      <c r="O3" s="879" t="s">
        <v>8</v>
      </c>
      <c r="P3" s="880"/>
      <c r="Q3" s="881"/>
      <c r="R3" s="882" t="s">
        <v>221</v>
      </c>
      <c r="S3" s="881"/>
      <c r="T3" s="492"/>
      <c r="U3" s="492"/>
      <c r="V3" s="494" t="s">
        <v>472</v>
      </c>
      <c r="W3" s="495">
        <v>0.45</v>
      </c>
      <c r="X3" s="492"/>
      <c r="Y3" s="492"/>
      <c r="Z3" s="492"/>
      <c r="AA3" s="492"/>
      <c r="AB3" s="492"/>
      <c r="AC3" s="492"/>
      <c r="AD3" s="492"/>
      <c r="AE3" s="492"/>
      <c r="AF3" s="492"/>
      <c r="AG3" s="492"/>
      <c r="AH3" s="492"/>
      <c r="AI3" s="492"/>
      <c r="AJ3" s="492"/>
      <c r="AK3" s="492"/>
      <c r="AL3" s="492"/>
      <c r="AM3" s="492"/>
      <c r="AN3" s="492"/>
    </row>
    <row r="4" spans="1:40" ht="20.25">
      <c r="B4" s="492"/>
      <c r="C4" s="496"/>
      <c r="D4" s="497" t="s">
        <v>10</v>
      </c>
      <c r="E4" s="498" t="s">
        <v>11</v>
      </c>
      <c r="F4" s="499" t="s">
        <v>12</v>
      </c>
      <c r="G4" s="500"/>
      <c r="H4" s="498"/>
      <c r="I4" s="499"/>
      <c r="J4" s="500" t="s">
        <v>473</v>
      </c>
      <c r="K4" s="498" t="s">
        <v>13</v>
      </c>
      <c r="L4" s="499" t="s">
        <v>12</v>
      </c>
      <c r="M4" s="500" t="s">
        <v>473</v>
      </c>
      <c r="N4" s="499" t="s">
        <v>12</v>
      </c>
      <c r="O4" s="498" t="s">
        <v>10</v>
      </c>
      <c r="P4" s="498" t="s">
        <v>11</v>
      </c>
      <c r="Q4" s="499" t="s">
        <v>12</v>
      </c>
      <c r="R4" s="500" t="s">
        <v>473</v>
      </c>
      <c r="S4" s="499" t="s">
        <v>12</v>
      </c>
      <c r="T4" s="492"/>
      <c r="U4" s="492"/>
      <c r="V4" s="494" t="s">
        <v>474</v>
      </c>
      <c r="W4" s="495">
        <v>0.1</v>
      </c>
      <c r="X4" s="492"/>
      <c r="Y4" s="492"/>
      <c r="Z4" s="492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ht="20.25">
      <c r="A5" s="477" t="s">
        <v>228</v>
      </c>
      <c r="B5" s="492" t="s">
        <v>0</v>
      </c>
      <c r="C5" s="501" t="s">
        <v>15</v>
      </c>
      <c r="D5" s="502"/>
      <c r="E5" s="502"/>
      <c r="F5" s="503">
        <v>3782098.1621498531</v>
      </c>
      <c r="G5" s="502"/>
      <c r="H5" s="502"/>
      <c r="I5" s="504"/>
      <c r="J5" s="501"/>
      <c r="K5" s="505"/>
      <c r="L5" s="503">
        <v>4089468.2600000007</v>
      </c>
      <c r="M5" s="506"/>
      <c r="N5" s="507"/>
      <c r="O5" s="501"/>
      <c r="P5" s="505"/>
      <c r="Q5" s="503">
        <v>4524162.07</v>
      </c>
      <c r="R5" s="506"/>
      <c r="S5" s="507"/>
      <c r="T5" s="492"/>
      <c r="U5" s="492"/>
      <c r="V5" s="494" t="s">
        <v>222</v>
      </c>
      <c r="W5" s="495">
        <v>0.22500000000000001</v>
      </c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</row>
    <row r="6" spans="1:40" ht="20.25">
      <c r="A6" s="477" t="s">
        <v>229</v>
      </c>
      <c r="B6" s="492" t="s">
        <v>0</v>
      </c>
      <c r="C6" s="508" t="s">
        <v>16</v>
      </c>
      <c r="D6" s="509">
        <v>19</v>
      </c>
      <c r="E6" s="509">
        <v>1953.6491683802797</v>
      </c>
      <c r="F6" s="509">
        <v>37119.334199225312</v>
      </c>
      <c r="G6" s="510"/>
      <c r="H6" s="509"/>
      <c r="I6" s="509"/>
      <c r="J6" s="510">
        <v>13</v>
      </c>
      <c r="K6" s="509">
        <v>1905.2107692307695</v>
      </c>
      <c r="L6" s="511">
        <v>24767.740000000005</v>
      </c>
      <c r="M6" s="510">
        <v>-6</v>
      </c>
      <c r="N6" s="511">
        <v>-12351.594199225307</v>
      </c>
      <c r="O6" s="510">
        <v>23</v>
      </c>
      <c r="P6" s="509">
        <v>1942.4756521739087</v>
      </c>
      <c r="Q6" s="511">
        <v>44676.9399999999</v>
      </c>
      <c r="R6" s="510">
        <v>-10</v>
      </c>
      <c r="S6" s="511">
        <v>-19909.199999999895</v>
      </c>
      <c r="T6" s="492"/>
      <c r="U6" s="492"/>
      <c r="V6" s="494" t="s">
        <v>475</v>
      </c>
      <c r="W6" s="495">
        <v>2.5000000000000001E-2</v>
      </c>
      <c r="X6" s="492"/>
      <c r="Y6" s="492"/>
      <c r="Z6" s="492"/>
      <c r="AA6" s="492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2"/>
    </row>
    <row r="7" spans="1:40" ht="20.25">
      <c r="A7" s="477" t="s">
        <v>230</v>
      </c>
      <c r="B7" s="492" t="s">
        <v>0</v>
      </c>
      <c r="C7" s="508" t="s">
        <v>17</v>
      </c>
      <c r="D7" s="509">
        <v>50</v>
      </c>
      <c r="E7" s="509">
        <v>2435.9046775963693</v>
      </c>
      <c r="F7" s="509">
        <v>121795.23387981846</v>
      </c>
      <c r="G7" s="510"/>
      <c r="H7" s="509"/>
      <c r="I7" s="509"/>
      <c r="J7" s="510">
        <v>63</v>
      </c>
      <c r="K7" s="509">
        <v>2276.0850793650839</v>
      </c>
      <c r="L7" s="511">
        <v>143393.36000000028</v>
      </c>
      <c r="M7" s="510">
        <v>13</v>
      </c>
      <c r="N7" s="511">
        <v>21598.126120181812</v>
      </c>
      <c r="O7" s="510">
        <v>54</v>
      </c>
      <c r="P7" s="509">
        <v>2267.4683333333151</v>
      </c>
      <c r="Q7" s="511">
        <v>122443.289999999</v>
      </c>
      <c r="R7" s="510">
        <v>9</v>
      </c>
      <c r="S7" s="511">
        <v>20950.070000001273</v>
      </c>
      <c r="T7" s="492"/>
      <c r="U7" s="492"/>
      <c r="V7" s="494" t="s">
        <v>476</v>
      </c>
      <c r="W7" s="495">
        <v>0.2</v>
      </c>
      <c r="X7" s="492"/>
      <c r="Y7" s="492"/>
      <c r="Z7" s="492"/>
      <c r="AA7" s="492"/>
      <c r="AB7" s="492"/>
      <c r="AC7" s="492"/>
      <c r="AD7" s="492"/>
      <c r="AE7" s="492"/>
      <c r="AF7" s="492"/>
      <c r="AG7" s="492"/>
      <c r="AH7" s="492"/>
      <c r="AI7" s="492"/>
      <c r="AJ7" s="492"/>
      <c r="AK7" s="492"/>
      <c r="AL7" s="492"/>
      <c r="AM7" s="492"/>
      <c r="AN7" s="492"/>
    </row>
    <row r="8" spans="1:40" ht="21" thickBot="1">
      <c r="A8" s="477" t="s">
        <v>231</v>
      </c>
      <c r="B8" s="492" t="s">
        <v>0</v>
      </c>
      <c r="C8" s="508" t="s">
        <v>18</v>
      </c>
      <c r="D8" s="509">
        <v>0</v>
      </c>
      <c r="E8" s="509">
        <v>0</v>
      </c>
      <c r="F8" s="509">
        <v>0</v>
      </c>
      <c r="G8" s="510"/>
      <c r="H8" s="509"/>
      <c r="I8" s="509"/>
      <c r="J8" s="510">
        <v>0</v>
      </c>
      <c r="K8" s="509">
        <v>0</v>
      </c>
      <c r="L8" s="511">
        <v>0</v>
      </c>
      <c r="M8" s="510">
        <v>0</v>
      </c>
      <c r="N8" s="511">
        <v>0</v>
      </c>
      <c r="O8" s="510">
        <v>0</v>
      </c>
      <c r="P8" s="509">
        <v>0</v>
      </c>
      <c r="Q8" s="511">
        <v>0</v>
      </c>
      <c r="R8" s="510">
        <v>0</v>
      </c>
      <c r="S8" s="511">
        <v>0</v>
      </c>
      <c r="T8" s="492"/>
      <c r="U8" s="492"/>
      <c r="V8" s="512"/>
      <c r="W8" s="513">
        <v>1</v>
      </c>
      <c r="X8" s="492"/>
      <c r="Y8" s="492"/>
      <c r="Z8" s="492"/>
      <c r="AA8" s="492"/>
      <c r="AB8" s="492"/>
      <c r="AC8" s="492"/>
      <c r="AD8" s="492"/>
      <c r="AE8" s="492"/>
      <c r="AF8" s="492"/>
      <c r="AG8" s="492"/>
      <c r="AH8" s="492"/>
      <c r="AI8" s="492"/>
      <c r="AJ8" s="492"/>
      <c r="AK8" s="492"/>
      <c r="AL8" s="492"/>
      <c r="AM8" s="492"/>
      <c r="AN8" s="492"/>
    </row>
    <row r="9" spans="1:40" ht="21" thickTop="1">
      <c r="A9" s="477" t="s">
        <v>232</v>
      </c>
      <c r="B9" s="492" t="s">
        <v>0</v>
      </c>
      <c r="C9" s="508" t="s">
        <v>19</v>
      </c>
      <c r="D9" s="509">
        <v>0</v>
      </c>
      <c r="E9" s="509">
        <v>0</v>
      </c>
      <c r="F9" s="509">
        <v>0</v>
      </c>
      <c r="G9" s="510"/>
      <c r="H9" s="509"/>
      <c r="I9" s="509"/>
      <c r="J9" s="510">
        <v>0</v>
      </c>
      <c r="K9" s="509">
        <v>0</v>
      </c>
      <c r="L9" s="511">
        <v>0</v>
      </c>
      <c r="M9" s="510">
        <v>0</v>
      </c>
      <c r="N9" s="511">
        <v>0</v>
      </c>
      <c r="O9" s="510">
        <v>0</v>
      </c>
      <c r="P9" s="509">
        <v>0</v>
      </c>
      <c r="Q9" s="511">
        <v>0</v>
      </c>
      <c r="R9" s="510">
        <v>0</v>
      </c>
      <c r="S9" s="511">
        <v>0</v>
      </c>
      <c r="T9" s="492"/>
      <c r="U9" s="492"/>
      <c r="V9" s="492"/>
      <c r="W9" s="492"/>
      <c r="X9" s="492"/>
      <c r="Y9" s="492"/>
      <c r="Z9" s="492"/>
      <c r="AA9" s="492"/>
      <c r="AB9" s="492"/>
      <c r="AC9" s="492"/>
      <c r="AD9" s="492"/>
      <c r="AE9" s="492"/>
      <c r="AF9" s="492"/>
      <c r="AG9" s="492"/>
      <c r="AH9" s="492"/>
      <c r="AI9" s="492"/>
      <c r="AJ9" s="492"/>
      <c r="AK9" s="492"/>
      <c r="AL9" s="492"/>
      <c r="AM9" s="492"/>
      <c r="AN9" s="492"/>
    </row>
    <row r="10" spans="1:40" ht="20.25" hidden="1" customHeight="1">
      <c r="A10" s="477" t="s">
        <v>233</v>
      </c>
      <c r="B10" s="492" t="s">
        <v>0</v>
      </c>
      <c r="C10" s="508" t="s">
        <v>20</v>
      </c>
      <c r="D10" s="509">
        <v>0</v>
      </c>
      <c r="E10" s="509">
        <v>0</v>
      </c>
      <c r="F10" s="509">
        <v>0</v>
      </c>
      <c r="G10" s="510"/>
      <c r="H10" s="509"/>
      <c r="I10" s="509"/>
      <c r="J10" s="510">
        <v>0</v>
      </c>
      <c r="K10" s="509">
        <v>0</v>
      </c>
      <c r="L10" s="511">
        <v>0</v>
      </c>
      <c r="M10" s="510">
        <v>0</v>
      </c>
      <c r="N10" s="511">
        <v>0</v>
      </c>
      <c r="O10" s="510">
        <v>0</v>
      </c>
      <c r="P10" s="509">
        <v>0</v>
      </c>
      <c r="Q10" s="511">
        <v>0</v>
      </c>
      <c r="R10" s="510">
        <v>0</v>
      </c>
      <c r="S10" s="511">
        <v>0</v>
      </c>
      <c r="T10" s="492"/>
      <c r="U10" s="492"/>
      <c r="V10" s="492"/>
      <c r="W10" s="492"/>
      <c r="X10" s="492"/>
      <c r="Y10" s="492"/>
      <c r="Z10" s="492"/>
      <c r="AA10" s="492"/>
      <c r="AB10" s="492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/>
      <c r="AN10" s="492"/>
    </row>
    <row r="11" spans="1:40" ht="20.25" hidden="1" customHeight="1">
      <c r="A11" s="477" t="s">
        <v>233</v>
      </c>
      <c r="B11" s="492" t="s">
        <v>0</v>
      </c>
      <c r="C11" s="508" t="s">
        <v>20</v>
      </c>
      <c r="D11" s="509">
        <v>0</v>
      </c>
      <c r="E11" s="509">
        <v>0</v>
      </c>
      <c r="F11" s="509">
        <v>0</v>
      </c>
      <c r="G11" s="510"/>
      <c r="H11" s="509"/>
      <c r="I11" s="509"/>
      <c r="J11" s="510">
        <v>0</v>
      </c>
      <c r="K11" s="509">
        <v>0</v>
      </c>
      <c r="L11" s="511">
        <v>0</v>
      </c>
      <c r="M11" s="510">
        <v>0</v>
      </c>
      <c r="N11" s="511">
        <v>0</v>
      </c>
      <c r="O11" s="510">
        <v>0</v>
      </c>
      <c r="P11" s="509">
        <v>0</v>
      </c>
      <c r="Q11" s="511">
        <v>0</v>
      </c>
      <c r="R11" s="510">
        <v>0</v>
      </c>
      <c r="S11" s="511">
        <v>0</v>
      </c>
      <c r="T11" s="492"/>
      <c r="U11" s="492"/>
      <c r="V11" s="492"/>
      <c r="W11" s="492"/>
      <c r="X11" s="492"/>
      <c r="Y11" s="492"/>
      <c r="Z11" s="492"/>
      <c r="AA11" s="492"/>
      <c r="AB11" s="492"/>
      <c r="AC11" s="492"/>
      <c r="AD11" s="492"/>
      <c r="AE11" s="492"/>
      <c r="AF11" s="492"/>
      <c r="AG11" s="492"/>
      <c r="AH11" s="492"/>
      <c r="AI11" s="492"/>
      <c r="AJ11" s="492"/>
      <c r="AK11" s="492"/>
      <c r="AL11" s="492"/>
      <c r="AM11" s="492"/>
      <c r="AN11" s="492"/>
    </row>
    <row r="12" spans="1:40" ht="20.25" hidden="1" customHeight="1">
      <c r="A12" s="477" t="s">
        <v>233</v>
      </c>
      <c r="B12" s="492" t="s">
        <v>0</v>
      </c>
      <c r="C12" s="508" t="s">
        <v>20</v>
      </c>
      <c r="D12" s="509">
        <v>0</v>
      </c>
      <c r="E12" s="509">
        <v>0</v>
      </c>
      <c r="F12" s="509">
        <v>0</v>
      </c>
      <c r="G12" s="510"/>
      <c r="H12" s="509"/>
      <c r="I12" s="509"/>
      <c r="J12" s="510">
        <v>0</v>
      </c>
      <c r="K12" s="509">
        <v>0</v>
      </c>
      <c r="L12" s="511">
        <v>0</v>
      </c>
      <c r="M12" s="510">
        <v>0</v>
      </c>
      <c r="N12" s="511">
        <v>0</v>
      </c>
      <c r="O12" s="510">
        <v>0</v>
      </c>
      <c r="P12" s="509">
        <v>0</v>
      </c>
      <c r="Q12" s="511">
        <v>0</v>
      </c>
      <c r="R12" s="510">
        <v>0</v>
      </c>
      <c r="S12" s="511">
        <v>0</v>
      </c>
      <c r="T12" s="492"/>
      <c r="U12" s="492"/>
      <c r="V12" s="492"/>
      <c r="W12" s="492"/>
      <c r="X12" s="492"/>
      <c r="Y12" s="492"/>
      <c r="Z12" s="492"/>
      <c r="AA12" s="492"/>
      <c r="AB12" s="492"/>
      <c r="AC12" s="492"/>
      <c r="AD12" s="492"/>
      <c r="AE12" s="492"/>
      <c r="AF12" s="492"/>
      <c r="AG12" s="492"/>
      <c r="AH12" s="492"/>
      <c r="AI12" s="492"/>
      <c r="AJ12" s="492"/>
      <c r="AK12" s="492"/>
      <c r="AL12" s="492"/>
      <c r="AM12" s="492"/>
      <c r="AN12" s="492"/>
    </row>
    <row r="13" spans="1:40" ht="20.25">
      <c r="A13" s="477" t="s">
        <v>234</v>
      </c>
      <c r="B13" s="492" t="s">
        <v>0</v>
      </c>
      <c r="C13" s="514" t="s">
        <v>21</v>
      </c>
      <c r="D13" s="515">
        <v>69</v>
      </c>
      <c r="E13" s="515">
        <v>2303.109682304982</v>
      </c>
      <c r="F13" s="516">
        <v>158914.56807904376</v>
      </c>
      <c r="G13" s="517"/>
      <c r="H13" s="515"/>
      <c r="I13" s="516"/>
      <c r="J13" s="517">
        <v>76</v>
      </c>
      <c r="K13" s="515">
        <v>2212.6460526315823</v>
      </c>
      <c r="L13" s="516">
        <v>168161.10000000027</v>
      </c>
      <c r="M13" s="517">
        <v>7</v>
      </c>
      <c r="N13" s="516">
        <v>9246.5319209565059</v>
      </c>
      <c r="O13" s="517">
        <v>77</v>
      </c>
      <c r="P13" s="515">
        <v>2170.3925974025833</v>
      </c>
      <c r="Q13" s="516">
        <v>167120.2299999989</v>
      </c>
      <c r="R13" s="517">
        <v>-1</v>
      </c>
      <c r="S13" s="516">
        <v>1040.8700000013778</v>
      </c>
      <c r="T13" s="492"/>
      <c r="U13" s="492"/>
      <c r="V13" s="492"/>
      <c r="W13" s="492"/>
      <c r="X13" s="492"/>
      <c r="Y13" s="492"/>
      <c r="Z13" s="492"/>
      <c r="AA13" s="492"/>
      <c r="AB13" s="492"/>
      <c r="AC13" s="492"/>
      <c r="AD13" s="492"/>
      <c r="AE13" s="492"/>
      <c r="AF13" s="492"/>
      <c r="AG13" s="492"/>
      <c r="AH13" s="492"/>
      <c r="AI13" s="492"/>
      <c r="AJ13" s="492"/>
      <c r="AK13" s="492"/>
      <c r="AL13" s="492"/>
      <c r="AM13" s="492"/>
      <c r="AN13" s="492"/>
    </row>
    <row r="14" spans="1:40" ht="20.25">
      <c r="A14" s="477" t="s">
        <v>0</v>
      </c>
      <c r="B14" s="492" t="s">
        <v>0</v>
      </c>
      <c r="C14" s="508"/>
      <c r="D14" s="492"/>
      <c r="E14" s="509"/>
      <c r="F14" s="518"/>
      <c r="G14" s="508"/>
      <c r="H14" s="509"/>
      <c r="I14" s="518"/>
      <c r="J14" s="508"/>
      <c r="K14" s="509"/>
      <c r="L14" s="518"/>
      <c r="M14" s="519">
        <v>0.10144927536231885</v>
      </c>
      <c r="N14" s="520">
        <v>5.8185552355132737E-2</v>
      </c>
      <c r="O14" s="508"/>
      <c r="P14" s="509"/>
      <c r="Q14" s="518"/>
      <c r="R14" s="519">
        <v>-1.2987012987012988E-2</v>
      </c>
      <c r="S14" s="520">
        <v>6.2282705092099539E-3</v>
      </c>
      <c r="T14" s="492"/>
      <c r="U14" s="492"/>
      <c r="V14" s="492"/>
      <c r="W14" s="509"/>
      <c r="X14" s="509"/>
      <c r="Y14" s="492"/>
      <c r="Z14" s="492"/>
      <c r="AA14" s="492"/>
      <c r="AB14" s="492"/>
      <c r="AC14" s="492"/>
      <c r="AD14" s="492">
        <v>20</v>
      </c>
      <c r="AE14" s="492">
        <v>1000</v>
      </c>
      <c r="AF14" s="492">
        <v>20000</v>
      </c>
      <c r="AG14" s="492"/>
      <c r="AH14" s="492"/>
      <c r="AI14" s="492"/>
      <c r="AJ14" s="492"/>
      <c r="AK14" s="492"/>
      <c r="AL14" s="492"/>
      <c r="AM14" s="492"/>
      <c r="AN14" s="492"/>
    </row>
    <row r="15" spans="1:40" ht="20.25">
      <c r="A15" s="477" t="s">
        <v>235</v>
      </c>
      <c r="B15" s="492" t="s">
        <v>0</v>
      </c>
      <c r="C15" s="521" t="s">
        <v>22</v>
      </c>
      <c r="D15" s="505">
        <v>4</v>
      </c>
      <c r="E15" s="505">
        <v>1534.7521433415677</v>
      </c>
      <c r="F15" s="503">
        <v>6139.0085733662709</v>
      </c>
      <c r="G15" s="522"/>
      <c r="H15" s="505"/>
      <c r="I15" s="503"/>
      <c r="J15" s="523">
        <v>5</v>
      </c>
      <c r="K15" s="524">
        <v>1374.5080000000016</v>
      </c>
      <c r="L15" s="524">
        <v>6872.5400000000081</v>
      </c>
      <c r="M15" s="522">
        <v>1</v>
      </c>
      <c r="N15" s="503">
        <v>733.53142663373728</v>
      </c>
      <c r="O15" s="523">
        <v>3</v>
      </c>
      <c r="P15" s="524">
        <v>913.28999999999667</v>
      </c>
      <c r="Q15" s="524">
        <v>2739.8699999999899</v>
      </c>
      <c r="R15" s="522">
        <v>2</v>
      </c>
      <c r="S15" s="503">
        <v>4132.6700000000183</v>
      </c>
      <c r="T15" s="492"/>
      <c r="V15" s="509"/>
      <c r="W15" s="492"/>
      <c r="X15" s="492"/>
      <c r="Y15" s="492"/>
      <c r="Z15" s="492"/>
      <c r="AA15" s="492"/>
      <c r="AB15" s="492"/>
      <c r="AC15" s="492"/>
      <c r="AD15" s="492">
        <v>25</v>
      </c>
      <c r="AE15" s="492">
        <v>800</v>
      </c>
      <c r="AF15" s="492">
        <v>20000</v>
      </c>
      <c r="AG15" s="492"/>
      <c r="AH15" s="492"/>
      <c r="AI15" s="492"/>
      <c r="AJ15" s="492"/>
      <c r="AK15" s="492"/>
      <c r="AL15" s="492"/>
      <c r="AM15" s="492"/>
      <c r="AN15" s="492"/>
    </row>
    <row r="16" spans="1:40" ht="20.25">
      <c r="A16" s="477" t="s">
        <v>0</v>
      </c>
      <c r="B16" s="492" t="s">
        <v>0</v>
      </c>
      <c r="C16" s="508"/>
      <c r="D16" s="492"/>
      <c r="E16" s="509"/>
      <c r="F16" s="518"/>
      <c r="G16" s="508"/>
      <c r="H16" s="509"/>
      <c r="I16" s="518"/>
      <c r="J16" s="508"/>
      <c r="K16" s="509"/>
      <c r="L16" s="511"/>
      <c r="M16" s="525"/>
      <c r="N16" s="526"/>
      <c r="O16" s="508"/>
      <c r="P16" s="509"/>
      <c r="Q16" s="511"/>
      <c r="R16" s="525"/>
      <c r="S16" s="526"/>
      <c r="T16" s="492"/>
      <c r="U16" s="492"/>
      <c r="V16" s="492"/>
      <c r="W16" s="492"/>
      <c r="X16" s="492"/>
      <c r="Y16" s="492"/>
      <c r="Z16" s="492"/>
      <c r="AA16" s="492"/>
      <c r="AB16" s="492"/>
      <c r="AC16" s="492"/>
      <c r="AD16" s="492"/>
      <c r="AE16" s="492"/>
      <c r="AF16" s="492"/>
      <c r="AG16" s="492"/>
      <c r="AH16" s="492"/>
      <c r="AI16" s="492"/>
      <c r="AJ16" s="492"/>
      <c r="AK16" s="492"/>
      <c r="AL16" s="492"/>
      <c r="AM16" s="492"/>
      <c r="AN16" s="492"/>
    </row>
    <row r="17" spans="1:40" ht="20.25">
      <c r="A17" s="477" t="s">
        <v>236</v>
      </c>
      <c r="B17" s="492" t="s">
        <v>0</v>
      </c>
      <c r="C17" s="527" t="s">
        <v>23</v>
      </c>
      <c r="D17" s="509">
        <v>2</v>
      </c>
      <c r="E17" s="509">
        <v>2393.8521192147828</v>
      </c>
      <c r="F17" s="509">
        <v>4787.7042384295655</v>
      </c>
      <c r="G17" s="510"/>
      <c r="H17" s="509"/>
      <c r="I17" s="509"/>
      <c r="J17" s="522">
        <v>0</v>
      </c>
      <c r="K17" s="509">
        <v>0</v>
      </c>
      <c r="L17" s="511">
        <v>0</v>
      </c>
      <c r="M17" s="522">
        <v>-2</v>
      </c>
      <c r="N17" s="511">
        <v>-4787.7042384295655</v>
      </c>
      <c r="O17" s="522">
        <v>5</v>
      </c>
      <c r="P17" s="509">
        <v>2550.9160000000002</v>
      </c>
      <c r="Q17" s="511">
        <v>12754.58</v>
      </c>
      <c r="R17" s="510">
        <v>-5</v>
      </c>
      <c r="S17" s="511">
        <v>-12754.58</v>
      </c>
      <c r="T17" s="492"/>
      <c r="U17" s="489"/>
      <c r="V17" s="528"/>
      <c r="W17" s="492"/>
      <c r="X17" s="492"/>
      <c r="Y17" s="492"/>
      <c r="Z17" s="492"/>
      <c r="AA17" s="509"/>
      <c r="AB17" s="492"/>
      <c r="AC17" s="492"/>
      <c r="AD17" s="492"/>
      <c r="AE17" s="492"/>
      <c r="AF17" s="492"/>
      <c r="AG17" s="492"/>
      <c r="AH17" s="492"/>
      <c r="AI17" s="492"/>
      <c r="AJ17" s="492"/>
      <c r="AK17" s="492"/>
      <c r="AL17" s="492"/>
      <c r="AM17" s="492"/>
      <c r="AN17" s="492"/>
    </row>
    <row r="18" spans="1:40" ht="20.25">
      <c r="A18" s="477" t="s">
        <v>0</v>
      </c>
      <c r="B18" s="492" t="s">
        <v>0</v>
      </c>
      <c r="C18" s="514"/>
      <c r="D18" s="529"/>
      <c r="E18" s="529"/>
      <c r="F18" s="530"/>
      <c r="G18" s="531"/>
      <c r="H18" s="529"/>
      <c r="I18" s="530"/>
      <c r="J18" s="510"/>
      <c r="K18" s="529"/>
      <c r="L18" s="530"/>
      <c r="M18" s="510"/>
      <c r="N18" s="530"/>
      <c r="O18" s="510"/>
      <c r="P18" s="529"/>
      <c r="Q18" s="530"/>
      <c r="R18" s="531"/>
      <c r="S18" s="530"/>
      <c r="T18" s="492"/>
      <c r="U18" s="492"/>
      <c r="W18" s="492"/>
      <c r="X18" s="492"/>
      <c r="Y18" s="492"/>
      <c r="Z18" s="492"/>
      <c r="AA18" s="492"/>
      <c r="AB18" s="492"/>
      <c r="AC18" s="492"/>
      <c r="AD18" s="492"/>
      <c r="AE18" s="492"/>
      <c r="AF18" s="492"/>
      <c r="AG18" s="492"/>
      <c r="AH18" s="492"/>
      <c r="AI18" s="492"/>
      <c r="AJ18" s="492"/>
      <c r="AK18" s="492"/>
      <c r="AL18" s="492"/>
      <c r="AM18" s="492"/>
      <c r="AN18" s="492"/>
    </row>
    <row r="19" spans="1:40" ht="20.25">
      <c r="A19" s="477" t="s">
        <v>237</v>
      </c>
      <c r="B19" s="492" t="s">
        <v>0</v>
      </c>
      <c r="C19" s="521" t="s">
        <v>24</v>
      </c>
      <c r="D19" s="509">
        <v>0</v>
      </c>
      <c r="E19" s="509">
        <v>0</v>
      </c>
      <c r="F19" s="509">
        <v>7650</v>
      </c>
      <c r="G19" s="510"/>
      <c r="H19" s="509"/>
      <c r="I19" s="509"/>
      <c r="J19" s="522"/>
      <c r="K19" s="509"/>
      <c r="L19" s="511">
        <v>12602.349999999977</v>
      </c>
      <c r="M19" s="510"/>
      <c r="N19" s="511">
        <v>4952.3499999999767</v>
      </c>
      <c r="O19" s="522"/>
      <c r="P19" s="509"/>
      <c r="Q19" s="511">
        <v>10000</v>
      </c>
      <c r="R19" s="510">
        <v>0</v>
      </c>
      <c r="S19" s="511">
        <v>2602.3499999999767</v>
      </c>
      <c r="T19" s="492"/>
      <c r="W19" s="509"/>
      <c r="X19" s="532"/>
      <c r="Y19" s="492"/>
      <c r="Z19" s="492"/>
      <c r="AA19" s="492"/>
      <c r="AB19" s="492"/>
      <c r="AC19" s="492"/>
      <c r="AD19" s="492"/>
      <c r="AE19" s="492"/>
      <c r="AF19" s="492"/>
      <c r="AG19" s="492"/>
      <c r="AH19" s="492"/>
      <c r="AI19" s="492"/>
      <c r="AJ19" s="492"/>
      <c r="AK19" s="492"/>
      <c r="AL19" s="492"/>
      <c r="AM19" s="492"/>
      <c r="AN19" s="492"/>
    </row>
    <row r="20" spans="1:40" ht="20.25">
      <c r="A20" s="477" t="s">
        <v>0</v>
      </c>
      <c r="B20" s="492" t="s">
        <v>0</v>
      </c>
      <c r="C20" s="514"/>
      <c r="D20" s="529"/>
      <c r="E20" s="529"/>
      <c r="F20" s="530"/>
      <c r="G20" s="531"/>
      <c r="H20" s="529"/>
      <c r="I20" s="530"/>
      <c r="J20" s="510"/>
      <c r="K20" s="529"/>
      <c r="L20" s="530"/>
      <c r="M20" s="531"/>
      <c r="N20" s="530"/>
      <c r="O20" s="510"/>
      <c r="P20" s="529"/>
      <c r="Q20" s="530"/>
      <c r="R20" s="531"/>
      <c r="S20" s="530"/>
      <c r="T20" s="492"/>
      <c r="U20" s="492"/>
      <c r="W20" s="509"/>
      <c r="X20" s="532"/>
      <c r="Y20" s="492"/>
      <c r="Z20" s="492"/>
      <c r="AA20" s="492"/>
      <c r="AB20" s="492"/>
      <c r="AC20" s="492"/>
      <c r="AD20" s="492"/>
      <c r="AE20" s="492"/>
      <c r="AF20" s="492"/>
      <c r="AG20" s="492"/>
      <c r="AH20" s="492"/>
      <c r="AI20" s="492"/>
      <c r="AJ20" s="492"/>
      <c r="AK20" s="492"/>
      <c r="AL20" s="492"/>
      <c r="AM20" s="492"/>
      <c r="AN20" s="492"/>
    </row>
    <row r="21" spans="1:40" ht="15.75" customHeight="1">
      <c r="A21" s="477" t="s">
        <v>238</v>
      </c>
      <c r="B21" s="492" t="s">
        <v>0</v>
      </c>
      <c r="C21" s="508" t="s">
        <v>25</v>
      </c>
      <c r="D21" s="509">
        <v>0</v>
      </c>
      <c r="E21" s="509">
        <v>0</v>
      </c>
      <c r="F21" s="509">
        <v>3650</v>
      </c>
      <c r="G21" s="510"/>
      <c r="H21" s="509"/>
      <c r="I21" s="509"/>
      <c r="J21" s="510"/>
      <c r="K21" s="509">
        <v>7.4635802469135797</v>
      </c>
      <c r="L21" s="511">
        <v>604.54999999999995</v>
      </c>
      <c r="M21" s="510"/>
      <c r="N21" s="511">
        <v>-3045.45</v>
      </c>
      <c r="O21" s="510"/>
      <c r="P21" s="509"/>
      <c r="Q21" s="511">
        <v>0</v>
      </c>
      <c r="R21" s="510">
        <v>-7.4635802469135797</v>
      </c>
      <c r="S21" s="511">
        <v>604.54999999999995</v>
      </c>
      <c r="T21" s="492"/>
      <c r="U21" s="492"/>
      <c r="W21" s="492"/>
      <c r="X21" s="532"/>
      <c r="Y21" s="492"/>
      <c r="Z21" s="492"/>
      <c r="AA21" s="492"/>
      <c r="AB21" s="492"/>
      <c r="AC21" s="492"/>
      <c r="AD21" s="492"/>
      <c r="AE21" s="492"/>
      <c r="AF21" s="492"/>
      <c r="AG21" s="492"/>
      <c r="AH21" s="492"/>
      <c r="AI21" s="492"/>
      <c r="AJ21" s="492"/>
      <c r="AK21" s="492"/>
      <c r="AL21" s="492"/>
      <c r="AM21" s="492"/>
      <c r="AN21" s="492"/>
    </row>
    <row r="22" spans="1:40" ht="18" customHeight="1">
      <c r="A22" s="477" t="s">
        <v>239</v>
      </c>
      <c r="B22" s="492" t="s">
        <v>0</v>
      </c>
      <c r="C22" s="508" t="s">
        <v>26</v>
      </c>
      <c r="D22" s="509">
        <v>0</v>
      </c>
      <c r="E22" s="509">
        <v>0</v>
      </c>
      <c r="F22" s="509">
        <v>67890</v>
      </c>
      <c r="G22" s="510"/>
      <c r="H22" s="509"/>
      <c r="I22" s="509"/>
      <c r="J22" s="510"/>
      <c r="K22" s="509">
        <v>985.36333333333323</v>
      </c>
      <c r="L22" s="511">
        <v>79814.429999999993</v>
      </c>
      <c r="M22" s="510"/>
      <c r="N22" s="511">
        <v>11924.429999999993</v>
      </c>
      <c r="O22" s="510"/>
      <c r="P22" s="509"/>
      <c r="Q22" s="511">
        <v>60986.879999999997</v>
      </c>
      <c r="R22" s="510">
        <v>-985.36333333333323</v>
      </c>
      <c r="S22" s="511">
        <v>18827.549999999996</v>
      </c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492"/>
      <c r="AM22" s="492"/>
      <c r="AN22" s="492"/>
    </row>
    <row r="23" spans="1:40" ht="19.5" customHeight="1">
      <c r="A23" s="477" t="s">
        <v>240</v>
      </c>
      <c r="B23" s="492" t="s">
        <v>0</v>
      </c>
      <c r="C23" s="508" t="s">
        <v>27</v>
      </c>
      <c r="D23" s="509">
        <v>0</v>
      </c>
      <c r="E23" s="509">
        <v>0</v>
      </c>
      <c r="F23" s="509">
        <v>1460</v>
      </c>
      <c r="G23" s="510"/>
      <c r="H23" s="509"/>
      <c r="I23" s="509"/>
      <c r="J23" s="510"/>
      <c r="K23" s="509">
        <v>2.3029629629629627</v>
      </c>
      <c r="L23" s="511">
        <v>186.54</v>
      </c>
      <c r="M23" s="522"/>
      <c r="N23" s="511">
        <v>-1273.46</v>
      </c>
      <c r="O23" s="510"/>
      <c r="P23" s="509"/>
      <c r="Q23" s="511">
        <v>569.82000000000005</v>
      </c>
      <c r="R23" s="510">
        <v>-2.3029629629629627</v>
      </c>
      <c r="S23" s="511">
        <v>-383.28000000000009</v>
      </c>
      <c r="T23" s="492"/>
      <c r="U23" s="492"/>
      <c r="V23" s="492"/>
      <c r="W23" s="492"/>
      <c r="X23" s="492"/>
      <c r="Y23" s="492"/>
      <c r="Z23" s="492"/>
      <c r="AA23" s="492"/>
      <c r="AB23" s="492"/>
      <c r="AC23" s="492"/>
      <c r="AD23" s="492"/>
      <c r="AE23" s="492"/>
      <c r="AF23" s="492"/>
      <c r="AG23" s="492"/>
      <c r="AH23" s="492"/>
      <c r="AI23" s="492"/>
      <c r="AJ23" s="492"/>
      <c r="AK23" s="492"/>
      <c r="AL23" s="492"/>
      <c r="AM23" s="492"/>
      <c r="AN23" s="492"/>
    </row>
    <row r="24" spans="1:40" ht="18" customHeight="1">
      <c r="A24" s="477" t="s">
        <v>241</v>
      </c>
      <c r="B24" s="492" t="s">
        <v>0</v>
      </c>
      <c r="C24" s="514" t="s">
        <v>28</v>
      </c>
      <c r="D24" s="515">
        <v>73</v>
      </c>
      <c r="E24" s="515">
        <v>1000</v>
      </c>
      <c r="F24" s="516">
        <v>73000</v>
      </c>
      <c r="G24" s="517"/>
      <c r="H24" s="515"/>
      <c r="I24" s="516"/>
      <c r="J24" s="517">
        <v>81</v>
      </c>
      <c r="K24" s="515">
        <v>995.12987654320978</v>
      </c>
      <c r="L24" s="516">
        <v>80605.51999999999</v>
      </c>
      <c r="M24" s="533">
        <v>8</v>
      </c>
      <c r="N24" s="516">
        <v>7605.5199999999895</v>
      </c>
      <c r="O24" s="517">
        <v>80</v>
      </c>
      <c r="P24" s="515">
        <v>769.45875000000001</v>
      </c>
      <c r="Q24" s="516">
        <v>61556.7</v>
      </c>
      <c r="R24" s="531"/>
      <c r="S24" s="516">
        <v>19048.819999999992</v>
      </c>
      <c r="T24" s="492"/>
      <c r="U24" s="492"/>
      <c r="V24" s="492"/>
      <c r="W24" s="492"/>
      <c r="X24" s="492"/>
      <c r="Y24" s="492"/>
      <c r="Z24" s="492"/>
      <c r="AA24" s="492"/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2"/>
      <c r="AM24" s="492"/>
      <c r="AN24" s="492"/>
    </row>
    <row r="25" spans="1:40" ht="15.75" customHeight="1">
      <c r="A25" s="477" t="s">
        <v>0</v>
      </c>
      <c r="B25" s="492" t="s">
        <v>0</v>
      </c>
      <c r="C25" s="508"/>
      <c r="D25" s="492"/>
      <c r="E25" s="492"/>
      <c r="F25" s="534"/>
      <c r="G25" s="508"/>
      <c r="H25" s="492"/>
      <c r="I25" s="534"/>
      <c r="J25" s="508"/>
      <c r="K25" s="492"/>
      <c r="L25" s="534"/>
      <c r="M25" s="525"/>
      <c r="N25" s="526">
        <v>0.10418520547945191</v>
      </c>
      <c r="O25" s="508"/>
      <c r="P25" s="492"/>
      <c r="Q25" s="534"/>
      <c r="R25" s="535"/>
      <c r="S25" s="526">
        <v>0.30945161127870718</v>
      </c>
      <c r="T25" s="492"/>
      <c r="U25" s="492"/>
      <c r="V25" s="492"/>
      <c r="W25" s="492"/>
      <c r="X25" s="492"/>
      <c r="Y25" s="492"/>
      <c r="Z25" s="492"/>
      <c r="AA25" s="492"/>
      <c r="AB25" s="492"/>
      <c r="AC25" s="492"/>
      <c r="AD25" s="492"/>
      <c r="AE25" s="492"/>
      <c r="AF25" s="492"/>
      <c r="AG25" s="492"/>
      <c r="AH25" s="492"/>
      <c r="AI25" s="492"/>
      <c r="AJ25" s="492"/>
      <c r="AK25" s="492"/>
      <c r="AL25" s="492"/>
      <c r="AM25" s="492"/>
      <c r="AN25" s="492"/>
    </row>
    <row r="26" spans="1:40" ht="15.75" customHeight="1" thickBot="1">
      <c r="A26" s="477" t="s">
        <v>0</v>
      </c>
      <c r="B26" s="492" t="s">
        <v>0</v>
      </c>
      <c r="C26" s="508"/>
      <c r="D26" s="492"/>
      <c r="E26" s="492"/>
      <c r="F26" s="518"/>
      <c r="G26" s="508"/>
      <c r="H26" s="492"/>
      <c r="I26" s="518"/>
      <c r="J26" s="508"/>
      <c r="K26" s="492"/>
      <c r="L26" s="518"/>
      <c r="M26" s="508"/>
      <c r="N26" s="518"/>
      <c r="O26" s="508"/>
      <c r="P26" s="492"/>
      <c r="Q26" s="518"/>
      <c r="R26" s="508"/>
      <c r="S26" s="518"/>
      <c r="T26" s="492"/>
      <c r="U26" s="492"/>
      <c r="V26" s="492"/>
      <c r="W26" s="492"/>
      <c r="X26" s="492"/>
      <c r="Y26" s="492"/>
      <c r="Z26" s="492"/>
      <c r="AA26" s="492"/>
      <c r="AB26" s="492"/>
      <c r="AC26" s="492"/>
      <c r="AD26" s="492"/>
      <c r="AE26" s="492"/>
      <c r="AF26" s="492"/>
      <c r="AG26" s="492"/>
      <c r="AH26" s="492"/>
      <c r="AI26" s="492"/>
      <c r="AJ26" s="492"/>
      <c r="AK26" s="492"/>
      <c r="AL26" s="492"/>
      <c r="AM26" s="492"/>
      <c r="AN26" s="492"/>
    </row>
    <row r="27" spans="1:40" ht="18" customHeight="1" thickTop="1">
      <c r="A27" s="477" t="s">
        <v>242</v>
      </c>
      <c r="B27" s="492" t="s">
        <v>0</v>
      </c>
      <c r="C27" s="536" t="s">
        <v>29</v>
      </c>
      <c r="D27" s="537">
        <v>75</v>
      </c>
      <c r="E27" s="538">
        <v>3339.8837452111948</v>
      </c>
      <c r="F27" s="539">
        <v>250491.28089083961</v>
      </c>
      <c r="G27" s="540"/>
      <c r="H27" s="538"/>
      <c r="I27" s="539"/>
      <c r="J27" s="540">
        <v>81</v>
      </c>
      <c r="K27" s="538">
        <v>3311.6235802469164</v>
      </c>
      <c r="L27" s="539">
        <v>268241.51000000024</v>
      </c>
      <c r="M27" s="540">
        <v>6</v>
      </c>
      <c r="N27" s="539">
        <v>17750.229109160631</v>
      </c>
      <c r="O27" s="540">
        <v>85</v>
      </c>
      <c r="P27" s="538">
        <v>2990.2515294117516</v>
      </c>
      <c r="Q27" s="539">
        <v>254171.3799999989</v>
      </c>
      <c r="R27" s="540">
        <v>-4</v>
      </c>
      <c r="S27" s="539">
        <v>14070.130000001343</v>
      </c>
      <c r="T27" s="492"/>
      <c r="U27" s="492"/>
      <c r="V27" s="492"/>
      <c r="W27" s="492"/>
      <c r="X27" s="492"/>
      <c r="Y27" s="492"/>
      <c r="Z27" s="492"/>
      <c r="AA27" s="492"/>
      <c r="AB27" s="492"/>
      <c r="AC27" s="492"/>
      <c r="AD27" s="492"/>
      <c r="AE27" s="492"/>
      <c r="AF27" s="492"/>
      <c r="AG27" s="492"/>
      <c r="AH27" s="492"/>
      <c r="AI27" s="492"/>
      <c r="AJ27" s="492"/>
      <c r="AK27" s="492"/>
      <c r="AL27" s="492"/>
      <c r="AM27" s="492"/>
      <c r="AN27" s="492"/>
    </row>
    <row r="28" spans="1:40" ht="22.5" customHeight="1" thickBot="1">
      <c r="A28" s="477" t="s">
        <v>0</v>
      </c>
      <c r="B28" s="492" t="s">
        <v>0</v>
      </c>
      <c r="C28" s="541"/>
      <c r="D28" s="542"/>
      <c r="E28" s="542"/>
      <c r="F28" s="543"/>
      <c r="G28" s="541"/>
      <c r="H28" s="542"/>
      <c r="I28" s="543"/>
      <c r="J28" s="541"/>
      <c r="K28" s="544"/>
      <c r="L28" s="545">
        <v>1.0708616645099751</v>
      </c>
      <c r="M28" s="546">
        <v>0.08</v>
      </c>
      <c r="N28" s="547">
        <v>7.0861664509975178E-2</v>
      </c>
      <c r="O28" s="541"/>
      <c r="P28" s="542"/>
      <c r="Q28" s="543"/>
      <c r="R28" s="546">
        <v>-4.7058823529411764E-2</v>
      </c>
      <c r="S28" s="547">
        <v>5.5356861972427437E-2</v>
      </c>
      <c r="T28" s="492"/>
      <c r="U28" s="492"/>
      <c r="V28" s="492"/>
      <c r="W28" s="492"/>
      <c r="X28" s="492"/>
      <c r="Y28" s="492"/>
      <c r="Z28" s="492"/>
      <c r="AA28" s="492"/>
      <c r="AB28" s="492"/>
      <c r="AC28" s="492"/>
      <c r="AD28" s="492"/>
      <c r="AE28" s="492"/>
      <c r="AF28" s="492"/>
      <c r="AG28" s="492"/>
      <c r="AH28" s="492"/>
      <c r="AI28" s="492"/>
      <c r="AJ28" s="492"/>
      <c r="AK28" s="492"/>
      <c r="AL28" s="492"/>
      <c r="AM28" s="492"/>
      <c r="AN28" s="492"/>
    </row>
    <row r="29" spans="1:40" ht="15.75" customHeight="1" thickTop="1">
      <c r="A29" s="477" t="s">
        <v>0</v>
      </c>
      <c r="B29" s="492" t="s">
        <v>0</v>
      </c>
      <c r="C29" s="527"/>
      <c r="D29" s="548"/>
      <c r="E29" s="548"/>
      <c r="F29" s="549"/>
      <c r="G29" s="527"/>
      <c r="H29" s="548"/>
      <c r="I29" s="549"/>
      <c r="J29" s="527"/>
      <c r="K29" s="548"/>
      <c r="L29" s="549"/>
      <c r="M29" s="525"/>
      <c r="N29" s="526"/>
      <c r="O29" s="527"/>
      <c r="P29" s="548"/>
      <c r="Q29" s="549"/>
      <c r="R29" s="525"/>
      <c r="S29" s="526"/>
      <c r="T29" s="492"/>
      <c r="U29" s="550"/>
      <c r="V29" s="492"/>
      <c r="W29" s="492"/>
      <c r="X29" s="492"/>
      <c r="Y29" s="492"/>
      <c r="Z29" s="492"/>
      <c r="AA29" s="492"/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2"/>
    </row>
    <row r="30" spans="1:40" ht="15.75" customHeight="1">
      <c r="A30" s="477" t="s">
        <v>243</v>
      </c>
      <c r="B30" s="492" t="s">
        <v>0</v>
      </c>
      <c r="C30" s="551" t="s">
        <v>30</v>
      </c>
      <c r="D30" s="492"/>
      <c r="E30" s="552"/>
      <c r="F30" s="534"/>
      <c r="G30" s="508"/>
      <c r="H30" s="552"/>
      <c r="I30" s="534"/>
      <c r="J30" s="508"/>
      <c r="K30" s="552"/>
      <c r="L30" s="518"/>
      <c r="M30" s="508"/>
      <c r="N30" s="518"/>
      <c r="O30" s="508"/>
      <c r="P30" s="552"/>
      <c r="Q30" s="518"/>
      <c r="R30" s="508"/>
      <c r="S30" s="518"/>
      <c r="T30" s="492"/>
      <c r="U30" s="492"/>
      <c r="V30" s="492"/>
      <c r="W30" s="492"/>
      <c r="X30" s="492"/>
      <c r="Y30" s="492"/>
      <c r="Z30" s="492"/>
      <c r="AA30" s="492"/>
      <c r="AB30" s="492"/>
      <c r="AC30" s="492"/>
      <c r="AD30" s="492"/>
      <c r="AE30" s="492"/>
      <c r="AF30" s="492"/>
      <c r="AG30" s="492"/>
      <c r="AH30" s="492"/>
      <c r="AI30" s="492"/>
      <c r="AJ30" s="492"/>
      <c r="AK30" s="492"/>
      <c r="AL30" s="492"/>
      <c r="AM30" s="492"/>
      <c r="AN30" s="492"/>
    </row>
    <row r="31" spans="1:40" ht="15.75" customHeight="1">
      <c r="A31" s="477" t="s">
        <v>244</v>
      </c>
      <c r="B31" s="492" t="s">
        <v>0</v>
      </c>
      <c r="C31" s="508" t="s">
        <v>31</v>
      </c>
      <c r="D31" s="553">
        <v>0.32512203902136383</v>
      </c>
      <c r="E31" s="550">
        <v>735.10349847945918</v>
      </c>
      <c r="F31" s="509">
        <v>53662.555389000518</v>
      </c>
      <c r="G31" s="554"/>
      <c r="H31" s="550"/>
      <c r="I31" s="509"/>
      <c r="J31" s="554">
        <v>0.2987177779082919</v>
      </c>
      <c r="K31" s="550">
        <v>645.50197530864205</v>
      </c>
      <c r="L31" s="509">
        <v>52285.66</v>
      </c>
      <c r="M31" s="508"/>
      <c r="N31" s="534">
        <v>-1376.8953890005141</v>
      </c>
      <c r="O31" s="555">
        <v>0.31203959068351106</v>
      </c>
      <c r="P31" s="550">
        <v>712.28762500000005</v>
      </c>
      <c r="Q31" s="511">
        <v>56983.01</v>
      </c>
      <c r="R31" s="508"/>
      <c r="S31" s="534">
        <v>-4697.3499999999985</v>
      </c>
      <c r="T31" s="492"/>
      <c r="U31" s="492"/>
      <c r="V31" s="492"/>
      <c r="W31" s="492"/>
      <c r="X31" s="492"/>
      <c r="Y31" s="492"/>
      <c r="Z31" s="492"/>
      <c r="AA31" s="492"/>
      <c r="AB31" s="492"/>
      <c r="AC31" s="492"/>
      <c r="AD31" s="492"/>
      <c r="AE31" s="492"/>
      <c r="AF31" s="492"/>
      <c r="AG31" s="492"/>
      <c r="AH31" s="492"/>
      <c r="AI31" s="492"/>
      <c r="AJ31" s="492"/>
      <c r="AK31" s="492"/>
      <c r="AL31" s="492"/>
      <c r="AM31" s="492"/>
      <c r="AN31" s="492"/>
    </row>
    <row r="32" spans="1:40" ht="15.75" customHeight="1">
      <c r="A32" s="477" t="s">
        <v>245</v>
      </c>
      <c r="B32" s="492" t="s">
        <v>0</v>
      </c>
      <c r="C32" s="501" t="s">
        <v>32</v>
      </c>
      <c r="D32" s="556">
        <v>0.28000000000000003</v>
      </c>
      <c r="E32" s="557">
        <v>280.00000000000006</v>
      </c>
      <c r="F32" s="503">
        <v>20440.000000000004</v>
      </c>
      <c r="G32" s="558"/>
      <c r="H32" s="557"/>
      <c r="I32" s="503"/>
      <c r="J32" s="558">
        <v>0.25000198497571885</v>
      </c>
      <c r="K32" s="557">
        <v>248.78444444444446</v>
      </c>
      <c r="L32" s="503">
        <v>20151.54</v>
      </c>
      <c r="M32" s="501"/>
      <c r="N32" s="559">
        <v>-288.46000000000276</v>
      </c>
      <c r="O32" s="560">
        <v>0.26999709211182538</v>
      </c>
      <c r="P32" s="557">
        <v>207.75162500000002</v>
      </c>
      <c r="Q32" s="503">
        <v>16620.13</v>
      </c>
      <c r="R32" s="501"/>
      <c r="S32" s="559">
        <v>3531.41</v>
      </c>
      <c r="T32" s="492"/>
      <c r="Z32" s="492"/>
      <c r="AA32" s="492"/>
      <c r="AB32" s="492"/>
      <c r="AC32" s="492"/>
      <c r="AD32" s="492"/>
      <c r="AE32" s="492"/>
      <c r="AF32" s="492"/>
      <c r="AG32" s="492"/>
      <c r="AH32" s="492"/>
      <c r="AI32" s="492"/>
      <c r="AJ32" s="492"/>
      <c r="AK32" s="492"/>
      <c r="AL32" s="492"/>
      <c r="AM32" s="492"/>
      <c r="AN32" s="492"/>
    </row>
    <row r="33" spans="1:40" ht="15.75" customHeight="1">
      <c r="A33" s="477" t="s">
        <v>246</v>
      </c>
      <c r="B33" s="492" t="s">
        <v>0</v>
      </c>
      <c r="C33" s="508" t="s">
        <v>33</v>
      </c>
      <c r="D33" s="561"/>
      <c r="E33" s="550">
        <v>115</v>
      </c>
      <c r="F33" s="509">
        <v>8395</v>
      </c>
      <c r="G33" s="562"/>
      <c r="H33" s="550"/>
      <c r="I33" s="509"/>
      <c r="J33" s="508"/>
      <c r="K33" s="550">
        <v>112.60814814814815</v>
      </c>
      <c r="L33" s="509">
        <v>9121.26</v>
      </c>
      <c r="M33" s="508"/>
      <c r="N33" s="534">
        <v>726.26000000000022</v>
      </c>
      <c r="O33" s="508"/>
      <c r="P33" s="550">
        <v>95.092999999999989</v>
      </c>
      <c r="Q33" s="511">
        <v>7607.44</v>
      </c>
      <c r="R33" s="508"/>
      <c r="S33" s="534">
        <v>1513.8200000000006</v>
      </c>
      <c r="T33" s="492"/>
      <c r="U33" s="528"/>
      <c r="Z33" s="492"/>
      <c r="AA33" s="492"/>
      <c r="AB33" s="492"/>
      <c r="AC33" s="492"/>
      <c r="AD33" s="492"/>
      <c r="AE33" s="492"/>
      <c r="AF33" s="492"/>
      <c r="AG33" s="492"/>
      <c r="AH33" s="492"/>
      <c r="AI33" s="492"/>
      <c r="AJ33" s="492"/>
      <c r="AK33" s="492"/>
      <c r="AL33" s="492"/>
      <c r="AM33" s="492"/>
      <c r="AN33" s="492"/>
    </row>
    <row r="34" spans="1:40" ht="15.75" customHeight="1">
      <c r="A34" s="477" t="s">
        <v>247</v>
      </c>
      <c r="B34" s="492" t="s">
        <v>0</v>
      </c>
      <c r="C34" s="508" t="s">
        <v>34</v>
      </c>
      <c r="D34" s="561"/>
      <c r="E34" s="550">
        <v>10</v>
      </c>
      <c r="F34" s="509">
        <v>730</v>
      </c>
      <c r="G34" s="562"/>
      <c r="H34" s="550"/>
      <c r="I34" s="509"/>
      <c r="J34" s="508"/>
      <c r="K34" s="550">
        <v>0</v>
      </c>
      <c r="L34" s="509">
        <v>0</v>
      </c>
      <c r="M34" s="508"/>
      <c r="N34" s="534">
        <v>-730</v>
      </c>
      <c r="O34" s="508"/>
      <c r="P34" s="550">
        <v>33.065624999999997</v>
      </c>
      <c r="Q34" s="511">
        <v>2645.25</v>
      </c>
      <c r="R34" s="508"/>
      <c r="S34" s="534">
        <v>-2645.25</v>
      </c>
      <c r="T34" s="492"/>
      <c r="Z34" s="492"/>
      <c r="AA34" s="492"/>
      <c r="AB34" s="492"/>
      <c r="AC34" s="492"/>
      <c r="AD34" s="492"/>
      <c r="AE34" s="492"/>
      <c r="AF34" s="492"/>
      <c r="AG34" s="492"/>
      <c r="AH34" s="492"/>
      <c r="AI34" s="492"/>
      <c r="AJ34" s="492"/>
      <c r="AK34" s="492"/>
      <c r="AL34" s="492"/>
      <c r="AM34" s="492"/>
      <c r="AN34" s="492"/>
    </row>
    <row r="35" spans="1:40" ht="15.75" customHeight="1">
      <c r="A35" s="477" t="s">
        <v>248</v>
      </c>
      <c r="B35" s="492" t="s">
        <v>0</v>
      </c>
      <c r="C35" s="501" t="s">
        <v>35</v>
      </c>
      <c r="D35" s="563"/>
      <c r="E35" s="557">
        <v>120.75</v>
      </c>
      <c r="F35" s="503">
        <v>8814.75</v>
      </c>
      <c r="G35" s="564"/>
      <c r="H35" s="557"/>
      <c r="I35" s="503"/>
      <c r="J35" s="501"/>
      <c r="K35" s="557">
        <v>43.995185185185186</v>
      </c>
      <c r="L35" s="503">
        <v>3563.61</v>
      </c>
      <c r="M35" s="501"/>
      <c r="N35" s="559">
        <v>-5251.1399999999994</v>
      </c>
      <c r="O35" s="501"/>
      <c r="P35" s="557">
        <v>79.675375000000003</v>
      </c>
      <c r="Q35" s="511">
        <v>6374.03</v>
      </c>
      <c r="R35" s="501"/>
      <c r="S35" s="559">
        <v>-2810.4199999999996</v>
      </c>
      <c r="T35" s="492"/>
      <c r="Z35" s="492"/>
      <c r="AA35" s="492"/>
      <c r="AB35" s="492"/>
      <c r="AC35" s="492"/>
      <c r="AD35" s="492"/>
      <c r="AE35" s="492"/>
      <c r="AF35" s="492"/>
      <c r="AG35" s="492"/>
      <c r="AH35" s="492"/>
      <c r="AI35" s="492"/>
      <c r="AJ35" s="492"/>
      <c r="AK35" s="492"/>
      <c r="AL35" s="492"/>
      <c r="AM35" s="492"/>
      <c r="AN35" s="492"/>
    </row>
    <row r="36" spans="1:40" ht="15.75" customHeight="1">
      <c r="A36" s="477" t="s">
        <v>249</v>
      </c>
      <c r="B36" s="492" t="s">
        <v>0</v>
      </c>
      <c r="C36" s="508" t="s">
        <v>36</v>
      </c>
      <c r="D36" s="561"/>
      <c r="E36" s="550">
        <v>57.013698630136986</v>
      </c>
      <c r="F36" s="509">
        <v>4162</v>
      </c>
      <c r="G36" s="562"/>
      <c r="H36" s="550"/>
      <c r="I36" s="509"/>
      <c r="J36" s="508"/>
      <c r="K36" s="550">
        <v>45.389259259259269</v>
      </c>
      <c r="L36" s="565">
        <v>3676.5300000000007</v>
      </c>
      <c r="M36" s="492"/>
      <c r="N36" s="534">
        <v>-485.46999999999935</v>
      </c>
      <c r="O36" s="508"/>
      <c r="P36" s="550">
        <v>39.759500000000003</v>
      </c>
      <c r="Q36" s="530">
        <v>3180.76</v>
      </c>
      <c r="R36" s="508"/>
      <c r="S36" s="534">
        <v>495.77000000000044</v>
      </c>
      <c r="T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</row>
    <row r="37" spans="1:40" ht="15.75" customHeight="1">
      <c r="A37" s="477" t="s">
        <v>250</v>
      </c>
      <c r="B37" s="492" t="s">
        <v>0</v>
      </c>
      <c r="C37" s="508" t="s">
        <v>37</v>
      </c>
      <c r="D37" s="561"/>
      <c r="E37" s="550">
        <v>560.02012568812097</v>
      </c>
      <c r="F37" s="509">
        <v>40881.469175232829</v>
      </c>
      <c r="G37" s="562"/>
      <c r="H37" s="550"/>
      <c r="I37" s="509"/>
      <c r="J37" s="508"/>
      <c r="K37" s="550">
        <v>273.39222222222224</v>
      </c>
      <c r="L37" s="566">
        <v>22144.77</v>
      </c>
      <c r="M37" s="492"/>
      <c r="N37" s="534">
        <v>-18736.699175232829</v>
      </c>
      <c r="O37" s="508"/>
      <c r="P37" s="550">
        <v>565.70337499999994</v>
      </c>
      <c r="Q37" s="511">
        <v>45256.27</v>
      </c>
      <c r="R37" s="508"/>
      <c r="S37" s="534">
        <v>-23111.499999999996</v>
      </c>
      <c r="T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</row>
    <row r="38" spans="1:40" ht="15.75" hidden="1" customHeight="1">
      <c r="A38" s="477" t="s">
        <v>233</v>
      </c>
      <c r="B38" s="492" t="s">
        <v>0</v>
      </c>
      <c r="C38" s="508" t="s">
        <v>20</v>
      </c>
      <c r="D38" s="561"/>
      <c r="E38" s="550">
        <v>0</v>
      </c>
      <c r="F38" s="509">
        <v>0</v>
      </c>
      <c r="G38" s="562"/>
      <c r="H38" s="550"/>
      <c r="I38" s="509"/>
      <c r="J38" s="508"/>
      <c r="K38" s="550">
        <v>0</v>
      </c>
      <c r="L38" s="566">
        <v>0</v>
      </c>
      <c r="M38" s="492"/>
      <c r="N38" s="534">
        <v>0</v>
      </c>
      <c r="O38" s="508"/>
      <c r="P38" s="550">
        <v>0</v>
      </c>
      <c r="Q38" s="511">
        <v>0</v>
      </c>
      <c r="R38" s="508"/>
      <c r="S38" s="534">
        <v>0</v>
      </c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2"/>
    </row>
    <row r="39" spans="1:40" ht="15.75" hidden="1" customHeight="1">
      <c r="A39" s="477" t="s">
        <v>233</v>
      </c>
      <c r="B39" s="492" t="s">
        <v>0</v>
      </c>
      <c r="C39" s="508" t="s">
        <v>20</v>
      </c>
      <c r="D39" s="561"/>
      <c r="E39" s="550">
        <v>0</v>
      </c>
      <c r="F39" s="509">
        <v>0</v>
      </c>
      <c r="G39" s="562"/>
      <c r="H39" s="550"/>
      <c r="I39" s="509"/>
      <c r="J39" s="508"/>
      <c r="K39" s="550">
        <v>0</v>
      </c>
      <c r="L39" s="566">
        <v>0</v>
      </c>
      <c r="M39" s="492"/>
      <c r="N39" s="534">
        <v>0</v>
      </c>
      <c r="O39" s="508"/>
      <c r="P39" s="550">
        <v>0</v>
      </c>
      <c r="Q39" s="511">
        <v>0</v>
      </c>
      <c r="R39" s="508"/>
      <c r="S39" s="534">
        <v>0</v>
      </c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</row>
    <row r="40" spans="1:40" ht="15.75" hidden="1" customHeight="1">
      <c r="A40" s="477" t="s">
        <v>233</v>
      </c>
      <c r="B40" s="492" t="s">
        <v>0</v>
      </c>
      <c r="C40" s="508" t="s">
        <v>20</v>
      </c>
      <c r="D40" s="561"/>
      <c r="E40" s="550">
        <v>0</v>
      </c>
      <c r="F40" s="509">
        <v>0</v>
      </c>
      <c r="G40" s="562"/>
      <c r="H40" s="550"/>
      <c r="I40" s="509"/>
      <c r="J40" s="508"/>
      <c r="K40" s="550">
        <v>0</v>
      </c>
      <c r="L40" s="567">
        <v>0</v>
      </c>
      <c r="M40" s="492"/>
      <c r="N40" s="534">
        <v>0</v>
      </c>
      <c r="O40" s="508"/>
      <c r="P40" s="550">
        <v>0</v>
      </c>
      <c r="Q40" s="511">
        <v>0</v>
      </c>
      <c r="R40" s="508"/>
      <c r="S40" s="534">
        <v>0</v>
      </c>
      <c r="T40" s="492"/>
      <c r="U40" s="492"/>
      <c r="V40" s="492"/>
      <c r="W40" s="492"/>
      <c r="X40" s="492"/>
      <c r="Y40" s="492"/>
      <c r="Z40" s="492"/>
      <c r="AA40" s="492"/>
      <c r="AB40" s="492"/>
      <c r="AC40" s="492"/>
      <c r="AD40" s="492"/>
      <c r="AE40" s="492"/>
      <c r="AF40" s="492"/>
      <c r="AG40" s="492"/>
      <c r="AH40" s="492"/>
      <c r="AI40" s="492"/>
      <c r="AJ40" s="492"/>
      <c r="AK40" s="492"/>
      <c r="AL40" s="492"/>
      <c r="AM40" s="492"/>
      <c r="AN40" s="492"/>
    </row>
    <row r="41" spans="1:40" ht="15.75" customHeight="1">
      <c r="A41" s="477" t="s">
        <v>251</v>
      </c>
      <c r="B41" s="492" t="s">
        <v>0</v>
      </c>
      <c r="C41" s="568" t="s">
        <v>38</v>
      </c>
      <c r="D41" s="569" t="s">
        <v>39</v>
      </c>
      <c r="E41" s="570">
        <v>0.54726764970303821</v>
      </c>
      <c r="F41" s="571">
        <v>137085.77456423335</v>
      </c>
      <c r="G41" s="572"/>
      <c r="H41" s="570"/>
      <c r="I41" s="571"/>
      <c r="J41" s="572" t="s">
        <v>39</v>
      </c>
      <c r="K41" s="570">
        <v>0.41359508451917049</v>
      </c>
      <c r="L41" s="571">
        <v>110943.37000000001</v>
      </c>
      <c r="M41" s="573"/>
      <c r="N41" s="571">
        <v>-26142.404564233337</v>
      </c>
      <c r="O41" s="572" t="s">
        <v>39</v>
      </c>
      <c r="P41" s="570">
        <v>0.54556453208854827</v>
      </c>
      <c r="Q41" s="574">
        <v>138666.88999999998</v>
      </c>
      <c r="R41" s="575"/>
      <c r="S41" s="571">
        <v>-27723.519999999975</v>
      </c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2"/>
    </row>
    <row r="42" spans="1:40" ht="15.75" customHeight="1">
      <c r="A42" s="477" t="s">
        <v>252</v>
      </c>
      <c r="B42" s="492" t="s">
        <v>0</v>
      </c>
      <c r="C42" s="576" t="s">
        <v>41</v>
      </c>
      <c r="D42" s="492"/>
      <c r="E42" s="492"/>
      <c r="F42" s="509">
        <v>24486.465384615389</v>
      </c>
      <c r="G42" s="508"/>
      <c r="H42" s="492"/>
      <c r="I42" s="509"/>
      <c r="J42" s="508"/>
      <c r="K42" s="492"/>
      <c r="L42" s="511">
        <v>21170.97</v>
      </c>
      <c r="M42" s="508"/>
      <c r="N42" s="534">
        <v>-3315.4953846153876</v>
      </c>
      <c r="O42" s="508"/>
      <c r="P42" s="577">
        <v>6.2411747538216419E-2</v>
      </c>
      <c r="Q42" s="511">
        <v>15863.28</v>
      </c>
      <c r="R42" s="508"/>
      <c r="S42" s="534">
        <v>5307.6900000000005</v>
      </c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</row>
    <row r="43" spans="1:40" ht="15.75" customHeight="1">
      <c r="A43" s="477" t="s">
        <v>253</v>
      </c>
      <c r="B43" s="492" t="s">
        <v>0</v>
      </c>
      <c r="C43" s="578" t="s">
        <v>42</v>
      </c>
      <c r="D43" s="561"/>
      <c r="E43" s="492"/>
      <c r="F43" s="503">
        <v>13904.219076923078</v>
      </c>
      <c r="G43" s="562"/>
      <c r="H43" s="492"/>
      <c r="I43" s="503"/>
      <c r="J43" s="508"/>
      <c r="K43" s="492"/>
      <c r="L43" s="511">
        <v>11846.53</v>
      </c>
      <c r="M43" s="508"/>
      <c r="N43" s="534">
        <v>-2057.6890769230777</v>
      </c>
      <c r="O43" s="508"/>
      <c r="P43" s="492"/>
      <c r="Q43" s="511">
        <v>8318.4599999999991</v>
      </c>
      <c r="R43" s="508"/>
      <c r="S43" s="534">
        <v>3528.0700000000015</v>
      </c>
      <c r="T43" s="492"/>
      <c r="U43" s="492"/>
      <c r="V43" s="492"/>
      <c r="W43" s="492"/>
      <c r="X43" s="492"/>
      <c r="Y43" s="492"/>
      <c r="Z43" s="492"/>
      <c r="AA43" s="492"/>
      <c r="AB43" s="492"/>
      <c r="AC43" s="492"/>
      <c r="AD43" s="492"/>
      <c r="AE43" s="492"/>
      <c r="AF43" s="492"/>
      <c r="AG43" s="492"/>
      <c r="AH43" s="492"/>
      <c r="AI43" s="492"/>
      <c r="AJ43" s="492"/>
      <c r="AK43" s="492"/>
      <c r="AL43" s="492"/>
      <c r="AM43" s="492"/>
      <c r="AN43" s="492"/>
    </row>
    <row r="44" spans="1:40" ht="15.75" customHeight="1">
      <c r="A44" s="477" t="s">
        <v>254</v>
      </c>
      <c r="B44" s="492" t="s">
        <v>0</v>
      </c>
      <c r="C44" s="576" t="s">
        <v>43</v>
      </c>
      <c r="D44" s="579"/>
      <c r="E44" s="580"/>
      <c r="F44" s="509">
        <v>315.55384615384617</v>
      </c>
      <c r="G44" s="581"/>
      <c r="H44" s="580"/>
      <c r="I44" s="509"/>
      <c r="J44" s="496"/>
      <c r="K44" s="580"/>
      <c r="L44" s="530">
        <v>1963.25</v>
      </c>
      <c r="M44" s="496"/>
      <c r="N44" s="582">
        <v>1647.6961538461537</v>
      </c>
      <c r="O44" s="496"/>
      <c r="P44" s="580"/>
      <c r="Q44" s="530">
        <v>2420.59</v>
      </c>
      <c r="R44" s="496"/>
      <c r="S44" s="582">
        <v>-457.34000000000015</v>
      </c>
      <c r="T44" s="492"/>
      <c r="U44" s="492"/>
      <c r="V44" s="492"/>
      <c r="W44" s="492"/>
      <c r="X44" s="492"/>
      <c r="Y44" s="492"/>
      <c r="Z44" s="492"/>
      <c r="AA44" s="492"/>
      <c r="AB44" s="492"/>
      <c r="AC44" s="492"/>
      <c r="AD44" s="492"/>
      <c r="AE44" s="492"/>
      <c r="AF44" s="492"/>
      <c r="AG44" s="492"/>
      <c r="AH44" s="492"/>
      <c r="AI44" s="492"/>
      <c r="AJ44" s="492"/>
      <c r="AK44" s="492"/>
      <c r="AL44" s="492"/>
      <c r="AM44" s="492"/>
      <c r="AN44" s="492"/>
    </row>
    <row r="45" spans="1:40" ht="15.75" customHeight="1">
      <c r="A45" s="477" t="s">
        <v>255</v>
      </c>
      <c r="B45" s="492" t="s">
        <v>0</v>
      </c>
      <c r="C45" s="576" t="s">
        <v>44</v>
      </c>
      <c r="D45" s="561"/>
      <c r="E45" s="492"/>
      <c r="F45" s="509">
        <v>0</v>
      </c>
      <c r="G45" s="562"/>
      <c r="H45" s="492"/>
      <c r="I45" s="509"/>
      <c r="J45" s="508"/>
      <c r="K45" s="492"/>
      <c r="L45" s="511">
        <v>0</v>
      </c>
      <c r="M45" s="508"/>
      <c r="N45" s="534">
        <v>0</v>
      </c>
      <c r="O45" s="508"/>
      <c r="P45" s="492"/>
      <c r="Q45" s="511">
        <v>0</v>
      </c>
      <c r="R45" s="508"/>
      <c r="S45" s="534">
        <v>0</v>
      </c>
      <c r="T45" s="492"/>
      <c r="U45" s="492"/>
      <c r="V45" s="492"/>
      <c r="W45" s="492"/>
      <c r="X45" s="492"/>
      <c r="Y45" s="492"/>
      <c r="Z45" s="492"/>
      <c r="AA45" s="492"/>
      <c r="AB45" s="492"/>
      <c r="AC45" s="492"/>
      <c r="AD45" s="492"/>
      <c r="AE45" s="492"/>
      <c r="AF45" s="492"/>
      <c r="AG45" s="492"/>
      <c r="AH45" s="492"/>
      <c r="AI45" s="492"/>
      <c r="AJ45" s="492"/>
      <c r="AK45" s="492"/>
      <c r="AL45" s="492"/>
      <c r="AM45" s="492"/>
      <c r="AN45" s="492"/>
    </row>
    <row r="46" spans="1:40" ht="15.75" hidden="1" customHeight="1">
      <c r="A46" s="477" t="s">
        <v>233</v>
      </c>
      <c r="B46" s="492" t="s">
        <v>0</v>
      </c>
      <c r="C46" s="576" t="s">
        <v>20</v>
      </c>
      <c r="D46" s="561"/>
      <c r="E46" s="492"/>
      <c r="F46" s="509">
        <v>0</v>
      </c>
      <c r="G46" s="562"/>
      <c r="H46" s="492"/>
      <c r="I46" s="509"/>
      <c r="J46" s="508"/>
      <c r="K46" s="492"/>
      <c r="L46" s="511">
        <v>0</v>
      </c>
      <c r="M46" s="508"/>
      <c r="N46" s="534">
        <v>0</v>
      </c>
      <c r="O46" s="508"/>
      <c r="P46" s="492"/>
      <c r="Q46" s="511">
        <v>0</v>
      </c>
      <c r="R46" s="508"/>
      <c r="S46" s="534">
        <v>0</v>
      </c>
      <c r="T46" s="492"/>
      <c r="U46" s="492"/>
      <c r="V46" s="492"/>
      <c r="W46" s="492"/>
      <c r="X46" s="492"/>
      <c r="Y46" s="492"/>
      <c r="Z46" s="492"/>
      <c r="AA46" s="492"/>
      <c r="AB46" s="492"/>
      <c r="AC46" s="492"/>
      <c r="AD46" s="492"/>
      <c r="AE46" s="492"/>
      <c r="AF46" s="492"/>
      <c r="AG46" s="492"/>
      <c r="AH46" s="492"/>
      <c r="AI46" s="492"/>
      <c r="AJ46" s="492"/>
      <c r="AK46" s="492"/>
      <c r="AL46" s="492"/>
      <c r="AM46" s="492"/>
      <c r="AN46" s="492"/>
    </row>
    <row r="47" spans="1:40" ht="15.75" hidden="1" customHeight="1">
      <c r="A47" s="477" t="s">
        <v>233</v>
      </c>
      <c r="B47" s="492" t="s">
        <v>0</v>
      </c>
      <c r="C47" s="576" t="s">
        <v>20</v>
      </c>
      <c r="D47" s="561"/>
      <c r="E47" s="492"/>
      <c r="F47" s="509">
        <v>0</v>
      </c>
      <c r="G47" s="562"/>
      <c r="H47" s="492"/>
      <c r="I47" s="509"/>
      <c r="J47" s="508"/>
      <c r="K47" s="492"/>
      <c r="L47" s="511">
        <v>0</v>
      </c>
      <c r="M47" s="508"/>
      <c r="N47" s="534">
        <v>0</v>
      </c>
      <c r="O47" s="508"/>
      <c r="P47" s="492"/>
      <c r="Q47" s="511">
        <v>0</v>
      </c>
      <c r="R47" s="508"/>
      <c r="S47" s="534">
        <v>0</v>
      </c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D47" s="492"/>
      <c r="AE47" s="492"/>
      <c r="AF47" s="492"/>
      <c r="AG47" s="492"/>
      <c r="AH47" s="492"/>
      <c r="AI47" s="492"/>
      <c r="AJ47" s="492"/>
      <c r="AK47" s="492"/>
      <c r="AL47" s="492"/>
      <c r="AM47" s="492"/>
      <c r="AN47" s="492"/>
    </row>
    <row r="48" spans="1:40" ht="15.75" hidden="1" customHeight="1">
      <c r="A48" s="477" t="s">
        <v>233</v>
      </c>
      <c r="B48" s="492" t="s">
        <v>0</v>
      </c>
      <c r="C48" s="576" t="s">
        <v>20</v>
      </c>
      <c r="D48" s="561"/>
      <c r="E48" s="492"/>
      <c r="F48" s="509">
        <v>0</v>
      </c>
      <c r="G48" s="562"/>
      <c r="H48" s="492"/>
      <c r="I48" s="509"/>
      <c r="J48" s="508"/>
      <c r="K48" s="492"/>
      <c r="L48" s="511">
        <v>0</v>
      </c>
      <c r="M48" s="508"/>
      <c r="N48" s="534">
        <v>0</v>
      </c>
      <c r="O48" s="508"/>
      <c r="P48" s="492"/>
      <c r="Q48" s="511">
        <v>0</v>
      </c>
      <c r="R48" s="508"/>
      <c r="S48" s="534">
        <v>0</v>
      </c>
      <c r="T48" s="492"/>
      <c r="U48" s="492"/>
      <c r="V48" s="492"/>
      <c r="W48" s="492"/>
      <c r="X48" s="492"/>
      <c r="Y48" s="492"/>
      <c r="Z48" s="492"/>
      <c r="AA48" s="492"/>
      <c r="AB48" s="492"/>
      <c r="AC48" s="492"/>
      <c r="AD48" s="492"/>
      <c r="AE48" s="492"/>
      <c r="AF48" s="492"/>
      <c r="AG48" s="492"/>
      <c r="AH48" s="492"/>
      <c r="AI48" s="492"/>
      <c r="AJ48" s="492"/>
      <c r="AK48" s="492"/>
      <c r="AL48" s="492"/>
      <c r="AM48" s="492"/>
      <c r="AN48" s="492"/>
    </row>
    <row r="49" spans="1:40" ht="15.75" customHeight="1">
      <c r="A49" s="477" t="s">
        <v>256</v>
      </c>
      <c r="B49" s="492" t="s">
        <v>0</v>
      </c>
      <c r="C49" s="578" t="s">
        <v>45</v>
      </c>
      <c r="D49" s="561"/>
      <c r="E49" s="492"/>
      <c r="F49" s="503">
        <v>11796.070671764297</v>
      </c>
      <c r="G49" s="562"/>
      <c r="H49" s="492"/>
      <c r="I49" s="503"/>
      <c r="J49" s="508"/>
      <c r="K49" s="492"/>
      <c r="L49" s="503">
        <v>10866.84</v>
      </c>
      <c r="M49" s="508"/>
      <c r="N49" s="534">
        <v>-929.23067176429686</v>
      </c>
      <c r="O49" s="508"/>
      <c r="P49" s="492"/>
      <c r="Q49" s="503">
        <v>10664.1</v>
      </c>
      <c r="R49" s="508"/>
      <c r="S49" s="534">
        <v>202.73999999999978</v>
      </c>
      <c r="T49" s="492"/>
      <c r="U49" s="492"/>
      <c r="V49" s="492"/>
      <c r="W49" s="492"/>
      <c r="X49" s="489"/>
      <c r="Y49" s="492"/>
      <c r="Z49" s="492"/>
      <c r="AA49" s="492"/>
      <c r="AB49" s="492"/>
      <c r="AC49" s="492"/>
      <c r="AD49" s="492"/>
      <c r="AE49" s="492"/>
      <c r="AF49" s="492"/>
      <c r="AG49" s="492"/>
      <c r="AH49" s="492"/>
      <c r="AI49" s="492"/>
      <c r="AJ49" s="492"/>
      <c r="AK49" s="492"/>
      <c r="AL49" s="492"/>
      <c r="AM49" s="492"/>
      <c r="AN49" s="492"/>
    </row>
    <row r="50" spans="1:40" ht="15.75" customHeight="1">
      <c r="A50" s="477" t="s">
        <v>257</v>
      </c>
      <c r="B50" s="492" t="s">
        <v>0</v>
      </c>
      <c r="C50" s="576" t="s">
        <v>46</v>
      </c>
      <c r="D50" s="579"/>
      <c r="E50" s="580"/>
      <c r="F50" s="509">
        <v>14342.359054656152</v>
      </c>
      <c r="G50" s="581"/>
      <c r="H50" s="580"/>
      <c r="I50" s="509"/>
      <c r="J50" s="496"/>
      <c r="K50" s="580"/>
      <c r="L50" s="511">
        <v>13752.02</v>
      </c>
      <c r="M50" s="496"/>
      <c r="N50" s="582">
        <v>-590.33905465615135</v>
      </c>
      <c r="O50" s="496"/>
      <c r="P50" s="580"/>
      <c r="Q50" s="511">
        <v>12553.25</v>
      </c>
      <c r="R50" s="496"/>
      <c r="S50" s="582">
        <v>1198.7700000000004</v>
      </c>
      <c r="T50" s="492"/>
      <c r="U50" s="492"/>
      <c r="V50" s="492"/>
      <c r="W50" s="492"/>
      <c r="X50" s="489"/>
      <c r="Y50" s="492"/>
      <c r="Z50" s="492"/>
      <c r="AA50" s="492"/>
      <c r="AB50" s="492"/>
      <c r="AC50" s="492"/>
      <c r="AD50" s="492"/>
      <c r="AE50" s="492"/>
      <c r="AF50" s="492"/>
      <c r="AG50" s="492"/>
      <c r="AH50" s="492"/>
      <c r="AI50" s="492"/>
      <c r="AJ50" s="492"/>
      <c r="AK50" s="492"/>
      <c r="AL50" s="492"/>
      <c r="AM50" s="492"/>
      <c r="AN50" s="492"/>
    </row>
    <row r="51" spans="1:40" ht="15.75" customHeight="1">
      <c r="A51" s="477" t="s">
        <v>258</v>
      </c>
      <c r="B51" s="492" t="s">
        <v>0</v>
      </c>
      <c r="C51" s="576" t="s">
        <v>47</v>
      </c>
      <c r="D51" s="561"/>
      <c r="E51" s="492"/>
      <c r="F51" s="509">
        <v>7389.4328172902333</v>
      </c>
      <c r="G51" s="562"/>
      <c r="H51" s="492"/>
      <c r="I51" s="509"/>
      <c r="J51" s="508"/>
      <c r="K51" s="492"/>
      <c r="L51" s="511">
        <v>7178.18</v>
      </c>
      <c r="M51" s="508"/>
      <c r="N51" s="534">
        <v>-211.252817290233</v>
      </c>
      <c r="O51" s="508"/>
      <c r="P51" s="492"/>
      <c r="Q51" s="511">
        <v>7041.73</v>
      </c>
      <c r="R51" s="508"/>
      <c r="S51" s="534">
        <v>136.45000000000073</v>
      </c>
      <c r="T51" s="492"/>
      <c r="U51" s="492"/>
      <c r="V51" s="492"/>
      <c r="W51" s="492"/>
      <c r="X51" s="489"/>
      <c r="Y51" s="492"/>
      <c r="Z51" s="492"/>
      <c r="AA51" s="492"/>
      <c r="AB51" s="492"/>
      <c r="AC51" s="492"/>
      <c r="AD51" s="492"/>
      <c r="AE51" s="492"/>
      <c r="AF51" s="492"/>
      <c r="AG51" s="492"/>
      <c r="AH51" s="492"/>
      <c r="AI51" s="492"/>
      <c r="AJ51" s="492"/>
      <c r="AK51" s="492"/>
      <c r="AL51" s="492"/>
      <c r="AM51" s="492"/>
      <c r="AN51" s="492"/>
    </row>
    <row r="52" spans="1:40" ht="15.75" customHeight="1">
      <c r="A52" s="477" t="s">
        <v>259</v>
      </c>
      <c r="B52" s="492" t="s">
        <v>0</v>
      </c>
      <c r="C52" s="576" t="s">
        <v>48</v>
      </c>
      <c r="D52" s="561"/>
      <c r="E52" s="492"/>
      <c r="F52" s="509">
        <v>3221.8342803937726</v>
      </c>
      <c r="G52" s="562"/>
      <c r="H52" s="492"/>
      <c r="I52" s="509"/>
      <c r="J52" s="508"/>
      <c r="K52" s="492"/>
      <c r="L52" s="511">
        <v>3241.11</v>
      </c>
      <c r="M52" s="508"/>
      <c r="N52" s="534">
        <v>19.27571960622754</v>
      </c>
      <c r="O52" s="508"/>
      <c r="P52" s="492"/>
      <c r="Q52" s="511">
        <v>1892.71</v>
      </c>
      <c r="R52" s="508"/>
      <c r="S52" s="534">
        <v>1348.4</v>
      </c>
      <c r="T52" s="492"/>
      <c r="U52" s="492"/>
      <c r="V52" s="492"/>
      <c r="W52" s="492"/>
      <c r="X52" s="489"/>
      <c r="Y52" s="492"/>
      <c r="Z52" s="492"/>
      <c r="AA52" s="492"/>
      <c r="AB52" s="492"/>
      <c r="AC52" s="492"/>
      <c r="AD52" s="492"/>
      <c r="AE52" s="492"/>
      <c r="AF52" s="492"/>
      <c r="AG52" s="492"/>
      <c r="AH52" s="492"/>
      <c r="AI52" s="492"/>
      <c r="AJ52" s="492"/>
      <c r="AK52" s="492"/>
      <c r="AL52" s="492"/>
      <c r="AM52" s="492"/>
      <c r="AN52" s="492"/>
    </row>
    <row r="53" spans="1:40" ht="15.75" hidden="1" customHeight="1">
      <c r="A53" s="477" t="s">
        <v>233</v>
      </c>
      <c r="B53" s="492" t="s">
        <v>0</v>
      </c>
      <c r="C53" s="508" t="s">
        <v>20</v>
      </c>
      <c r="D53" s="563" t="e">
        <v>#N/A</v>
      </c>
      <c r="E53" s="583"/>
      <c r="F53" s="509">
        <v>0</v>
      </c>
      <c r="G53" s="564"/>
      <c r="H53" s="583"/>
      <c r="I53" s="509"/>
      <c r="J53" s="501"/>
      <c r="K53" s="583"/>
      <c r="L53" s="511">
        <v>0</v>
      </c>
      <c r="M53" s="501"/>
      <c r="N53" s="559">
        <v>0</v>
      </c>
      <c r="O53" s="501"/>
      <c r="P53" s="583"/>
      <c r="Q53" s="511">
        <v>0</v>
      </c>
      <c r="R53" s="501"/>
      <c r="S53" s="559">
        <v>0</v>
      </c>
      <c r="T53" s="492"/>
      <c r="U53" s="492"/>
      <c r="V53" s="492"/>
      <c r="W53" s="492"/>
      <c r="X53" s="489"/>
      <c r="Y53" s="492"/>
      <c r="Z53" s="492"/>
      <c r="AA53" s="492"/>
      <c r="AB53" s="492"/>
      <c r="AC53" s="492"/>
      <c r="AD53" s="492"/>
      <c r="AE53" s="492"/>
      <c r="AF53" s="492"/>
      <c r="AG53" s="492"/>
      <c r="AH53" s="492"/>
      <c r="AI53" s="492"/>
      <c r="AJ53" s="492"/>
      <c r="AK53" s="492"/>
      <c r="AL53" s="492"/>
      <c r="AM53" s="492"/>
      <c r="AN53" s="492"/>
    </row>
    <row r="54" spans="1:40" ht="15.75" customHeight="1">
      <c r="A54" s="477" t="s">
        <v>260</v>
      </c>
      <c r="B54" s="492" t="s">
        <v>0</v>
      </c>
      <c r="C54" s="568" t="s">
        <v>49</v>
      </c>
      <c r="D54" s="569" t="s">
        <v>39</v>
      </c>
      <c r="E54" s="570">
        <v>0.30123178285267083</v>
      </c>
      <c r="F54" s="571">
        <v>75455.935131796767</v>
      </c>
      <c r="G54" s="572"/>
      <c r="H54" s="570"/>
      <c r="I54" s="571"/>
      <c r="J54" s="572" t="s">
        <v>39</v>
      </c>
      <c r="K54" s="570">
        <v>0.26102932391038192</v>
      </c>
      <c r="L54" s="571">
        <v>70018.900000000009</v>
      </c>
      <c r="M54" s="575"/>
      <c r="N54" s="571">
        <v>-5437.0351317967652</v>
      </c>
      <c r="O54" s="572" t="s">
        <v>39</v>
      </c>
      <c r="P54" s="570">
        <v>0.23115946413793817</v>
      </c>
      <c r="Q54" s="571">
        <v>58754.12</v>
      </c>
      <c r="R54" s="575"/>
      <c r="S54" s="571">
        <v>11264.780000000002</v>
      </c>
      <c r="T54" s="550"/>
      <c r="U54" s="492"/>
      <c r="V54" s="492"/>
      <c r="W54" s="492"/>
      <c r="X54" s="489"/>
      <c r="Y54" s="492"/>
      <c r="Z54" s="492"/>
      <c r="AA54" s="492"/>
      <c r="AB54" s="492"/>
      <c r="AC54" s="492"/>
      <c r="AD54" s="492"/>
      <c r="AE54" s="492"/>
      <c r="AF54" s="492"/>
      <c r="AG54" s="492"/>
      <c r="AH54" s="492"/>
      <c r="AI54" s="492"/>
      <c r="AJ54" s="492"/>
      <c r="AK54" s="492"/>
      <c r="AL54" s="492"/>
      <c r="AM54" s="492"/>
      <c r="AN54" s="492"/>
    </row>
    <row r="55" spans="1:40" ht="15.75" hidden="1" customHeight="1">
      <c r="A55" s="477" t="s">
        <v>261</v>
      </c>
      <c r="B55" s="492" t="s">
        <v>0</v>
      </c>
      <c r="C55" s="508" t="s">
        <v>50</v>
      </c>
      <c r="D55" s="561"/>
      <c r="E55" s="492"/>
      <c r="F55" s="509">
        <v>0</v>
      </c>
      <c r="G55" s="562"/>
      <c r="H55" s="492"/>
      <c r="I55" s="509"/>
      <c r="J55" s="508"/>
      <c r="K55" s="492"/>
      <c r="L55" s="511">
        <v>0</v>
      </c>
      <c r="M55" s="508"/>
      <c r="N55" s="534">
        <v>0</v>
      </c>
      <c r="O55" s="508"/>
      <c r="P55" s="492"/>
      <c r="Q55" s="511">
        <v>0</v>
      </c>
      <c r="R55" s="508"/>
      <c r="S55" s="534">
        <v>0</v>
      </c>
      <c r="T55" s="550"/>
      <c r="U55" s="492"/>
      <c r="V55" s="492"/>
      <c r="W55" s="492"/>
      <c r="X55" s="489"/>
      <c r="Y55" s="492"/>
      <c r="Z55" s="492"/>
      <c r="AA55" s="492"/>
      <c r="AB55" s="492"/>
      <c r="AC55" s="492"/>
      <c r="AD55" s="492"/>
      <c r="AE55" s="492"/>
      <c r="AF55" s="492"/>
      <c r="AG55" s="492"/>
      <c r="AH55" s="492"/>
      <c r="AI55" s="492"/>
      <c r="AJ55" s="492"/>
      <c r="AK55" s="492"/>
      <c r="AL55" s="492"/>
      <c r="AM55" s="492"/>
      <c r="AN55" s="492"/>
    </row>
    <row r="56" spans="1:40" ht="15.75" hidden="1" customHeight="1">
      <c r="A56" s="477" t="s">
        <v>262</v>
      </c>
      <c r="B56" s="492" t="s">
        <v>0</v>
      </c>
      <c r="C56" s="508" t="s">
        <v>51</v>
      </c>
      <c r="D56" s="561"/>
      <c r="E56" s="492"/>
      <c r="F56" s="509">
        <v>0</v>
      </c>
      <c r="G56" s="562"/>
      <c r="H56" s="492"/>
      <c r="I56" s="509"/>
      <c r="J56" s="508"/>
      <c r="K56" s="492"/>
      <c r="L56" s="511">
        <v>0</v>
      </c>
      <c r="M56" s="508"/>
      <c r="N56" s="534">
        <v>0</v>
      </c>
      <c r="O56" s="508"/>
      <c r="P56" s="492"/>
      <c r="Q56" s="511">
        <v>0</v>
      </c>
      <c r="R56" s="508"/>
      <c r="S56" s="534">
        <v>0</v>
      </c>
      <c r="T56" s="550"/>
      <c r="U56" s="492"/>
      <c r="V56" s="492"/>
      <c r="W56" s="492"/>
      <c r="X56" s="489"/>
      <c r="Y56" s="492"/>
      <c r="Z56" s="492"/>
      <c r="AA56" s="492"/>
      <c r="AB56" s="492"/>
      <c r="AC56" s="492"/>
      <c r="AD56" s="492"/>
      <c r="AE56" s="492"/>
      <c r="AF56" s="492"/>
      <c r="AG56" s="492"/>
      <c r="AH56" s="492"/>
      <c r="AI56" s="492"/>
      <c r="AJ56" s="492"/>
      <c r="AK56" s="492"/>
      <c r="AL56" s="492"/>
      <c r="AM56" s="492"/>
      <c r="AN56" s="492"/>
    </row>
    <row r="57" spans="1:40" ht="15.75" customHeight="1">
      <c r="A57" s="477" t="s">
        <v>263</v>
      </c>
      <c r="B57" s="492" t="s">
        <v>0</v>
      </c>
      <c r="C57" s="501" t="s">
        <v>52</v>
      </c>
      <c r="D57" s="563"/>
      <c r="E57" s="583"/>
      <c r="F57" s="503">
        <v>8952.5479333333333</v>
      </c>
      <c r="G57" s="564"/>
      <c r="H57" s="583"/>
      <c r="I57" s="503"/>
      <c r="J57" s="501"/>
      <c r="K57" s="583"/>
      <c r="L57" s="503">
        <v>7490.62</v>
      </c>
      <c r="M57" s="501"/>
      <c r="N57" s="559">
        <v>-1461.9279333333334</v>
      </c>
      <c r="O57" s="501"/>
      <c r="P57" s="583"/>
      <c r="Q57" s="503">
        <v>9199.43</v>
      </c>
      <c r="R57" s="501"/>
      <c r="S57" s="559">
        <v>-1708.8100000000004</v>
      </c>
      <c r="T57" s="584"/>
      <c r="U57" s="492"/>
      <c r="V57" s="492"/>
      <c r="W57" s="492"/>
      <c r="X57" s="489"/>
      <c r="Y57" s="492"/>
      <c r="Z57" s="492"/>
      <c r="AA57" s="492"/>
      <c r="AB57" s="492"/>
      <c r="AC57" s="492"/>
      <c r="AD57" s="492"/>
      <c r="AE57" s="492"/>
      <c r="AF57" s="492"/>
      <c r="AG57" s="492"/>
      <c r="AH57" s="492"/>
      <c r="AI57" s="492"/>
      <c r="AJ57" s="492"/>
      <c r="AK57" s="492"/>
      <c r="AL57" s="492"/>
      <c r="AM57" s="492"/>
      <c r="AN57" s="492"/>
    </row>
    <row r="58" spans="1:40" ht="15.75" customHeight="1">
      <c r="A58" s="477" t="s">
        <v>264</v>
      </c>
      <c r="B58" s="492" t="s">
        <v>0</v>
      </c>
      <c r="C58" s="508" t="s">
        <v>53</v>
      </c>
      <c r="D58" s="561"/>
      <c r="E58" s="492"/>
      <c r="F58" s="509">
        <v>7960.9947585155569</v>
      </c>
      <c r="G58" s="562"/>
      <c r="H58" s="492"/>
      <c r="I58" s="509"/>
      <c r="J58" s="508"/>
      <c r="K58" s="492"/>
      <c r="L58" s="511">
        <v>7652.37</v>
      </c>
      <c r="M58" s="508"/>
      <c r="N58" s="534">
        <v>-308.62475851555701</v>
      </c>
      <c r="O58" s="508"/>
      <c r="P58" s="492"/>
      <c r="Q58" s="511">
        <v>5972.42</v>
      </c>
      <c r="R58" s="508"/>
      <c r="S58" s="534">
        <v>1679.9499999999998</v>
      </c>
      <c r="T58" s="550"/>
      <c r="U58" s="492"/>
      <c r="V58" s="492"/>
      <c r="W58" s="492"/>
      <c r="X58" s="492"/>
      <c r="Y58" s="492"/>
      <c r="Z58" s="492"/>
      <c r="AA58" s="492"/>
      <c r="AB58" s="492"/>
      <c r="AC58" s="492"/>
      <c r="AD58" s="492"/>
      <c r="AE58" s="492"/>
      <c r="AF58" s="492"/>
      <c r="AG58" s="492"/>
      <c r="AH58" s="492"/>
      <c r="AI58" s="492"/>
      <c r="AJ58" s="492"/>
      <c r="AK58" s="492"/>
      <c r="AL58" s="492"/>
      <c r="AM58" s="492"/>
      <c r="AN58" s="492"/>
    </row>
    <row r="59" spans="1:40" ht="15.75" customHeight="1">
      <c r="A59" s="477" t="s">
        <v>265</v>
      </c>
      <c r="B59" s="492" t="s">
        <v>0</v>
      </c>
      <c r="C59" s="508" t="s">
        <v>54</v>
      </c>
      <c r="D59" s="561"/>
      <c r="E59" s="492"/>
      <c r="F59" s="509">
        <v>1266.6975008629806</v>
      </c>
      <c r="G59" s="562"/>
      <c r="H59" s="492"/>
      <c r="I59" s="509"/>
      <c r="J59" s="508"/>
      <c r="K59" s="492"/>
      <c r="L59" s="511">
        <v>1293.58</v>
      </c>
      <c r="M59" s="508"/>
      <c r="N59" s="534">
        <v>26.882499137019295</v>
      </c>
      <c r="O59" s="508"/>
      <c r="P59" s="492"/>
      <c r="Q59" s="511">
        <v>1613.78</v>
      </c>
      <c r="R59" s="508"/>
      <c r="S59" s="534">
        <v>-320.20000000000005</v>
      </c>
      <c r="T59" s="492"/>
      <c r="U59" s="492"/>
      <c r="V59" s="492"/>
      <c r="W59" s="492"/>
      <c r="X59" s="492"/>
      <c r="Y59" s="492"/>
      <c r="Z59" s="492"/>
      <c r="AA59" s="492"/>
      <c r="AB59" s="492"/>
      <c r="AC59" s="492"/>
      <c r="AD59" s="492"/>
      <c r="AE59" s="492"/>
      <c r="AF59" s="492"/>
      <c r="AG59" s="492"/>
      <c r="AH59" s="492"/>
      <c r="AI59" s="492"/>
      <c r="AJ59" s="492"/>
      <c r="AK59" s="492"/>
      <c r="AL59" s="492"/>
      <c r="AM59" s="492"/>
      <c r="AN59" s="492"/>
    </row>
    <row r="60" spans="1:40" ht="15.75" customHeight="1">
      <c r="A60" s="477" t="s">
        <v>266</v>
      </c>
      <c r="B60" s="492" t="s">
        <v>0</v>
      </c>
      <c r="C60" s="501" t="s">
        <v>55</v>
      </c>
      <c r="D60" s="563"/>
      <c r="E60" s="583"/>
      <c r="F60" s="503">
        <v>7215.7407235875298</v>
      </c>
      <c r="G60" s="564"/>
      <c r="H60" s="583"/>
      <c r="I60" s="503"/>
      <c r="J60" s="501"/>
      <c r="K60" s="583"/>
      <c r="L60" s="503">
        <v>8436.09</v>
      </c>
      <c r="M60" s="501"/>
      <c r="N60" s="559">
        <v>1220.3492764124703</v>
      </c>
      <c r="O60" s="501"/>
      <c r="P60" s="583"/>
      <c r="Q60" s="503">
        <v>7694.41</v>
      </c>
      <c r="R60" s="501"/>
      <c r="S60" s="559">
        <v>741.68000000000029</v>
      </c>
      <c r="T60" s="492"/>
      <c r="U60" s="489"/>
      <c r="V60" s="492"/>
      <c r="W60" s="492"/>
      <c r="X60" s="492"/>
      <c r="Y60" s="492"/>
      <c r="Z60" s="492"/>
      <c r="AA60" s="492"/>
      <c r="AB60" s="492"/>
      <c r="AC60" s="492"/>
      <c r="AD60" s="492"/>
      <c r="AE60" s="492"/>
      <c r="AF60" s="492"/>
      <c r="AG60" s="492"/>
      <c r="AH60" s="492"/>
      <c r="AI60" s="492"/>
      <c r="AJ60" s="492"/>
      <c r="AK60" s="492"/>
      <c r="AL60" s="492"/>
      <c r="AM60" s="492"/>
      <c r="AN60" s="492"/>
    </row>
    <row r="61" spans="1:40" ht="15.75" customHeight="1">
      <c r="A61" s="477" t="s">
        <v>267</v>
      </c>
      <c r="B61" s="492" t="s">
        <v>0</v>
      </c>
      <c r="C61" s="508" t="s">
        <v>56</v>
      </c>
      <c r="D61" s="561"/>
      <c r="E61" s="492"/>
      <c r="F61" s="509">
        <v>97.257333333333349</v>
      </c>
      <c r="G61" s="562"/>
      <c r="H61" s="492"/>
      <c r="I61" s="509"/>
      <c r="J61" s="508"/>
      <c r="K61" s="492"/>
      <c r="L61" s="511">
        <v>0</v>
      </c>
      <c r="M61" s="508"/>
      <c r="N61" s="534">
        <v>-97.257333333333349</v>
      </c>
      <c r="O61" s="508"/>
      <c r="P61" s="492"/>
      <c r="Q61" s="511">
        <v>97.12</v>
      </c>
      <c r="R61" s="508"/>
      <c r="S61" s="534">
        <v>-97.12</v>
      </c>
      <c r="T61" s="492"/>
      <c r="U61" s="492"/>
      <c r="V61" s="492"/>
      <c r="W61" s="492"/>
      <c r="X61" s="492"/>
      <c r="Y61" s="492"/>
      <c r="Z61" s="492"/>
      <c r="AA61" s="492"/>
      <c r="AB61" s="492"/>
      <c r="AC61" s="492"/>
      <c r="AD61" s="492"/>
      <c r="AE61" s="492"/>
      <c r="AF61" s="492"/>
      <c r="AG61" s="492"/>
      <c r="AH61" s="492"/>
      <c r="AI61" s="492"/>
      <c r="AJ61" s="492"/>
      <c r="AK61" s="492"/>
      <c r="AL61" s="492"/>
      <c r="AM61" s="492"/>
      <c r="AN61" s="492"/>
    </row>
    <row r="62" spans="1:40" ht="15.75" customHeight="1">
      <c r="A62" s="477" t="s">
        <v>268</v>
      </c>
      <c r="B62" s="492" t="s">
        <v>0</v>
      </c>
      <c r="C62" s="508" t="s">
        <v>57</v>
      </c>
      <c r="D62" s="561"/>
      <c r="E62" s="492"/>
      <c r="F62" s="509">
        <v>28.333333333333332</v>
      </c>
      <c r="G62" s="562"/>
      <c r="H62" s="492"/>
      <c r="I62" s="509"/>
      <c r="J62" s="508"/>
      <c r="K62" s="492"/>
      <c r="L62" s="511">
        <v>0</v>
      </c>
      <c r="M62" s="508"/>
      <c r="N62" s="534">
        <v>-28.333333333333332</v>
      </c>
      <c r="O62" s="508"/>
      <c r="P62" s="492"/>
      <c r="Q62" s="511">
        <v>0</v>
      </c>
      <c r="R62" s="508"/>
      <c r="S62" s="534">
        <v>0</v>
      </c>
      <c r="T62" s="492"/>
      <c r="U62" s="492"/>
      <c r="V62" s="492"/>
      <c r="W62" s="492"/>
      <c r="X62" s="492"/>
      <c r="Y62" s="492"/>
      <c r="Z62" s="492"/>
      <c r="AA62" s="492"/>
      <c r="AB62" s="492"/>
      <c r="AC62" s="492"/>
      <c r="AD62" s="492"/>
      <c r="AE62" s="492"/>
      <c r="AF62" s="492"/>
      <c r="AG62" s="492"/>
      <c r="AH62" s="492"/>
      <c r="AI62" s="492"/>
      <c r="AJ62" s="492"/>
      <c r="AK62" s="492"/>
      <c r="AL62" s="492"/>
      <c r="AM62" s="492"/>
      <c r="AN62" s="492"/>
    </row>
    <row r="63" spans="1:40" ht="15.75" customHeight="1">
      <c r="A63" s="477" t="s">
        <v>269</v>
      </c>
      <c r="B63" s="492" t="s">
        <v>0</v>
      </c>
      <c r="C63" s="508" t="s">
        <v>58</v>
      </c>
      <c r="D63" s="561"/>
      <c r="E63" s="492"/>
      <c r="F63" s="509">
        <v>741.43089466911999</v>
      </c>
      <c r="G63" s="562"/>
      <c r="H63" s="492"/>
      <c r="I63" s="509"/>
      <c r="J63" s="508"/>
      <c r="K63" s="492"/>
      <c r="L63" s="511">
        <v>218.53</v>
      </c>
      <c r="M63" s="508"/>
      <c r="N63" s="534">
        <v>-522.90089466912002</v>
      </c>
      <c r="O63" s="508"/>
      <c r="P63" s="492"/>
      <c r="Q63" s="511">
        <v>356.55</v>
      </c>
      <c r="R63" s="508"/>
      <c r="S63" s="534">
        <v>-138.02000000000001</v>
      </c>
      <c r="T63" s="492"/>
      <c r="U63" s="492"/>
      <c r="V63" s="492"/>
      <c r="W63" s="492"/>
      <c r="X63" s="492"/>
      <c r="Y63" s="492"/>
      <c r="Z63" s="492"/>
      <c r="AA63" s="492"/>
      <c r="AB63" s="492"/>
      <c r="AC63" s="492"/>
      <c r="AD63" s="492"/>
      <c r="AE63" s="492"/>
      <c r="AF63" s="492"/>
      <c r="AG63" s="492"/>
      <c r="AH63" s="492"/>
      <c r="AI63" s="492"/>
      <c r="AJ63" s="492"/>
      <c r="AK63" s="492"/>
      <c r="AL63" s="492"/>
      <c r="AM63" s="492"/>
      <c r="AN63" s="492"/>
    </row>
    <row r="64" spans="1:40" ht="15.75" customHeight="1">
      <c r="A64" s="477" t="s">
        <v>270</v>
      </c>
      <c r="B64" s="492" t="s">
        <v>0</v>
      </c>
      <c r="C64" s="508" t="s">
        <v>59</v>
      </c>
      <c r="D64" s="561"/>
      <c r="E64" s="492"/>
      <c r="F64" s="509">
        <v>344.80198491798222</v>
      </c>
      <c r="G64" s="562"/>
      <c r="H64" s="492"/>
      <c r="I64" s="509"/>
      <c r="J64" s="508"/>
      <c r="K64" s="492"/>
      <c r="L64" s="511">
        <v>355.13</v>
      </c>
      <c r="M64" s="508"/>
      <c r="N64" s="534">
        <v>10.328015082017771</v>
      </c>
      <c r="O64" s="508"/>
      <c r="P64" s="492"/>
      <c r="Q64" s="511">
        <v>330.97</v>
      </c>
      <c r="R64" s="508"/>
      <c r="S64" s="534">
        <v>24.159999999999968</v>
      </c>
      <c r="T64" s="492"/>
      <c r="U64" s="492"/>
      <c r="V64" s="492"/>
      <c r="W64" s="492"/>
      <c r="X64" s="492"/>
      <c r="Y64" s="492"/>
      <c r="Z64" s="492"/>
      <c r="AA64" s="492"/>
      <c r="AB64" s="492"/>
      <c r="AC64" s="492"/>
      <c r="AD64" s="492"/>
      <c r="AE64" s="492"/>
      <c r="AF64" s="492"/>
      <c r="AG64" s="492"/>
      <c r="AH64" s="492"/>
      <c r="AI64" s="492"/>
      <c r="AJ64" s="492"/>
      <c r="AK64" s="492"/>
      <c r="AL64" s="492"/>
      <c r="AM64" s="492"/>
      <c r="AN64" s="492"/>
    </row>
    <row r="65" spans="1:40" ht="15.75" customHeight="1">
      <c r="A65" s="477" t="s">
        <v>271</v>
      </c>
      <c r="B65" s="492" t="s">
        <v>0</v>
      </c>
      <c r="C65" s="508" t="s">
        <v>60</v>
      </c>
      <c r="D65" s="561"/>
      <c r="E65" s="492"/>
      <c r="F65" s="509">
        <v>102.82239536841776</v>
      </c>
      <c r="G65" s="562"/>
      <c r="H65" s="492"/>
      <c r="I65" s="509"/>
      <c r="J65" s="508"/>
      <c r="K65" s="492"/>
      <c r="L65" s="511">
        <v>54.6</v>
      </c>
      <c r="M65" s="508"/>
      <c r="N65" s="534">
        <v>-48.222395368417757</v>
      </c>
      <c r="O65" s="508"/>
      <c r="P65" s="492"/>
      <c r="Q65" s="511">
        <v>32.96</v>
      </c>
      <c r="R65" s="508"/>
      <c r="S65" s="534">
        <v>21.64</v>
      </c>
      <c r="T65" s="492"/>
      <c r="U65" s="492"/>
      <c r="V65" s="492"/>
      <c r="W65" s="492"/>
      <c r="X65" s="492"/>
      <c r="Y65" s="492"/>
      <c r="Z65" s="492"/>
      <c r="AA65" s="492"/>
      <c r="AB65" s="492"/>
      <c r="AC65" s="492"/>
      <c r="AD65" s="492"/>
      <c r="AE65" s="492"/>
      <c r="AF65" s="492"/>
      <c r="AG65" s="492"/>
      <c r="AH65" s="492"/>
      <c r="AI65" s="492"/>
      <c r="AJ65" s="492"/>
      <c r="AK65" s="492"/>
      <c r="AL65" s="492"/>
      <c r="AM65" s="492"/>
      <c r="AN65" s="492"/>
    </row>
    <row r="66" spans="1:40" ht="15.75" customHeight="1">
      <c r="A66" s="477" t="s">
        <v>272</v>
      </c>
      <c r="B66" s="492" t="s">
        <v>0</v>
      </c>
      <c r="C66" s="508" t="s">
        <v>61</v>
      </c>
      <c r="D66" s="561"/>
      <c r="E66" s="492"/>
      <c r="F66" s="509">
        <v>201.17038516793778</v>
      </c>
      <c r="G66" s="562"/>
      <c r="H66" s="492"/>
      <c r="I66" s="509"/>
      <c r="J66" s="508"/>
      <c r="K66" s="492"/>
      <c r="L66" s="511">
        <v>62.72</v>
      </c>
      <c r="M66" s="508"/>
      <c r="N66" s="534">
        <v>-138.45038516793778</v>
      </c>
      <c r="O66" s="508"/>
      <c r="P66" s="492"/>
      <c r="Q66" s="511">
        <v>188.48</v>
      </c>
      <c r="R66" s="508"/>
      <c r="S66" s="534">
        <v>-125.75999999999999</v>
      </c>
      <c r="T66" s="492"/>
      <c r="U66" s="492"/>
      <c r="V66" s="492"/>
      <c r="W66" s="492"/>
      <c r="X66" s="492"/>
      <c r="Y66" s="492"/>
      <c r="Z66" s="492"/>
      <c r="AA66" s="492"/>
      <c r="AB66" s="492"/>
      <c r="AC66" s="492"/>
      <c r="AD66" s="492"/>
      <c r="AE66" s="492"/>
      <c r="AF66" s="492"/>
      <c r="AG66" s="492"/>
      <c r="AH66" s="492"/>
      <c r="AI66" s="492"/>
      <c r="AJ66" s="492"/>
      <c r="AK66" s="492"/>
      <c r="AL66" s="492"/>
      <c r="AM66" s="492"/>
      <c r="AN66" s="492"/>
    </row>
    <row r="67" spans="1:40" ht="15.75" customHeight="1">
      <c r="A67" s="477" t="s">
        <v>273</v>
      </c>
      <c r="B67" s="492" t="s">
        <v>0</v>
      </c>
      <c r="C67" s="508" t="s">
        <v>62</v>
      </c>
      <c r="D67" s="561"/>
      <c r="E67" s="492"/>
      <c r="F67" s="509">
        <v>1934.7062499999995</v>
      </c>
      <c r="G67" s="562"/>
      <c r="H67" s="492"/>
      <c r="I67" s="509"/>
      <c r="J67" s="508"/>
      <c r="K67" s="492"/>
      <c r="L67" s="511">
        <v>2528.0700000000002</v>
      </c>
      <c r="M67" s="508"/>
      <c r="N67" s="534">
        <v>593.36375000000066</v>
      </c>
      <c r="O67" s="508"/>
      <c r="P67" s="492"/>
      <c r="Q67" s="511">
        <v>3488.07</v>
      </c>
      <c r="R67" s="508"/>
      <c r="S67" s="534">
        <v>-960</v>
      </c>
      <c r="T67" s="492"/>
      <c r="X67" s="492"/>
      <c r="Y67" s="492"/>
      <c r="Z67" s="492"/>
      <c r="AA67" s="492"/>
      <c r="AB67" s="492"/>
      <c r="AC67" s="492"/>
      <c r="AD67" s="492"/>
      <c r="AE67" s="492"/>
      <c r="AF67" s="492"/>
      <c r="AG67" s="492"/>
      <c r="AH67" s="492"/>
      <c r="AI67" s="492"/>
      <c r="AJ67" s="492"/>
      <c r="AK67" s="492"/>
      <c r="AL67" s="492"/>
      <c r="AM67" s="492"/>
      <c r="AN67" s="492"/>
    </row>
    <row r="68" spans="1:40" ht="15.75" customHeight="1">
      <c r="A68" s="477" t="s">
        <v>274</v>
      </c>
      <c r="B68" s="492" t="s">
        <v>0</v>
      </c>
      <c r="C68" s="508" t="s">
        <v>63</v>
      </c>
      <c r="D68" s="561"/>
      <c r="E68" s="492"/>
      <c r="F68" s="509">
        <v>3605.8793737115443</v>
      </c>
      <c r="G68" s="562"/>
      <c r="H68" s="492"/>
      <c r="I68" s="509"/>
      <c r="J68" s="508"/>
      <c r="K68" s="492"/>
      <c r="L68" s="511">
        <v>3902.37</v>
      </c>
      <c r="M68" s="508"/>
      <c r="N68" s="534">
        <v>296.49062628845559</v>
      </c>
      <c r="O68" s="508"/>
      <c r="P68" s="492"/>
      <c r="Q68" s="511">
        <v>3718.78</v>
      </c>
      <c r="R68" s="508"/>
      <c r="S68" s="534">
        <v>183.58999999999969</v>
      </c>
      <c r="T68" s="492"/>
      <c r="X68" s="492"/>
      <c r="Y68" s="492"/>
      <c r="Z68" s="492"/>
      <c r="AA68" s="492"/>
      <c r="AB68" s="492"/>
      <c r="AC68" s="492"/>
      <c r="AD68" s="492"/>
      <c r="AE68" s="492"/>
      <c r="AF68" s="492"/>
      <c r="AG68" s="492"/>
      <c r="AH68" s="492"/>
      <c r="AI68" s="492"/>
      <c r="AJ68" s="492"/>
      <c r="AK68" s="492"/>
      <c r="AL68" s="492"/>
      <c r="AM68" s="492"/>
      <c r="AN68" s="492"/>
    </row>
    <row r="69" spans="1:40" ht="15.75" hidden="1" customHeight="1">
      <c r="A69" s="477" t="s">
        <v>233</v>
      </c>
      <c r="B69" s="492" t="s">
        <v>0</v>
      </c>
      <c r="C69" s="508" t="s">
        <v>20</v>
      </c>
      <c r="D69" s="561"/>
      <c r="E69" s="492"/>
      <c r="F69" s="509">
        <v>0</v>
      </c>
      <c r="G69" s="562"/>
      <c r="H69" s="492"/>
      <c r="I69" s="509"/>
      <c r="J69" s="508"/>
      <c r="K69" s="492"/>
      <c r="L69" s="511"/>
      <c r="M69" s="508"/>
      <c r="N69" s="534">
        <v>0</v>
      </c>
      <c r="O69" s="508"/>
      <c r="P69" s="492"/>
      <c r="Q69" s="511">
        <v>0</v>
      </c>
      <c r="R69" s="508"/>
      <c r="S69" s="534">
        <v>0</v>
      </c>
      <c r="T69" s="492"/>
      <c r="X69" s="492"/>
      <c r="Y69" s="492"/>
      <c r="Z69" s="492"/>
      <c r="AA69" s="492"/>
      <c r="AB69" s="492"/>
      <c r="AC69" s="492"/>
      <c r="AD69" s="492"/>
      <c r="AE69" s="492"/>
      <c r="AF69" s="492"/>
      <c r="AG69" s="492"/>
      <c r="AH69" s="492"/>
      <c r="AI69" s="492"/>
      <c r="AJ69" s="492"/>
      <c r="AK69" s="492"/>
      <c r="AL69" s="492"/>
      <c r="AM69" s="492"/>
      <c r="AN69" s="492"/>
    </row>
    <row r="70" spans="1:40" ht="15.75" hidden="1" customHeight="1">
      <c r="A70" s="477" t="s">
        <v>233</v>
      </c>
      <c r="B70" s="492" t="s">
        <v>0</v>
      </c>
      <c r="C70" s="508" t="s">
        <v>20</v>
      </c>
      <c r="D70" s="561"/>
      <c r="E70" s="492"/>
      <c r="F70" s="509">
        <v>0</v>
      </c>
      <c r="G70" s="562"/>
      <c r="H70" s="492"/>
      <c r="I70" s="509"/>
      <c r="J70" s="508"/>
      <c r="K70" s="492"/>
      <c r="L70" s="511">
        <v>0</v>
      </c>
      <c r="M70" s="508"/>
      <c r="N70" s="534">
        <v>0</v>
      </c>
      <c r="O70" s="508"/>
      <c r="P70" s="492"/>
      <c r="Q70" s="511">
        <v>0</v>
      </c>
      <c r="R70" s="508"/>
      <c r="S70" s="534">
        <v>0</v>
      </c>
      <c r="T70" s="492"/>
      <c r="X70" s="492"/>
      <c r="Y70" s="492"/>
      <c r="Z70" s="492"/>
      <c r="AA70" s="492"/>
      <c r="AB70" s="492"/>
      <c r="AC70" s="492"/>
      <c r="AD70" s="492"/>
      <c r="AE70" s="492"/>
      <c r="AF70" s="492"/>
      <c r="AG70" s="492"/>
      <c r="AH70" s="492"/>
      <c r="AI70" s="492"/>
      <c r="AJ70" s="492"/>
      <c r="AK70" s="492"/>
      <c r="AL70" s="492"/>
      <c r="AM70" s="492"/>
      <c r="AN70" s="492"/>
    </row>
    <row r="71" spans="1:40" ht="15.75" hidden="1" customHeight="1">
      <c r="A71" s="477" t="s">
        <v>233</v>
      </c>
      <c r="B71" s="492" t="s">
        <v>0</v>
      </c>
      <c r="C71" s="508" t="s">
        <v>20</v>
      </c>
      <c r="D71" s="561"/>
      <c r="E71" s="492"/>
      <c r="F71" s="509">
        <v>0</v>
      </c>
      <c r="G71" s="562"/>
      <c r="H71" s="492"/>
      <c r="I71" s="509"/>
      <c r="J71" s="508"/>
      <c r="K71" s="492"/>
      <c r="L71" s="511">
        <v>0</v>
      </c>
      <c r="M71" s="508"/>
      <c r="N71" s="534">
        <v>0</v>
      </c>
      <c r="O71" s="508"/>
      <c r="P71" s="492"/>
      <c r="Q71" s="511">
        <v>0</v>
      </c>
      <c r="R71" s="508"/>
      <c r="S71" s="534">
        <v>0</v>
      </c>
      <c r="T71" s="492"/>
      <c r="X71" s="492"/>
      <c r="Y71" s="492"/>
      <c r="Z71" s="492"/>
      <c r="AA71" s="492"/>
      <c r="AB71" s="492"/>
      <c r="AC71" s="492"/>
      <c r="AD71" s="492"/>
      <c r="AE71" s="492"/>
      <c r="AF71" s="492"/>
      <c r="AG71" s="492"/>
      <c r="AH71" s="492"/>
      <c r="AI71" s="492"/>
      <c r="AJ71" s="492"/>
      <c r="AK71" s="492"/>
      <c r="AL71" s="492"/>
      <c r="AM71" s="492"/>
      <c r="AN71" s="492"/>
    </row>
    <row r="72" spans="1:40" ht="15.75" customHeight="1">
      <c r="A72" s="477" t="s">
        <v>275</v>
      </c>
      <c r="B72" s="492" t="s">
        <v>0</v>
      </c>
      <c r="C72" s="568" t="s">
        <v>64</v>
      </c>
      <c r="D72" s="569" t="s">
        <v>39</v>
      </c>
      <c r="E72" s="570">
        <v>0.12955494000185713</v>
      </c>
      <c r="F72" s="571">
        <v>32452.382866801068</v>
      </c>
      <c r="G72" s="572"/>
      <c r="H72" s="570"/>
      <c r="I72" s="571"/>
      <c r="J72" s="572" t="s">
        <v>39</v>
      </c>
      <c r="K72" s="570">
        <v>0.11927341148653678</v>
      </c>
      <c r="L72" s="571">
        <v>31994.079999999998</v>
      </c>
      <c r="M72" s="575"/>
      <c r="N72" s="571">
        <v>-458.30286680106883</v>
      </c>
      <c r="O72" s="572" t="s">
        <v>39</v>
      </c>
      <c r="P72" s="570">
        <v>0.12862569341992847</v>
      </c>
      <c r="Q72" s="571">
        <v>32692.969999999998</v>
      </c>
      <c r="R72" s="575"/>
      <c r="S72" s="571">
        <v>-698.89000000000067</v>
      </c>
      <c r="T72" s="492"/>
      <c r="X72" s="492"/>
      <c r="Y72" s="492"/>
      <c r="Z72" s="492"/>
      <c r="AA72" s="492"/>
      <c r="AB72" s="492"/>
      <c r="AC72" s="492"/>
      <c r="AD72" s="492"/>
      <c r="AE72" s="492"/>
      <c r="AF72" s="492"/>
      <c r="AG72" s="492"/>
      <c r="AH72" s="492"/>
      <c r="AI72" s="492"/>
      <c r="AJ72" s="492"/>
      <c r="AK72" s="492"/>
      <c r="AL72" s="492"/>
      <c r="AM72" s="492"/>
      <c r="AN72" s="492"/>
    </row>
    <row r="73" spans="1:40" ht="15.75" customHeight="1">
      <c r="A73" s="477" t="s">
        <v>0</v>
      </c>
      <c r="B73" s="492" t="s">
        <v>0</v>
      </c>
      <c r="C73" s="501"/>
      <c r="D73" s="563"/>
      <c r="E73" s="583"/>
      <c r="F73" s="534"/>
      <c r="G73" s="564"/>
      <c r="H73" s="583"/>
      <c r="I73" s="534"/>
      <c r="J73" s="501"/>
      <c r="K73" s="583"/>
      <c r="L73" s="559"/>
      <c r="M73" s="501"/>
      <c r="N73" s="559"/>
      <c r="O73" s="501"/>
      <c r="P73" s="583"/>
      <c r="Q73" s="559"/>
      <c r="R73" s="501"/>
      <c r="S73" s="559"/>
      <c r="T73" s="492"/>
      <c r="U73" s="492"/>
      <c r="V73" s="492"/>
      <c r="W73" s="492"/>
      <c r="X73" s="492"/>
      <c r="Y73" s="492"/>
      <c r="Z73" s="492"/>
      <c r="AA73" s="492"/>
      <c r="AB73" s="492"/>
      <c r="AC73" s="492"/>
      <c r="AD73" s="492"/>
      <c r="AE73" s="492"/>
      <c r="AF73" s="492"/>
      <c r="AG73" s="492"/>
      <c r="AH73" s="492"/>
      <c r="AI73" s="492"/>
      <c r="AJ73" s="492"/>
      <c r="AK73" s="492"/>
      <c r="AL73" s="492"/>
      <c r="AM73" s="492"/>
      <c r="AN73" s="492"/>
    </row>
    <row r="74" spans="1:40" ht="15.75" customHeight="1">
      <c r="A74" s="477" t="s">
        <v>276</v>
      </c>
      <c r="B74" s="492" t="s">
        <v>0</v>
      </c>
      <c r="C74" s="568" t="s">
        <v>65</v>
      </c>
      <c r="D74" s="569" t="s">
        <v>39</v>
      </c>
      <c r="E74" s="570">
        <v>0.97805437255756611</v>
      </c>
      <c r="F74" s="571">
        <v>244994.09256283118</v>
      </c>
      <c r="G74" s="572"/>
      <c r="H74" s="570"/>
      <c r="I74" s="571"/>
      <c r="J74" s="572" t="s">
        <v>39</v>
      </c>
      <c r="K74" s="570">
        <v>0.7938978199160891</v>
      </c>
      <c r="L74" s="571">
        <v>212956.35</v>
      </c>
      <c r="M74" s="575"/>
      <c r="N74" s="585">
        <v>-32037.742562831176</v>
      </c>
      <c r="O74" s="572" t="s">
        <v>39</v>
      </c>
      <c r="P74" s="570">
        <v>0.90534968964641482</v>
      </c>
      <c r="Q74" s="571">
        <v>230113.97999999998</v>
      </c>
      <c r="R74" s="575"/>
      <c r="S74" s="585">
        <v>-17157.629999999976</v>
      </c>
      <c r="T74" s="492"/>
      <c r="U74" s="492"/>
      <c r="V74" s="492"/>
      <c r="W74" s="492"/>
      <c r="X74" s="492"/>
      <c r="Y74" s="492"/>
      <c r="Z74" s="492"/>
      <c r="AA74" s="492"/>
      <c r="AB74" s="492"/>
      <c r="AC74" s="492"/>
      <c r="AD74" s="492"/>
      <c r="AE74" s="492"/>
      <c r="AF74" s="492"/>
      <c r="AG74" s="492"/>
      <c r="AH74" s="492"/>
      <c r="AI74" s="492"/>
      <c r="AJ74" s="492"/>
      <c r="AK74" s="492"/>
      <c r="AL74" s="492"/>
      <c r="AM74" s="492"/>
      <c r="AN74" s="492"/>
    </row>
    <row r="75" spans="1:40" ht="15.75" customHeight="1">
      <c r="A75" s="477" t="s">
        <v>277</v>
      </c>
      <c r="B75" s="492" t="s">
        <v>0</v>
      </c>
      <c r="C75" s="508" t="s">
        <v>197</v>
      </c>
      <c r="D75" s="561"/>
      <c r="E75" s="492"/>
      <c r="F75" s="509">
        <v>0</v>
      </c>
      <c r="G75" s="562"/>
      <c r="H75" s="492"/>
      <c r="I75" s="509"/>
      <c r="J75" s="508"/>
      <c r="K75" s="492"/>
      <c r="L75" s="511">
        <v>0</v>
      </c>
      <c r="M75" s="508"/>
      <c r="N75" s="534">
        <v>0</v>
      </c>
      <c r="O75" s="508"/>
      <c r="P75" s="492"/>
      <c r="Q75" s="511">
        <v>18100</v>
      </c>
      <c r="R75" s="508"/>
      <c r="S75" s="534"/>
      <c r="T75" s="492"/>
      <c r="U75" s="492"/>
      <c r="V75" s="492"/>
      <c r="W75" s="492"/>
      <c r="X75" s="492"/>
      <c r="Y75" s="492"/>
      <c r="Z75" s="492"/>
      <c r="AA75" s="492"/>
      <c r="AB75" s="492"/>
      <c r="AC75" s="492"/>
      <c r="AD75" s="492"/>
      <c r="AE75" s="492"/>
      <c r="AF75" s="492"/>
      <c r="AG75" s="492"/>
      <c r="AH75" s="492"/>
      <c r="AI75" s="492"/>
      <c r="AJ75" s="492"/>
      <c r="AK75" s="492"/>
      <c r="AL75" s="492"/>
      <c r="AM75" s="492"/>
      <c r="AN75" s="492"/>
    </row>
    <row r="76" spans="1:40" ht="15.75" customHeight="1">
      <c r="A76" s="477" t="s">
        <v>278</v>
      </c>
      <c r="B76" s="492" t="s">
        <v>0</v>
      </c>
      <c r="C76" s="508" t="s">
        <v>194</v>
      </c>
      <c r="D76" s="561"/>
      <c r="E76" s="492"/>
      <c r="F76" s="509">
        <v>0</v>
      </c>
      <c r="G76" s="562"/>
      <c r="H76" s="492"/>
      <c r="I76" s="509"/>
      <c r="J76" s="508"/>
      <c r="K76" s="492"/>
      <c r="L76" s="511">
        <v>0</v>
      </c>
      <c r="M76" s="508"/>
      <c r="N76" s="534">
        <v>0</v>
      </c>
      <c r="O76" s="508"/>
      <c r="P76" s="492"/>
      <c r="Q76" s="511">
        <v>0</v>
      </c>
      <c r="R76" s="508"/>
      <c r="S76" s="534">
        <v>0</v>
      </c>
      <c r="T76" s="492"/>
      <c r="U76" s="492"/>
      <c r="V76" s="492"/>
      <c r="W76" s="492"/>
      <c r="X76" s="492"/>
      <c r="Y76" s="492"/>
      <c r="Z76" s="492"/>
      <c r="AA76" s="492"/>
      <c r="AB76" s="492"/>
      <c r="AC76" s="492"/>
      <c r="AD76" s="492"/>
      <c r="AE76" s="492"/>
      <c r="AF76" s="492"/>
      <c r="AG76" s="492"/>
      <c r="AH76" s="492"/>
      <c r="AI76" s="492"/>
      <c r="AJ76" s="492"/>
      <c r="AK76" s="492"/>
      <c r="AL76" s="492"/>
      <c r="AM76" s="492"/>
      <c r="AN76" s="492"/>
    </row>
    <row r="77" spans="1:40" ht="15.75" customHeight="1">
      <c r="A77" s="477" t="s">
        <v>279</v>
      </c>
      <c r="B77" s="492" t="s">
        <v>0</v>
      </c>
      <c r="C77" s="508" t="s">
        <v>68</v>
      </c>
      <c r="D77" s="561"/>
      <c r="E77" s="492"/>
      <c r="F77" s="509">
        <v>0</v>
      </c>
      <c r="G77" s="562"/>
      <c r="H77" s="492"/>
      <c r="I77" s="509"/>
      <c r="J77" s="508"/>
      <c r="K77" s="492"/>
      <c r="L77" s="511">
        <v>0</v>
      </c>
      <c r="M77" s="508"/>
      <c r="N77" s="534">
        <v>0</v>
      </c>
      <c r="O77" s="508"/>
      <c r="P77" s="492"/>
      <c r="Q77" s="511">
        <v>0</v>
      </c>
      <c r="R77" s="508"/>
      <c r="S77" s="534">
        <v>0</v>
      </c>
      <c r="T77" s="492"/>
      <c r="U77" s="492"/>
      <c r="V77" s="492"/>
      <c r="W77" s="492"/>
      <c r="X77" s="492"/>
      <c r="Y77" s="492"/>
      <c r="Z77" s="492"/>
      <c r="AA77" s="492"/>
      <c r="AB77" s="492"/>
      <c r="AC77" s="492"/>
      <c r="AD77" s="492"/>
      <c r="AE77" s="492"/>
      <c r="AF77" s="492"/>
      <c r="AG77" s="492"/>
      <c r="AH77" s="492"/>
      <c r="AI77" s="492"/>
      <c r="AJ77" s="492"/>
      <c r="AK77" s="492"/>
      <c r="AL77" s="492"/>
      <c r="AM77" s="492"/>
      <c r="AN77" s="492"/>
    </row>
    <row r="78" spans="1:40" ht="15.75" customHeight="1">
      <c r="A78" s="477" t="s">
        <v>280</v>
      </c>
      <c r="B78" s="492" t="s">
        <v>0</v>
      </c>
      <c r="C78" s="508" t="s">
        <v>69</v>
      </c>
      <c r="D78" s="561"/>
      <c r="E78" s="586">
        <v>1407.2459151788062</v>
      </c>
      <c r="F78" s="509">
        <v>105543.44363841046</v>
      </c>
      <c r="G78" s="562"/>
      <c r="H78" s="492"/>
      <c r="I78" s="509"/>
      <c r="J78" s="856">
        <v>0.8319099307551383</v>
      </c>
      <c r="K78" s="586">
        <v>1170.7018518518519</v>
      </c>
      <c r="L78" s="511">
        <v>94826.85</v>
      </c>
      <c r="M78" s="508"/>
      <c r="N78" s="534">
        <v>-10716.593638410457</v>
      </c>
      <c r="O78" s="508"/>
      <c r="P78" s="492"/>
      <c r="Q78" s="511">
        <v>127510</v>
      </c>
      <c r="R78" s="508"/>
      <c r="S78" s="534">
        <v>-32683.149999999994</v>
      </c>
      <c r="T78" s="492"/>
      <c r="U78" s="492"/>
      <c r="V78" s="492"/>
      <c r="W78" s="492"/>
      <c r="X78" s="492"/>
      <c r="Y78" s="492"/>
      <c r="Z78" s="492"/>
      <c r="AA78" s="492"/>
      <c r="AB78" s="492"/>
      <c r="AC78" s="492"/>
      <c r="AD78" s="492"/>
      <c r="AE78" s="492"/>
      <c r="AF78" s="492"/>
      <c r="AG78" s="492"/>
      <c r="AH78" s="492"/>
      <c r="AI78" s="492"/>
      <c r="AJ78" s="492"/>
      <c r="AK78" s="492"/>
      <c r="AL78" s="492"/>
      <c r="AM78" s="492"/>
      <c r="AN78" s="492"/>
    </row>
    <row r="79" spans="1:40" ht="15.75" hidden="1" customHeight="1">
      <c r="A79" s="477" t="s">
        <v>233</v>
      </c>
      <c r="B79" s="492" t="s">
        <v>0</v>
      </c>
      <c r="C79" s="508" t="s">
        <v>20</v>
      </c>
      <c r="D79" s="561"/>
      <c r="E79" s="492"/>
      <c r="F79" s="509">
        <v>0</v>
      </c>
      <c r="G79" s="562"/>
      <c r="H79" s="492"/>
      <c r="I79" s="509"/>
      <c r="J79" s="508"/>
      <c r="K79" s="492"/>
      <c r="L79" s="511">
        <v>0</v>
      </c>
      <c r="M79" s="508"/>
      <c r="N79" s="534">
        <v>0</v>
      </c>
      <c r="O79" s="508"/>
      <c r="P79" s="492"/>
      <c r="Q79" s="511">
        <v>0</v>
      </c>
      <c r="R79" s="508"/>
      <c r="S79" s="534">
        <v>0</v>
      </c>
      <c r="T79" s="492"/>
      <c r="U79" s="492"/>
      <c r="V79" s="492"/>
      <c r="W79" s="492"/>
      <c r="X79" s="492"/>
      <c r="Y79" s="492"/>
      <c r="Z79" s="492"/>
      <c r="AA79" s="492"/>
      <c r="AB79" s="492"/>
      <c r="AC79" s="492"/>
      <c r="AD79" s="492"/>
      <c r="AE79" s="492"/>
      <c r="AF79" s="492"/>
      <c r="AG79" s="492"/>
      <c r="AH79" s="492"/>
      <c r="AI79" s="492"/>
      <c r="AJ79" s="492"/>
      <c r="AK79" s="492"/>
      <c r="AL79" s="492"/>
      <c r="AM79" s="492"/>
      <c r="AN79" s="492"/>
    </row>
    <row r="80" spans="1:40" ht="15.75" hidden="1" customHeight="1">
      <c r="A80" s="477" t="s">
        <v>233</v>
      </c>
      <c r="B80" s="492" t="s">
        <v>0</v>
      </c>
      <c r="C80" s="508" t="s">
        <v>20</v>
      </c>
      <c r="D80" s="561"/>
      <c r="E80" s="492"/>
      <c r="F80" s="509">
        <v>0</v>
      </c>
      <c r="G80" s="562"/>
      <c r="H80" s="492"/>
      <c r="I80" s="509"/>
      <c r="J80" s="508"/>
      <c r="K80" s="492"/>
      <c r="L80" s="511">
        <v>0</v>
      </c>
      <c r="M80" s="508"/>
      <c r="N80" s="534">
        <v>0</v>
      </c>
      <c r="O80" s="508"/>
      <c r="P80" s="492"/>
      <c r="Q80" s="511">
        <v>0</v>
      </c>
      <c r="R80" s="508"/>
      <c r="S80" s="534">
        <v>0</v>
      </c>
      <c r="T80" s="492"/>
      <c r="U80" s="492"/>
      <c r="V80" s="492"/>
      <c r="W80" s="492"/>
      <c r="X80" s="492"/>
      <c r="Y80" s="492"/>
      <c r="Z80" s="492"/>
      <c r="AA80" s="492"/>
      <c r="AB80" s="492"/>
      <c r="AC80" s="492"/>
      <c r="AD80" s="492"/>
      <c r="AE80" s="492"/>
      <c r="AF80" s="492"/>
      <c r="AG80" s="492"/>
      <c r="AH80" s="492"/>
      <c r="AI80" s="492"/>
      <c r="AJ80" s="492"/>
      <c r="AK80" s="492"/>
      <c r="AL80" s="492"/>
      <c r="AM80" s="492"/>
      <c r="AN80" s="492"/>
    </row>
    <row r="81" spans="1:40" ht="15.75" hidden="1" customHeight="1">
      <c r="A81" s="477" t="s">
        <v>233</v>
      </c>
      <c r="B81" s="492" t="s">
        <v>0</v>
      </c>
      <c r="C81" s="508" t="s">
        <v>20</v>
      </c>
      <c r="D81" s="561"/>
      <c r="E81" s="492"/>
      <c r="F81" s="509">
        <v>0</v>
      </c>
      <c r="G81" s="562"/>
      <c r="H81" s="492"/>
      <c r="I81" s="509"/>
      <c r="J81" s="508"/>
      <c r="K81" s="492"/>
      <c r="L81" s="511">
        <v>0</v>
      </c>
      <c r="M81" s="508"/>
      <c r="N81" s="534">
        <v>0</v>
      </c>
      <c r="O81" s="508"/>
      <c r="P81" s="492"/>
      <c r="Q81" s="511">
        <v>0</v>
      </c>
      <c r="R81" s="508"/>
      <c r="S81" s="534">
        <v>0</v>
      </c>
      <c r="T81" s="492"/>
      <c r="U81" s="492"/>
      <c r="V81" s="492"/>
      <c r="W81" s="492"/>
      <c r="X81" s="492"/>
      <c r="Y81" s="492"/>
      <c r="Z81" s="492"/>
      <c r="AA81" s="492"/>
      <c r="AB81" s="492"/>
      <c r="AC81" s="492"/>
      <c r="AD81" s="492"/>
      <c r="AE81" s="492"/>
      <c r="AF81" s="492"/>
      <c r="AG81" s="492"/>
      <c r="AH81" s="492"/>
      <c r="AI81" s="492"/>
      <c r="AJ81" s="492"/>
      <c r="AK81" s="492"/>
      <c r="AL81" s="492"/>
      <c r="AM81" s="492"/>
      <c r="AN81" s="492"/>
    </row>
    <row r="82" spans="1:40" ht="15.75" customHeight="1">
      <c r="A82" s="588" t="s">
        <v>281</v>
      </c>
      <c r="B82" s="589" t="s">
        <v>0</v>
      </c>
      <c r="C82" s="508" t="s">
        <v>70</v>
      </c>
      <c r="D82" s="590">
        <v>0.94999999999999984</v>
      </c>
      <c r="E82" s="591">
        <v>474.0499999999999</v>
      </c>
      <c r="F82" s="509">
        <v>34605.649999999994</v>
      </c>
      <c r="G82" s="562"/>
      <c r="H82" s="492"/>
      <c r="I82" s="509"/>
      <c r="J82" s="587">
        <v>1.0326613533364588</v>
      </c>
      <c r="K82" s="591">
        <v>489.48148148148147</v>
      </c>
      <c r="L82" s="511">
        <v>39648</v>
      </c>
      <c r="M82" s="508"/>
      <c r="N82" s="534">
        <v>5042.3500000000058</v>
      </c>
      <c r="O82" s="508"/>
      <c r="P82" s="492"/>
      <c r="Q82" s="511">
        <v>35590</v>
      </c>
      <c r="R82" s="508"/>
      <c r="S82" s="534">
        <v>4058</v>
      </c>
      <c r="T82" s="492"/>
      <c r="U82" s="492"/>
      <c r="V82" s="492"/>
      <c r="W82" s="492"/>
      <c r="X82" s="492"/>
      <c r="Y82" s="492"/>
      <c r="Z82" s="492"/>
      <c r="AA82" s="492"/>
      <c r="AB82" s="492"/>
      <c r="AC82" s="492"/>
      <c r="AD82" s="492"/>
      <c r="AE82" s="492"/>
      <c r="AF82" s="492"/>
      <c r="AG82" s="492"/>
      <c r="AH82" s="492"/>
      <c r="AI82" s="492"/>
      <c r="AJ82" s="492"/>
      <c r="AK82" s="492"/>
      <c r="AL82" s="492"/>
      <c r="AM82" s="492"/>
      <c r="AN82" s="492"/>
    </row>
    <row r="83" spans="1:40" ht="15.75" customHeight="1">
      <c r="A83" s="477" t="s">
        <v>282</v>
      </c>
      <c r="B83" s="492" t="s">
        <v>0</v>
      </c>
      <c r="C83" s="568" t="s">
        <v>71</v>
      </c>
      <c r="D83" s="569"/>
      <c r="E83" s="570"/>
      <c r="F83" s="571">
        <v>140149.09363841044</v>
      </c>
      <c r="G83" s="572"/>
      <c r="H83" s="570"/>
      <c r="I83" s="571"/>
      <c r="J83" s="572"/>
      <c r="K83" s="570"/>
      <c r="L83" s="571">
        <v>134474.85</v>
      </c>
      <c r="M83" s="575"/>
      <c r="N83" s="571">
        <v>-5674.2436384104512</v>
      </c>
      <c r="O83" s="572"/>
      <c r="P83" s="570"/>
      <c r="Q83" s="571">
        <v>181200</v>
      </c>
      <c r="R83" s="575"/>
      <c r="S83" s="571">
        <v>-28625.149999999994</v>
      </c>
      <c r="T83" s="492"/>
      <c r="U83" s="492"/>
      <c r="V83" s="492"/>
      <c r="W83" s="492"/>
      <c r="X83" s="492"/>
      <c r="Y83" s="492"/>
      <c r="Z83" s="492"/>
      <c r="AA83" s="492"/>
      <c r="AB83" s="492"/>
      <c r="AC83" s="492"/>
      <c r="AD83" s="492"/>
      <c r="AE83" s="492"/>
      <c r="AF83" s="492"/>
      <c r="AG83" s="492"/>
      <c r="AH83" s="492"/>
      <c r="AI83" s="492"/>
      <c r="AJ83" s="492"/>
      <c r="AK83" s="492"/>
      <c r="AL83" s="492"/>
      <c r="AM83" s="492"/>
      <c r="AN83" s="492"/>
    </row>
    <row r="84" spans="1:40" ht="15.75" customHeight="1">
      <c r="A84" s="477" t="s">
        <v>0</v>
      </c>
      <c r="B84" s="492" t="s">
        <v>0</v>
      </c>
      <c r="C84" s="592"/>
      <c r="D84" s="593"/>
      <c r="E84" s="594"/>
      <c r="F84" s="595"/>
      <c r="G84" s="596"/>
      <c r="H84" s="594"/>
      <c r="I84" s="595"/>
      <c r="J84" s="597"/>
      <c r="K84" s="598"/>
      <c r="L84" s="595"/>
      <c r="M84" s="597"/>
      <c r="N84" s="599"/>
      <c r="O84" s="597"/>
      <c r="P84" s="598"/>
      <c r="Q84" s="595"/>
      <c r="R84" s="597"/>
      <c r="S84" s="599"/>
      <c r="T84" s="492"/>
      <c r="U84" s="492"/>
      <c r="V84" s="492"/>
      <c r="W84" s="492"/>
      <c r="X84" s="492"/>
      <c r="Y84" s="492"/>
      <c r="Z84" s="492"/>
      <c r="AA84" s="492"/>
      <c r="AB84" s="492"/>
      <c r="AC84" s="492"/>
      <c r="AD84" s="492"/>
      <c r="AE84" s="492"/>
      <c r="AF84" s="492"/>
      <c r="AG84" s="492"/>
      <c r="AH84" s="492"/>
      <c r="AI84" s="492"/>
      <c r="AJ84" s="492"/>
      <c r="AK84" s="492"/>
      <c r="AL84" s="492"/>
      <c r="AM84" s="492"/>
      <c r="AN84" s="492"/>
    </row>
    <row r="85" spans="1:40" ht="22.5" customHeight="1" thickBot="1">
      <c r="A85" s="477" t="s">
        <v>283</v>
      </c>
      <c r="B85" s="492" t="s">
        <v>0</v>
      </c>
      <c r="C85" s="600" t="s">
        <v>72</v>
      </c>
      <c r="D85" s="601"/>
      <c r="E85" s="602"/>
      <c r="F85" s="603">
        <v>145646.28196641887</v>
      </c>
      <c r="G85" s="604"/>
      <c r="H85" s="602"/>
      <c r="I85" s="603"/>
      <c r="J85" s="604"/>
      <c r="K85" s="601"/>
      <c r="L85" s="603">
        <v>189760.01000000024</v>
      </c>
      <c r="M85" s="604"/>
      <c r="N85" s="603">
        <v>44113.728033581348</v>
      </c>
      <c r="O85" s="604"/>
      <c r="P85" s="605">
        <v>4.5369152745670514E-2</v>
      </c>
      <c r="Q85" s="603">
        <v>205257.39999999892</v>
      </c>
      <c r="R85" s="604"/>
      <c r="S85" s="603">
        <v>2602.6100000013212</v>
      </c>
      <c r="T85" s="492"/>
      <c r="U85" s="492"/>
      <c r="V85" s="492"/>
      <c r="W85" s="492"/>
      <c r="X85" s="492"/>
      <c r="Y85" s="492"/>
      <c r="Z85" s="492"/>
      <c r="AA85" s="492"/>
      <c r="AB85" s="492"/>
      <c r="AC85" s="492"/>
      <c r="AD85" s="492"/>
      <c r="AE85" s="492"/>
      <c r="AF85" s="492"/>
      <c r="AG85" s="492"/>
      <c r="AH85" s="492"/>
      <c r="AI85" s="492"/>
      <c r="AJ85" s="492"/>
      <c r="AK85" s="492"/>
      <c r="AL85" s="492"/>
      <c r="AM85" s="492"/>
      <c r="AN85" s="492"/>
    </row>
    <row r="86" spans="1:40" ht="15.75" customHeight="1" thickTop="1">
      <c r="B86" s="606"/>
      <c r="C86" s="606"/>
      <c r="D86" s="606"/>
      <c r="E86" s="606"/>
      <c r="F86" s="606"/>
      <c r="G86" s="606"/>
      <c r="H86" s="606"/>
      <c r="I86" s="606"/>
      <c r="J86" s="607"/>
      <c r="K86" s="606"/>
      <c r="L86" s="608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  <c r="Y86" s="606"/>
      <c r="Z86" s="606"/>
      <c r="AA86" s="606"/>
      <c r="AB86" s="606"/>
      <c r="AC86" s="606"/>
      <c r="AD86" s="606"/>
      <c r="AE86" s="606"/>
      <c r="AF86" s="606"/>
      <c r="AG86" s="606"/>
      <c r="AH86" s="606"/>
      <c r="AI86" s="606"/>
      <c r="AJ86" s="606"/>
      <c r="AK86" s="606"/>
      <c r="AL86" s="606"/>
      <c r="AM86" s="606"/>
      <c r="AN86" s="606"/>
    </row>
    <row r="87" spans="1:40" ht="12.75" customHeight="1">
      <c r="B87" s="606"/>
      <c r="C87" s="606"/>
      <c r="D87" s="606"/>
      <c r="E87" s="606"/>
      <c r="F87" s="606"/>
      <c r="G87" s="606"/>
      <c r="H87" s="606"/>
      <c r="I87" s="609"/>
      <c r="J87" s="606"/>
      <c r="K87" s="606"/>
      <c r="L87" s="606"/>
      <c r="M87" s="606"/>
      <c r="N87" s="606"/>
      <c r="O87" s="606"/>
      <c r="P87" s="606"/>
      <c r="Q87" s="606"/>
      <c r="R87" s="606"/>
      <c r="S87" s="606"/>
      <c r="T87" s="606"/>
      <c r="U87" s="606"/>
      <c r="V87" s="606"/>
      <c r="W87" s="606"/>
      <c r="X87" s="606"/>
      <c r="Y87" s="606"/>
      <c r="Z87" s="606"/>
      <c r="AA87" s="606"/>
      <c r="AB87" s="606"/>
      <c r="AC87" s="606"/>
      <c r="AD87" s="606"/>
      <c r="AE87" s="606"/>
      <c r="AF87" s="606"/>
      <c r="AG87" s="606"/>
      <c r="AH87" s="606"/>
      <c r="AI87" s="606"/>
      <c r="AJ87" s="606"/>
      <c r="AK87" s="606"/>
      <c r="AL87" s="606"/>
      <c r="AM87" s="606"/>
      <c r="AN87" s="606"/>
    </row>
    <row r="88" spans="1:40" ht="15.75" hidden="1" customHeight="1">
      <c r="B88" s="486"/>
      <c r="C88" s="489"/>
      <c r="D88" s="489"/>
      <c r="E88" s="489"/>
      <c r="F88" s="489"/>
      <c r="G88" s="489"/>
      <c r="H88" s="489"/>
      <c r="I88" s="489"/>
      <c r="J88" s="489"/>
      <c r="K88" s="489"/>
      <c r="L88" s="489"/>
      <c r="M88" s="489"/>
      <c r="N88" s="489"/>
      <c r="O88" s="489"/>
      <c r="P88" s="489"/>
      <c r="Q88" s="489"/>
      <c r="R88" s="489"/>
      <c r="S88" s="489"/>
      <c r="T88" s="489"/>
      <c r="U88" s="489"/>
    </row>
    <row r="89" spans="1:40" ht="33" customHeight="1">
      <c r="B89" s="478"/>
      <c r="C89" s="610" t="s">
        <v>478</v>
      </c>
      <c r="D89" s="480"/>
      <c r="E89" s="480"/>
      <c r="F89" s="480"/>
      <c r="G89" s="480"/>
      <c r="H89" s="478"/>
      <c r="I89" s="478"/>
      <c r="J89" s="478"/>
      <c r="K89" s="482" t="s">
        <v>73</v>
      </c>
      <c r="L89" s="480"/>
      <c r="M89" s="480"/>
      <c r="N89" s="478"/>
      <c r="O89" s="478"/>
      <c r="P89" s="480"/>
      <c r="Q89" s="478"/>
      <c r="R89" s="480"/>
      <c r="S89" s="611" t="s">
        <v>480</v>
      </c>
      <c r="T89" s="478"/>
      <c r="U89" s="478"/>
      <c r="V89" s="478"/>
      <c r="W89" s="478"/>
      <c r="X89" s="478"/>
      <c r="Y89" s="478"/>
      <c r="Z89" s="478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  <c r="AL89" s="478"/>
      <c r="AM89" s="478"/>
      <c r="AN89" s="478"/>
    </row>
    <row r="90" spans="1:40" ht="15.75" customHeight="1" thickBot="1">
      <c r="B90" s="486"/>
      <c r="C90" s="487"/>
      <c r="D90" s="489"/>
      <c r="E90" s="489"/>
      <c r="F90" s="489"/>
      <c r="G90" s="489"/>
      <c r="H90" s="489"/>
      <c r="I90" s="489"/>
      <c r="J90" s="489"/>
      <c r="K90" s="489"/>
      <c r="L90" s="489"/>
      <c r="M90" s="489"/>
      <c r="N90" s="489"/>
      <c r="O90" s="489"/>
      <c r="P90" s="489"/>
      <c r="Q90" s="489"/>
      <c r="R90" s="489"/>
      <c r="S90" s="489"/>
      <c r="T90" s="489"/>
      <c r="U90" s="489"/>
    </row>
    <row r="91" spans="1:40" ht="15.75" customHeight="1" thickTop="1">
      <c r="B91" s="492"/>
      <c r="C91" s="493"/>
      <c r="D91" s="879" t="s">
        <v>5</v>
      </c>
      <c r="E91" s="880"/>
      <c r="F91" s="881"/>
      <c r="G91" s="882"/>
      <c r="H91" s="880"/>
      <c r="I91" s="881"/>
      <c r="J91" s="882" t="s">
        <v>7</v>
      </c>
      <c r="K91" s="880"/>
      <c r="L91" s="881"/>
      <c r="M91" s="882" t="s">
        <v>220</v>
      </c>
      <c r="N91" s="881"/>
      <c r="O91" s="879" t="s">
        <v>8</v>
      </c>
      <c r="P91" s="880"/>
      <c r="Q91" s="881"/>
      <c r="R91" s="882" t="s">
        <v>221</v>
      </c>
      <c r="S91" s="881"/>
      <c r="T91" s="492"/>
      <c r="U91" s="492"/>
      <c r="V91" s="492"/>
      <c r="W91" s="492"/>
      <c r="X91" s="492"/>
      <c r="Y91" s="492"/>
      <c r="Z91" s="492"/>
      <c r="AA91" s="492"/>
      <c r="AB91" s="492"/>
      <c r="AC91" s="492"/>
      <c r="AD91" s="492"/>
      <c r="AE91" s="492"/>
      <c r="AF91" s="492"/>
      <c r="AG91" s="492"/>
      <c r="AH91" s="492"/>
      <c r="AI91" s="492"/>
      <c r="AJ91" s="492"/>
      <c r="AK91" s="492"/>
      <c r="AL91" s="492"/>
      <c r="AM91" s="492"/>
      <c r="AN91" s="492"/>
    </row>
    <row r="92" spans="1:40" ht="15.75" customHeight="1">
      <c r="B92" s="492"/>
      <c r="C92" s="508"/>
      <c r="D92" s="497" t="s">
        <v>10</v>
      </c>
      <c r="E92" s="498" t="s">
        <v>11</v>
      </c>
      <c r="F92" s="499" t="s">
        <v>12</v>
      </c>
      <c r="G92" s="500"/>
      <c r="H92" s="498"/>
      <c r="I92" s="499"/>
      <c r="J92" s="500" t="s">
        <v>473</v>
      </c>
      <c r="K92" s="498" t="s">
        <v>13</v>
      </c>
      <c r="L92" s="499" t="s">
        <v>12</v>
      </c>
      <c r="M92" s="500" t="s">
        <v>473</v>
      </c>
      <c r="N92" s="499" t="s">
        <v>12</v>
      </c>
      <c r="O92" s="498" t="s">
        <v>10</v>
      </c>
      <c r="P92" s="498" t="s">
        <v>11</v>
      </c>
      <c r="Q92" s="499" t="s">
        <v>12</v>
      </c>
      <c r="R92" s="500" t="s">
        <v>473</v>
      </c>
      <c r="S92" s="499" t="s">
        <v>12</v>
      </c>
      <c r="T92" s="492"/>
      <c r="U92" s="492"/>
      <c r="V92" s="492"/>
      <c r="W92" s="492"/>
      <c r="X92" s="492"/>
      <c r="Y92" s="492"/>
      <c r="Z92" s="492"/>
      <c r="AA92" s="492"/>
      <c r="AB92" s="492"/>
      <c r="AC92" s="492"/>
      <c r="AD92" s="492"/>
      <c r="AE92" s="492"/>
      <c r="AF92" s="492"/>
      <c r="AG92" s="492"/>
      <c r="AH92" s="492"/>
      <c r="AI92" s="492"/>
      <c r="AJ92" s="492"/>
      <c r="AK92" s="492"/>
      <c r="AL92" s="492"/>
      <c r="AM92" s="492"/>
      <c r="AN92" s="492"/>
    </row>
    <row r="93" spans="1:40" ht="24" customHeight="1">
      <c r="A93" s="477" t="s">
        <v>284</v>
      </c>
      <c r="B93" s="492" t="s">
        <v>73</v>
      </c>
      <c r="C93" s="501" t="s">
        <v>15</v>
      </c>
      <c r="D93" s="505"/>
      <c r="E93" s="505"/>
      <c r="F93" s="503">
        <v>1699373.0791515762</v>
      </c>
      <c r="G93" s="522"/>
      <c r="H93" s="505"/>
      <c r="I93" s="503"/>
      <c r="J93" s="501"/>
      <c r="K93" s="505"/>
      <c r="L93" s="503">
        <v>1735831.76</v>
      </c>
      <c r="M93" s="612"/>
      <c r="N93" s="613"/>
      <c r="O93" s="501"/>
      <c r="P93" s="505"/>
      <c r="Q93" s="503">
        <v>1416483.5799999901</v>
      </c>
      <c r="R93" s="612"/>
      <c r="S93" s="613"/>
      <c r="T93" s="492"/>
      <c r="U93" s="492"/>
      <c r="V93" s="492"/>
      <c r="W93" s="492"/>
      <c r="X93" s="492"/>
      <c r="Y93" s="492"/>
      <c r="Z93" s="492"/>
      <c r="AA93" s="492"/>
      <c r="AB93" s="492"/>
      <c r="AC93" s="492"/>
      <c r="AD93" s="492"/>
      <c r="AE93" s="492"/>
      <c r="AF93" s="492"/>
      <c r="AG93" s="492"/>
      <c r="AH93" s="492"/>
      <c r="AI93" s="492"/>
      <c r="AJ93" s="492"/>
      <c r="AK93" s="492"/>
      <c r="AL93" s="492"/>
      <c r="AM93" s="492"/>
      <c r="AN93" s="492"/>
    </row>
    <row r="94" spans="1:40" ht="21.75" customHeight="1">
      <c r="A94" s="477" t="s">
        <v>285</v>
      </c>
      <c r="B94" s="492" t="s">
        <v>73</v>
      </c>
      <c r="C94" s="508" t="s">
        <v>75</v>
      </c>
      <c r="D94" s="509">
        <v>26</v>
      </c>
      <c r="E94" s="509">
        <v>1400</v>
      </c>
      <c r="F94" s="509">
        <v>36400</v>
      </c>
      <c r="G94" s="510"/>
      <c r="H94" s="509"/>
      <c r="I94" s="509"/>
      <c r="J94" s="510">
        <v>28</v>
      </c>
      <c r="K94" s="509">
        <v>1004.9228571428559</v>
      </c>
      <c r="L94" s="511">
        <v>28137.839999999967</v>
      </c>
      <c r="M94" s="510">
        <v>2</v>
      </c>
      <c r="N94" s="511">
        <v>-8262.1600000000326</v>
      </c>
      <c r="O94" s="510">
        <v>25</v>
      </c>
      <c r="P94" s="509">
        <v>1627.894399999996</v>
      </c>
      <c r="Q94" s="511">
        <v>40697.359999999899</v>
      </c>
      <c r="R94" s="510">
        <v>3</v>
      </c>
      <c r="S94" s="511">
        <v>-12559.519999999931</v>
      </c>
      <c r="T94" s="492"/>
      <c r="U94" s="492"/>
      <c r="V94" s="492"/>
      <c r="W94" s="492"/>
      <c r="X94" s="492"/>
      <c r="Y94" s="492"/>
      <c r="Z94" s="492"/>
      <c r="AA94" s="492"/>
      <c r="AB94" s="492"/>
      <c r="AC94" s="492"/>
      <c r="AD94" s="492"/>
      <c r="AE94" s="492"/>
      <c r="AF94" s="492"/>
      <c r="AG94" s="492"/>
      <c r="AH94" s="492"/>
      <c r="AI94" s="492"/>
      <c r="AJ94" s="492"/>
      <c r="AK94" s="492"/>
      <c r="AL94" s="492"/>
      <c r="AM94" s="492"/>
      <c r="AN94" s="492"/>
    </row>
    <row r="95" spans="1:40" ht="18.75" customHeight="1">
      <c r="A95" s="477" t="s">
        <v>286</v>
      </c>
      <c r="B95" s="492" t="s">
        <v>73</v>
      </c>
      <c r="C95" s="508" t="s">
        <v>76</v>
      </c>
      <c r="D95" s="509">
        <v>3</v>
      </c>
      <c r="E95" s="509">
        <v>1800</v>
      </c>
      <c r="F95" s="509">
        <v>5400</v>
      </c>
      <c r="G95" s="510"/>
      <c r="H95" s="509"/>
      <c r="I95" s="509"/>
      <c r="J95" s="510">
        <v>0</v>
      </c>
      <c r="K95" s="509">
        <v>0</v>
      </c>
      <c r="L95" s="511">
        <v>0</v>
      </c>
      <c r="M95" s="510">
        <v>-3</v>
      </c>
      <c r="N95" s="511">
        <v>-5400</v>
      </c>
      <c r="O95" s="510">
        <v>5</v>
      </c>
      <c r="P95" s="509">
        <v>1346.9039999999982</v>
      </c>
      <c r="Q95" s="511">
        <v>6734.5199999999904</v>
      </c>
      <c r="R95" s="510">
        <v>-5</v>
      </c>
      <c r="S95" s="511">
        <v>-6734.5199999999904</v>
      </c>
      <c r="T95" s="492"/>
      <c r="U95" s="492"/>
      <c r="V95" s="614"/>
      <c r="W95" s="492"/>
      <c r="X95" s="492"/>
      <c r="Y95" s="492"/>
      <c r="Z95" s="492"/>
      <c r="AA95" s="492"/>
      <c r="AB95" s="492"/>
      <c r="AC95" s="492"/>
      <c r="AD95" s="492"/>
      <c r="AE95" s="492"/>
      <c r="AF95" s="492"/>
      <c r="AG95" s="492"/>
      <c r="AH95" s="492"/>
      <c r="AI95" s="492"/>
      <c r="AJ95" s="492"/>
      <c r="AK95" s="492"/>
      <c r="AL95" s="492"/>
      <c r="AM95" s="492"/>
      <c r="AN95" s="492"/>
    </row>
    <row r="96" spans="1:40" ht="18.75" customHeight="1">
      <c r="A96" s="477" t="s">
        <v>287</v>
      </c>
      <c r="B96" s="492" t="s">
        <v>73</v>
      </c>
      <c r="C96" s="508" t="s">
        <v>224</v>
      </c>
      <c r="D96" s="509">
        <v>5</v>
      </c>
      <c r="E96" s="505">
        <v>1500</v>
      </c>
      <c r="F96" s="509">
        <v>7500</v>
      </c>
      <c r="G96" s="510"/>
      <c r="H96" s="509"/>
      <c r="I96" s="509"/>
      <c r="J96" s="510">
        <v>0</v>
      </c>
      <c r="K96" s="509">
        <v>0</v>
      </c>
      <c r="L96" s="511">
        <v>0</v>
      </c>
      <c r="M96" s="510">
        <v>-5</v>
      </c>
      <c r="N96" s="511">
        <v>-7500</v>
      </c>
      <c r="O96" s="510">
        <v>0</v>
      </c>
      <c r="P96" s="509">
        <v>0</v>
      </c>
      <c r="Q96" s="511">
        <v>0</v>
      </c>
      <c r="R96" s="510">
        <v>0</v>
      </c>
      <c r="S96" s="511">
        <v>0</v>
      </c>
      <c r="T96" s="492"/>
      <c r="U96" s="492"/>
      <c r="V96" s="614"/>
      <c r="W96" s="492"/>
      <c r="X96" s="492"/>
      <c r="Y96" s="492"/>
      <c r="Z96" s="492"/>
      <c r="AA96" s="492"/>
      <c r="AB96" s="492"/>
      <c r="AC96" s="492"/>
      <c r="AD96" s="492"/>
      <c r="AE96" s="492"/>
      <c r="AF96" s="492"/>
      <c r="AG96" s="492"/>
      <c r="AH96" s="492"/>
      <c r="AI96" s="492"/>
      <c r="AJ96" s="492"/>
      <c r="AK96" s="492"/>
      <c r="AL96" s="492"/>
      <c r="AM96" s="492"/>
      <c r="AN96" s="492"/>
    </row>
    <row r="97" spans="1:40" ht="15.75" customHeight="1">
      <c r="A97" s="477" t="s">
        <v>288</v>
      </c>
      <c r="B97" s="492" t="s">
        <v>73</v>
      </c>
      <c r="C97" s="514" t="s">
        <v>77</v>
      </c>
      <c r="D97" s="515">
        <v>34</v>
      </c>
      <c r="E97" s="509">
        <v>1450</v>
      </c>
      <c r="F97" s="516">
        <v>49300</v>
      </c>
      <c r="G97" s="517"/>
      <c r="H97" s="515"/>
      <c r="I97" s="516"/>
      <c r="J97" s="517">
        <v>28</v>
      </c>
      <c r="K97" s="515">
        <v>1004.9228571428559</v>
      </c>
      <c r="L97" s="516">
        <v>28137.839999999967</v>
      </c>
      <c r="M97" s="517">
        <v>-6</v>
      </c>
      <c r="N97" s="516">
        <v>-21162.160000000033</v>
      </c>
      <c r="O97" s="517">
        <v>30</v>
      </c>
      <c r="P97" s="515">
        <v>1581.0626666666628</v>
      </c>
      <c r="Q97" s="516">
        <v>47431.879999999888</v>
      </c>
      <c r="R97" s="517">
        <v>-2</v>
      </c>
      <c r="S97" s="516">
        <v>-19294.039999999921</v>
      </c>
      <c r="T97" s="492"/>
      <c r="U97" s="492"/>
      <c r="V97" s="492"/>
      <c r="W97" s="492"/>
      <c r="X97" s="492"/>
      <c r="Y97" s="492"/>
      <c r="Z97" s="492"/>
      <c r="AA97" s="492"/>
      <c r="AB97" s="492"/>
      <c r="AC97" s="550"/>
      <c r="AD97" s="492"/>
      <c r="AE97" s="492"/>
      <c r="AF97" s="550"/>
      <c r="AG97" s="492"/>
      <c r="AH97" s="492"/>
      <c r="AI97" s="492"/>
      <c r="AJ97" s="492"/>
      <c r="AK97" s="492"/>
      <c r="AL97" s="492"/>
      <c r="AM97" s="492"/>
      <c r="AN97" s="492"/>
    </row>
    <row r="98" spans="1:40" ht="15.75" customHeight="1">
      <c r="A98" s="477" t="s">
        <v>73</v>
      </c>
      <c r="B98" s="492" t="s">
        <v>73</v>
      </c>
      <c r="C98" s="508"/>
      <c r="D98" s="492"/>
      <c r="E98" s="509">
        <v>0</v>
      </c>
      <c r="F98" s="518"/>
      <c r="G98" s="508"/>
      <c r="H98" s="492"/>
      <c r="I98" s="518"/>
      <c r="J98" s="508"/>
      <c r="K98" s="492"/>
      <c r="L98" s="518"/>
      <c r="M98" s="615">
        <v>-0.17647058823529413</v>
      </c>
      <c r="N98" s="616">
        <v>-0.42925273833671468</v>
      </c>
      <c r="O98" s="508"/>
      <c r="P98" s="492">
        <v>0</v>
      </c>
      <c r="Q98" s="518"/>
      <c r="R98" s="615">
        <v>-6.6666666666666666E-2</v>
      </c>
      <c r="S98" s="616">
        <v>-0.40677367205347892</v>
      </c>
      <c r="T98" s="492"/>
      <c r="U98" s="492"/>
      <c r="V98" s="492"/>
      <c r="W98" s="492"/>
      <c r="X98" s="492"/>
      <c r="Y98" s="492"/>
      <c r="Z98" s="492"/>
      <c r="AA98" s="492"/>
      <c r="AB98" s="492"/>
      <c r="AC98" s="492"/>
      <c r="AD98" s="492"/>
      <c r="AE98" s="492"/>
      <c r="AF98" s="492"/>
      <c r="AG98" s="492"/>
      <c r="AH98" s="492"/>
      <c r="AI98" s="492"/>
      <c r="AJ98" s="492"/>
      <c r="AK98" s="492"/>
      <c r="AL98" s="492"/>
      <c r="AM98" s="492"/>
      <c r="AN98" s="492"/>
    </row>
    <row r="99" spans="1:40" ht="15.75" customHeight="1">
      <c r="A99" s="477" t="s">
        <v>73</v>
      </c>
      <c r="B99" s="492" t="s">
        <v>73</v>
      </c>
      <c r="C99" s="508"/>
      <c r="D99" s="509">
        <v>0</v>
      </c>
      <c r="E99" s="509">
        <v>0</v>
      </c>
      <c r="F99" s="509">
        <v>0</v>
      </c>
      <c r="G99" s="510"/>
      <c r="H99" s="509"/>
      <c r="I99" s="509"/>
      <c r="J99" s="510"/>
      <c r="K99" s="509"/>
      <c r="L99" s="511"/>
      <c r="M99" s="510"/>
      <c r="N99" s="511"/>
      <c r="O99" s="510"/>
      <c r="P99" s="509"/>
      <c r="Q99" s="511"/>
      <c r="R99" s="510"/>
      <c r="S99" s="511"/>
      <c r="T99" s="492"/>
      <c r="U99" s="492"/>
      <c r="V99" s="492"/>
      <c r="W99" s="509"/>
      <c r="X99" s="509"/>
      <c r="Y99" s="492"/>
      <c r="Z99" s="492"/>
      <c r="AA99" s="492"/>
      <c r="AB99" s="492"/>
      <c r="AC99" s="492"/>
      <c r="AD99" s="492"/>
      <c r="AE99" s="492"/>
      <c r="AF99" s="492"/>
      <c r="AG99" s="492"/>
      <c r="AH99" s="492"/>
      <c r="AI99" s="492"/>
      <c r="AJ99" s="492"/>
      <c r="AK99" s="492"/>
      <c r="AL99" s="492"/>
      <c r="AM99" s="492"/>
      <c r="AN99" s="492"/>
    </row>
    <row r="100" spans="1:40" ht="15.75" customHeight="1">
      <c r="A100" s="477" t="s">
        <v>289</v>
      </c>
      <c r="B100" s="492" t="s">
        <v>73</v>
      </c>
      <c r="C100" s="508" t="s">
        <v>78</v>
      </c>
      <c r="D100" s="509">
        <v>37</v>
      </c>
      <c r="E100" s="509">
        <v>400</v>
      </c>
      <c r="F100" s="509">
        <v>14800</v>
      </c>
      <c r="G100" s="510"/>
      <c r="H100" s="509"/>
      <c r="I100" s="509"/>
      <c r="J100" s="510">
        <v>51</v>
      </c>
      <c r="K100" s="509">
        <v>737.09647058823612</v>
      </c>
      <c r="L100" s="511">
        <v>37591.920000000042</v>
      </c>
      <c r="M100" s="510">
        <v>14</v>
      </c>
      <c r="N100" s="511">
        <v>22791.920000000042</v>
      </c>
      <c r="O100" s="510">
        <v>37</v>
      </c>
      <c r="P100" s="509">
        <v>-125.19594594594595</v>
      </c>
      <c r="Q100" s="511">
        <v>-4632.25</v>
      </c>
      <c r="R100" s="510">
        <v>14</v>
      </c>
      <c r="S100" s="511">
        <v>42224.170000000042</v>
      </c>
      <c r="T100" s="492"/>
      <c r="U100" s="509"/>
      <c r="V100" s="492"/>
      <c r="W100" s="492"/>
      <c r="X100" s="492"/>
      <c r="Y100" s="492"/>
      <c r="Z100" s="492"/>
      <c r="AA100" s="492"/>
      <c r="AB100" s="492"/>
      <c r="AC100" s="550"/>
      <c r="AD100" s="492"/>
      <c r="AE100" s="492"/>
      <c r="AF100" s="617"/>
      <c r="AG100" s="492"/>
      <c r="AH100" s="492"/>
      <c r="AI100" s="492"/>
      <c r="AJ100" s="492"/>
      <c r="AK100" s="492"/>
      <c r="AL100" s="492"/>
      <c r="AM100" s="492"/>
      <c r="AN100" s="492"/>
    </row>
    <row r="101" spans="1:40" ht="15.75" customHeight="1">
      <c r="A101" s="477" t="s">
        <v>73</v>
      </c>
      <c r="B101" s="492" t="s">
        <v>73</v>
      </c>
      <c r="C101" s="501"/>
      <c r="D101" s="505"/>
      <c r="E101" s="505"/>
      <c r="F101" s="503"/>
      <c r="G101" s="522"/>
      <c r="H101" s="505"/>
      <c r="I101" s="503"/>
      <c r="J101" s="522"/>
      <c r="K101" s="505"/>
      <c r="L101" s="503"/>
      <c r="M101" s="523"/>
      <c r="N101" s="618"/>
      <c r="O101" s="522"/>
      <c r="P101" s="505"/>
      <c r="Q101" s="503"/>
      <c r="R101" s="523"/>
      <c r="S101" s="618"/>
      <c r="T101" s="492"/>
      <c r="U101" s="492"/>
      <c r="V101" s="492"/>
      <c r="W101" s="509"/>
      <c r="X101" s="492"/>
      <c r="Y101" s="492"/>
      <c r="Z101" s="492"/>
      <c r="AA101" s="492"/>
      <c r="AB101" s="492"/>
      <c r="AC101" s="492"/>
      <c r="AD101" s="492"/>
      <c r="AE101" s="492"/>
      <c r="AF101" s="617"/>
      <c r="AG101" s="492"/>
      <c r="AH101" s="492"/>
      <c r="AI101" s="492"/>
      <c r="AJ101" s="492"/>
      <c r="AK101" s="492"/>
      <c r="AL101" s="492"/>
      <c r="AM101" s="492"/>
      <c r="AN101" s="492"/>
    </row>
    <row r="102" spans="1:40" ht="15.75" customHeight="1">
      <c r="A102" s="477" t="s">
        <v>290</v>
      </c>
      <c r="B102" s="492" t="s">
        <v>73</v>
      </c>
      <c r="C102" s="508" t="s">
        <v>25</v>
      </c>
      <c r="D102" s="509">
        <v>0</v>
      </c>
      <c r="E102" s="509">
        <v>0</v>
      </c>
      <c r="F102" s="511">
        <v>20400</v>
      </c>
      <c r="G102" s="510"/>
      <c r="H102" s="509"/>
      <c r="I102" s="509"/>
      <c r="J102" s="510"/>
      <c r="K102" s="509">
        <v>450.1742857142857</v>
      </c>
      <c r="L102" s="511">
        <v>12604.88</v>
      </c>
      <c r="M102" s="510"/>
      <c r="N102" s="511">
        <v>-7795.1200000000008</v>
      </c>
      <c r="O102" s="510"/>
      <c r="P102" s="509"/>
      <c r="Q102" s="511">
        <v>8266.65</v>
      </c>
      <c r="R102" s="510">
        <v>-450.1742857142857</v>
      </c>
      <c r="S102" s="511">
        <v>4338.2299999999996</v>
      </c>
      <c r="T102" s="492"/>
      <c r="U102" s="492"/>
      <c r="V102" s="492"/>
      <c r="W102" s="492"/>
      <c r="X102" s="492"/>
      <c r="Y102" s="492"/>
      <c r="Z102" s="492"/>
      <c r="AA102" s="492"/>
      <c r="AB102" s="492"/>
      <c r="AC102" s="492"/>
      <c r="AD102" s="492"/>
      <c r="AE102" s="492"/>
      <c r="AF102" s="492"/>
      <c r="AG102" s="492"/>
      <c r="AH102" s="492"/>
      <c r="AI102" s="492"/>
      <c r="AJ102" s="492"/>
      <c r="AK102" s="492"/>
      <c r="AL102" s="492"/>
      <c r="AM102" s="492"/>
      <c r="AN102" s="492"/>
    </row>
    <row r="103" spans="1:40" ht="15.75" customHeight="1">
      <c r="A103" s="477" t="s">
        <v>291</v>
      </c>
      <c r="B103" s="492" t="s">
        <v>73</v>
      </c>
      <c r="C103" s="508" t="s">
        <v>26</v>
      </c>
      <c r="D103" s="509">
        <v>0</v>
      </c>
      <c r="E103" s="509">
        <v>0</v>
      </c>
      <c r="F103" s="511">
        <v>42500</v>
      </c>
      <c r="G103" s="510"/>
      <c r="H103" s="509"/>
      <c r="I103" s="509"/>
      <c r="J103" s="510"/>
      <c r="K103" s="509">
        <v>1933.1910714285714</v>
      </c>
      <c r="L103" s="511">
        <v>54129.35</v>
      </c>
      <c r="M103" s="510"/>
      <c r="N103" s="511">
        <v>11629.349999999999</v>
      </c>
      <c r="O103" s="510"/>
      <c r="P103" s="509"/>
      <c r="Q103" s="511">
        <v>46940.15</v>
      </c>
      <c r="R103" s="510">
        <v>-1933.1910714285714</v>
      </c>
      <c r="S103" s="511">
        <v>7189.1999999999971</v>
      </c>
      <c r="T103" s="492"/>
      <c r="U103" s="492"/>
      <c r="V103" s="492"/>
      <c r="W103" s="492"/>
      <c r="X103" s="492"/>
      <c r="Y103" s="492"/>
      <c r="Z103" s="492"/>
      <c r="AA103" s="492"/>
      <c r="AB103" s="492"/>
      <c r="AC103" s="492"/>
      <c r="AD103" s="492"/>
      <c r="AE103" s="492"/>
      <c r="AF103" s="492"/>
      <c r="AG103" s="492"/>
      <c r="AH103" s="492"/>
      <c r="AI103" s="492"/>
      <c r="AJ103" s="492"/>
      <c r="AK103" s="492"/>
      <c r="AL103" s="492"/>
      <c r="AM103" s="492"/>
      <c r="AN103" s="492"/>
    </row>
    <row r="104" spans="1:40" ht="15.75" customHeight="1">
      <c r="A104" s="477" t="s">
        <v>292</v>
      </c>
      <c r="B104" s="492" t="s">
        <v>73</v>
      </c>
      <c r="C104" s="508" t="s">
        <v>27</v>
      </c>
      <c r="D104" s="509">
        <v>0</v>
      </c>
      <c r="E104" s="505">
        <v>0</v>
      </c>
      <c r="F104" s="511">
        <v>1700</v>
      </c>
      <c r="G104" s="510"/>
      <c r="H104" s="505"/>
      <c r="I104" s="509"/>
      <c r="J104" s="510"/>
      <c r="K104" s="505">
        <v>28.672142857142859</v>
      </c>
      <c r="L104" s="511">
        <v>802.82</v>
      </c>
      <c r="M104" s="522"/>
      <c r="N104" s="511">
        <v>-897.18</v>
      </c>
      <c r="O104" s="510"/>
      <c r="P104" s="505"/>
      <c r="Q104" s="511">
        <v>2036.84</v>
      </c>
      <c r="R104" s="510">
        <v>-28.672142857142859</v>
      </c>
      <c r="S104" s="511">
        <v>-1234.02</v>
      </c>
      <c r="T104" s="492"/>
      <c r="U104" s="492"/>
      <c r="V104" s="492"/>
      <c r="W104" s="492"/>
      <c r="X104" s="492"/>
      <c r="Y104" s="492"/>
      <c r="Z104" s="492"/>
      <c r="AA104" s="492"/>
      <c r="AB104" s="492"/>
      <c r="AC104" s="492"/>
      <c r="AD104" s="492"/>
      <c r="AE104" s="492"/>
      <c r="AF104" s="492"/>
      <c r="AG104" s="492"/>
      <c r="AH104" s="492"/>
      <c r="AI104" s="492"/>
      <c r="AJ104" s="492"/>
      <c r="AK104" s="492"/>
      <c r="AL104" s="492"/>
      <c r="AM104" s="492"/>
      <c r="AN104" s="492"/>
    </row>
    <row r="105" spans="1:40" ht="15.75" customHeight="1">
      <c r="A105" s="477" t="s">
        <v>293</v>
      </c>
      <c r="B105" s="492" t="s">
        <v>73</v>
      </c>
      <c r="C105" s="514" t="s">
        <v>28</v>
      </c>
      <c r="D105" s="515">
        <v>34</v>
      </c>
      <c r="E105" s="509">
        <v>1900</v>
      </c>
      <c r="F105" s="516">
        <v>64600</v>
      </c>
      <c r="G105" s="517"/>
      <c r="H105" s="515"/>
      <c r="I105" s="516"/>
      <c r="J105" s="517">
        <v>28</v>
      </c>
      <c r="K105" s="515">
        <v>2412.0374999999999</v>
      </c>
      <c r="L105" s="516">
        <v>67537.05</v>
      </c>
      <c r="M105" s="510">
        <v>-6</v>
      </c>
      <c r="N105" s="516">
        <v>2937.0500000000029</v>
      </c>
      <c r="O105" s="517">
        <v>30</v>
      </c>
      <c r="P105" s="515">
        <v>1908.1213333333333</v>
      </c>
      <c r="Q105" s="516">
        <v>57243.64</v>
      </c>
      <c r="R105" s="531"/>
      <c r="S105" s="516">
        <v>10293.410000000003</v>
      </c>
      <c r="T105" s="492"/>
      <c r="U105" s="492"/>
      <c r="V105" s="492"/>
      <c r="W105" s="492"/>
      <c r="X105" s="492"/>
      <c r="Y105" s="492"/>
      <c r="Z105" s="492"/>
      <c r="AA105" s="492"/>
      <c r="AB105" s="492"/>
      <c r="AC105" s="492"/>
      <c r="AD105" s="492"/>
      <c r="AE105" s="492"/>
      <c r="AF105" s="492"/>
      <c r="AG105" s="492"/>
      <c r="AH105" s="492"/>
      <c r="AI105" s="492"/>
      <c r="AJ105" s="492"/>
      <c r="AK105" s="492"/>
      <c r="AL105" s="492"/>
      <c r="AM105" s="492"/>
      <c r="AN105" s="492"/>
    </row>
    <row r="106" spans="1:40" ht="15.75" customHeight="1">
      <c r="A106" s="477" t="s">
        <v>73</v>
      </c>
      <c r="B106" s="492" t="s">
        <v>73</v>
      </c>
      <c r="C106" s="508"/>
      <c r="D106" s="492"/>
      <c r="E106" s="492"/>
      <c r="F106" s="534"/>
      <c r="G106" s="508"/>
      <c r="H106" s="619"/>
      <c r="I106" s="534"/>
      <c r="J106" s="508"/>
      <c r="K106" s="492"/>
      <c r="L106" s="534"/>
      <c r="M106" s="525"/>
      <c r="N106" s="526">
        <v>4.5465170278637813E-2</v>
      </c>
      <c r="O106" s="508"/>
      <c r="P106" s="492"/>
      <c r="Q106" s="534"/>
      <c r="R106" s="535"/>
      <c r="S106" s="526">
        <v>0.17981753082089125</v>
      </c>
      <c r="T106" s="492"/>
      <c r="U106" s="492"/>
      <c r="V106" s="492"/>
      <c r="W106" s="492"/>
      <c r="X106" s="492"/>
      <c r="Y106" s="492"/>
      <c r="Z106" s="492"/>
      <c r="AA106" s="492"/>
      <c r="AB106" s="492"/>
      <c r="AC106" s="492"/>
      <c r="AD106" s="492"/>
      <c r="AE106" s="492"/>
      <c r="AF106" s="492"/>
      <c r="AG106" s="492"/>
      <c r="AH106" s="492"/>
      <c r="AI106" s="492"/>
      <c r="AJ106" s="492"/>
      <c r="AK106" s="492"/>
      <c r="AL106" s="492"/>
      <c r="AM106" s="492"/>
      <c r="AN106" s="492"/>
    </row>
    <row r="107" spans="1:40" ht="15.75" customHeight="1" thickBot="1">
      <c r="A107" s="477" t="s">
        <v>73</v>
      </c>
      <c r="B107" s="492" t="s">
        <v>73</v>
      </c>
      <c r="C107" s="508"/>
      <c r="D107" s="492"/>
      <c r="E107" s="492"/>
      <c r="F107" s="534"/>
      <c r="G107" s="508"/>
      <c r="H107" s="619"/>
      <c r="I107" s="534"/>
      <c r="J107" s="508"/>
      <c r="K107" s="492"/>
      <c r="L107" s="534"/>
      <c r="M107" s="525"/>
      <c r="N107" s="526"/>
      <c r="O107" s="508"/>
      <c r="P107" s="492"/>
      <c r="Q107" s="534"/>
      <c r="R107" s="535"/>
      <c r="S107" s="526"/>
      <c r="T107" s="492"/>
      <c r="U107" s="492"/>
      <c r="V107" s="492"/>
      <c r="W107" s="492"/>
      <c r="X107" s="492"/>
      <c r="Y107" s="492"/>
      <c r="Z107" s="492"/>
      <c r="AA107" s="492"/>
      <c r="AB107" s="492"/>
      <c r="AC107" s="492"/>
      <c r="AD107" s="492"/>
      <c r="AE107" s="492"/>
      <c r="AF107" s="492"/>
      <c r="AG107" s="492"/>
      <c r="AH107" s="492"/>
      <c r="AI107" s="492"/>
      <c r="AJ107" s="492"/>
      <c r="AK107" s="492"/>
      <c r="AL107" s="492"/>
      <c r="AM107" s="492"/>
      <c r="AN107" s="492"/>
    </row>
    <row r="108" spans="1:40" ht="23.25" customHeight="1" thickTop="1">
      <c r="A108" s="477" t="s">
        <v>294</v>
      </c>
      <c r="B108" s="492" t="s">
        <v>73</v>
      </c>
      <c r="C108" s="536" t="s">
        <v>79</v>
      </c>
      <c r="D108" s="537">
        <v>71</v>
      </c>
      <c r="E108" s="538">
        <v>1812.6760563380283</v>
      </c>
      <c r="F108" s="539">
        <v>128700</v>
      </c>
      <c r="G108" s="540"/>
      <c r="H108" s="620"/>
      <c r="I108" s="539"/>
      <c r="J108" s="540">
        <v>79</v>
      </c>
      <c r="K108" s="538">
        <v>1686.9216455696203</v>
      </c>
      <c r="L108" s="539">
        <v>133266.81</v>
      </c>
      <c r="M108" s="540">
        <v>8</v>
      </c>
      <c r="N108" s="539">
        <v>4566.8099999999977</v>
      </c>
      <c r="O108" s="540">
        <v>67</v>
      </c>
      <c r="P108" s="538">
        <v>1493.1831343283566</v>
      </c>
      <c r="Q108" s="539">
        <v>100043.26999999989</v>
      </c>
      <c r="R108" s="540">
        <v>12</v>
      </c>
      <c r="S108" s="539">
        <v>33223.54000000011</v>
      </c>
      <c r="T108" s="492"/>
      <c r="U108" s="492"/>
      <c r="V108" s="492"/>
      <c r="W108" s="492"/>
      <c r="X108" s="492"/>
      <c r="Y108" s="492"/>
      <c r="Z108" s="492"/>
      <c r="AA108" s="492"/>
      <c r="AB108" s="492"/>
      <c r="AC108" s="492"/>
      <c r="AD108" s="492"/>
      <c r="AE108" s="492"/>
      <c r="AF108" s="492"/>
      <c r="AG108" s="492"/>
      <c r="AH108" s="492"/>
      <c r="AI108" s="492"/>
      <c r="AJ108" s="492"/>
      <c r="AK108" s="492"/>
      <c r="AL108" s="492"/>
      <c r="AM108" s="492"/>
      <c r="AN108" s="492"/>
    </row>
    <row r="109" spans="1:40" ht="19.5" customHeight="1" thickBot="1">
      <c r="A109" s="477" t="s">
        <v>73</v>
      </c>
      <c r="B109" s="492" t="s">
        <v>73</v>
      </c>
      <c r="C109" s="541"/>
      <c r="D109" s="542"/>
      <c r="E109" s="542"/>
      <c r="F109" s="543"/>
      <c r="G109" s="541"/>
      <c r="H109" s="542"/>
      <c r="I109" s="543"/>
      <c r="J109" s="541"/>
      <c r="K109" s="542"/>
      <c r="L109" s="545">
        <v>1.0354841491841491</v>
      </c>
      <c r="M109" s="546">
        <v>0.11267605633802817</v>
      </c>
      <c r="N109" s="547">
        <v>3.5484149184149168E-2</v>
      </c>
      <c r="O109" s="541"/>
      <c r="P109" s="542"/>
      <c r="Q109" s="543"/>
      <c r="R109" s="621">
        <v>5.583333333333333</v>
      </c>
      <c r="S109" s="622">
        <v>0.33209170391971543</v>
      </c>
      <c r="T109" s="492"/>
      <c r="U109" s="492"/>
      <c r="V109" s="492"/>
      <c r="W109" s="492"/>
      <c r="X109" s="492"/>
      <c r="Y109" s="492"/>
      <c r="Z109" s="492"/>
      <c r="AA109" s="492"/>
      <c r="AB109" s="492"/>
      <c r="AC109" s="492"/>
      <c r="AD109" s="492"/>
      <c r="AE109" s="492"/>
      <c r="AF109" s="492"/>
      <c r="AG109" s="492"/>
      <c r="AH109" s="492"/>
      <c r="AI109" s="492"/>
      <c r="AJ109" s="492"/>
      <c r="AK109" s="492"/>
      <c r="AL109" s="492"/>
      <c r="AM109" s="492"/>
      <c r="AN109" s="492"/>
    </row>
    <row r="110" spans="1:40" ht="15.75" customHeight="1" thickTop="1">
      <c r="A110" s="477" t="s">
        <v>73</v>
      </c>
      <c r="B110" s="492" t="s">
        <v>73</v>
      </c>
      <c r="C110" s="527"/>
      <c r="D110" s="548"/>
      <c r="E110" s="548"/>
      <c r="F110" s="549"/>
      <c r="G110" s="527"/>
      <c r="H110" s="548"/>
      <c r="I110" s="549"/>
      <c r="J110" s="527"/>
      <c r="K110" s="548"/>
      <c r="L110" s="549"/>
      <c r="M110" s="525"/>
      <c r="N110" s="526"/>
      <c r="O110" s="527"/>
      <c r="P110" s="548"/>
      <c r="Q110" s="549"/>
      <c r="R110" s="525"/>
      <c r="S110" s="526"/>
      <c r="T110" s="492"/>
      <c r="U110" s="492"/>
      <c r="V110" s="492"/>
      <c r="W110" s="492"/>
      <c r="X110" s="492"/>
      <c r="Y110" s="492"/>
      <c r="Z110" s="492"/>
      <c r="AA110" s="492"/>
      <c r="AB110" s="492"/>
      <c r="AC110" s="492"/>
      <c r="AD110" s="492"/>
      <c r="AE110" s="492"/>
      <c r="AF110" s="492"/>
      <c r="AG110" s="492"/>
      <c r="AH110" s="492"/>
      <c r="AI110" s="492"/>
      <c r="AJ110" s="492"/>
      <c r="AK110" s="492"/>
      <c r="AL110" s="492"/>
      <c r="AM110" s="492"/>
      <c r="AN110" s="492"/>
    </row>
    <row r="111" spans="1:40" ht="15.75" customHeight="1">
      <c r="A111" s="477" t="s">
        <v>295</v>
      </c>
      <c r="B111" s="492" t="s">
        <v>73</v>
      </c>
      <c r="C111" s="551" t="s">
        <v>30</v>
      </c>
      <c r="D111" s="492"/>
      <c r="E111" s="552"/>
      <c r="F111" s="534"/>
      <c r="G111" s="508"/>
      <c r="H111" s="552"/>
      <c r="I111" s="534"/>
      <c r="J111" s="508"/>
      <c r="K111" s="552"/>
      <c r="L111" s="518"/>
      <c r="M111" s="508"/>
      <c r="N111" s="518"/>
      <c r="O111" s="508"/>
      <c r="P111" s="552"/>
      <c r="Q111" s="518"/>
      <c r="R111" s="508"/>
      <c r="S111" s="518"/>
      <c r="T111" s="492"/>
      <c r="U111" s="492"/>
      <c r="V111" s="492"/>
      <c r="W111" s="492"/>
      <c r="X111" s="492"/>
      <c r="Y111" s="492"/>
      <c r="Z111" s="492"/>
      <c r="AA111" s="492"/>
      <c r="AB111" s="492"/>
      <c r="AC111" s="492"/>
      <c r="AD111" s="492"/>
      <c r="AE111" s="492"/>
      <c r="AF111" s="492"/>
      <c r="AG111" s="492"/>
      <c r="AH111" s="492"/>
      <c r="AI111" s="492"/>
      <c r="AJ111" s="492"/>
      <c r="AK111" s="492"/>
      <c r="AL111" s="492"/>
      <c r="AM111" s="492"/>
      <c r="AN111" s="492"/>
    </row>
    <row r="112" spans="1:40" ht="15.75" customHeight="1">
      <c r="A112" s="477" t="s">
        <v>296</v>
      </c>
      <c r="B112" s="492" t="s">
        <v>73</v>
      </c>
      <c r="C112" s="508" t="s">
        <v>31</v>
      </c>
      <c r="D112" s="623">
        <v>0.33761064608016272</v>
      </c>
      <c r="E112" s="550">
        <v>489.53543681623597</v>
      </c>
      <c r="F112" s="509">
        <v>16644.204851752023</v>
      </c>
      <c r="G112" s="554"/>
      <c r="H112" s="550"/>
      <c r="I112" s="509"/>
      <c r="J112" s="554">
        <v>0.42676694444207564</v>
      </c>
      <c r="K112" s="550">
        <v>428.86785714285713</v>
      </c>
      <c r="L112" s="511">
        <v>12008.3</v>
      </c>
      <c r="M112" s="508"/>
      <c r="N112" s="534">
        <v>-4635.9048517520241</v>
      </c>
      <c r="O112" s="555">
        <v>0.31708926570062235</v>
      </c>
      <c r="P112" s="550">
        <v>501.33799999999997</v>
      </c>
      <c r="Q112" s="511">
        <v>15040.14</v>
      </c>
      <c r="R112" s="508"/>
      <c r="S112" s="534">
        <v>-3031.84</v>
      </c>
      <c r="T112" s="492"/>
      <c r="U112" s="492"/>
      <c r="V112" s="492"/>
      <c r="W112" s="492"/>
      <c r="X112" s="492"/>
      <c r="Y112" s="492"/>
      <c r="Z112" s="492"/>
      <c r="AA112" s="492"/>
      <c r="AB112" s="492"/>
      <c r="AC112" s="492"/>
      <c r="AD112" s="492"/>
      <c r="AE112" s="492"/>
      <c r="AF112" s="492"/>
      <c r="AG112" s="492"/>
      <c r="AH112" s="492"/>
      <c r="AI112" s="492"/>
      <c r="AJ112" s="492"/>
      <c r="AK112" s="492"/>
      <c r="AL112" s="492"/>
      <c r="AM112" s="492"/>
      <c r="AN112" s="492"/>
    </row>
    <row r="113" spans="1:40" ht="15.75" customHeight="1">
      <c r="A113" s="477" t="s">
        <v>297</v>
      </c>
      <c r="B113" s="492" t="s">
        <v>73</v>
      </c>
      <c r="C113" s="501" t="s">
        <v>32</v>
      </c>
      <c r="D113" s="624">
        <v>0.3</v>
      </c>
      <c r="E113" s="557">
        <v>570</v>
      </c>
      <c r="F113" s="503">
        <v>19380</v>
      </c>
      <c r="G113" s="558"/>
      <c r="H113" s="557"/>
      <c r="I113" s="503"/>
      <c r="J113" s="558">
        <v>0.29856708280862132</v>
      </c>
      <c r="K113" s="557">
        <v>720.15499999999997</v>
      </c>
      <c r="L113" s="511">
        <v>20164.34</v>
      </c>
      <c r="M113" s="501"/>
      <c r="N113" s="559">
        <v>784.34000000000015</v>
      </c>
      <c r="O113" s="560">
        <v>0.25539010083332792</v>
      </c>
      <c r="P113" s="557">
        <v>572.44533333333334</v>
      </c>
      <c r="Q113" s="511">
        <v>17173.36</v>
      </c>
      <c r="R113" s="501"/>
      <c r="S113" s="559">
        <v>2990.9799999999996</v>
      </c>
      <c r="T113" s="492"/>
      <c r="U113" s="492"/>
      <c r="V113" s="492"/>
      <c r="W113" s="492"/>
      <c r="X113" s="492"/>
      <c r="Y113" s="492"/>
      <c r="Z113" s="492"/>
      <c r="AA113" s="492"/>
      <c r="AB113" s="492"/>
      <c r="AC113" s="492"/>
      <c r="AD113" s="492"/>
      <c r="AE113" s="492"/>
      <c r="AF113" s="492"/>
      <c r="AG113" s="492"/>
      <c r="AH113" s="492"/>
      <c r="AI113" s="492"/>
      <c r="AJ113" s="492"/>
      <c r="AK113" s="492"/>
      <c r="AL113" s="492"/>
      <c r="AM113" s="492"/>
      <c r="AN113" s="492"/>
    </row>
    <row r="114" spans="1:40" ht="15.75" customHeight="1">
      <c r="A114" s="477" t="s">
        <v>298</v>
      </c>
      <c r="B114" s="492" t="s">
        <v>73</v>
      </c>
      <c r="C114" s="508" t="s">
        <v>33</v>
      </c>
      <c r="D114" s="561"/>
      <c r="E114" s="550">
        <v>8</v>
      </c>
      <c r="F114" s="509">
        <v>272</v>
      </c>
      <c r="G114" s="562"/>
      <c r="H114" s="550"/>
      <c r="I114" s="509"/>
      <c r="J114" s="508"/>
      <c r="K114" s="550">
        <v>-62.661071428571425</v>
      </c>
      <c r="L114" s="530">
        <v>-1754.51</v>
      </c>
      <c r="M114" s="508"/>
      <c r="N114" s="534">
        <v>-2026.51</v>
      </c>
      <c r="O114" s="508"/>
      <c r="P114" s="550">
        <v>-42.933</v>
      </c>
      <c r="Q114" s="530">
        <v>-1287.99</v>
      </c>
      <c r="R114" s="508"/>
      <c r="S114" s="534">
        <v>-466.52</v>
      </c>
      <c r="T114" s="492"/>
      <c r="U114" s="489"/>
      <c r="V114" s="492"/>
      <c r="W114" s="509"/>
      <c r="X114" s="492"/>
      <c r="Y114" s="492"/>
      <c r="Z114" s="492"/>
      <c r="AA114" s="492"/>
      <c r="AB114" s="492"/>
      <c r="AC114" s="492"/>
      <c r="AD114" s="492"/>
      <c r="AE114" s="492"/>
      <c r="AF114" s="492"/>
      <c r="AG114" s="492"/>
      <c r="AH114" s="492"/>
      <c r="AI114" s="492"/>
      <c r="AJ114" s="492"/>
      <c r="AK114" s="492"/>
      <c r="AL114" s="492"/>
      <c r="AM114" s="492"/>
      <c r="AN114" s="492"/>
    </row>
    <row r="115" spans="1:40" ht="15.75" customHeight="1">
      <c r="A115" s="477" t="s">
        <v>299</v>
      </c>
      <c r="B115" s="492" t="s">
        <v>73</v>
      </c>
      <c r="C115" s="508" t="s">
        <v>34</v>
      </c>
      <c r="D115" s="561"/>
      <c r="E115" s="550">
        <v>45</v>
      </c>
      <c r="F115" s="509">
        <v>1530</v>
      </c>
      <c r="G115" s="562"/>
      <c r="H115" s="550"/>
      <c r="I115" s="509"/>
      <c r="J115" s="508"/>
      <c r="K115" s="550">
        <v>177.98464285714286</v>
      </c>
      <c r="L115" s="511">
        <v>4983.57</v>
      </c>
      <c r="M115" s="508"/>
      <c r="N115" s="534">
        <v>3453.5699999999997</v>
      </c>
      <c r="O115" s="508"/>
      <c r="P115" s="550">
        <v>88.436999999999998</v>
      </c>
      <c r="Q115" s="511">
        <v>2653.11</v>
      </c>
      <c r="R115" s="508"/>
      <c r="S115" s="534">
        <v>2330.4599999999996</v>
      </c>
      <c r="T115" s="492"/>
      <c r="U115" s="492"/>
      <c r="V115" s="492"/>
      <c r="W115" s="509"/>
      <c r="X115" s="492"/>
      <c r="Y115" s="492"/>
      <c r="Z115" s="492"/>
      <c r="AA115" s="492"/>
      <c r="AB115" s="492"/>
      <c r="AC115" s="492"/>
      <c r="AD115" s="492"/>
      <c r="AE115" s="492"/>
      <c r="AF115" s="492"/>
      <c r="AG115" s="492"/>
      <c r="AH115" s="492"/>
      <c r="AI115" s="492"/>
      <c r="AJ115" s="492"/>
      <c r="AK115" s="492"/>
      <c r="AL115" s="492"/>
      <c r="AM115" s="492"/>
      <c r="AN115" s="492"/>
    </row>
    <row r="116" spans="1:40" ht="15.75" customHeight="1">
      <c r="A116" s="477" t="s">
        <v>300</v>
      </c>
      <c r="B116" s="492" t="s">
        <v>73</v>
      </c>
      <c r="C116" s="501" t="s">
        <v>35</v>
      </c>
      <c r="D116" s="563"/>
      <c r="E116" s="557">
        <v>160</v>
      </c>
      <c r="F116" s="503">
        <v>5440</v>
      </c>
      <c r="G116" s="564"/>
      <c r="H116" s="557"/>
      <c r="I116" s="503"/>
      <c r="J116" s="501"/>
      <c r="K116" s="557">
        <v>134.48499999999999</v>
      </c>
      <c r="L116" s="503">
        <v>3765.58</v>
      </c>
      <c r="M116" s="501"/>
      <c r="N116" s="559">
        <v>-1674.42</v>
      </c>
      <c r="O116" s="501"/>
      <c r="P116" s="557">
        <v>159.28566666666666</v>
      </c>
      <c r="Q116" s="503">
        <v>4778.57</v>
      </c>
      <c r="R116" s="501"/>
      <c r="S116" s="559">
        <v>-1012.9899999999998</v>
      </c>
      <c r="T116" s="492"/>
      <c r="U116" s="489"/>
      <c r="V116" s="492"/>
      <c r="W116" s="509"/>
      <c r="X116" s="492"/>
      <c r="Y116" s="492"/>
      <c r="Z116" s="492"/>
      <c r="AA116" s="492"/>
      <c r="AB116" s="492"/>
      <c r="AC116" s="492"/>
      <c r="AD116" s="492"/>
      <c r="AE116" s="492"/>
      <c r="AF116" s="492"/>
      <c r="AG116" s="492"/>
      <c r="AH116" s="492"/>
      <c r="AI116" s="492"/>
      <c r="AJ116" s="492"/>
      <c r="AK116" s="492"/>
      <c r="AL116" s="492"/>
      <c r="AM116" s="492"/>
      <c r="AN116" s="492"/>
    </row>
    <row r="117" spans="1:40" ht="19.5" customHeight="1">
      <c r="A117" s="477" t="s">
        <v>301</v>
      </c>
      <c r="B117" s="492" t="s">
        <v>73</v>
      </c>
      <c r="C117" s="508" t="s">
        <v>36</v>
      </c>
      <c r="D117" s="561"/>
      <c r="E117" s="550">
        <v>349.47058823529414</v>
      </c>
      <c r="F117" s="509">
        <v>11882</v>
      </c>
      <c r="G117" s="562"/>
      <c r="H117" s="550"/>
      <c r="I117" s="509"/>
      <c r="J117" s="508"/>
      <c r="K117" s="550">
        <v>328.2689285714286</v>
      </c>
      <c r="L117" s="511">
        <v>9191.5300000000007</v>
      </c>
      <c r="M117" s="508"/>
      <c r="N117" s="534">
        <v>-2690.4699999999993</v>
      </c>
      <c r="O117" s="508"/>
      <c r="P117" s="550">
        <v>417.98833333333334</v>
      </c>
      <c r="Q117" s="511">
        <v>12539.65</v>
      </c>
      <c r="R117" s="508"/>
      <c r="S117" s="534">
        <v>-3348.119999999999</v>
      </c>
      <c r="T117" s="492"/>
      <c r="U117" s="492"/>
      <c r="V117" s="492"/>
      <c r="W117" s="509"/>
      <c r="Z117" s="492"/>
      <c r="AA117" s="492"/>
      <c r="AB117" s="492"/>
      <c r="AC117" s="492"/>
      <c r="AD117" s="492"/>
      <c r="AE117" s="492"/>
      <c r="AF117" s="492"/>
      <c r="AG117" s="492"/>
      <c r="AH117" s="492"/>
      <c r="AI117" s="492"/>
      <c r="AJ117" s="492"/>
      <c r="AK117" s="492"/>
      <c r="AL117" s="492"/>
      <c r="AM117" s="492"/>
      <c r="AN117" s="492"/>
    </row>
    <row r="118" spans="1:40" ht="15.75" customHeight="1">
      <c r="A118" s="477" t="s">
        <v>302</v>
      </c>
      <c r="B118" s="492" t="s">
        <v>73</v>
      </c>
      <c r="C118" s="508" t="s">
        <v>37</v>
      </c>
      <c r="D118" s="561"/>
      <c r="E118" s="550">
        <v>212.98410404624275</v>
      </c>
      <c r="F118" s="509">
        <v>7241.4595375722538</v>
      </c>
      <c r="G118" s="562"/>
      <c r="H118" s="550"/>
      <c r="I118" s="509"/>
      <c r="J118" s="508"/>
      <c r="K118" s="550">
        <v>145.15642857142856</v>
      </c>
      <c r="L118" s="511">
        <v>4064.38</v>
      </c>
      <c r="M118" s="508"/>
      <c r="N118" s="534">
        <v>-3177.0795375722537</v>
      </c>
      <c r="O118" s="508"/>
      <c r="P118" s="550">
        <v>125.85100000000001</v>
      </c>
      <c r="Q118" s="511">
        <v>3775.53</v>
      </c>
      <c r="R118" s="508"/>
      <c r="S118" s="534">
        <v>288.84999999999991</v>
      </c>
      <c r="T118" s="492"/>
      <c r="U118" s="492"/>
      <c r="V118" s="492"/>
      <c r="W118" s="509"/>
      <c r="X118" s="492"/>
      <c r="Y118" s="492"/>
      <c r="Z118" s="492"/>
      <c r="AA118" s="492"/>
      <c r="AB118" s="492"/>
      <c r="AC118" s="492"/>
      <c r="AD118" s="492"/>
      <c r="AE118" s="492"/>
      <c r="AF118" s="492"/>
      <c r="AG118" s="492"/>
      <c r="AH118" s="492"/>
      <c r="AI118" s="492"/>
      <c r="AJ118" s="492"/>
      <c r="AK118" s="492"/>
      <c r="AL118" s="492"/>
      <c r="AM118" s="492"/>
      <c r="AN118" s="492"/>
    </row>
    <row r="119" spans="1:40" ht="15.75" hidden="1" customHeight="1">
      <c r="A119" s="477" t="s">
        <v>303</v>
      </c>
      <c r="B119" s="492" t="s">
        <v>73</v>
      </c>
      <c r="C119" s="508" t="s">
        <v>20</v>
      </c>
      <c r="D119" s="561"/>
      <c r="E119" s="550">
        <v>0</v>
      </c>
      <c r="F119" s="509">
        <v>0</v>
      </c>
      <c r="G119" s="562"/>
      <c r="H119" s="550"/>
      <c r="I119" s="509"/>
      <c r="J119" s="508"/>
      <c r="K119" s="550">
        <v>0</v>
      </c>
      <c r="L119" s="511">
        <v>0</v>
      </c>
      <c r="M119" s="508"/>
      <c r="N119" s="534">
        <v>0</v>
      </c>
      <c r="O119" s="508"/>
      <c r="P119" s="550">
        <v>0</v>
      </c>
      <c r="Q119" s="511">
        <v>0</v>
      </c>
      <c r="R119" s="508"/>
      <c r="S119" s="534">
        <v>0</v>
      </c>
      <c r="T119" s="492"/>
      <c r="U119" s="492"/>
      <c r="V119" s="492"/>
      <c r="W119" s="492"/>
      <c r="X119" s="492"/>
      <c r="Y119" s="492"/>
      <c r="Z119" s="492"/>
      <c r="AA119" s="492"/>
      <c r="AB119" s="492"/>
      <c r="AC119" s="492"/>
      <c r="AD119" s="492"/>
      <c r="AE119" s="492"/>
      <c r="AF119" s="492"/>
      <c r="AG119" s="492"/>
      <c r="AH119" s="492"/>
      <c r="AI119" s="492"/>
      <c r="AJ119" s="492"/>
      <c r="AK119" s="492"/>
      <c r="AL119" s="492"/>
      <c r="AM119" s="492"/>
      <c r="AN119" s="492"/>
    </row>
    <row r="120" spans="1:40" ht="15.75" hidden="1" customHeight="1">
      <c r="A120" s="477" t="s">
        <v>303</v>
      </c>
      <c r="B120" s="492" t="s">
        <v>73</v>
      </c>
      <c r="C120" s="508" t="s">
        <v>20</v>
      </c>
      <c r="D120" s="561"/>
      <c r="E120" s="550">
        <v>0</v>
      </c>
      <c r="F120" s="509">
        <v>0</v>
      </c>
      <c r="G120" s="562"/>
      <c r="H120" s="550"/>
      <c r="I120" s="509"/>
      <c r="J120" s="508"/>
      <c r="K120" s="550">
        <v>0</v>
      </c>
      <c r="L120" s="511">
        <v>0</v>
      </c>
      <c r="M120" s="508"/>
      <c r="N120" s="534">
        <v>0</v>
      </c>
      <c r="O120" s="508"/>
      <c r="P120" s="550">
        <v>0</v>
      </c>
      <c r="Q120" s="511">
        <v>0</v>
      </c>
      <c r="R120" s="508"/>
      <c r="S120" s="534">
        <v>0</v>
      </c>
      <c r="T120" s="492"/>
      <c r="U120" s="492"/>
      <c r="V120" s="492"/>
      <c r="W120" s="492"/>
      <c r="X120" s="492"/>
      <c r="Y120" s="492"/>
      <c r="Z120" s="492"/>
      <c r="AA120" s="492"/>
      <c r="AB120" s="492"/>
      <c r="AC120" s="492"/>
      <c r="AD120" s="492"/>
      <c r="AE120" s="492"/>
      <c r="AF120" s="492"/>
      <c r="AG120" s="492"/>
      <c r="AH120" s="492"/>
      <c r="AI120" s="492"/>
      <c r="AJ120" s="492"/>
      <c r="AK120" s="492"/>
      <c r="AL120" s="492"/>
      <c r="AM120" s="492"/>
      <c r="AN120" s="492"/>
    </row>
    <row r="121" spans="1:40" ht="15.75" hidden="1" customHeight="1">
      <c r="A121" s="477" t="s">
        <v>303</v>
      </c>
      <c r="B121" s="492" t="s">
        <v>73</v>
      </c>
      <c r="C121" s="508" t="s">
        <v>20</v>
      </c>
      <c r="D121" s="561"/>
      <c r="E121" s="550">
        <v>0</v>
      </c>
      <c r="F121" s="509">
        <v>0</v>
      </c>
      <c r="G121" s="562"/>
      <c r="H121" s="550"/>
      <c r="I121" s="509"/>
      <c r="J121" s="508"/>
      <c r="K121" s="550">
        <v>0</v>
      </c>
      <c r="L121" s="511">
        <v>0</v>
      </c>
      <c r="M121" s="508"/>
      <c r="N121" s="534">
        <v>0</v>
      </c>
      <c r="O121" s="508"/>
      <c r="P121" s="550">
        <v>0</v>
      </c>
      <c r="Q121" s="511">
        <v>0</v>
      </c>
      <c r="R121" s="508"/>
      <c r="S121" s="534">
        <v>0</v>
      </c>
      <c r="T121" s="492"/>
      <c r="U121" s="492"/>
      <c r="V121" s="492"/>
      <c r="W121" s="492"/>
      <c r="X121" s="492"/>
      <c r="Y121" s="492"/>
      <c r="Z121" s="492"/>
      <c r="AA121" s="492"/>
      <c r="AB121" s="492"/>
      <c r="AC121" s="492"/>
      <c r="AD121" s="492"/>
      <c r="AE121" s="492"/>
      <c r="AF121" s="492"/>
      <c r="AG121" s="492"/>
      <c r="AH121" s="492"/>
      <c r="AI121" s="492"/>
      <c r="AJ121" s="492"/>
      <c r="AK121" s="492"/>
      <c r="AL121" s="492"/>
      <c r="AM121" s="492"/>
      <c r="AN121" s="492"/>
    </row>
    <row r="122" spans="1:40" ht="15.75" customHeight="1">
      <c r="A122" s="477" t="s">
        <v>304</v>
      </c>
      <c r="B122" s="492" t="s">
        <v>73</v>
      </c>
      <c r="C122" s="568" t="s">
        <v>38</v>
      </c>
      <c r="D122" s="569" t="s">
        <v>39</v>
      </c>
      <c r="E122" s="570">
        <v>0.48476817707322672</v>
      </c>
      <c r="F122" s="571">
        <v>62389.66438932428</v>
      </c>
      <c r="G122" s="572"/>
      <c r="H122" s="570"/>
      <c r="I122" s="571"/>
      <c r="J122" s="572" t="s">
        <v>39</v>
      </c>
      <c r="K122" s="570">
        <v>0.39337018722065903</v>
      </c>
      <c r="L122" s="571">
        <v>52423.189999999995</v>
      </c>
      <c r="M122" s="575"/>
      <c r="N122" s="571">
        <v>-9966.4743893242849</v>
      </c>
      <c r="O122" s="572" t="s">
        <v>39</v>
      </c>
      <c r="P122" s="570">
        <v>0.54648723497342755</v>
      </c>
      <c r="Q122" s="571">
        <v>54672.369999999995</v>
      </c>
      <c r="R122" s="575"/>
      <c r="S122" s="571">
        <v>-2249.1800000000003</v>
      </c>
      <c r="T122" s="492"/>
      <c r="U122" s="492"/>
      <c r="X122" s="492"/>
      <c r="Y122" s="492"/>
      <c r="Z122" s="492"/>
      <c r="AA122" s="492"/>
      <c r="AB122" s="492"/>
      <c r="AC122" s="492"/>
      <c r="AD122" s="492"/>
      <c r="AE122" s="492"/>
      <c r="AF122" s="492"/>
      <c r="AG122" s="492"/>
      <c r="AH122" s="492"/>
      <c r="AI122" s="492"/>
      <c r="AJ122" s="492"/>
      <c r="AK122" s="492"/>
      <c r="AL122" s="492"/>
      <c r="AM122" s="492"/>
      <c r="AN122" s="492"/>
    </row>
    <row r="123" spans="1:40" ht="15.75" customHeight="1">
      <c r="A123" s="477" t="s">
        <v>305</v>
      </c>
      <c r="B123" s="492" t="s">
        <v>73</v>
      </c>
      <c r="C123" s="576" t="s">
        <v>41</v>
      </c>
      <c r="D123" s="492"/>
      <c r="E123" s="492"/>
      <c r="F123" s="509">
        <v>9202.1205128205147</v>
      </c>
      <c r="G123" s="508"/>
      <c r="H123" s="492"/>
      <c r="I123" s="509"/>
      <c r="J123" s="508"/>
      <c r="K123" s="492"/>
      <c r="L123" s="511">
        <v>12692.24</v>
      </c>
      <c r="M123" s="508"/>
      <c r="N123" s="534">
        <v>3490.1194871794851</v>
      </c>
      <c r="O123" s="508"/>
      <c r="P123" s="492"/>
      <c r="Q123" s="511">
        <v>11356.48</v>
      </c>
      <c r="R123" s="508"/>
      <c r="S123" s="534">
        <v>1335.7600000000002</v>
      </c>
      <c r="T123" s="492"/>
      <c r="U123" s="492"/>
      <c r="V123" s="492"/>
      <c r="W123" s="492"/>
      <c r="X123" s="492"/>
      <c r="Y123" s="492"/>
      <c r="Z123" s="492"/>
      <c r="AA123" s="492"/>
      <c r="AB123" s="492"/>
      <c r="AC123" s="492"/>
      <c r="AD123" s="492"/>
      <c r="AE123" s="492"/>
      <c r="AF123" s="492"/>
      <c r="AG123" s="492"/>
      <c r="AH123" s="492"/>
      <c r="AI123" s="492"/>
      <c r="AJ123" s="492"/>
      <c r="AK123" s="492"/>
      <c r="AL123" s="492"/>
      <c r="AM123" s="492"/>
      <c r="AN123" s="492"/>
    </row>
    <row r="124" spans="1:40" ht="15.75" customHeight="1">
      <c r="A124" s="477" t="s">
        <v>306</v>
      </c>
      <c r="B124" s="492" t="s">
        <v>73</v>
      </c>
      <c r="C124" s="578" t="s">
        <v>42</v>
      </c>
      <c r="D124" s="561"/>
      <c r="E124" s="492"/>
      <c r="F124" s="503">
        <v>8529.65846153846</v>
      </c>
      <c r="G124" s="562"/>
      <c r="H124" s="492"/>
      <c r="I124" s="503"/>
      <c r="J124" s="508"/>
      <c r="K124" s="492"/>
      <c r="L124" s="503">
        <v>1911.65</v>
      </c>
      <c r="M124" s="508"/>
      <c r="N124" s="534">
        <v>-6618.0084615384603</v>
      </c>
      <c r="O124" s="508"/>
      <c r="P124" s="492"/>
      <c r="Q124" s="503">
        <v>1797.53</v>
      </c>
      <c r="R124" s="508"/>
      <c r="S124" s="534">
        <v>114.12000000000012</v>
      </c>
      <c r="T124" s="492"/>
      <c r="U124" s="492"/>
      <c r="V124" s="492"/>
      <c r="W124" s="492"/>
      <c r="X124" s="492"/>
      <c r="Y124" s="492"/>
      <c r="Z124" s="492"/>
      <c r="AA124" s="492"/>
      <c r="AB124" s="492"/>
      <c r="AC124" s="492"/>
      <c r="AD124" s="492"/>
      <c r="AE124" s="492"/>
      <c r="AF124" s="492"/>
      <c r="AG124" s="492"/>
      <c r="AH124" s="492"/>
      <c r="AI124" s="492"/>
      <c r="AJ124" s="492"/>
      <c r="AK124" s="492"/>
      <c r="AL124" s="492"/>
      <c r="AM124" s="492"/>
      <c r="AN124" s="492"/>
    </row>
    <row r="125" spans="1:40" ht="15.75" customHeight="1">
      <c r="A125" s="477" t="s">
        <v>307</v>
      </c>
      <c r="B125" s="492" t="s">
        <v>73</v>
      </c>
      <c r="C125" s="576" t="s">
        <v>43</v>
      </c>
      <c r="D125" s="579"/>
      <c r="E125" s="580"/>
      <c r="F125" s="509">
        <v>3344.8923076923074</v>
      </c>
      <c r="G125" s="581"/>
      <c r="H125" s="580"/>
      <c r="I125" s="509"/>
      <c r="J125" s="496"/>
      <c r="K125" s="580"/>
      <c r="L125" s="511">
        <v>5511.25</v>
      </c>
      <c r="M125" s="496"/>
      <c r="N125" s="582">
        <v>2166.3576923076926</v>
      </c>
      <c r="O125" s="496"/>
      <c r="P125" s="580"/>
      <c r="Q125" s="511">
        <v>5422.58</v>
      </c>
      <c r="R125" s="496"/>
      <c r="S125" s="582">
        <v>88.670000000000073</v>
      </c>
      <c r="T125" s="492"/>
      <c r="U125" s="492"/>
      <c r="V125" s="492"/>
      <c r="W125" s="492"/>
      <c r="X125" s="492"/>
      <c r="Y125" s="492"/>
      <c r="Z125" s="492"/>
      <c r="AA125" s="492"/>
      <c r="AB125" s="492"/>
      <c r="AC125" s="492"/>
      <c r="AD125" s="492"/>
      <c r="AE125" s="492"/>
      <c r="AF125" s="492"/>
      <c r="AG125" s="492"/>
      <c r="AH125" s="492"/>
      <c r="AI125" s="492"/>
      <c r="AJ125" s="492"/>
      <c r="AK125" s="492"/>
      <c r="AL125" s="492"/>
      <c r="AM125" s="492"/>
      <c r="AN125" s="492"/>
    </row>
    <row r="126" spans="1:40" ht="15.75" customHeight="1">
      <c r="A126" s="477" t="s">
        <v>308</v>
      </c>
      <c r="B126" s="492" t="s">
        <v>73</v>
      </c>
      <c r="C126" s="576" t="s">
        <v>44</v>
      </c>
      <c r="D126" s="561"/>
      <c r="E126" s="492"/>
      <c r="F126" s="509">
        <v>0</v>
      </c>
      <c r="G126" s="562"/>
      <c r="H126" s="492"/>
      <c r="I126" s="509"/>
      <c r="J126" s="508"/>
      <c r="K126" s="492"/>
      <c r="L126" s="511">
        <v>0</v>
      </c>
      <c r="M126" s="508"/>
      <c r="N126" s="534">
        <v>0</v>
      </c>
      <c r="O126" s="508"/>
      <c r="P126" s="492"/>
      <c r="Q126" s="511">
        <v>0</v>
      </c>
      <c r="R126" s="508"/>
      <c r="S126" s="534">
        <v>0</v>
      </c>
      <c r="T126" s="492"/>
      <c r="U126" s="492"/>
      <c r="V126" s="492"/>
      <c r="W126" s="492"/>
      <c r="X126" s="492"/>
      <c r="Y126" s="492"/>
      <c r="Z126" s="492"/>
      <c r="AA126" s="492"/>
      <c r="AB126" s="492"/>
      <c r="AC126" s="492"/>
      <c r="AD126" s="492"/>
      <c r="AE126" s="492"/>
      <c r="AF126" s="492"/>
      <c r="AG126" s="492"/>
      <c r="AH126" s="492"/>
      <c r="AI126" s="492"/>
      <c r="AJ126" s="492"/>
      <c r="AK126" s="492"/>
      <c r="AL126" s="492"/>
      <c r="AM126" s="492"/>
      <c r="AN126" s="492"/>
    </row>
    <row r="127" spans="1:40" ht="15.75" hidden="1" customHeight="1">
      <c r="A127" s="477" t="s">
        <v>303</v>
      </c>
      <c r="B127" s="492" t="s">
        <v>73</v>
      </c>
      <c r="C127" s="576" t="s">
        <v>20</v>
      </c>
      <c r="D127" s="561"/>
      <c r="E127" s="492"/>
      <c r="F127" s="509">
        <v>0</v>
      </c>
      <c r="G127" s="562"/>
      <c r="H127" s="492"/>
      <c r="I127" s="509"/>
      <c r="J127" s="508"/>
      <c r="K127" s="492"/>
      <c r="L127" s="511">
        <v>0</v>
      </c>
      <c r="M127" s="508"/>
      <c r="N127" s="534">
        <v>0</v>
      </c>
      <c r="O127" s="508"/>
      <c r="P127" s="492"/>
      <c r="Q127" s="511">
        <v>0</v>
      </c>
      <c r="R127" s="508"/>
      <c r="S127" s="534">
        <v>0</v>
      </c>
      <c r="T127" s="492"/>
      <c r="U127" s="492"/>
      <c r="V127" s="492"/>
      <c r="W127" s="492"/>
      <c r="X127" s="492"/>
      <c r="Y127" s="492"/>
      <c r="Z127" s="492"/>
      <c r="AA127" s="492"/>
      <c r="AB127" s="492"/>
      <c r="AC127" s="492"/>
      <c r="AD127" s="492"/>
      <c r="AE127" s="492"/>
      <c r="AF127" s="492"/>
      <c r="AG127" s="492"/>
      <c r="AH127" s="492"/>
      <c r="AI127" s="492"/>
      <c r="AJ127" s="492"/>
      <c r="AK127" s="492"/>
      <c r="AL127" s="492"/>
      <c r="AM127" s="492"/>
      <c r="AN127" s="492"/>
    </row>
    <row r="128" spans="1:40" ht="15.75" hidden="1" customHeight="1">
      <c r="A128" s="477" t="s">
        <v>303</v>
      </c>
      <c r="B128" s="492" t="s">
        <v>73</v>
      </c>
      <c r="C128" s="576" t="s">
        <v>20</v>
      </c>
      <c r="D128" s="561"/>
      <c r="E128" s="492"/>
      <c r="F128" s="509">
        <v>0</v>
      </c>
      <c r="G128" s="562"/>
      <c r="H128" s="492"/>
      <c r="I128" s="509"/>
      <c r="J128" s="508"/>
      <c r="K128" s="492"/>
      <c r="L128" s="511">
        <v>0</v>
      </c>
      <c r="M128" s="508"/>
      <c r="N128" s="534">
        <v>0</v>
      </c>
      <c r="O128" s="508"/>
      <c r="P128" s="492"/>
      <c r="Q128" s="511">
        <v>0</v>
      </c>
      <c r="R128" s="508"/>
      <c r="S128" s="534">
        <v>0</v>
      </c>
      <c r="T128" s="492"/>
      <c r="U128" s="492"/>
      <c r="V128" s="492"/>
      <c r="W128" s="492"/>
      <c r="X128" s="492"/>
      <c r="Y128" s="492"/>
      <c r="Z128" s="492"/>
      <c r="AA128" s="492"/>
      <c r="AB128" s="492"/>
      <c r="AC128" s="492"/>
      <c r="AD128" s="492"/>
      <c r="AE128" s="492"/>
      <c r="AF128" s="492"/>
      <c r="AG128" s="492"/>
      <c r="AH128" s="492"/>
      <c r="AI128" s="492"/>
      <c r="AJ128" s="492"/>
      <c r="AK128" s="492"/>
      <c r="AL128" s="492"/>
      <c r="AM128" s="492"/>
      <c r="AN128" s="492"/>
    </row>
    <row r="129" spans="1:40" ht="15.75" hidden="1" customHeight="1">
      <c r="A129" s="477" t="s">
        <v>303</v>
      </c>
      <c r="B129" s="492" t="s">
        <v>73</v>
      </c>
      <c r="C129" s="576" t="s">
        <v>20</v>
      </c>
      <c r="D129" s="561"/>
      <c r="E129" s="492"/>
      <c r="F129" s="509">
        <v>0</v>
      </c>
      <c r="G129" s="562"/>
      <c r="H129" s="492"/>
      <c r="I129" s="509"/>
      <c r="J129" s="508"/>
      <c r="K129" s="492"/>
      <c r="L129" s="511">
        <v>0</v>
      </c>
      <c r="M129" s="508"/>
      <c r="N129" s="534">
        <v>0</v>
      </c>
      <c r="O129" s="508"/>
      <c r="P129" s="492"/>
      <c r="Q129" s="511">
        <v>0</v>
      </c>
      <c r="R129" s="508"/>
      <c r="S129" s="534">
        <v>0</v>
      </c>
      <c r="T129" s="492"/>
      <c r="U129" s="492"/>
      <c r="V129" s="492"/>
      <c r="W129" s="492"/>
      <c r="X129" s="492"/>
      <c r="Y129" s="492"/>
      <c r="Z129" s="492"/>
      <c r="AA129" s="492"/>
      <c r="AB129" s="492"/>
      <c r="AC129" s="492"/>
      <c r="AD129" s="492"/>
      <c r="AE129" s="492"/>
      <c r="AF129" s="492"/>
      <c r="AG129" s="492"/>
      <c r="AH129" s="492"/>
      <c r="AI129" s="492"/>
      <c r="AJ129" s="492"/>
      <c r="AK129" s="492"/>
      <c r="AL129" s="492"/>
      <c r="AM129" s="492"/>
      <c r="AN129" s="492"/>
    </row>
    <row r="130" spans="1:40" ht="15.75" customHeight="1">
      <c r="A130" s="477" t="s">
        <v>309</v>
      </c>
      <c r="B130" s="492" t="s">
        <v>73</v>
      </c>
      <c r="C130" s="578" t="s">
        <v>45</v>
      </c>
      <c r="D130" s="561"/>
      <c r="E130" s="492"/>
      <c r="F130" s="509">
        <v>7574.3371712820526</v>
      </c>
      <c r="G130" s="562"/>
      <c r="H130" s="492"/>
      <c r="I130" s="509"/>
      <c r="J130" s="508"/>
      <c r="K130" s="492"/>
      <c r="L130" s="511">
        <v>7271.51</v>
      </c>
      <c r="M130" s="508"/>
      <c r="N130" s="534">
        <v>-302.8271712820524</v>
      </c>
      <c r="O130" s="508"/>
      <c r="P130" s="492"/>
      <c r="Q130" s="511">
        <v>7069.51</v>
      </c>
      <c r="R130" s="508"/>
      <c r="S130" s="534">
        <v>202</v>
      </c>
      <c r="T130" s="492"/>
      <c r="U130" s="492"/>
      <c r="V130" s="492"/>
      <c r="W130" s="492"/>
      <c r="X130" s="492"/>
      <c r="Y130" s="492"/>
      <c r="Z130" s="492"/>
      <c r="AA130" s="492"/>
      <c r="AB130" s="492"/>
      <c r="AC130" s="492"/>
      <c r="AD130" s="492"/>
      <c r="AE130" s="492"/>
      <c r="AF130" s="492"/>
      <c r="AG130" s="492"/>
      <c r="AH130" s="492"/>
      <c r="AI130" s="492"/>
      <c r="AJ130" s="492"/>
      <c r="AK130" s="492"/>
      <c r="AL130" s="492"/>
      <c r="AM130" s="492"/>
      <c r="AN130" s="492"/>
    </row>
    <row r="131" spans="1:40" ht="15.75" customHeight="1">
      <c r="A131" s="477" t="s">
        <v>310</v>
      </c>
      <c r="B131" s="492" t="s">
        <v>73</v>
      </c>
      <c r="C131" s="576" t="s">
        <v>46</v>
      </c>
      <c r="D131" s="579"/>
      <c r="E131" s="580"/>
      <c r="F131" s="529">
        <v>9209.3262523076937</v>
      </c>
      <c r="G131" s="581"/>
      <c r="H131" s="580"/>
      <c r="I131" s="529"/>
      <c r="J131" s="496"/>
      <c r="K131" s="580"/>
      <c r="L131" s="530">
        <v>8415.69</v>
      </c>
      <c r="M131" s="496"/>
      <c r="N131" s="582">
        <v>-793.63625230769321</v>
      </c>
      <c r="O131" s="496"/>
      <c r="P131" s="580"/>
      <c r="Q131" s="530">
        <v>5534.23</v>
      </c>
      <c r="R131" s="496"/>
      <c r="S131" s="582">
        <v>2881.4600000000009</v>
      </c>
      <c r="T131" s="492"/>
      <c r="U131" s="492"/>
      <c r="V131" s="492"/>
      <c r="W131" s="492"/>
      <c r="X131" s="492"/>
      <c r="Y131" s="492"/>
      <c r="Z131" s="492"/>
      <c r="AA131" s="492"/>
      <c r="AB131" s="492"/>
      <c r="AC131" s="492"/>
      <c r="AD131" s="492"/>
      <c r="AE131" s="492"/>
      <c r="AF131" s="492"/>
      <c r="AG131" s="492"/>
      <c r="AH131" s="492"/>
      <c r="AI131" s="492"/>
      <c r="AJ131" s="492"/>
      <c r="AK131" s="492"/>
      <c r="AL131" s="492"/>
      <c r="AM131" s="492"/>
      <c r="AN131" s="492"/>
    </row>
    <row r="132" spans="1:40" ht="15.75" customHeight="1">
      <c r="A132" s="477" t="s">
        <v>311</v>
      </c>
      <c r="B132" s="492" t="s">
        <v>73</v>
      </c>
      <c r="C132" s="576" t="s">
        <v>47</v>
      </c>
      <c r="D132" s="561"/>
      <c r="E132" s="492"/>
      <c r="F132" s="509">
        <v>4744.805047384616</v>
      </c>
      <c r="G132" s="562"/>
      <c r="H132" s="492"/>
      <c r="I132" s="509"/>
      <c r="J132" s="508"/>
      <c r="K132" s="492"/>
      <c r="L132" s="511">
        <v>3747.7599999999998</v>
      </c>
      <c r="M132" s="508"/>
      <c r="N132" s="534">
        <v>-997.04504738461628</v>
      </c>
      <c r="O132" s="508"/>
      <c r="P132" s="492"/>
      <c r="Q132" s="511">
        <v>1332.74</v>
      </c>
      <c r="R132" s="508"/>
      <c r="S132" s="534">
        <v>2415.0199999999995</v>
      </c>
      <c r="T132" s="492"/>
      <c r="U132" s="492"/>
      <c r="V132" s="492"/>
      <c r="W132" s="492"/>
      <c r="X132" s="492"/>
      <c r="Y132" s="492"/>
      <c r="Z132" s="492"/>
      <c r="AA132" s="492"/>
      <c r="AB132" s="492"/>
      <c r="AC132" s="492"/>
      <c r="AD132" s="492"/>
      <c r="AE132" s="492"/>
      <c r="AF132" s="492"/>
      <c r="AG132" s="492"/>
      <c r="AH132" s="492"/>
      <c r="AI132" s="492"/>
      <c r="AJ132" s="492"/>
      <c r="AK132" s="492"/>
      <c r="AL132" s="492"/>
      <c r="AM132" s="492"/>
      <c r="AN132" s="492"/>
    </row>
    <row r="133" spans="1:40" ht="15.75" customHeight="1">
      <c r="A133" s="477" t="s">
        <v>312</v>
      </c>
      <c r="B133" s="492" t="s">
        <v>73</v>
      </c>
      <c r="C133" s="576" t="s">
        <v>48</v>
      </c>
      <c r="D133" s="561"/>
      <c r="E133" s="492"/>
      <c r="F133" s="509">
        <v>2068.7616943589746</v>
      </c>
      <c r="G133" s="562"/>
      <c r="H133" s="492"/>
      <c r="I133" s="509"/>
      <c r="J133" s="508"/>
      <c r="K133" s="492"/>
      <c r="L133" s="511">
        <v>805.56</v>
      </c>
      <c r="M133" s="508"/>
      <c r="N133" s="534">
        <v>-1263.2016943589747</v>
      </c>
      <c r="O133" s="508"/>
      <c r="P133" s="492"/>
      <c r="Q133" s="511">
        <v>970.23</v>
      </c>
      <c r="R133" s="508"/>
      <c r="S133" s="534">
        <v>-164.67000000000007</v>
      </c>
      <c r="T133" s="492"/>
      <c r="U133" s="492"/>
      <c r="V133" s="492"/>
      <c r="W133" s="492"/>
      <c r="X133" s="492"/>
      <c r="Y133" s="492"/>
      <c r="Z133" s="492"/>
      <c r="AA133" s="492"/>
      <c r="AB133" s="492"/>
      <c r="AC133" s="492"/>
      <c r="AD133" s="492"/>
      <c r="AE133" s="492"/>
      <c r="AF133" s="492"/>
      <c r="AG133" s="492"/>
      <c r="AH133" s="492"/>
      <c r="AI133" s="492"/>
      <c r="AJ133" s="492"/>
      <c r="AK133" s="492"/>
      <c r="AL133" s="492"/>
      <c r="AM133" s="492"/>
      <c r="AN133" s="492"/>
    </row>
    <row r="134" spans="1:40" ht="15.75" hidden="1" customHeight="1">
      <c r="A134" s="477" t="s">
        <v>303</v>
      </c>
      <c r="B134" s="492" t="s">
        <v>73</v>
      </c>
      <c r="C134" s="508" t="s">
        <v>20</v>
      </c>
      <c r="D134" s="563"/>
      <c r="E134" s="583"/>
      <c r="F134" s="509">
        <v>0</v>
      </c>
      <c r="G134" s="564"/>
      <c r="H134" s="583"/>
      <c r="I134" s="509"/>
      <c r="J134" s="501"/>
      <c r="K134" s="583"/>
      <c r="L134" s="511">
        <v>0</v>
      </c>
      <c r="M134" s="501"/>
      <c r="N134" s="559">
        <v>0</v>
      </c>
      <c r="O134" s="501"/>
      <c r="P134" s="583"/>
      <c r="Q134" s="511">
        <v>0</v>
      </c>
      <c r="R134" s="501"/>
      <c r="S134" s="559">
        <v>0</v>
      </c>
      <c r="T134" s="492"/>
      <c r="U134" s="492"/>
      <c r="V134" s="492"/>
      <c r="W134" s="492"/>
      <c r="X134" s="492"/>
      <c r="Y134" s="492"/>
      <c r="Z134" s="492"/>
      <c r="AA134" s="492"/>
      <c r="AB134" s="492"/>
      <c r="AC134" s="492"/>
      <c r="AD134" s="492"/>
      <c r="AE134" s="492"/>
      <c r="AF134" s="492"/>
      <c r="AG134" s="492"/>
      <c r="AH134" s="492"/>
      <c r="AI134" s="492"/>
      <c r="AJ134" s="492"/>
      <c r="AK134" s="492"/>
      <c r="AL134" s="492"/>
      <c r="AM134" s="492"/>
      <c r="AN134" s="492"/>
    </row>
    <row r="135" spans="1:40" ht="15.75" customHeight="1">
      <c r="A135" s="477" t="s">
        <v>313</v>
      </c>
      <c r="B135" s="492" t="s">
        <v>73</v>
      </c>
      <c r="C135" s="568" t="s">
        <v>49</v>
      </c>
      <c r="D135" s="569" t="s">
        <v>39</v>
      </c>
      <c r="E135" s="570">
        <v>0.34711656136273983</v>
      </c>
      <c r="F135" s="571">
        <v>44673.901447384618</v>
      </c>
      <c r="G135" s="572"/>
      <c r="H135" s="570"/>
      <c r="I135" s="571"/>
      <c r="J135" s="572" t="s">
        <v>39</v>
      </c>
      <c r="K135" s="570">
        <v>0.30281853373694473</v>
      </c>
      <c r="L135" s="571">
        <v>40355.660000000003</v>
      </c>
      <c r="M135" s="625"/>
      <c r="N135" s="585">
        <v>-4318.2414473846147</v>
      </c>
      <c r="O135" s="572" t="s">
        <v>39</v>
      </c>
      <c r="P135" s="570">
        <v>0.33468818042433079</v>
      </c>
      <c r="Q135" s="571">
        <v>33483.300000000003</v>
      </c>
      <c r="R135" s="625"/>
      <c r="S135" s="585">
        <v>6872.3600000000006</v>
      </c>
      <c r="T135" s="492"/>
      <c r="U135" s="492"/>
      <c r="V135" s="492"/>
      <c r="W135" s="492"/>
      <c r="X135" s="492"/>
      <c r="Y135" s="492"/>
      <c r="Z135" s="492"/>
      <c r="AA135" s="492"/>
      <c r="AB135" s="492"/>
      <c r="AC135" s="492"/>
      <c r="AD135" s="492"/>
      <c r="AE135" s="492"/>
      <c r="AF135" s="492"/>
      <c r="AG135" s="492"/>
      <c r="AH135" s="492"/>
      <c r="AI135" s="492"/>
      <c r="AJ135" s="492"/>
      <c r="AK135" s="492"/>
      <c r="AL135" s="492"/>
      <c r="AM135" s="492"/>
      <c r="AN135" s="492"/>
    </row>
    <row r="136" spans="1:40" ht="15.75" hidden="1" customHeight="1">
      <c r="A136" s="477" t="s">
        <v>314</v>
      </c>
      <c r="B136" s="492" t="s">
        <v>73</v>
      </c>
      <c r="C136" s="508" t="s">
        <v>50</v>
      </c>
      <c r="D136" s="561"/>
      <c r="E136" s="492"/>
      <c r="F136" s="509">
        <v>0</v>
      </c>
      <c r="G136" s="562"/>
      <c r="H136" s="492"/>
      <c r="I136" s="509"/>
      <c r="J136" s="508"/>
      <c r="K136" s="492"/>
      <c r="L136" s="511">
        <v>0</v>
      </c>
      <c r="M136" s="508"/>
      <c r="N136" s="534">
        <v>0</v>
      </c>
      <c r="O136" s="508"/>
      <c r="P136" s="492"/>
      <c r="Q136" s="511">
        <v>0</v>
      </c>
      <c r="R136" s="508"/>
      <c r="S136" s="534">
        <v>0</v>
      </c>
      <c r="T136" s="492"/>
      <c r="U136" s="492"/>
      <c r="V136" s="492"/>
      <c r="W136" s="492"/>
      <c r="X136" s="492"/>
      <c r="Y136" s="492"/>
      <c r="Z136" s="492"/>
      <c r="AA136" s="492"/>
      <c r="AB136" s="492"/>
      <c r="AC136" s="492"/>
      <c r="AD136" s="492"/>
      <c r="AE136" s="492"/>
      <c r="AF136" s="492"/>
      <c r="AG136" s="492"/>
      <c r="AH136" s="492"/>
      <c r="AI136" s="492"/>
      <c r="AJ136" s="492"/>
      <c r="AK136" s="492"/>
      <c r="AL136" s="492"/>
      <c r="AM136" s="492"/>
      <c r="AN136" s="492"/>
    </row>
    <row r="137" spans="1:40" ht="15.75" hidden="1" customHeight="1">
      <c r="A137" s="477" t="s">
        <v>315</v>
      </c>
      <c r="B137" s="492" t="s">
        <v>73</v>
      </c>
      <c r="C137" s="508" t="s">
        <v>51</v>
      </c>
      <c r="D137" s="561"/>
      <c r="E137" s="492"/>
      <c r="F137" s="509">
        <v>0</v>
      </c>
      <c r="G137" s="562"/>
      <c r="H137" s="492"/>
      <c r="I137" s="509"/>
      <c r="J137" s="508"/>
      <c r="K137" s="492"/>
      <c r="L137" s="511">
        <v>0</v>
      </c>
      <c r="M137" s="508"/>
      <c r="N137" s="534">
        <v>0</v>
      </c>
      <c r="O137" s="508"/>
      <c r="P137" s="492"/>
      <c r="Q137" s="511">
        <v>0</v>
      </c>
      <c r="R137" s="508"/>
      <c r="S137" s="534">
        <v>0</v>
      </c>
      <c r="T137" s="492"/>
      <c r="U137" s="492"/>
      <c r="V137" s="492"/>
      <c r="W137" s="492"/>
      <c r="X137" s="492"/>
      <c r="Y137" s="492"/>
      <c r="Z137" s="492"/>
      <c r="AA137" s="492"/>
      <c r="AB137" s="492"/>
      <c r="AC137" s="492"/>
      <c r="AD137" s="492"/>
      <c r="AE137" s="492"/>
      <c r="AF137" s="492"/>
      <c r="AG137" s="492"/>
      <c r="AH137" s="492"/>
      <c r="AI137" s="492"/>
      <c r="AJ137" s="492"/>
      <c r="AK137" s="492"/>
      <c r="AL137" s="492"/>
      <c r="AM137" s="492"/>
      <c r="AN137" s="492"/>
    </row>
    <row r="138" spans="1:40" ht="15.75" customHeight="1">
      <c r="A138" s="477" t="s">
        <v>316</v>
      </c>
      <c r="B138" s="492" t="s">
        <v>73</v>
      </c>
      <c r="C138" s="501" t="s">
        <v>52</v>
      </c>
      <c r="D138" s="563"/>
      <c r="E138" s="583"/>
      <c r="F138" s="503">
        <v>1284.1532888888889</v>
      </c>
      <c r="G138" s="564"/>
      <c r="H138" s="583"/>
      <c r="I138" s="503"/>
      <c r="J138" s="501"/>
      <c r="K138" s="583"/>
      <c r="L138" s="503">
        <v>1424.94</v>
      </c>
      <c r="M138" s="501"/>
      <c r="N138" s="559">
        <v>140.78671111111112</v>
      </c>
      <c r="O138" s="501"/>
      <c r="P138" s="583"/>
      <c r="Q138" s="503">
        <v>673.78</v>
      </c>
      <c r="R138" s="501"/>
      <c r="S138" s="559">
        <v>751.16000000000008</v>
      </c>
      <c r="T138" s="492"/>
      <c r="U138" s="489"/>
      <c r="V138" s="492"/>
      <c r="W138" s="492"/>
      <c r="X138" s="492"/>
      <c r="Y138" s="492"/>
      <c r="Z138" s="492"/>
      <c r="AA138" s="492"/>
      <c r="AB138" s="492"/>
      <c r="AC138" s="492"/>
      <c r="AD138" s="492"/>
      <c r="AE138" s="492"/>
      <c r="AF138" s="492"/>
      <c r="AG138" s="492"/>
      <c r="AH138" s="492"/>
      <c r="AI138" s="492"/>
      <c r="AJ138" s="492"/>
      <c r="AK138" s="492"/>
      <c r="AL138" s="492"/>
      <c r="AM138" s="492"/>
      <c r="AN138" s="492"/>
    </row>
    <row r="139" spans="1:40" ht="15.75" customHeight="1">
      <c r="A139" s="477" t="s">
        <v>317</v>
      </c>
      <c r="B139" s="492" t="s">
        <v>73</v>
      </c>
      <c r="C139" s="508" t="s">
        <v>53</v>
      </c>
      <c r="D139" s="561"/>
      <c r="E139" s="492"/>
      <c r="F139" s="509">
        <v>3757.6856226933323</v>
      </c>
      <c r="G139" s="562"/>
      <c r="H139" s="492"/>
      <c r="I139" s="509"/>
      <c r="J139" s="508"/>
      <c r="K139" s="492"/>
      <c r="L139" s="511">
        <v>4055.32</v>
      </c>
      <c r="M139" s="508"/>
      <c r="N139" s="534">
        <v>297.63437730666783</v>
      </c>
      <c r="O139" s="508"/>
      <c r="P139" s="492"/>
      <c r="Q139" s="511">
        <v>2790.26</v>
      </c>
      <c r="R139" s="508"/>
      <c r="S139" s="534">
        <v>1265.06</v>
      </c>
      <c r="T139" s="492"/>
      <c r="U139" s="492"/>
      <c r="V139" s="492"/>
      <c r="W139" s="492"/>
      <c r="X139" s="492"/>
      <c r="Y139" s="492"/>
      <c r="Z139" s="492"/>
      <c r="AA139" s="492"/>
      <c r="AB139" s="492"/>
      <c r="AC139" s="492"/>
      <c r="AD139" s="492"/>
      <c r="AE139" s="492"/>
      <c r="AF139" s="492"/>
      <c r="AG139" s="492"/>
      <c r="AH139" s="492"/>
      <c r="AI139" s="492"/>
      <c r="AJ139" s="492"/>
      <c r="AK139" s="492"/>
      <c r="AL139" s="492"/>
      <c r="AM139" s="492"/>
      <c r="AN139" s="492"/>
    </row>
    <row r="140" spans="1:40" ht="15.75" customHeight="1">
      <c r="A140" s="477" t="s">
        <v>318</v>
      </c>
      <c r="B140" s="492" t="s">
        <v>73</v>
      </c>
      <c r="C140" s="508" t="s">
        <v>54</v>
      </c>
      <c r="D140" s="561"/>
      <c r="E140" s="492"/>
      <c r="F140" s="509">
        <v>555.6702437740496</v>
      </c>
      <c r="G140" s="562"/>
      <c r="H140" s="492"/>
      <c r="I140" s="509"/>
      <c r="J140" s="508"/>
      <c r="K140" s="492"/>
      <c r="L140" s="511">
        <v>307.99</v>
      </c>
      <c r="M140" s="508"/>
      <c r="N140" s="534">
        <v>-247.68024377404959</v>
      </c>
      <c r="O140" s="508"/>
      <c r="P140" s="492"/>
      <c r="Q140" s="511">
        <v>703.86</v>
      </c>
      <c r="R140" s="508"/>
      <c r="S140" s="534">
        <v>-395.87</v>
      </c>
      <c r="T140" s="623"/>
      <c r="U140" s="492"/>
      <c r="V140" s="492"/>
      <c r="W140" s="492"/>
      <c r="X140" s="492"/>
      <c r="Y140" s="492"/>
      <c r="Z140" s="492"/>
      <c r="AA140" s="492"/>
      <c r="AB140" s="492"/>
      <c r="AC140" s="492"/>
      <c r="AD140" s="492"/>
      <c r="AE140" s="492"/>
      <c r="AF140" s="492"/>
      <c r="AG140" s="492"/>
      <c r="AH140" s="492"/>
      <c r="AI140" s="492"/>
      <c r="AJ140" s="492"/>
      <c r="AK140" s="492"/>
      <c r="AL140" s="492"/>
      <c r="AM140" s="492"/>
      <c r="AN140" s="492"/>
    </row>
    <row r="141" spans="1:40" ht="15.75" customHeight="1">
      <c r="A141" s="477" t="s">
        <v>319</v>
      </c>
      <c r="B141" s="492" t="s">
        <v>73</v>
      </c>
      <c r="C141" s="501" t="s">
        <v>55</v>
      </c>
      <c r="D141" s="563"/>
      <c r="E141" s="583"/>
      <c r="F141" s="503">
        <v>1398.8494640536576</v>
      </c>
      <c r="G141" s="564"/>
      <c r="H141" s="583"/>
      <c r="I141" s="503"/>
      <c r="J141" s="501"/>
      <c r="K141" s="583"/>
      <c r="L141" s="503">
        <v>2003.58</v>
      </c>
      <c r="M141" s="501"/>
      <c r="N141" s="559">
        <v>604.73053594634234</v>
      </c>
      <c r="O141" s="501"/>
      <c r="P141" s="583"/>
      <c r="Q141" s="503">
        <v>1512.86</v>
      </c>
      <c r="R141" s="501"/>
      <c r="S141" s="559">
        <v>490.72</v>
      </c>
      <c r="T141" s="492"/>
      <c r="U141" s="492"/>
      <c r="V141" s="492"/>
      <c r="W141" s="492"/>
      <c r="X141" s="492"/>
      <c r="Y141" s="492"/>
      <c r="Z141" s="492"/>
      <c r="AA141" s="492"/>
      <c r="AB141" s="492"/>
      <c r="AC141" s="492"/>
      <c r="AD141" s="492"/>
      <c r="AE141" s="492"/>
      <c r="AF141" s="492"/>
      <c r="AG141" s="492"/>
      <c r="AH141" s="492"/>
      <c r="AI141" s="492"/>
      <c r="AJ141" s="492"/>
      <c r="AK141" s="492"/>
      <c r="AL141" s="492"/>
      <c r="AM141" s="492"/>
      <c r="AN141" s="492"/>
    </row>
    <row r="142" spans="1:40" ht="15.75" customHeight="1">
      <c r="A142" s="477" t="s">
        <v>320</v>
      </c>
      <c r="B142" s="492" t="s">
        <v>73</v>
      </c>
      <c r="C142" s="508" t="s">
        <v>56</v>
      </c>
      <c r="D142" s="561"/>
      <c r="E142" s="492"/>
      <c r="F142" s="509">
        <v>83.885533333333328</v>
      </c>
      <c r="G142" s="562"/>
      <c r="H142" s="492"/>
      <c r="I142" s="509"/>
      <c r="J142" s="508"/>
      <c r="K142" s="492"/>
      <c r="L142" s="511">
        <v>0</v>
      </c>
      <c r="M142" s="508"/>
      <c r="N142" s="534">
        <v>-83.885533333333328</v>
      </c>
      <c r="O142" s="508"/>
      <c r="P142" s="492"/>
      <c r="Q142" s="511">
        <v>259.11</v>
      </c>
      <c r="R142" s="508"/>
      <c r="S142" s="534">
        <v>-259.11</v>
      </c>
      <c r="T142" s="492"/>
      <c r="U142" s="492"/>
      <c r="V142" s="492"/>
      <c r="W142" s="492"/>
      <c r="X142" s="492"/>
      <c r="Y142" s="492"/>
      <c r="Z142" s="492"/>
      <c r="AA142" s="492"/>
      <c r="AB142" s="492"/>
      <c r="AC142" s="492"/>
      <c r="AD142" s="492"/>
      <c r="AE142" s="492"/>
      <c r="AF142" s="492"/>
      <c r="AG142" s="492"/>
      <c r="AH142" s="492"/>
      <c r="AI142" s="492"/>
      <c r="AJ142" s="492"/>
      <c r="AK142" s="492"/>
      <c r="AL142" s="492"/>
      <c r="AM142" s="492"/>
      <c r="AN142" s="492"/>
    </row>
    <row r="143" spans="1:40" ht="15.75" customHeight="1">
      <c r="A143" s="477" t="s">
        <v>321</v>
      </c>
      <c r="B143" s="492" t="s">
        <v>73</v>
      </c>
      <c r="C143" s="508" t="s">
        <v>57</v>
      </c>
      <c r="D143" s="561"/>
      <c r="E143" s="492"/>
      <c r="F143" s="509">
        <v>28.333333333333332</v>
      </c>
      <c r="G143" s="562"/>
      <c r="H143" s="492"/>
      <c r="I143" s="509"/>
      <c r="J143" s="508"/>
      <c r="K143" s="492"/>
      <c r="L143" s="511">
        <v>0</v>
      </c>
      <c r="M143" s="508"/>
      <c r="N143" s="534">
        <v>-28.333333333333332</v>
      </c>
      <c r="O143" s="508"/>
      <c r="P143" s="492"/>
      <c r="Q143" s="511">
        <v>0</v>
      </c>
      <c r="R143" s="508"/>
      <c r="S143" s="534">
        <v>0</v>
      </c>
      <c r="T143" s="492"/>
      <c r="U143" s="492"/>
      <c r="V143" s="492"/>
      <c r="W143" s="492"/>
      <c r="X143" s="492"/>
      <c r="Y143" s="492"/>
      <c r="Z143" s="492"/>
      <c r="AA143" s="492"/>
      <c r="AB143" s="492"/>
      <c r="AC143" s="492"/>
      <c r="AD143" s="492"/>
      <c r="AE143" s="492"/>
      <c r="AF143" s="492"/>
      <c r="AG143" s="492"/>
      <c r="AH143" s="492"/>
      <c r="AI143" s="492"/>
      <c r="AJ143" s="492"/>
      <c r="AK143" s="492"/>
      <c r="AL143" s="492"/>
      <c r="AM143" s="492"/>
      <c r="AN143" s="492"/>
    </row>
    <row r="144" spans="1:40" ht="15.75" customHeight="1">
      <c r="A144" s="477" t="s">
        <v>322</v>
      </c>
      <c r="B144" s="492" t="s">
        <v>73</v>
      </c>
      <c r="C144" s="508" t="s">
        <v>58</v>
      </c>
      <c r="D144" s="561"/>
      <c r="E144" s="492"/>
      <c r="F144" s="509">
        <v>323.61939737591996</v>
      </c>
      <c r="G144" s="562"/>
      <c r="H144" s="492"/>
      <c r="I144" s="509"/>
      <c r="J144" s="508"/>
      <c r="K144" s="492"/>
      <c r="L144" s="511">
        <v>81.94</v>
      </c>
      <c r="M144" s="508"/>
      <c r="N144" s="534">
        <v>-241.67939737591996</v>
      </c>
      <c r="O144" s="508"/>
      <c r="P144" s="492"/>
      <c r="Q144" s="511">
        <v>133.69999999999999</v>
      </c>
      <c r="R144" s="508"/>
      <c r="S144" s="534">
        <v>-51.759999999999991</v>
      </c>
      <c r="T144" s="492"/>
      <c r="U144" s="492"/>
      <c r="V144" s="492"/>
      <c r="W144" s="492"/>
      <c r="X144" s="492"/>
      <c r="Y144" s="492"/>
      <c r="Z144" s="492"/>
      <c r="AA144" s="492"/>
      <c r="AB144" s="492"/>
      <c r="AC144" s="492"/>
      <c r="AD144" s="492"/>
      <c r="AE144" s="492"/>
      <c r="AF144" s="492"/>
      <c r="AG144" s="492"/>
      <c r="AH144" s="492"/>
      <c r="AI144" s="492"/>
      <c r="AJ144" s="492"/>
      <c r="AK144" s="492"/>
      <c r="AL144" s="492"/>
      <c r="AM144" s="492"/>
      <c r="AN144" s="492"/>
    </row>
    <row r="145" spans="1:40" ht="15.75" customHeight="1">
      <c r="A145" s="477" t="s">
        <v>323</v>
      </c>
      <c r="B145" s="492" t="s">
        <v>73</v>
      </c>
      <c r="C145" s="508" t="s">
        <v>59</v>
      </c>
      <c r="D145" s="561"/>
      <c r="E145" s="492"/>
      <c r="F145" s="509">
        <v>62.764554844243328</v>
      </c>
      <c r="G145" s="562"/>
      <c r="H145" s="492"/>
      <c r="I145" s="509"/>
      <c r="J145" s="508"/>
      <c r="K145" s="492"/>
      <c r="L145" s="511">
        <v>66.8</v>
      </c>
      <c r="M145" s="508"/>
      <c r="N145" s="534">
        <v>4.0354451557566691</v>
      </c>
      <c r="O145" s="508"/>
      <c r="P145" s="492"/>
      <c r="Q145" s="511">
        <v>45.06</v>
      </c>
      <c r="R145" s="508"/>
      <c r="S145" s="534">
        <v>21.739999999999995</v>
      </c>
      <c r="T145" s="492"/>
      <c r="U145" s="492"/>
      <c r="V145" s="492"/>
      <c r="W145" s="492"/>
      <c r="X145" s="492"/>
      <c r="Y145" s="492"/>
      <c r="Z145" s="492"/>
      <c r="AA145" s="492"/>
      <c r="AB145" s="492"/>
      <c r="AC145" s="492"/>
      <c r="AD145" s="492"/>
      <c r="AE145" s="492"/>
      <c r="AF145" s="492"/>
      <c r="AG145" s="492"/>
      <c r="AH145" s="492"/>
      <c r="AI145" s="492"/>
      <c r="AJ145" s="492"/>
      <c r="AK145" s="492"/>
      <c r="AL145" s="492"/>
      <c r="AM145" s="492"/>
      <c r="AN145" s="492"/>
    </row>
    <row r="146" spans="1:40" ht="15.75" customHeight="1">
      <c r="A146" s="477" t="s">
        <v>324</v>
      </c>
      <c r="B146" s="492" t="s">
        <v>73</v>
      </c>
      <c r="C146" s="508" t="s">
        <v>60</v>
      </c>
      <c r="D146" s="561"/>
      <c r="E146" s="492"/>
      <c r="F146" s="509">
        <v>48.216844138156659</v>
      </c>
      <c r="G146" s="562"/>
      <c r="H146" s="492"/>
      <c r="I146" s="509"/>
      <c r="J146" s="508"/>
      <c r="K146" s="492"/>
      <c r="L146" s="511">
        <v>20.48</v>
      </c>
      <c r="M146" s="508"/>
      <c r="N146" s="534">
        <v>-27.736844138156659</v>
      </c>
      <c r="O146" s="508"/>
      <c r="P146" s="492"/>
      <c r="Q146" s="511">
        <v>12.36</v>
      </c>
      <c r="R146" s="508"/>
      <c r="S146" s="534">
        <v>8.120000000000001</v>
      </c>
      <c r="T146" s="492"/>
      <c r="U146" s="492"/>
      <c r="V146" s="492"/>
      <c r="W146" s="492"/>
      <c r="X146" s="492"/>
      <c r="Y146" s="492"/>
      <c r="Z146" s="492"/>
      <c r="AA146" s="492"/>
      <c r="AB146" s="492"/>
      <c r="AC146" s="492"/>
      <c r="AD146" s="492"/>
      <c r="AE146" s="492"/>
      <c r="AF146" s="492"/>
      <c r="AG146" s="492"/>
      <c r="AH146" s="492"/>
      <c r="AI146" s="492"/>
      <c r="AJ146" s="492"/>
      <c r="AK146" s="492"/>
      <c r="AL146" s="492"/>
      <c r="AM146" s="492"/>
      <c r="AN146" s="492"/>
    </row>
    <row r="147" spans="1:40" ht="15.75" customHeight="1">
      <c r="A147" s="477" t="s">
        <v>325</v>
      </c>
      <c r="B147" s="492" t="s">
        <v>73</v>
      </c>
      <c r="C147" s="508" t="s">
        <v>61</v>
      </c>
      <c r="D147" s="561"/>
      <c r="E147" s="492"/>
      <c r="F147" s="509">
        <v>107.35161743797669</v>
      </c>
      <c r="G147" s="562"/>
      <c r="H147" s="492"/>
      <c r="I147" s="509"/>
      <c r="J147" s="508"/>
      <c r="K147" s="492"/>
      <c r="L147" s="511">
        <v>23.52</v>
      </c>
      <c r="M147" s="508"/>
      <c r="N147" s="534">
        <v>-83.831617437976689</v>
      </c>
      <c r="O147" s="508"/>
      <c r="P147" s="492"/>
      <c r="Q147" s="511">
        <v>70.680000000000007</v>
      </c>
      <c r="R147" s="508"/>
      <c r="S147" s="534">
        <v>-47.160000000000011</v>
      </c>
      <c r="T147" s="492"/>
      <c r="U147" s="492"/>
      <c r="V147" s="492"/>
      <c r="W147" s="492"/>
      <c r="X147" s="492"/>
      <c r="Y147" s="492"/>
      <c r="Z147" s="492"/>
      <c r="AA147" s="492"/>
      <c r="AB147" s="492"/>
      <c r="AC147" s="492"/>
      <c r="AD147" s="492"/>
      <c r="AE147" s="492"/>
      <c r="AF147" s="492"/>
      <c r="AG147" s="492"/>
      <c r="AH147" s="492"/>
      <c r="AI147" s="492"/>
      <c r="AJ147" s="492"/>
      <c r="AK147" s="492"/>
      <c r="AL147" s="492"/>
      <c r="AM147" s="492"/>
      <c r="AN147" s="492"/>
    </row>
    <row r="148" spans="1:40" ht="15.75" customHeight="1">
      <c r="A148" s="477" t="s">
        <v>326</v>
      </c>
      <c r="B148" s="492" t="s">
        <v>73</v>
      </c>
      <c r="C148" s="508" t="s">
        <v>62</v>
      </c>
      <c r="D148" s="561"/>
      <c r="E148" s="492"/>
      <c r="F148" s="509">
        <v>218.46437169698484</v>
      </c>
      <c r="G148" s="562"/>
      <c r="H148" s="492"/>
      <c r="I148" s="509"/>
      <c r="J148" s="508"/>
      <c r="K148" s="492"/>
      <c r="L148" s="511">
        <v>1426.22</v>
      </c>
      <c r="M148" s="508"/>
      <c r="N148" s="534">
        <v>1207.7556283030151</v>
      </c>
      <c r="O148" s="508"/>
      <c r="P148" s="492"/>
      <c r="Q148" s="511">
        <v>38.28</v>
      </c>
      <c r="R148" s="508"/>
      <c r="S148" s="534">
        <v>1387.94</v>
      </c>
      <c r="T148" s="492"/>
      <c r="X148" s="492"/>
      <c r="Y148" s="492"/>
      <c r="Z148" s="492"/>
      <c r="AA148" s="492"/>
      <c r="AB148" s="492"/>
      <c r="AC148" s="492"/>
      <c r="AD148" s="492"/>
      <c r="AE148" s="492"/>
      <c r="AF148" s="492"/>
      <c r="AG148" s="492"/>
      <c r="AH148" s="492"/>
      <c r="AI148" s="492"/>
      <c r="AJ148" s="492"/>
      <c r="AK148" s="492"/>
      <c r="AL148" s="492"/>
      <c r="AM148" s="492"/>
      <c r="AN148" s="492"/>
    </row>
    <row r="149" spans="1:40" ht="15.75" customHeight="1">
      <c r="A149" s="477" t="s">
        <v>327</v>
      </c>
      <c r="B149" s="492" t="s">
        <v>73</v>
      </c>
      <c r="C149" s="508" t="s">
        <v>63</v>
      </c>
      <c r="D149" s="561"/>
      <c r="E149" s="492"/>
      <c r="F149" s="509">
        <v>820.93352030523874</v>
      </c>
      <c r="G149" s="562"/>
      <c r="H149" s="492"/>
      <c r="I149" s="509"/>
      <c r="J149" s="508"/>
      <c r="K149" s="492"/>
      <c r="L149" s="511">
        <v>867.2</v>
      </c>
      <c r="M149" s="508"/>
      <c r="N149" s="534">
        <v>46.266479694761301</v>
      </c>
      <c r="O149" s="508"/>
      <c r="P149" s="492"/>
      <c r="Q149" s="511">
        <v>855.99</v>
      </c>
      <c r="R149" s="508"/>
      <c r="S149" s="534">
        <v>11.210000000000036</v>
      </c>
      <c r="T149" s="550"/>
      <c r="X149" s="492"/>
      <c r="Y149" s="492"/>
      <c r="Z149" s="492"/>
      <c r="AA149" s="492"/>
      <c r="AB149" s="492"/>
      <c r="AC149" s="492"/>
      <c r="AD149" s="492"/>
      <c r="AE149" s="492"/>
      <c r="AF149" s="492"/>
      <c r="AG149" s="492"/>
      <c r="AH149" s="492"/>
      <c r="AI149" s="492"/>
      <c r="AJ149" s="492"/>
      <c r="AK149" s="492"/>
      <c r="AL149" s="492"/>
      <c r="AM149" s="492"/>
      <c r="AN149" s="492"/>
    </row>
    <row r="150" spans="1:40" ht="15.75" hidden="1" customHeight="1">
      <c r="A150" s="477" t="s">
        <v>303</v>
      </c>
      <c r="B150" s="492" t="s">
        <v>73</v>
      </c>
      <c r="C150" s="508" t="s">
        <v>20</v>
      </c>
      <c r="D150" s="561"/>
      <c r="E150" s="492"/>
      <c r="F150" s="509">
        <v>0</v>
      </c>
      <c r="G150" s="562"/>
      <c r="H150" s="492"/>
      <c r="I150" s="509"/>
      <c r="J150" s="508"/>
      <c r="K150" s="492"/>
      <c r="L150" s="511">
        <v>0</v>
      </c>
      <c r="M150" s="508"/>
      <c r="N150" s="534">
        <v>0</v>
      </c>
      <c r="O150" s="508"/>
      <c r="P150" s="492"/>
      <c r="Q150" s="511">
        <v>0</v>
      </c>
      <c r="R150" s="508"/>
      <c r="S150" s="534">
        <v>0</v>
      </c>
      <c r="T150" s="492"/>
      <c r="X150" s="492"/>
      <c r="Y150" s="492"/>
      <c r="Z150" s="492"/>
      <c r="AA150" s="492"/>
      <c r="AB150" s="492"/>
      <c r="AC150" s="492"/>
      <c r="AD150" s="492"/>
      <c r="AE150" s="492"/>
      <c r="AF150" s="492"/>
      <c r="AG150" s="492"/>
      <c r="AH150" s="492"/>
      <c r="AI150" s="492"/>
      <c r="AJ150" s="492"/>
      <c r="AK150" s="492"/>
      <c r="AL150" s="492"/>
      <c r="AM150" s="492"/>
      <c r="AN150" s="492"/>
    </row>
    <row r="151" spans="1:40" ht="15.75" hidden="1" customHeight="1">
      <c r="A151" s="477" t="s">
        <v>303</v>
      </c>
      <c r="B151" s="492" t="s">
        <v>73</v>
      </c>
      <c r="C151" s="508" t="s">
        <v>20</v>
      </c>
      <c r="D151" s="561"/>
      <c r="E151" s="492"/>
      <c r="F151" s="509">
        <v>0</v>
      </c>
      <c r="G151" s="562"/>
      <c r="H151" s="492"/>
      <c r="I151" s="509"/>
      <c r="J151" s="508"/>
      <c r="K151" s="492"/>
      <c r="L151" s="511">
        <v>0</v>
      </c>
      <c r="M151" s="508"/>
      <c r="N151" s="534">
        <v>0</v>
      </c>
      <c r="O151" s="508"/>
      <c r="P151" s="492"/>
      <c r="Q151" s="511">
        <v>0</v>
      </c>
      <c r="R151" s="508"/>
      <c r="S151" s="534">
        <v>0</v>
      </c>
      <c r="T151" s="492"/>
      <c r="X151" s="492"/>
      <c r="Y151" s="492"/>
      <c r="Z151" s="492"/>
      <c r="AA151" s="492"/>
      <c r="AB151" s="492"/>
      <c r="AC151" s="492"/>
      <c r="AD151" s="492"/>
      <c r="AE151" s="492"/>
      <c r="AF151" s="492"/>
      <c r="AG151" s="492"/>
      <c r="AH151" s="492"/>
      <c r="AI151" s="492"/>
      <c r="AJ151" s="492"/>
      <c r="AK151" s="492"/>
      <c r="AL151" s="492"/>
      <c r="AM151" s="492"/>
      <c r="AN151" s="492"/>
    </row>
    <row r="152" spans="1:40" ht="15.75" hidden="1" customHeight="1">
      <c r="A152" s="477" t="s">
        <v>303</v>
      </c>
      <c r="B152" s="492" t="s">
        <v>73</v>
      </c>
      <c r="C152" s="508" t="s">
        <v>20</v>
      </c>
      <c r="D152" s="561"/>
      <c r="E152" s="492"/>
      <c r="F152" s="509">
        <v>0</v>
      </c>
      <c r="G152" s="562"/>
      <c r="H152" s="492"/>
      <c r="I152" s="509"/>
      <c r="J152" s="508"/>
      <c r="K152" s="492"/>
      <c r="L152" s="511">
        <v>0</v>
      </c>
      <c r="M152" s="508"/>
      <c r="N152" s="534">
        <v>0</v>
      </c>
      <c r="O152" s="508"/>
      <c r="P152" s="492"/>
      <c r="Q152" s="511">
        <v>0</v>
      </c>
      <c r="R152" s="508"/>
      <c r="S152" s="534">
        <v>0</v>
      </c>
      <c r="T152" s="550"/>
      <c r="X152" s="492"/>
      <c r="Y152" s="492"/>
      <c r="Z152" s="492"/>
      <c r="AA152" s="492"/>
      <c r="AB152" s="492"/>
      <c r="AC152" s="492"/>
      <c r="AD152" s="492"/>
      <c r="AE152" s="492"/>
      <c r="AF152" s="492"/>
      <c r="AG152" s="492"/>
      <c r="AH152" s="492"/>
      <c r="AI152" s="492"/>
      <c r="AJ152" s="492"/>
      <c r="AK152" s="492"/>
      <c r="AL152" s="492"/>
      <c r="AM152" s="492"/>
      <c r="AN152" s="492"/>
    </row>
    <row r="153" spans="1:40" ht="15.75" customHeight="1">
      <c r="A153" s="477" t="s">
        <v>328</v>
      </c>
      <c r="B153" s="492" t="s">
        <v>73</v>
      </c>
      <c r="C153" s="568" t="s">
        <v>64</v>
      </c>
      <c r="D153" s="569" t="s">
        <v>39</v>
      </c>
      <c r="E153" s="570">
        <v>6.75208064636761E-2</v>
      </c>
      <c r="F153" s="571">
        <v>8689.9277918751141</v>
      </c>
      <c r="G153" s="572"/>
      <c r="H153" s="570"/>
      <c r="I153" s="571"/>
      <c r="J153" s="572" t="s">
        <v>39</v>
      </c>
      <c r="K153" s="570">
        <v>7.7123403794238043E-2</v>
      </c>
      <c r="L153" s="571">
        <v>10277.99</v>
      </c>
      <c r="M153" s="575"/>
      <c r="N153" s="571">
        <v>1588.0622081248857</v>
      </c>
      <c r="O153" s="572" t="s">
        <v>39</v>
      </c>
      <c r="P153" s="570">
        <v>7.0928709147551922E-2</v>
      </c>
      <c r="Q153" s="571">
        <v>7095.9399999999987</v>
      </c>
      <c r="R153" s="575"/>
      <c r="S153" s="571">
        <v>3182.0500000000011</v>
      </c>
      <c r="T153" s="584"/>
      <c r="X153" s="492"/>
      <c r="Y153" s="492"/>
      <c r="Z153" s="492"/>
      <c r="AA153" s="492"/>
      <c r="AB153" s="492"/>
      <c r="AC153" s="492"/>
      <c r="AD153" s="492"/>
      <c r="AE153" s="492"/>
      <c r="AF153" s="492"/>
      <c r="AG153" s="492"/>
      <c r="AH153" s="492"/>
      <c r="AI153" s="492"/>
      <c r="AJ153" s="492"/>
      <c r="AK153" s="492"/>
      <c r="AL153" s="492"/>
      <c r="AM153" s="492"/>
      <c r="AN153" s="492"/>
    </row>
    <row r="154" spans="1:40" ht="15.75" customHeight="1">
      <c r="A154" s="477" t="s">
        <v>73</v>
      </c>
      <c r="B154" s="492" t="s">
        <v>73</v>
      </c>
      <c r="C154" s="501"/>
      <c r="D154" s="563"/>
      <c r="E154" s="583"/>
      <c r="F154" s="534"/>
      <c r="G154" s="564"/>
      <c r="H154" s="583"/>
      <c r="I154" s="534"/>
      <c r="J154" s="501"/>
      <c r="K154" s="583"/>
      <c r="L154" s="559"/>
      <c r="M154" s="501"/>
      <c r="N154" s="559"/>
      <c r="O154" s="501"/>
      <c r="P154" s="583"/>
      <c r="Q154" s="559"/>
      <c r="R154" s="501"/>
      <c r="S154" s="559"/>
      <c r="T154" s="584"/>
      <c r="U154" s="492"/>
      <c r="V154" s="492"/>
      <c r="W154" s="492"/>
      <c r="X154" s="492"/>
      <c r="Y154" s="492"/>
      <c r="Z154" s="492"/>
      <c r="AA154" s="492"/>
      <c r="AB154" s="492"/>
      <c r="AC154" s="492"/>
      <c r="AD154" s="492"/>
      <c r="AE154" s="492"/>
      <c r="AF154" s="492"/>
      <c r="AG154" s="492"/>
      <c r="AH154" s="492"/>
      <c r="AI154" s="492"/>
      <c r="AJ154" s="492"/>
      <c r="AK154" s="492"/>
      <c r="AL154" s="492"/>
      <c r="AM154" s="492"/>
      <c r="AN154" s="492"/>
    </row>
    <row r="155" spans="1:40" ht="15.75" customHeight="1">
      <c r="A155" s="477" t="s">
        <v>329</v>
      </c>
      <c r="B155" s="492" t="s">
        <v>73</v>
      </c>
      <c r="C155" s="568" t="s">
        <v>65</v>
      </c>
      <c r="D155" s="569" t="s">
        <v>39</v>
      </c>
      <c r="E155" s="570">
        <v>0.89940554489964275</v>
      </c>
      <c r="F155" s="571">
        <v>115753.49362858402</v>
      </c>
      <c r="G155" s="572"/>
      <c r="H155" s="570"/>
      <c r="I155" s="571"/>
      <c r="J155" s="572" t="s">
        <v>39</v>
      </c>
      <c r="K155" s="570">
        <v>0.77331212475184186</v>
      </c>
      <c r="L155" s="571">
        <v>103056.84000000001</v>
      </c>
      <c r="M155" s="575"/>
      <c r="N155" s="585">
        <v>-12696.653628584012</v>
      </c>
      <c r="O155" s="572" t="s">
        <v>39</v>
      </c>
      <c r="P155" s="570">
        <v>0.95210412454531035</v>
      </c>
      <c r="Q155" s="571">
        <v>95251.61</v>
      </c>
      <c r="R155" s="575"/>
      <c r="S155" s="585">
        <v>7805.2300000000105</v>
      </c>
      <c r="T155" s="584"/>
      <c r="U155" s="492"/>
      <c r="V155" s="492"/>
      <c r="W155" s="492"/>
      <c r="X155" s="492"/>
      <c r="Y155" s="492"/>
      <c r="Z155" s="492"/>
      <c r="AA155" s="492"/>
      <c r="AB155" s="492"/>
      <c r="AC155" s="492"/>
      <c r="AD155" s="492"/>
      <c r="AE155" s="492"/>
      <c r="AF155" s="492"/>
      <c r="AG155" s="492"/>
      <c r="AH155" s="492"/>
      <c r="AI155" s="492"/>
      <c r="AJ155" s="492"/>
      <c r="AK155" s="492"/>
      <c r="AL155" s="492"/>
      <c r="AM155" s="492"/>
      <c r="AN155" s="492"/>
    </row>
    <row r="156" spans="1:40" ht="15.75" customHeight="1">
      <c r="A156" s="477" t="s">
        <v>330</v>
      </c>
      <c r="B156" s="492" t="s">
        <v>73</v>
      </c>
      <c r="C156" s="508" t="s">
        <v>225</v>
      </c>
      <c r="D156" s="626"/>
      <c r="E156" s="627"/>
      <c r="F156" s="509">
        <v>0</v>
      </c>
      <c r="G156" s="628"/>
      <c r="H156" s="627"/>
      <c r="I156" s="509"/>
      <c r="J156" s="628"/>
      <c r="K156" s="627"/>
      <c r="L156" s="511">
        <v>0</v>
      </c>
      <c r="M156" s="508"/>
      <c r="N156" s="534">
        <v>0</v>
      </c>
      <c r="O156" s="628"/>
      <c r="P156" s="627"/>
      <c r="Q156" s="511">
        <v>0</v>
      </c>
      <c r="R156" s="508"/>
      <c r="S156" s="534">
        <v>0</v>
      </c>
      <c r="T156" s="584"/>
      <c r="U156" s="492"/>
      <c r="V156" s="492"/>
      <c r="W156" s="492"/>
      <c r="X156" s="492"/>
      <c r="Y156" s="492"/>
      <c r="Z156" s="492"/>
      <c r="AA156" s="492"/>
      <c r="AB156" s="492"/>
      <c r="AC156" s="492"/>
      <c r="AD156" s="492"/>
      <c r="AE156" s="492"/>
      <c r="AF156" s="492"/>
      <c r="AG156" s="492"/>
      <c r="AH156" s="492"/>
      <c r="AI156" s="492"/>
      <c r="AJ156" s="492"/>
      <c r="AK156" s="492"/>
      <c r="AL156" s="492"/>
      <c r="AM156" s="492"/>
      <c r="AN156" s="492"/>
    </row>
    <row r="157" spans="1:40" ht="15.75" customHeight="1">
      <c r="A157" s="477" t="s">
        <v>331</v>
      </c>
      <c r="B157" s="492" t="s">
        <v>73</v>
      </c>
      <c r="C157" s="508" t="s">
        <v>81</v>
      </c>
      <c r="D157" s="626"/>
      <c r="E157" s="627"/>
      <c r="F157" s="509">
        <v>0</v>
      </c>
      <c r="G157" s="628"/>
      <c r="H157" s="627"/>
      <c r="I157" s="509"/>
      <c r="J157" s="628"/>
      <c r="K157" s="627"/>
      <c r="L157" s="511">
        <v>0</v>
      </c>
      <c r="M157" s="508"/>
      <c r="N157" s="534">
        <v>0</v>
      </c>
      <c r="O157" s="628"/>
      <c r="P157" s="627"/>
      <c r="Q157" s="511">
        <v>0</v>
      </c>
      <c r="R157" s="508"/>
      <c r="S157" s="534">
        <v>0</v>
      </c>
      <c r="T157" s="584"/>
      <c r="U157" s="492"/>
      <c r="V157" s="492"/>
      <c r="W157" s="492"/>
      <c r="X157" s="492"/>
      <c r="Y157" s="492"/>
      <c r="Z157" s="492"/>
      <c r="AA157" s="492"/>
      <c r="AB157" s="492"/>
      <c r="AC157" s="492"/>
      <c r="AD157" s="492"/>
      <c r="AE157" s="492"/>
      <c r="AF157" s="492"/>
      <c r="AG157" s="492"/>
      <c r="AH157" s="492"/>
      <c r="AI157" s="492"/>
      <c r="AJ157" s="492"/>
      <c r="AK157" s="492"/>
      <c r="AL157" s="492"/>
      <c r="AM157" s="492"/>
      <c r="AN157" s="492"/>
    </row>
    <row r="158" spans="1:40" ht="15.75" customHeight="1">
      <c r="A158" s="477" t="s">
        <v>332</v>
      </c>
      <c r="B158" s="492" t="s">
        <v>73</v>
      </c>
      <c r="C158" s="508" t="s">
        <v>82</v>
      </c>
      <c r="D158" s="561"/>
      <c r="E158" s="492"/>
      <c r="F158" s="509">
        <v>0</v>
      </c>
      <c r="G158" s="562"/>
      <c r="H158" s="492"/>
      <c r="I158" s="509"/>
      <c r="J158" s="508"/>
      <c r="K158" s="492"/>
      <c r="L158" s="511">
        <v>0</v>
      </c>
      <c r="M158" s="508"/>
      <c r="N158" s="534">
        <v>0</v>
      </c>
      <c r="O158" s="508"/>
      <c r="P158" s="492"/>
      <c r="Q158" s="511">
        <v>0</v>
      </c>
      <c r="R158" s="508"/>
      <c r="S158" s="534">
        <v>0</v>
      </c>
      <c r="T158" s="584"/>
      <c r="U158" s="492"/>
      <c r="V158" s="492"/>
      <c r="W158" s="492"/>
      <c r="X158" s="492"/>
      <c r="Y158" s="492"/>
      <c r="Z158" s="492"/>
      <c r="AA158" s="492"/>
      <c r="AB158" s="492"/>
      <c r="AC158" s="492"/>
      <c r="AD158" s="492"/>
      <c r="AE158" s="492"/>
      <c r="AF158" s="492"/>
      <c r="AG158" s="492"/>
      <c r="AH158" s="492"/>
      <c r="AI158" s="492"/>
      <c r="AJ158" s="492"/>
      <c r="AK158" s="492"/>
      <c r="AL158" s="492"/>
      <c r="AM158" s="492"/>
      <c r="AN158" s="492"/>
    </row>
    <row r="159" spans="1:40" ht="15.75" customHeight="1">
      <c r="A159" s="477" t="s">
        <v>333</v>
      </c>
      <c r="B159" s="492" t="s">
        <v>73</v>
      </c>
      <c r="C159" s="508" t="s">
        <v>70</v>
      </c>
      <c r="D159" s="629">
        <v>0.7996835443037974</v>
      </c>
      <c r="E159" s="591">
        <v>379.04999999999995</v>
      </c>
      <c r="F159" s="509">
        <v>12887.699999999999</v>
      </c>
      <c r="G159" s="562"/>
      <c r="H159" s="492"/>
      <c r="I159" s="509"/>
      <c r="J159" s="587">
        <v>0.94213381555153708</v>
      </c>
      <c r="K159" s="591">
        <v>446.57142857142856</v>
      </c>
      <c r="L159" s="511">
        <v>12504</v>
      </c>
      <c r="M159" s="508"/>
      <c r="N159" s="534">
        <v>-383.69999999999891</v>
      </c>
      <c r="O159" s="508"/>
      <c r="P159" s="492"/>
      <c r="Q159" s="511">
        <v>12594</v>
      </c>
      <c r="R159" s="508"/>
      <c r="S159" s="534">
        <v>-90</v>
      </c>
      <c r="T159" s="584"/>
      <c r="U159" s="492"/>
      <c r="V159" s="492"/>
      <c r="W159" s="492"/>
      <c r="X159" s="492"/>
      <c r="Y159" s="492"/>
      <c r="Z159" s="492"/>
      <c r="AA159" s="492"/>
      <c r="AB159" s="492"/>
      <c r="AC159" s="492"/>
      <c r="AD159" s="492"/>
      <c r="AE159" s="492"/>
      <c r="AF159" s="492"/>
      <c r="AG159" s="492"/>
      <c r="AH159" s="492"/>
      <c r="AI159" s="492"/>
      <c r="AJ159" s="492"/>
      <c r="AK159" s="492"/>
      <c r="AL159" s="492"/>
      <c r="AM159" s="492"/>
      <c r="AN159" s="492"/>
    </row>
    <row r="160" spans="1:40" ht="15.75" hidden="1" customHeight="1">
      <c r="A160" s="477" t="s">
        <v>303</v>
      </c>
      <c r="B160" s="492" t="s">
        <v>73</v>
      </c>
      <c r="C160" s="508" t="s">
        <v>20</v>
      </c>
      <c r="D160" s="561"/>
      <c r="E160" s="492"/>
      <c r="F160" s="509">
        <v>0</v>
      </c>
      <c r="G160" s="562"/>
      <c r="H160" s="492"/>
      <c r="I160" s="509"/>
      <c r="J160" s="508"/>
      <c r="K160" s="492"/>
      <c r="L160" s="511">
        <v>0</v>
      </c>
      <c r="M160" s="508"/>
      <c r="N160" s="534">
        <v>0</v>
      </c>
      <c r="O160" s="508"/>
      <c r="P160" s="492"/>
      <c r="Q160" s="511">
        <v>0</v>
      </c>
      <c r="R160" s="508"/>
      <c r="S160" s="534">
        <v>0</v>
      </c>
      <c r="T160" s="584"/>
      <c r="U160" s="492"/>
      <c r="V160" s="492"/>
      <c r="W160" s="492"/>
      <c r="X160" s="492"/>
      <c r="Y160" s="492"/>
      <c r="Z160" s="492"/>
      <c r="AA160" s="492"/>
      <c r="AB160" s="492"/>
      <c r="AC160" s="492"/>
      <c r="AD160" s="492"/>
      <c r="AE160" s="492"/>
      <c r="AF160" s="492"/>
      <c r="AG160" s="492"/>
      <c r="AH160" s="492"/>
      <c r="AI160" s="492"/>
      <c r="AJ160" s="492"/>
      <c r="AK160" s="492"/>
      <c r="AL160" s="492"/>
      <c r="AM160" s="492"/>
      <c r="AN160" s="492"/>
    </row>
    <row r="161" spans="1:40" ht="15.75" hidden="1" customHeight="1">
      <c r="A161" s="477" t="s">
        <v>303</v>
      </c>
      <c r="B161" s="492" t="s">
        <v>73</v>
      </c>
      <c r="C161" s="508" t="s">
        <v>20</v>
      </c>
      <c r="D161" s="561"/>
      <c r="E161" s="492"/>
      <c r="F161" s="509">
        <v>0</v>
      </c>
      <c r="G161" s="562"/>
      <c r="H161" s="492"/>
      <c r="I161" s="509"/>
      <c r="J161" s="508"/>
      <c r="K161" s="492"/>
      <c r="L161" s="511">
        <v>0</v>
      </c>
      <c r="M161" s="508"/>
      <c r="N161" s="534">
        <v>0</v>
      </c>
      <c r="O161" s="508"/>
      <c r="P161" s="492"/>
      <c r="Q161" s="511">
        <v>0</v>
      </c>
      <c r="R161" s="508"/>
      <c r="S161" s="534">
        <v>0</v>
      </c>
      <c r="T161" s="584"/>
      <c r="U161" s="492"/>
      <c r="V161" s="492"/>
      <c r="W161" s="492"/>
      <c r="X161" s="492"/>
      <c r="Y161" s="492"/>
      <c r="Z161" s="492"/>
      <c r="AA161" s="492"/>
      <c r="AB161" s="492"/>
      <c r="AC161" s="492"/>
      <c r="AD161" s="492"/>
      <c r="AE161" s="492"/>
      <c r="AF161" s="492"/>
      <c r="AG161" s="492"/>
      <c r="AH161" s="492"/>
      <c r="AI161" s="492"/>
      <c r="AJ161" s="492"/>
      <c r="AK161" s="492"/>
      <c r="AL161" s="492"/>
      <c r="AM161" s="492"/>
      <c r="AN161" s="492"/>
    </row>
    <row r="162" spans="1:40" ht="15.75" hidden="1" customHeight="1">
      <c r="A162" s="477" t="s">
        <v>303</v>
      </c>
      <c r="B162" s="492" t="s">
        <v>73</v>
      </c>
      <c r="C162" s="501" t="s">
        <v>20</v>
      </c>
      <c r="D162" s="563"/>
      <c r="E162" s="583"/>
      <c r="F162" s="509">
        <v>0</v>
      </c>
      <c r="G162" s="562"/>
      <c r="H162" s="492"/>
      <c r="I162" s="509"/>
      <c r="J162" s="508"/>
      <c r="K162" s="492"/>
      <c r="L162" s="511">
        <v>0</v>
      </c>
      <c r="M162" s="508"/>
      <c r="N162" s="534">
        <v>0</v>
      </c>
      <c r="O162" s="508"/>
      <c r="P162" s="492"/>
      <c r="Q162" s="511">
        <v>0</v>
      </c>
      <c r="R162" s="508"/>
      <c r="S162" s="534">
        <v>0</v>
      </c>
      <c r="T162" s="584"/>
      <c r="U162" s="492"/>
      <c r="V162" s="492"/>
      <c r="W162" s="492"/>
      <c r="X162" s="492"/>
      <c r="Y162" s="492"/>
      <c r="Z162" s="492"/>
      <c r="AA162" s="492"/>
      <c r="AB162" s="492"/>
      <c r="AC162" s="492"/>
      <c r="AD162" s="492"/>
      <c r="AE162" s="492"/>
      <c r="AF162" s="492"/>
      <c r="AG162" s="492"/>
      <c r="AH162" s="492"/>
      <c r="AI162" s="492"/>
      <c r="AJ162" s="492"/>
      <c r="AK162" s="492"/>
      <c r="AL162" s="492"/>
      <c r="AM162" s="492"/>
      <c r="AN162" s="492"/>
    </row>
    <row r="163" spans="1:40" ht="15.75" customHeight="1">
      <c r="B163" s="492"/>
      <c r="C163" s="568" t="s">
        <v>71</v>
      </c>
      <c r="D163" s="569"/>
      <c r="E163" s="570"/>
      <c r="F163" s="571">
        <v>12887.699999999999</v>
      </c>
      <c r="G163" s="572"/>
      <c r="H163" s="570"/>
      <c r="I163" s="571"/>
      <c r="J163" s="572"/>
      <c r="K163" s="570"/>
      <c r="L163" s="571">
        <v>12504</v>
      </c>
      <c r="M163" s="575"/>
      <c r="N163" s="571">
        <v>-383.69999999999891</v>
      </c>
      <c r="O163" s="572"/>
      <c r="P163" s="570"/>
      <c r="Q163" s="571">
        <v>12594</v>
      </c>
      <c r="R163" s="575"/>
      <c r="S163" s="571">
        <v>-90</v>
      </c>
      <c r="T163" s="584"/>
      <c r="U163" s="492"/>
      <c r="V163" s="492"/>
      <c r="W163" s="492"/>
      <c r="X163" s="492"/>
      <c r="Y163" s="492"/>
      <c r="Z163" s="492"/>
      <c r="AA163" s="492"/>
      <c r="AB163" s="492"/>
      <c r="AC163" s="492"/>
      <c r="AD163" s="492"/>
      <c r="AE163" s="492"/>
      <c r="AF163" s="492"/>
      <c r="AG163" s="492"/>
      <c r="AH163" s="492"/>
      <c r="AI163" s="492"/>
      <c r="AJ163" s="492"/>
      <c r="AK163" s="492"/>
      <c r="AL163" s="492"/>
      <c r="AM163" s="492"/>
      <c r="AN163" s="492"/>
    </row>
    <row r="164" spans="1:40" ht="15.75" customHeight="1">
      <c r="B164" s="492"/>
      <c r="C164" s="508"/>
      <c r="D164" s="561"/>
      <c r="E164" s="492"/>
      <c r="F164" s="534"/>
      <c r="G164" s="562"/>
      <c r="H164" s="492"/>
      <c r="I164" s="534"/>
      <c r="J164" s="508"/>
      <c r="K164" s="492"/>
      <c r="L164" s="534"/>
      <c r="M164" s="508"/>
      <c r="N164" s="534"/>
      <c r="O164" s="508"/>
      <c r="P164" s="492"/>
      <c r="Q164" s="534"/>
      <c r="R164" s="508"/>
      <c r="S164" s="534"/>
      <c r="T164" s="627"/>
      <c r="U164" s="492"/>
      <c r="V164" s="492"/>
      <c r="W164" s="492"/>
      <c r="X164" s="492"/>
      <c r="Y164" s="492"/>
      <c r="Z164" s="492"/>
      <c r="AA164" s="492"/>
      <c r="AB164" s="492"/>
      <c r="AC164" s="492"/>
      <c r="AD164" s="492"/>
      <c r="AE164" s="492"/>
      <c r="AF164" s="492"/>
      <c r="AG164" s="492"/>
      <c r="AH164" s="492"/>
      <c r="AI164" s="492"/>
      <c r="AJ164" s="492"/>
      <c r="AK164" s="492"/>
      <c r="AL164" s="492"/>
      <c r="AM164" s="492"/>
      <c r="AN164" s="492"/>
    </row>
    <row r="165" spans="1:40" ht="15.75" customHeight="1" thickBot="1">
      <c r="B165" s="492"/>
      <c r="C165" s="600" t="s">
        <v>72</v>
      </c>
      <c r="D165" s="630"/>
      <c r="E165" s="601"/>
      <c r="F165" s="603">
        <v>25834.206371415974</v>
      </c>
      <c r="G165" s="631"/>
      <c r="H165" s="601"/>
      <c r="I165" s="603"/>
      <c r="J165" s="600"/>
      <c r="K165" s="602"/>
      <c r="L165" s="603">
        <v>42713.969999999987</v>
      </c>
      <c r="M165" s="600"/>
      <c r="N165" s="603">
        <v>16879.763628584013</v>
      </c>
      <c r="O165" s="600"/>
      <c r="P165" s="605">
        <v>1.227381682744251E-2</v>
      </c>
      <c r="Q165" s="603">
        <v>17385.659999999887</v>
      </c>
      <c r="R165" s="600"/>
      <c r="S165" s="603">
        <v>25328.3100000001</v>
      </c>
      <c r="T165" s="550"/>
      <c r="U165" s="492"/>
      <c r="V165" s="492"/>
      <c r="W165" s="492"/>
      <c r="X165" s="492"/>
      <c r="Y165" s="492"/>
      <c r="Z165" s="492"/>
      <c r="AA165" s="492"/>
      <c r="AB165" s="492"/>
      <c r="AC165" s="492"/>
      <c r="AD165" s="492"/>
      <c r="AE165" s="492"/>
      <c r="AF165" s="492"/>
      <c r="AG165" s="492"/>
      <c r="AH165" s="492"/>
      <c r="AI165" s="492"/>
      <c r="AJ165" s="492"/>
      <c r="AK165" s="492"/>
      <c r="AL165" s="492"/>
      <c r="AM165" s="492"/>
      <c r="AN165" s="492"/>
    </row>
    <row r="166" spans="1:40" ht="15.75" customHeight="1" thickTop="1">
      <c r="B166" s="492"/>
      <c r="C166" s="489"/>
      <c r="D166" s="489"/>
      <c r="E166" s="489"/>
      <c r="F166" s="632"/>
      <c r="G166" s="489"/>
      <c r="H166" s="489"/>
      <c r="I166" s="489"/>
      <c r="J166" s="489"/>
      <c r="K166" s="489"/>
      <c r="L166" s="632"/>
      <c r="M166" s="489"/>
      <c r="N166" s="489"/>
      <c r="O166" s="489"/>
      <c r="P166" s="489"/>
      <c r="Q166" s="489"/>
      <c r="R166" s="489"/>
      <c r="S166" s="489"/>
      <c r="T166" s="632"/>
      <c r="U166" s="489"/>
      <c r="V166" s="492"/>
      <c r="W166" s="492"/>
      <c r="X166" s="492"/>
      <c r="Y166" s="492"/>
      <c r="Z166" s="492"/>
      <c r="AA166" s="492"/>
      <c r="AB166" s="492"/>
      <c r="AC166" s="492"/>
      <c r="AD166" s="492"/>
      <c r="AE166" s="492"/>
      <c r="AF166" s="492"/>
      <c r="AG166" s="492"/>
      <c r="AH166" s="492"/>
      <c r="AI166" s="492"/>
      <c r="AJ166" s="492"/>
      <c r="AK166" s="492"/>
      <c r="AL166" s="492"/>
      <c r="AM166" s="492"/>
      <c r="AN166" s="492"/>
    </row>
    <row r="167" spans="1:40" ht="8.25" customHeight="1">
      <c r="B167" s="492"/>
      <c r="C167" s="489"/>
      <c r="D167" s="489"/>
      <c r="E167" s="489"/>
      <c r="F167" s="489"/>
      <c r="G167" s="489"/>
      <c r="H167" s="489"/>
      <c r="I167" s="489"/>
      <c r="J167" s="489"/>
      <c r="K167" s="489"/>
      <c r="L167" s="489"/>
      <c r="M167" s="489"/>
      <c r="N167" s="489"/>
      <c r="O167" s="489"/>
      <c r="P167" s="489"/>
      <c r="Q167" s="489"/>
      <c r="R167" s="489"/>
      <c r="S167" s="489"/>
      <c r="T167" s="632"/>
      <c r="U167" s="489"/>
      <c r="V167" s="489"/>
      <c r="W167" s="489"/>
      <c r="X167" s="489"/>
      <c r="Y167" s="489"/>
      <c r="Z167" s="489"/>
      <c r="AA167" s="489"/>
      <c r="AB167" s="489"/>
      <c r="AC167" s="489"/>
      <c r="AD167" s="489"/>
      <c r="AE167" s="489"/>
      <c r="AF167" s="489"/>
      <c r="AG167" s="489"/>
      <c r="AH167" s="489"/>
      <c r="AI167" s="489"/>
      <c r="AJ167" s="489"/>
      <c r="AK167" s="489"/>
      <c r="AL167" s="489"/>
      <c r="AM167" s="489"/>
      <c r="AN167" s="489"/>
    </row>
    <row r="168" spans="1:40" ht="33.75" customHeight="1">
      <c r="B168" s="492"/>
      <c r="C168" s="610" t="s">
        <v>478</v>
      </c>
      <c r="D168" s="480"/>
      <c r="E168" s="480"/>
      <c r="F168" s="480"/>
      <c r="G168" s="480"/>
      <c r="H168" s="478"/>
      <c r="I168" s="478"/>
      <c r="J168" s="478"/>
      <c r="K168" s="482" t="s">
        <v>83</v>
      </c>
      <c r="L168" s="480"/>
      <c r="M168" s="480"/>
      <c r="N168" s="478"/>
      <c r="O168" s="478"/>
      <c r="P168" s="480"/>
      <c r="Q168" s="478"/>
      <c r="R168" s="480"/>
      <c r="S168" s="611" t="s">
        <v>480</v>
      </c>
      <c r="T168" s="480"/>
      <c r="U168" s="478"/>
      <c r="V168" s="489"/>
      <c r="W168" s="489"/>
      <c r="X168" s="489"/>
      <c r="Y168" s="489"/>
      <c r="Z168" s="489"/>
      <c r="AA168" s="489"/>
      <c r="AB168" s="489"/>
      <c r="AC168" s="489"/>
      <c r="AD168" s="489"/>
      <c r="AE168" s="489"/>
      <c r="AF168" s="489"/>
      <c r="AG168" s="489"/>
      <c r="AH168" s="489"/>
      <c r="AI168" s="489"/>
      <c r="AJ168" s="489"/>
      <c r="AK168" s="489"/>
      <c r="AL168" s="489"/>
      <c r="AM168" s="489"/>
      <c r="AN168" s="489"/>
    </row>
    <row r="169" spans="1:40" ht="15.75" customHeight="1" thickBot="1">
      <c r="B169" s="492"/>
      <c r="C169" s="487"/>
      <c r="D169" s="489"/>
      <c r="E169" s="489"/>
      <c r="F169" s="489"/>
      <c r="G169" s="489"/>
      <c r="H169" s="489"/>
      <c r="I169" s="489"/>
      <c r="J169" s="489"/>
      <c r="K169" s="489"/>
      <c r="L169" s="489"/>
      <c r="M169" s="489"/>
      <c r="N169" s="489"/>
      <c r="O169" s="489"/>
      <c r="P169" s="489"/>
      <c r="Q169" s="489"/>
      <c r="R169" s="489"/>
      <c r="S169" s="489"/>
      <c r="T169" s="489"/>
      <c r="U169" s="489"/>
      <c r="V169" s="478"/>
      <c r="W169" s="478"/>
      <c r="X169" s="478"/>
      <c r="Y169" s="478"/>
      <c r="Z169" s="478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  <c r="AL169" s="478"/>
      <c r="AM169" s="478"/>
      <c r="AN169" s="478"/>
    </row>
    <row r="170" spans="1:40" ht="15.75" customHeight="1" thickTop="1">
      <c r="B170" s="492"/>
      <c r="C170" s="493"/>
      <c r="D170" s="879" t="s">
        <v>5</v>
      </c>
      <c r="E170" s="880"/>
      <c r="F170" s="881"/>
      <c r="G170" s="882"/>
      <c r="H170" s="880"/>
      <c r="I170" s="881"/>
      <c r="J170" s="882" t="s">
        <v>7</v>
      </c>
      <c r="K170" s="880"/>
      <c r="L170" s="881"/>
      <c r="M170" s="882" t="s">
        <v>220</v>
      </c>
      <c r="N170" s="881"/>
      <c r="O170" s="879" t="s">
        <v>8</v>
      </c>
      <c r="P170" s="880"/>
      <c r="Q170" s="881"/>
      <c r="R170" s="882" t="s">
        <v>221</v>
      </c>
      <c r="S170" s="881"/>
      <c r="T170" s="626"/>
      <c r="AA170" s="489"/>
      <c r="AB170" s="489"/>
      <c r="AC170" s="489"/>
      <c r="AD170" s="489"/>
      <c r="AE170" s="489"/>
      <c r="AF170" s="489"/>
      <c r="AG170" s="489"/>
      <c r="AH170" s="489"/>
      <c r="AI170" s="489"/>
      <c r="AJ170" s="489"/>
      <c r="AK170" s="489"/>
      <c r="AL170" s="489"/>
      <c r="AM170" s="489"/>
      <c r="AN170" s="489"/>
    </row>
    <row r="171" spans="1:40" ht="15.75" customHeight="1">
      <c r="A171" s="477" t="s">
        <v>83</v>
      </c>
      <c r="B171" s="492" t="s">
        <v>83</v>
      </c>
      <c r="C171" s="508"/>
      <c r="D171" s="552" t="s">
        <v>40</v>
      </c>
      <c r="E171" s="552" t="s">
        <v>84</v>
      </c>
      <c r="F171" s="633" t="s">
        <v>12</v>
      </c>
      <c r="G171" s="634"/>
      <c r="H171" s="552"/>
      <c r="I171" s="633"/>
      <c r="J171" s="634" t="s">
        <v>40</v>
      </c>
      <c r="K171" s="552" t="s">
        <v>84</v>
      </c>
      <c r="L171" s="633" t="s">
        <v>12</v>
      </c>
      <c r="M171" s="634" t="s">
        <v>226</v>
      </c>
      <c r="N171" s="633" t="s">
        <v>223</v>
      </c>
      <c r="O171" s="552" t="s">
        <v>40</v>
      </c>
      <c r="P171" s="552" t="s">
        <v>84</v>
      </c>
      <c r="Q171" s="633" t="s">
        <v>12</v>
      </c>
      <c r="R171" s="634" t="s">
        <v>85</v>
      </c>
      <c r="S171" s="633" t="s">
        <v>12</v>
      </c>
      <c r="T171" s="552"/>
      <c r="AA171" s="492"/>
      <c r="AB171" s="492"/>
      <c r="AC171" s="492"/>
      <c r="AD171" s="492"/>
      <c r="AE171" s="492"/>
      <c r="AF171" s="492"/>
      <c r="AG171" s="492"/>
      <c r="AH171" s="492"/>
      <c r="AI171" s="492"/>
      <c r="AJ171" s="492"/>
      <c r="AK171" s="492"/>
      <c r="AL171" s="492"/>
      <c r="AM171" s="492"/>
      <c r="AN171" s="492"/>
    </row>
    <row r="172" spans="1:40" ht="15.75" customHeight="1">
      <c r="A172" s="477" t="s">
        <v>334</v>
      </c>
      <c r="B172" s="492" t="s">
        <v>83</v>
      </c>
      <c r="C172" s="508" t="s">
        <v>86</v>
      </c>
      <c r="D172" s="550">
        <v>419.72</v>
      </c>
      <c r="E172" s="550">
        <v>142704.80000000002</v>
      </c>
      <c r="F172" s="550">
        <v>111309.74400000002</v>
      </c>
      <c r="G172" s="535"/>
      <c r="H172" s="550"/>
      <c r="I172" s="550"/>
      <c r="J172" s="535">
        <v>402</v>
      </c>
      <c r="K172" s="509">
        <v>136183.58000000002</v>
      </c>
      <c r="L172" s="511">
        <v>107609.11000000002</v>
      </c>
      <c r="M172" s="554">
        <v>-4.5697271570402681E-2</v>
      </c>
      <c r="N172" s="534">
        <v>-3700.6340000000055</v>
      </c>
      <c r="O172" s="535">
        <v>332</v>
      </c>
      <c r="P172" s="509">
        <v>128489.54</v>
      </c>
      <c r="Q172" s="511">
        <v>104017.37</v>
      </c>
      <c r="R172" s="554">
        <v>1.2108433734939759</v>
      </c>
      <c r="S172" s="534">
        <v>3591.7400000000198</v>
      </c>
      <c r="T172" s="550"/>
      <c r="AA172" s="492"/>
      <c r="AB172" s="492"/>
      <c r="AC172" s="492"/>
      <c r="AD172" s="492"/>
      <c r="AE172" s="492"/>
      <c r="AF172" s="492"/>
      <c r="AG172" s="492"/>
      <c r="AH172" s="492"/>
      <c r="AI172" s="492"/>
      <c r="AJ172" s="492"/>
      <c r="AK172" s="492"/>
      <c r="AL172" s="492"/>
      <c r="AM172" s="492"/>
      <c r="AN172" s="492"/>
    </row>
    <row r="173" spans="1:40" ht="15.75" customHeight="1">
      <c r="A173" s="477" t="s">
        <v>335</v>
      </c>
      <c r="B173" s="492" t="s">
        <v>83</v>
      </c>
      <c r="C173" s="508" t="s">
        <v>87</v>
      </c>
      <c r="D173" s="550"/>
      <c r="E173" s="619"/>
      <c r="F173" s="635">
        <v>0.78</v>
      </c>
      <c r="G173" s="535"/>
      <c r="H173" s="619"/>
      <c r="I173" s="635"/>
      <c r="J173" s="535"/>
      <c r="K173" s="492"/>
      <c r="L173" s="635">
        <v>0.79017683335979272</v>
      </c>
      <c r="M173" s="554"/>
      <c r="N173" s="534"/>
      <c r="O173" s="535"/>
      <c r="P173" s="492"/>
      <c r="Q173" s="635">
        <v>0.80953959365096961</v>
      </c>
      <c r="R173" s="535"/>
      <c r="S173" s="534"/>
      <c r="T173" s="550"/>
      <c r="AA173" s="492"/>
      <c r="AB173" s="492"/>
      <c r="AC173" s="492"/>
      <c r="AD173" s="492"/>
      <c r="AE173" s="492"/>
      <c r="AF173" s="492"/>
      <c r="AG173" s="492"/>
      <c r="AH173" s="492"/>
      <c r="AI173" s="492"/>
      <c r="AJ173" s="492"/>
      <c r="AK173" s="492"/>
      <c r="AL173" s="492"/>
      <c r="AM173" s="492"/>
      <c r="AN173" s="492"/>
    </row>
    <row r="174" spans="1:40" ht="15.75" customHeight="1">
      <c r="A174" s="477" t="s">
        <v>83</v>
      </c>
      <c r="B174" s="492" t="s">
        <v>83</v>
      </c>
      <c r="C174" s="501"/>
      <c r="D174" s="557"/>
      <c r="E174" s="636">
        <v>340</v>
      </c>
      <c r="F174" s="637"/>
      <c r="G174" s="638"/>
      <c r="H174" s="636"/>
      <c r="I174" s="637"/>
      <c r="J174" s="638"/>
      <c r="K174" s="636">
        <v>338.76512437810948</v>
      </c>
      <c r="L174" s="637"/>
      <c r="M174" s="558"/>
      <c r="N174" s="559"/>
      <c r="O174" s="638"/>
      <c r="P174" s="636">
        <v>387.01668674698794</v>
      </c>
      <c r="Q174" s="637"/>
      <c r="R174" s="638"/>
      <c r="S174" s="559"/>
      <c r="T174" s="550"/>
      <c r="AA174" s="492"/>
      <c r="AB174" s="492"/>
      <c r="AC174" s="492"/>
      <c r="AD174" s="492"/>
      <c r="AE174" s="492"/>
      <c r="AF174" s="492"/>
      <c r="AG174" s="492"/>
      <c r="AH174" s="492"/>
      <c r="AI174" s="492"/>
      <c r="AJ174" s="492"/>
      <c r="AK174" s="492"/>
      <c r="AL174" s="492"/>
      <c r="AM174" s="492"/>
      <c r="AN174" s="492"/>
    </row>
    <row r="175" spans="1:40" ht="18" customHeight="1">
      <c r="A175" s="477" t="s">
        <v>336</v>
      </c>
      <c r="B175" s="492" t="s">
        <v>83</v>
      </c>
      <c r="C175" s="496" t="s">
        <v>88</v>
      </c>
      <c r="D175" s="639">
        <v>149.33000000000001</v>
      </c>
      <c r="E175" s="550">
        <v>40319.1</v>
      </c>
      <c r="F175" s="550">
        <v>25804.223999999998</v>
      </c>
      <c r="G175" s="640"/>
      <c r="H175" s="550"/>
      <c r="I175" s="550"/>
      <c r="J175" s="640">
        <v>211</v>
      </c>
      <c r="K175" s="529">
        <v>68514.11</v>
      </c>
      <c r="L175" s="511">
        <v>42536.59</v>
      </c>
      <c r="M175" s="554">
        <v>0.69929661128348608</v>
      </c>
      <c r="N175" s="582">
        <v>16732.365999999998</v>
      </c>
      <c r="O175" s="640">
        <v>127</v>
      </c>
      <c r="P175" s="529">
        <v>43175.59</v>
      </c>
      <c r="Q175" s="511">
        <v>29221.799999999901</v>
      </c>
      <c r="R175" s="554">
        <v>1.6614173228346456</v>
      </c>
      <c r="S175" s="534">
        <v>13314.790000000095</v>
      </c>
      <c r="T175" s="550"/>
      <c r="U175" s="492"/>
      <c r="V175" s="509"/>
      <c r="W175" s="492"/>
      <c r="AA175" s="492"/>
      <c r="AB175" s="492"/>
      <c r="AC175" s="492"/>
      <c r="AD175" s="492"/>
      <c r="AE175" s="492"/>
      <c r="AF175" s="492"/>
      <c r="AG175" s="492"/>
      <c r="AH175" s="492"/>
      <c r="AI175" s="492"/>
      <c r="AJ175" s="492"/>
      <c r="AK175" s="492"/>
      <c r="AL175" s="492"/>
      <c r="AM175" s="492"/>
      <c r="AN175" s="492"/>
    </row>
    <row r="176" spans="1:40" ht="15.75" customHeight="1">
      <c r="A176" s="477" t="s">
        <v>335</v>
      </c>
      <c r="B176" s="492" t="s">
        <v>83</v>
      </c>
      <c r="C176" s="508" t="s">
        <v>87</v>
      </c>
      <c r="D176" s="492"/>
      <c r="E176" s="492"/>
      <c r="F176" s="635">
        <v>0.64</v>
      </c>
      <c r="G176" s="508"/>
      <c r="H176" s="492"/>
      <c r="I176" s="635"/>
      <c r="J176" s="508"/>
      <c r="K176" s="492"/>
      <c r="L176" s="635">
        <v>0.62084423193996097</v>
      </c>
      <c r="M176" s="525"/>
      <c r="N176" s="526"/>
      <c r="O176" s="508"/>
      <c r="P176" s="492"/>
      <c r="Q176" s="635">
        <v>0.67681298622670594</v>
      </c>
      <c r="R176" s="525"/>
      <c r="S176" s="526"/>
      <c r="T176" s="492"/>
      <c r="U176" s="492"/>
      <c r="V176" s="509"/>
      <c r="W176" s="641"/>
      <c r="AA176" s="492"/>
      <c r="AB176" s="492"/>
      <c r="AC176" s="492"/>
      <c r="AD176" s="492"/>
      <c r="AE176" s="492"/>
      <c r="AF176" s="492"/>
      <c r="AG176" s="492"/>
      <c r="AH176" s="492"/>
      <c r="AI176" s="492"/>
      <c r="AJ176" s="492"/>
      <c r="AK176" s="492"/>
      <c r="AL176" s="492"/>
      <c r="AM176" s="492"/>
      <c r="AN176" s="492"/>
    </row>
    <row r="177" spans="1:40" ht="15.75" customHeight="1">
      <c r="A177" s="477" t="s">
        <v>83</v>
      </c>
      <c r="B177" s="492" t="s">
        <v>83</v>
      </c>
      <c r="C177" s="501"/>
      <c r="D177" s="583"/>
      <c r="E177" s="636">
        <v>269.99999999999994</v>
      </c>
      <c r="F177" s="637"/>
      <c r="G177" s="638"/>
      <c r="H177" s="636"/>
      <c r="I177" s="637"/>
      <c r="J177" s="638"/>
      <c r="K177" s="636">
        <v>324.71142180094785</v>
      </c>
      <c r="L177" s="637"/>
      <c r="M177" s="558"/>
      <c r="N177" s="559"/>
      <c r="O177" s="638"/>
      <c r="P177" s="636">
        <v>339.96527559055113</v>
      </c>
      <c r="Q177" s="637"/>
      <c r="R177" s="642"/>
      <c r="S177" s="643"/>
      <c r="T177" s="492"/>
      <c r="AA177" s="492"/>
      <c r="AB177" s="492"/>
      <c r="AC177" s="492"/>
      <c r="AD177" s="492"/>
      <c r="AE177" s="492"/>
      <c r="AF177" s="492"/>
      <c r="AG177" s="492"/>
      <c r="AH177" s="492"/>
      <c r="AI177" s="492"/>
      <c r="AJ177" s="492"/>
      <c r="AK177" s="492"/>
      <c r="AL177" s="492"/>
      <c r="AM177" s="492"/>
      <c r="AN177" s="492"/>
    </row>
    <row r="178" spans="1:40" ht="15.75" customHeight="1">
      <c r="A178" s="477" t="s">
        <v>337</v>
      </c>
      <c r="B178" s="492" t="s">
        <v>83</v>
      </c>
      <c r="C178" s="508" t="s">
        <v>89</v>
      </c>
      <c r="D178" s="550">
        <v>272.07</v>
      </c>
      <c r="E178" s="550">
        <v>83530.931399999987</v>
      </c>
      <c r="F178" s="550">
        <v>61812.889235999988</v>
      </c>
      <c r="G178" s="535"/>
      <c r="H178" s="550"/>
      <c r="I178" s="550"/>
      <c r="J178" s="535">
        <v>249</v>
      </c>
      <c r="K178" s="529">
        <v>93153.12000000001</v>
      </c>
      <c r="L178" s="511">
        <v>74412.23000000001</v>
      </c>
      <c r="M178" s="554">
        <v>0.11519311994646363</v>
      </c>
      <c r="N178" s="534">
        <v>12599.340764000022</v>
      </c>
      <c r="O178" s="535">
        <v>231</v>
      </c>
      <c r="P178" s="529">
        <v>78242.6899999999</v>
      </c>
      <c r="Q178" s="511">
        <v>57114.249999999898</v>
      </c>
      <c r="R178" s="554">
        <v>1.0779220779220779</v>
      </c>
      <c r="S178" s="534">
        <v>17297.980000000112</v>
      </c>
      <c r="T178" s="550"/>
      <c r="AA178" s="492"/>
      <c r="AB178" s="492"/>
      <c r="AC178" s="492"/>
      <c r="AD178" s="492"/>
      <c r="AE178" s="492"/>
      <c r="AF178" s="492"/>
      <c r="AG178" s="492"/>
      <c r="AH178" s="492"/>
      <c r="AI178" s="492"/>
      <c r="AJ178" s="492"/>
      <c r="AK178" s="492"/>
      <c r="AL178" s="492"/>
      <c r="AM178" s="492"/>
      <c r="AN178" s="492"/>
    </row>
    <row r="179" spans="1:40" ht="15.75" customHeight="1">
      <c r="A179" s="477" t="s">
        <v>335</v>
      </c>
      <c r="B179" s="492" t="s">
        <v>83</v>
      </c>
      <c r="C179" s="508" t="s">
        <v>87</v>
      </c>
      <c r="D179" s="550"/>
      <c r="E179" s="619"/>
      <c r="F179" s="635">
        <v>0.74</v>
      </c>
      <c r="G179" s="535"/>
      <c r="H179" s="619"/>
      <c r="I179" s="635"/>
      <c r="J179" s="535"/>
      <c r="K179" s="619"/>
      <c r="L179" s="635">
        <v>0.79881629300231705</v>
      </c>
      <c r="M179" s="554"/>
      <c r="N179" s="534">
        <v>5.8816293002317055E-2</v>
      </c>
      <c r="O179" s="535"/>
      <c r="P179" s="619"/>
      <c r="Q179" s="635">
        <v>0.72996276073841493</v>
      </c>
      <c r="R179" s="535">
        <v>0</v>
      </c>
      <c r="S179" s="534"/>
      <c r="T179" s="550"/>
      <c r="AA179" s="492"/>
      <c r="AB179" s="492"/>
      <c r="AC179" s="492"/>
      <c r="AD179" s="492"/>
      <c r="AE179" s="492"/>
      <c r="AF179" s="492"/>
      <c r="AG179" s="492"/>
      <c r="AH179" s="492"/>
      <c r="AI179" s="492"/>
      <c r="AJ179" s="492"/>
      <c r="AK179" s="492"/>
      <c r="AL179" s="492"/>
      <c r="AM179" s="492"/>
      <c r="AN179" s="492"/>
    </row>
    <row r="180" spans="1:40" ht="15.75" customHeight="1">
      <c r="A180" s="477" t="s">
        <v>83</v>
      </c>
      <c r="B180" s="492" t="s">
        <v>83</v>
      </c>
      <c r="C180" s="508"/>
      <c r="D180" s="550"/>
      <c r="E180" s="636">
        <v>307.02</v>
      </c>
      <c r="F180" s="637"/>
      <c r="G180" s="638"/>
      <c r="H180" s="636"/>
      <c r="I180" s="637"/>
      <c r="J180" s="638"/>
      <c r="K180" s="636">
        <v>374.10891566265065</v>
      </c>
      <c r="L180" s="637"/>
      <c r="M180" s="558"/>
      <c r="N180" s="559"/>
      <c r="O180" s="638"/>
      <c r="P180" s="636">
        <v>338.71294372294329</v>
      </c>
      <c r="Q180" s="635"/>
      <c r="R180" s="638"/>
      <c r="S180" s="534"/>
      <c r="T180" s="550"/>
      <c r="U180" s="528"/>
      <c r="AA180" s="492"/>
      <c r="AB180" s="492"/>
      <c r="AC180" s="492"/>
      <c r="AD180" s="492"/>
      <c r="AE180" s="492"/>
      <c r="AF180" s="492"/>
      <c r="AG180" s="492"/>
      <c r="AH180" s="492"/>
      <c r="AI180" s="492"/>
      <c r="AJ180" s="492"/>
      <c r="AK180" s="492"/>
      <c r="AL180" s="492"/>
      <c r="AM180" s="492"/>
      <c r="AN180" s="492"/>
    </row>
    <row r="181" spans="1:40" ht="15.75" customHeight="1">
      <c r="A181" s="477" t="s">
        <v>338</v>
      </c>
      <c r="B181" s="492" t="s">
        <v>83</v>
      </c>
      <c r="C181" s="496" t="s">
        <v>90</v>
      </c>
      <c r="D181" s="639">
        <v>39.564</v>
      </c>
      <c r="E181" s="550">
        <v>10682.28</v>
      </c>
      <c r="F181" s="550">
        <v>8011.7100000000009</v>
      </c>
      <c r="G181" s="640"/>
      <c r="H181" s="550"/>
      <c r="I181" s="550"/>
      <c r="J181" s="640">
        <v>0</v>
      </c>
      <c r="K181" s="529">
        <v>8246.2000000000007</v>
      </c>
      <c r="L181" s="530">
        <v>6572.43</v>
      </c>
      <c r="M181" s="644">
        <v>-0.22804869372456066</v>
      </c>
      <c r="N181" s="582">
        <v>-1439.2800000000007</v>
      </c>
      <c r="O181" s="640">
        <v>0</v>
      </c>
      <c r="P181" s="529">
        <v>9823.68</v>
      </c>
      <c r="Q181" s="530">
        <v>8360.49</v>
      </c>
      <c r="R181" s="554">
        <v>0</v>
      </c>
      <c r="S181" s="582">
        <v>-1788.0599999999995</v>
      </c>
      <c r="T181" s="550"/>
      <c r="U181" s="528"/>
      <c r="AA181" s="492"/>
      <c r="AB181" s="492"/>
      <c r="AC181" s="492"/>
      <c r="AD181" s="492"/>
      <c r="AE181" s="492"/>
      <c r="AF181" s="492"/>
      <c r="AG181" s="492"/>
      <c r="AH181" s="492"/>
      <c r="AI181" s="492"/>
      <c r="AJ181" s="492"/>
      <c r="AK181" s="492"/>
      <c r="AL181" s="492"/>
      <c r="AM181" s="492"/>
      <c r="AN181" s="492"/>
    </row>
    <row r="182" spans="1:40" ht="15.75" customHeight="1">
      <c r="A182" s="477" t="s">
        <v>335</v>
      </c>
      <c r="B182" s="492" t="s">
        <v>83</v>
      </c>
      <c r="C182" s="508" t="s">
        <v>87</v>
      </c>
      <c r="D182" s="548"/>
      <c r="E182" s="645"/>
      <c r="F182" s="635">
        <v>0.75</v>
      </c>
      <c r="G182" s="527"/>
      <c r="H182" s="645"/>
      <c r="I182" s="635"/>
      <c r="J182" s="646"/>
      <c r="K182" s="645">
        <v>0</v>
      </c>
      <c r="L182" s="635">
        <v>0.79702529650020615</v>
      </c>
      <c r="M182" s="535">
        <v>0</v>
      </c>
      <c r="N182" s="647"/>
      <c r="O182" s="646"/>
      <c r="P182" s="645"/>
      <c r="Q182" s="635">
        <v>0.85105479820189578</v>
      </c>
      <c r="R182" s="508"/>
      <c r="S182" s="647"/>
      <c r="T182" s="584"/>
      <c r="U182" s="528"/>
      <c r="AA182" s="492"/>
      <c r="AB182" s="492"/>
      <c r="AC182" s="492"/>
      <c r="AD182" s="492"/>
      <c r="AE182" s="492"/>
      <c r="AF182" s="492"/>
      <c r="AG182" s="492"/>
      <c r="AH182" s="492"/>
      <c r="AI182" s="492"/>
      <c r="AJ182" s="492"/>
      <c r="AK182" s="492"/>
      <c r="AL182" s="492"/>
      <c r="AM182" s="492"/>
      <c r="AN182" s="492"/>
    </row>
    <row r="183" spans="1:40" ht="15.75" customHeight="1">
      <c r="A183" s="477" t="s">
        <v>83</v>
      </c>
      <c r="B183" s="492" t="s">
        <v>83</v>
      </c>
      <c r="C183" s="501"/>
      <c r="D183" s="648"/>
      <c r="E183" s="649"/>
      <c r="F183" s="637"/>
      <c r="G183" s="521"/>
      <c r="H183" s="649"/>
      <c r="I183" s="637"/>
      <c r="J183" s="650"/>
      <c r="K183" s="505"/>
      <c r="L183" s="637"/>
      <c r="M183" s="638"/>
      <c r="N183" s="651"/>
      <c r="O183" s="650"/>
      <c r="P183" s="505">
        <v>0</v>
      </c>
      <c r="Q183" s="637"/>
      <c r="R183" s="501"/>
      <c r="S183" s="651"/>
      <c r="T183" s="584"/>
      <c r="AA183" s="492"/>
      <c r="AB183" s="492"/>
      <c r="AC183" s="492"/>
      <c r="AD183" s="492"/>
      <c r="AE183" s="492"/>
      <c r="AF183" s="492"/>
      <c r="AG183" s="492"/>
      <c r="AH183" s="492"/>
      <c r="AI183" s="492"/>
      <c r="AJ183" s="492"/>
      <c r="AK183" s="492"/>
      <c r="AL183" s="492"/>
      <c r="AM183" s="492"/>
      <c r="AN183" s="492"/>
    </row>
    <row r="184" spans="1:40" ht="26.25" customHeight="1" thickBot="1">
      <c r="A184" s="477" t="s">
        <v>339</v>
      </c>
      <c r="B184" s="492" t="s">
        <v>83</v>
      </c>
      <c r="C184" s="508" t="s">
        <v>91</v>
      </c>
      <c r="D184" s="492"/>
      <c r="E184" s="492"/>
      <c r="F184" s="534">
        <v>-3339.351196293635</v>
      </c>
      <c r="G184" s="508"/>
      <c r="H184" s="550"/>
      <c r="I184" s="550"/>
      <c r="J184" s="535"/>
      <c r="K184" s="550"/>
      <c r="L184" s="550">
        <v>-1154.1300000000001</v>
      </c>
      <c r="M184" s="646"/>
      <c r="N184" s="534">
        <v>2185.2211962936349</v>
      </c>
      <c r="O184" s="535"/>
      <c r="P184" s="550"/>
      <c r="Q184" s="511">
        <v>-1170.23</v>
      </c>
      <c r="R184" s="652"/>
      <c r="S184" s="534">
        <v>16.099999999999909</v>
      </c>
      <c r="T184" s="492"/>
      <c r="U184" s="492"/>
      <c r="V184" s="492"/>
      <c r="W184" s="492"/>
      <c r="X184" s="492"/>
      <c r="Y184" s="492"/>
      <c r="Z184" s="492"/>
      <c r="AA184" s="492"/>
      <c r="AB184" s="492"/>
      <c r="AC184" s="492"/>
      <c r="AD184" s="492"/>
      <c r="AE184" s="492"/>
      <c r="AF184" s="492"/>
      <c r="AG184" s="492"/>
      <c r="AH184" s="492"/>
      <c r="AI184" s="492"/>
      <c r="AJ184" s="492"/>
      <c r="AK184" s="492"/>
      <c r="AL184" s="492"/>
      <c r="AM184" s="492"/>
      <c r="AN184" s="492"/>
    </row>
    <row r="185" spans="1:40" ht="15.75" customHeight="1" thickTop="1">
      <c r="A185" s="477" t="s">
        <v>340</v>
      </c>
      <c r="B185" s="492" t="s">
        <v>83</v>
      </c>
      <c r="C185" s="653" t="s">
        <v>92</v>
      </c>
      <c r="D185" s="654">
        <v>880.68400000000008</v>
      </c>
      <c r="E185" s="654">
        <v>277237.11140000005</v>
      </c>
      <c r="F185" s="655">
        <v>203599.21603970637</v>
      </c>
      <c r="G185" s="656"/>
      <c r="H185" s="654"/>
      <c r="I185" s="655"/>
      <c r="J185" s="656">
        <v>862</v>
      </c>
      <c r="K185" s="654">
        <v>306097.01</v>
      </c>
      <c r="L185" s="655">
        <v>229976.23</v>
      </c>
      <c r="M185" s="657">
        <v>0.10409825168882478</v>
      </c>
      <c r="N185" s="655">
        <v>26377.01396029364</v>
      </c>
      <c r="O185" s="656">
        <v>690</v>
      </c>
      <c r="P185" s="654">
        <v>259731.49999999988</v>
      </c>
      <c r="Q185" s="655">
        <v>197543.67999999979</v>
      </c>
      <c r="R185" s="525">
        <v>1.2492753623188406</v>
      </c>
      <c r="S185" s="655">
        <v>32432.550000000221</v>
      </c>
      <c r="T185" s="584"/>
      <c r="U185" s="492"/>
      <c r="V185" s="492"/>
      <c r="W185" s="492"/>
      <c r="X185" s="492"/>
      <c r="Y185" s="492"/>
      <c r="Z185" s="492"/>
      <c r="AA185" s="492"/>
      <c r="AB185" s="492"/>
      <c r="AC185" s="492"/>
      <c r="AD185" s="492"/>
      <c r="AE185" s="492"/>
      <c r="AF185" s="492"/>
      <c r="AG185" s="492"/>
      <c r="AH185" s="492"/>
      <c r="AI185" s="492"/>
      <c r="AJ185" s="492"/>
      <c r="AK185" s="492"/>
      <c r="AL185" s="492"/>
      <c r="AM185" s="492"/>
      <c r="AN185" s="492"/>
    </row>
    <row r="186" spans="1:40" ht="15.75" customHeight="1">
      <c r="A186" s="477" t="s">
        <v>341</v>
      </c>
      <c r="B186" s="492" t="s">
        <v>83</v>
      </c>
      <c r="C186" s="658" t="s">
        <v>93</v>
      </c>
      <c r="D186" s="659"/>
      <c r="E186" s="660"/>
      <c r="F186" s="661">
        <v>0.73438658703218018</v>
      </c>
      <c r="G186" s="662"/>
      <c r="H186" s="660"/>
      <c r="I186" s="526"/>
      <c r="J186" s="662"/>
      <c r="K186" s="660">
        <v>355.100939675174</v>
      </c>
      <c r="L186" s="526">
        <v>0.75131811970329276</v>
      </c>
      <c r="M186" s="662"/>
      <c r="N186" s="661">
        <v>0.12955361259912482</v>
      </c>
      <c r="O186" s="662"/>
      <c r="P186" s="660">
        <v>376.42246376811579</v>
      </c>
      <c r="Q186" s="526">
        <v>0.76056881818339273</v>
      </c>
      <c r="R186" s="662"/>
      <c r="S186" s="526">
        <v>0.16417913243288904</v>
      </c>
      <c r="T186" s="584"/>
      <c r="U186" s="492"/>
      <c r="V186" s="492"/>
      <c r="W186" s="492"/>
      <c r="X186" s="492"/>
      <c r="Y186" s="492"/>
      <c r="Z186" s="492"/>
      <c r="AA186" s="492"/>
      <c r="AB186" s="492"/>
      <c r="AC186" s="492"/>
      <c r="AD186" s="492"/>
      <c r="AE186" s="492"/>
      <c r="AF186" s="492"/>
      <c r="AG186" s="492"/>
      <c r="AH186" s="492"/>
      <c r="AI186" s="492"/>
      <c r="AJ186" s="492"/>
      <c r="AK186" s="492"/>
      <c r="AL186" s="492"/>
      <c r="AM186" s="492"/>
      <c r="AN186" s="492"/>
    </row>
    <row r="187" spans="1:40" ht="15.75" customHeight="1">
      <c r="A187" s="477" t="s">
        <v>83</v>
      </c>
      <c r="B187" s="492" t="s">
        <v>83</v>
      </c>
      <c r="C187" s="514"/>
      <c r="D187" s="663"/>
      <c r="E187" s="664"/>
      <c r="F187" s="665"/>
      <c r="G187" s="666"/>
      <c r="H187" s="664"/>
      <c r="I187" s="665"/>
      <c r="J187" s="666"/>
      <c r="K187" s="664"/>
      <c r="L187" s="665"/>
      <c r="M187" s="666"/>
      <c r="N187" s="665"/>
      <c r="O187" s="666"/>
      <c r="P187" s="664"/>
      <c r="Q187" s="665"/>
      <c r="R187" s="666"/>
      <c r="S187" s="665"/>
      <c r="T187" s="584"/>
      <c r="U187" s="492"/>
      <c r="V187" s="492"/>
      <c r="W187" s="492"/>
      <c r="X187" s="492"/>
      <c r="Y187" s="492"/>
      <c r="Z187" s="492"/>
      <c r="AA187" s="492"/>
      <c r="AB187" s="492"/>
      <c r="AC187" s="492"/>
      <c r="AD187" s="492"/>
      <c r="AE187" s="492"/>
      <c r="AF187" s="492"/>
      <c r="AG187" s="492"/>
      <c r="AH187" s="492"/>
      <c r="AI187" s="492"/>
      <c r="AJ187" s="492"/>
      <c r="AK187" s="492"/>
      <c r="AL187" s="492"/>
      <c r="AM187" s="492"/>
      <c r="AN187" s="492"/>
    </row>
    <row r="188" spans="1:40" ht="19.5" customHeight="1">
      <c r="A188" s="477" t="s">
        <v>342</v>
      </c>
      <c r="B188" s="492" t="s">
        <v>83</v>
      </c>
      <c r="C188" s="508" t="s">
        <v>94</v>
      </c>
      <c r="D188" s="550"/>
      <c r="E188" s="550">
        <v>19093.32</v>
      </c>
      <c r="F188" s="550">
        <v>3360.4243199999996</v>
      </c>
      <c r="G188" s="535"/>
      <c r="H188" s="550"/>
      <c r="I188" s="550"/>
      <c r="J188" s="535"/>
      <c r="K188" s="509">
        <v>22735.489999999998</v>
      </c>
      <c r="L188" s="511">
        <v>4126.4599999999991</v>
      </c>
      <c r="M188" s="554">
        <v>0.19075624354486273</v>
      </c>
      <c r="N188" s="534">
        <v>766.0356799999995</v>
      </c>
      <c r="O188" s="535"/>
      <c r="P188" s="509">
        <v>23727.87</v>
      </c>
      <c r="Q188" s="511">
        <v>4904.13</v>
      </c>
      <c r="R188" s="554">
        <v>0</v>
      </c>
      <c r="S188" s="534">
        <v>-777.67000000000098</v>
      </c>
      <c r="T188" s="584"/>
      <c r="U188" s="492"/>
      <c r="V188" s="492"/>
      <c r="W188" s="492"/>
      <c r="X188" s="492"/>
      <c r="Y188" s="492"/>
      <c r="Z188" s="492"/>
      <c r="AA188" s="492"/>
      <c r="AB188" s="492"/>
      <c r="AC188" s="492"/>
      <c r="AD188" s="492"/>
      <c r="AE188" s="492"/>
      <c r="AF188" s="492"/>
      <c r="AG188" s="492"/>
      <c r="AH188" s="492"/>
      <c r="AI188" s="492"/>
      <c r="AJ188" s="492"/>
      <c r="AK188" s="492"/>
      <c r="AL188" s="492"/>
      <c r="AM188" s="492"/>
      <c r="AN188" s="492"/>
    </row>
    <row r="189" spans="1:40" ht="21" customHeight="1">
      <c r="A189" s="477" t="s">
        <v>335</v>
      </c>
      <c r="B189" s="492" t="s">
        <v>83</v>
      </c>
      <c r="C189" s="508" t="s">
        <v>87</v>
      </c>
      <c r="D189" s="492"/>
      <c r="E189" s="619"/>
      <c r="F189" s="635">
        <v>0.17599999999999999</v>
      </c>
      <c r="G189" s="508"/>
      <c r="H189" s="619"/>
      <c r="I189" s="635"/>
      <c r="J189" s="646"/>
      <c r="K189" s="645"/>
      <c r="L189" s="635">
        <v>0.18149861735990733</v>
      </c>
      <c r="M189" s="646"/>
      <c r="N189" s="647"/>
      <c r="O189" s="646"/>
      <c r="P189" s="645"/>
      <c r="Q189" s="635">
        <v>0.20668226857277963</v>
      </c>
      <c r="R189" s="646"/>
      <c r="S189" s="647"/>
      <c r="T189" s="584"/>
      <c r="U189" s="492"/>
      <c r="V189" s="492"/>
      <c r="W189" s="492"/>
      <c r="X189" s="492"/>
      <c r="Y189" s="492"/>
      <c r="Z189" s="492"/>
      <c r="AA189" s="492"/>
      <c r="AB189" s="492"/>
      <c r="AC189" s="492"/>
      <c r="AD189" s="492"/>
      <c r="AE189" s="492"/>
      <c r="AF189" s="492"/>
      <c r="AG189" s="492"/>
      <c r="AH189" s="492"/>
      <c r="AI189" s="492"/>
      <c r="AJ189" s="492"/>
      <c r="AK189" s="492"/>
      <c r="AL189" s="492"/>
      <c r="AM189" s="492"/>
      <c r="AN189" s="492"/>
    </row>
    <row r="190" spans="1:40" ht="15.75" customHeight="1">
      <c r="A190" s="477" t="s">
        <v>83</v>
      </c>
      <c r="B190" s="492" t="s">
        <v>83</v>
      </c>
      <c r="C190" s="508"/>
      <c r="D190" s="492"/>
      <c r="E190" s="619"/>
      <c r="F190" s="635"/>
      <c r="G190" s="508"/>
      <c r="H190" s="619"/>
      <c r="I190" s="635"/>
      <c r="J190" s="646"/>
      <c r="K190" s="645"/>
      <c r="L190" s="635"/>
      <c r="M190" s="646"/>
      <c r="N190" s="647"/>
      <c r="O190" s="646"/>
      <c r="P190" s="645"/>
      <c r="Q190" s="635"/>
      <c r="R190" s="646"/>
      <c r="S190" s="647"/>
      <c r="T190" s="584"/>
      <c r="U190" s="492"/>
      <c r="V190" s="492"/>
      <c r="W190" s="492"/>
      <c r="X190" s="492"/>
      <c r="Y190" s="492"/>
      <c r="Z190" s="492"/>
      <c r="AA190" s="492"/>
      <c r="AB190" s="492"/>
      <c r="AC190" s="492"/>
      <c r="AD190" s="492"/>
      <c r="AE190" s="492"/>
      <c r="AF190" s="492"/>
      <c r="AG190" s="492"/>
      <c r="AH190" s="492"/>
      <c r="AI190" s="492"/>
      <c r="AJ190" s="492"/>
      <c r="AK190" s="492"/>
      <c r="AL190" s="492"/>
      <c r="AM190" s="492"/>
      <c r="AN190" s="492"/>
    </row>
    <row r="191" spans="1:40" ht="15.75" customHeight="1">
      <c r="A191" s="477" t="s">
        <v>343</v>
      </c>
      <c r="B191" s="492" t="s">
        <v>83</v>
      </c>
      <c r="C191" s="508" t="s">
        <v>95</v>
      </c>
      <c r="D191" s="492"/>
      <c r="E191" s="550">
        <v>8190</v>
      </c>
      <c r="F191" s="550">
        <v>5733</v>
      </c>
      <c r="G191" s="508"/>
      <c r="H191" s="550"/>
      <c r="I191" s="550"/>
      <c r="J191" s="535">
        <v>47</v>
      </c>
      <c r="K191" s="509">
        <v>8810.2999999999993</v>
      </c>
      <c r="L191" s="511">
        <v>7200.49</v>
      </c>
      <c r="M191" s="554">
        <v>7.5738705738705656E-2</v>
      </c>
      <c r="N191" s="534">
        <v>1467.4899999999998</v>
      </c>
      <c r="O191" s="646"/>
      <c r="P191" s="509">
        <v>6372.75</v>
      </c>
      <c r="Q191" s="511">
        <v>4669.1499999999996</v>
      </c>
      <c r="R191" s="646"/>
      <c r="S191" s="647"/>
      <c r="T191" s="584"/>
      <c r="U191" s="492"/>
      <c r="V191" s="492"/>
      <c r="W191" s="492"/>
      <c r="X191" s="492"/>
      <c r="Y191" s="492"/>
      <c r="Z191" s="492"/>
      <c r="AA191" s="492"/>
      <c r="AB191" s="492"/>
      <c r="AC191" s="492"/>
      <c r="AD191" s="492"/>
      <c r="AE191" s="492"/>
      <c r="AF191" s="492"/>
      <c r="AG191" s="492"/>
      <c r="AH191" s="492"/>
      <c r="AI191" s="492"/>
      <c r="AJ191" s="492"/>
      <c r="AK191" s="492"/>
      <c r="AL191" s="492"/>
      <c r="AM191" s="492"/>
      <c r="AN191" s="492"/>
    </row>
    <row r="192" spans="1:40" ht="15.75" customHeight="1">
      <c r="A192" s="477" t="s">
        <v>335</v>
      </c>
      <c r="B192" s="492" t="s">
        <v>83</v>
      </c>
      <c r="C192" s="508" t="s">
        <v>87</v>
      </c>
      <c r="D192" s="492"/>
      <c r="E192" s="619"/>
      <c r="F192" s="635">
        <v>0.7</v>
      </c>
      <c r="G192" s="508"/>
      <c r="H192" s="619"/>
      <c r="I192" s="635"/>
      <c r="J192" s="646"/>
      <c r="K192" s="645"/>
      <c r="L192" s="635">
        <v>0.81728090984415969</v>
      </c>
      <c r="M192" s="646"/>
      <c r="N192" s="647"/>
      <c r="O192" s="646"/>
      <c r="P192" s="645"/>
      <c r="Q192" s="635">
        <v>0.73267427719587297</v>
      </c>
      <c r="R192" s="646"/>
      <c r="S192" s="647"/>
      <c r="T192" s="584"/>
      <c r="U192" s="509"/>
      <c r="V192" s="492"/>
      <c r="W192" s="492"/>
      <c r="X192" s="492"/>
      <c r="Y192" s="492"/>
      <c r="Z192" s="492"/>
      <c r="AA192" s="492"/>
      <c r="AB192" s="492"/>
      <c r="AC192" s="492"/>
      <c r="AD192" s="492"/>
      <c r="AE192" s="492"/>
      <c r="AF192" s="492"/>
      <c r="AG192" s="492"/>
      <c r="AH192" s="492"/>
      <c r="AI192" s="492"/>
      <c r="AJ192" s="492"/>
      <c r="AK192" s="492"/>
      <c r="AL192" s="492"/>
      <c r="AM192" s="492"/>
      <c r="AN192" s="492"/>
    </row>
    <row r="193" spans="1:40" ht="15.75" customHeight="1" thickBot="1">
      <c r="A193" s="477" t="s">
        <v>83</v>
      </c>
      <c r="B193" s="492" t="s">
        <v>83</v>
      </c>
      <c r="C193" s="667"/>
      <c r="D193" s="668"/>
      <c r="E193" s="669"/>
      <c r="F193" s="670"/>
      <c r="G193" s="671"/>
      <c r="H193" s="669"/>
      <c r="I193" s="670"/>
      <c r="J193" s="671"/>
      <c r="K193" s="669"/>
      <c r="L193" s="670"/>
      <c r="M193" s="671"/>
      <c r="N193" s="670"/>
      <c r="O193" s="671"/>
      <c r="P193" s="669"/>
      <c r="Q193" s="670"/>
      <c r="R193" s="671"/>
      <c r="S193" s="670"/>
      <c r="T193" s="584"/>
      <c r="U193" s="492"/>
      <c r="V193" s="492"/>
      <c r="W193" s="492"/>
      <c r="X193" s="492"/>
      <c r="Y193" s="492"/>
      <c r="Z193" s="492"/>
      <c r="AA193" s="492"/>
      <c r="AB193" s="492"/>
      <c r="AC193" s="492"/>
      <c r="AD193" s="492"/>
      <c r="AE193" s="492"/>
      <c r="AF193" s="492"/>
      <c r="AG193" s="492"/>
      <c r="AH193" s="492"/>
      <c r="AI193" s="492"/>
      <c r="AJ193" s="492"/>
      <c r="AK193" s="492"/>
      <c r="AL193" s="492"/>
      <c r="AM193" s="492"/>
      <c r="AN193" s="492"/>
    </row>
    <row r="194" spans="1:40" ht="24.75" customHeight="1" thickTop="1">
      <c r="A194" s="477" t="s">
        <v>344</v>
      </c>
      <c r="B194" s="492" t="s">
        <v>83</v>
      </c>
      <c r="C194" s="536" t="s">
        <v>96</v>
      </c>
      <c r="D194" s="537"/>
      <c r="E194" s="537">
        <v>304520.43140000006</v>
      </c>
      <c r="F194" s="539">
        <v>212692.64035970636</v>
      </c>
      <c r="G194" s="540"/>
      <c r="H194" s="537"/>
      <c r="I194" s="539"/>
      <c r="J194" s="540"/>
      <c r="K194" s="537">
        <v>337642.8</v>
      </c>
      <c r="L194" s="539">
        <v>241303.18</v>
      </c>
      <c r="M194" s="672">
        <v>1.621886727948274E-2</v>
      </c>
      <c r="N194" s="539">
        <v>28610.539640293631</v>
      </c>
      <c r="O194" s="540"/>
      <c r="P194" s="537">
        <v>289832.11999999988</v>
      </c>
      <c r="Q194" s="539">
        <v>207116.95999999979</v>
      </c>
      <c r="R194" s="672"/>
      <c r="S194" s="539">
        <v>34186.220000000205</v>
      </c>
      <c r="T194" s="584"/>
      <c r="U194" s="629"/>
      <c r="V194" s="492"/>
      <c r="W194" s="492"/>
      <c r="X194" s="492"/>
      <c r="Y194" s="492"/>
      <c r="Z194" s="492"/>
      <c r="AA194" s="492"/>
      <c r="AB194" s="492"/>
      <c r="AC194" s="492"/>
      <c r="AD194" s="492"/>
      <c r="AE194" s="492"/>
      <c r="AF194" s="492"/>
      <c r="AG194" s="492"/>
      <c r="AH194" s="492"/>
      <c r="AI194" s="492"/>
      <c r="AJ194" s="492"/>
      <c r="AK194" s="492"/>
      <c r="AL194" s="492"/>
      <c r="AM194" s="492"/>
      <c r="AN194" s="492"/>
    </row>
    <row r="195" spans="1:40" ht="24" customHeight="1" thickBot="1">
      <c r="A195" s="477" t="s">
        <v>83</v>
      </c>
      <c r="B195" s="492" t="s">
        <v>83</v>
      </c>
      <c r="C195" s="541"/>
      <c r="D195" s="542"/>
      <c r="E195" s="542"/>
      <c r="F195" s="547">
        <v>0.69845113308776929</v>
      </c>
      <c r="G195" s="541"/>
      <c r="H195" s="542"/>
      <c r="I195" s="547"/>
      <c r="J195" s="541"/>
      <c r="K195" s="542"/>
      <c r="L195" s="547">
        <v>0.71467000036725203</v>
      </c>
      <c r="M195" s="546"/>
      <c r="N195" s="547">
        <v>0.13451588918124957</v>
      </c>
      <c r="O195" s="541"/>
      <c r="P195" s="542"/>
      <c r="Q195" s="547">
        <v>0.71461009911530815</v>
      </c>
      <c r="R195" s="546"/>
      <c r="S195" s="547">
        <v>7.0584925739083921</v>
      </c>
      <c r="T195" s="548"/>
      <c r="U195" s="492"/>
      <c r="V195" s="492"/>
      <c r="W195" s="492"/>
      <c r="X195" s="492"/>
      <c r="Y195" s="492"/>
      <c r="Z195" s="492"/>
      <c r="AA195" s="492"/>
      <c r="AB195" s="492"/>
      <c r="AC195" s="492"/>
      <c r="AD195" s="492"/>
      <c r="AE195" s="492"/>
      <c r="AF195" s="492"/>
      <c r="AG195" s="492"/>
      <c r="AH195" s="492"/>
      <c r="AI195" s="492"/>
      <c r="AJ195" s="492"/>
      <c r="AK195" s="492"/>
      <c r="AL195" s="492"/>
      <c r="AM195" s="492"/>
      <c r="AN195" s="492"/>
    </row>
    <row r="196" spans="1:40" ht="15.75" customHeight="1" thickTop="1">
      <c r="A196" s="477" t="s">
        <v>83</v>
      </c>
      <c r="B196" s="492" t="s">
        <v>83</v>
      </c>
      <c r="C196" s="527"/>
      <c r="D196" s="548"/>
      <c r="E196" s="548"/>
      <c r="F196" s="526"/>
      <c r="G196" s="527"/>
      <c r="H196" s="548"/>
      <c r="I196" s="526"/>
      <c r="J196" s="527"/>
      <c r="K196" s="584"/>
      <c r="L196" s="526"/>
      <c r="M196" s="525"/>
      <c r="N196" s="526"/>
      <c r="O196" s="527"/>
      <c r="P196" s="548"/>
      <c r="Q196" s="526"/>
      <c r="R196" s="525"/>
      <c r="S196" s="526"/>
      <c r="T196" s="548"/>
      <c r="U196" s="492"/>
      <c r="V196" s="492"/>
      <c r="W196" s="492"/>
      <c r="X196" s="492"/>
      <c r="Y196" s="492"/>
      <c r="Z196" s="492"/>
      <c r="AA196" s="492"/>
      <c r="AB196" s="492"/>
      <c r="AC196" s="492"/>
      <c r="AD196" s="492"/>
      <c r="AE196" s="492"/>
      <c r="AF196" s="492"/>
      <c r="AG196" s="492"/>
      <c r="AH196" s="492"/>
      <c r="AI196" s="492"/>
      <c r="AJ196" s="492"/>
      <c r="AK196" s="492"/>
      <c r="AL196" s="492"/>
      <c r="AM196" s="492"/>
      <c r="AN196" s="492"/>
    </row>
    <row r="197" spans="1:40" ht="15.75" customHeight="1">
      <c r="A197" s="477" t="s">
        <v>345</v>
      </c>
      <c r="B197" s="492" t="s">
        <v>83</v>
      </c>
      <c r="C197" s="551" t="s">
        <v>30</v>
      </c>
      <c r="D197" s="492"/>
      <c r="E197" s="492"/>
      <c r="F197" s="534"/>
      <c r="G197" s="508"/>
      <c r="H197" s="492"/>
      <c r="I197" s="534"/>
      <c r="J197" s="508"/>
      <c r="K197" s="492"/>
      <c r="L197" s="518"/>
      <c r="M197" s="508"/>
      <c r="N197" s="518"/>
      <c r="O197" s="508"/>
      <c r="P197" s="492"/>
      <c r="Q197" s="518"/>
      <c r="R197" s="508"/>
      <c r="S197" s="518"/>
      <c r="T197" s="492"/>
      <c r="U197" s="492"/>
      <c r="V197" s="492"/>
      <c r="W197" s="492"/>
      <c r="X197" s="492"/>
      <c r="Y197" s="492"/>
      <c r="Z197" s="492"/>
      <c r="AA197" s="492"/>
      <c r="AB197" s="492"/>
      <c r="AC197" s="492"/>
      <c r="AD197" s="492"/>
      <c r="AE197" s="492"/>
      <c r="AF197" s="492"/>
      <c r="AG197" s="492"/>
      <c r="AH197" s="492"/>
      <c r="AI197" s="492"/>
      <c r="AJ197" s="492"/>
      <c r="AK197" s="492"/>
      <c r="AL197" s="492"/>
      <c r="AM197" s="492"/>
      <c r="AN197" s="492"/>
    </row>
    <row r="198" spans="1:40" ht="15.75" customHeight="1">
      <c r="A198" s="477" t="s">
        <v>346</v>
      </c>
      <c r="B198" s="492" t="s">
        <v>83</v>
      </c>
      <c r="C198" s="576" t="s">
        <v>41</v>
      </c>
      <c r="D198" s="492"/>
      <c r="E198" s="492"/>
      <c r="F198" s="509">
        <v>15681.80576923077</v>
      </c>
      <c r="G198" s="508"/>
      <c r="H198" s="492"/>
      <c r="I198" s="509"/>
      <c r="J198" s="508"/>
      <c r="K198" s="492"/>
      <c r="L198" s="511">
        <v>13348.82</v>
      </c>
      <c r="M198" s="508"/>
      <c r="N198" s="511">
        <v>-2332.9857692307705</v>
      </c>
      <c r="O198" s="508"/>
      <c r="P198" s="492"/>
      <c r="Q198" s="511">
        <v>11834.22</v>
      </c>
      <c r="R198" s="508"/>
      <c r="S198" s="511">
        <v>1514.6000000000004</v>
      </c>
      <c r="T198" s="492"/>
      <c r="U198" s="492"/>
      <c r="V198" s="492"/>
      <c r="W198" s="492"/>
      <c r="X198" s="492"/>
      <c r="Y198" s="492"/>
      <c r="Z198" s="492"/>
      <c r="AA198" s="492"/>
      <c r="AB198" s="492"/>
      <c r="AC198" s="492"/>
      <c r="AD198" s="492"/>
      <c r="AE198" s="492"/>
      <c r="AF198" s="492"/>
      <c r="AG198" s="492"/>
      <c r="AH198" s="492"/>
      <c r="AI198" s="492"/>
      <c r="AJ198" s="492"/>
      <c r="AK198" s="492"/>
      <c r="AL198" s="492"/>
      <c r="AM198" s="492"/>
      <c r="AN198" s="492"/>
    </row>
    <row r="199" spans="1:40" ht="15.75" customHeight="1">
      <c r="A199" s="477" t="s">
        <v>347</v>
      </c>
      <c r="B199" s="492" t="s">
        <v>83</v>
      </c>
      <c r="C199" s="578" t="s">
        <v>42</v>
      </c>
      <c r="D199" s="561"/>
      <c r="E199" s="492"/>
      <c r="F199" s="503">
        <v>8357.6063384615391</v>
      </c>
      <c r="G199" s="562"/>
      <c r="H199" s="492"/>
      <c r="I199" s="503"/>
      <c r="J199" s="508"/>
      <c r="K199" s="492"/>
      <c r="L199" s="511">
        <v>8258.5</v>
      </c>
      <c r="M199" s="508"/>
      <c r="N199" s="511">
        <v>-99.106338461539053</v>
      </c>
      <c r="O199" s="508"/>
      <c r="P199" s="492"/>
      <c r="Q199" s="511">
        <v>8017.89</v>
      </c>
      <c r="R199" s="508"/>
      <c r="S199" s="534">
        <v>240.60999999999967</v>
      </c>
      <c r="T199" s="492"/>
      <c r="U199" s="492"/>
      <c r="V199" s="492"/>
      <c r="W199" s="492"/>
      <c r="X199" s="492"/>
      <c r="Y199" s="492"/>
      <c r="Z199" s="492"/>
      <c r="AA199" s="492"/>
      <c r="AB199" s="492"/>
      <c r="AC199" s="492"/>
      <c r="AD199" s="492"/>
      <c r="AE199" s="492"/>
      <c r="AF199" s="492"/>
      <c r="AG199" s="492"/>
      <c r="AH199" s="492"/>
      <c r="AI199" s="492"/>
      <c r="AJ199" s="492"/>
      <c r="AK199" s="492"/>
      <c r="AL199" s="492"/>
      <c r="AM199" s="492"/>
      <c r="AN199" s="492"/>
    </row>
    <row r="200" spans="1:40" ht="20.25">
      <c r="A200" s="477" t="s">
        <v>348</v>
      </c>
      <c r="B200" s="492" t="s">
        <v>83</v>
      </c>
      <c r="C200" s="576" t="s">
        <v>43</v>
      </c>
      <c r="D200" s="579"/>
      <c r="E200" s="580"/>
      <c r="F200" s="509">
        <v>15667.776923076923</v>
      </c>
      <c r="G200" s="581"/>
      <c r="H200" s="580"/>
      <c r="I200" s="509"/>
      <c r="J200" s="496"/>
      <c r="K200" s="580"/>
      <c r="L200" s="530">
        <v>14236.65</v>
      </c>
      <c r="M200" s="496"/>
      <c r="N200" s="530">
        <v>-1431.126923076923</v>
      </c>
      <c r="O200" s="496"/>
      <c r="P200" s="580"/>
      <c r="Q200" s="530">
        <v>13760.3</v>
      </c>
      <c r="R200" s="496"/>
      <c r="S200" s="582">
        <v>476.35000000000036</v>
      </c>
      <c r="T200" s="492"/>
      <c r="U200" s="492"/>
      <c r="V200" s="492"/>
      <c r="W200" s="492"/>
      <c r="X200" s="492"/>
      <c r="Y200" s="492"/>
      <c r="Z200" s="492"/>
      <c r="AA200" s="492"/>
      <c r="AB200" s="492"/>
      <c r="AC200" s="492"/>
      <c r="AD200" s="492"/>
      <c r="AE200" s="492"/>
      <c r="AF200" s="492"/>
      <c r="AG200" s="492"/>
      <c r="AH200" s="492"/>
      <c r="AI200" s="492"/>
      <c r="AJ200" s="492"/>
      <c r="AK200" s="492"/>
      <c r="AL200" s="492"/>
      <c r="AM200" s="492"/>
      <c r="AN200" s="492"/>
    </row>
    <row r="201" spans="1:40" ht="20.25">
      <c r="A201" s="477" t="s">
        <v>349</v>
      </c>
      <c r="B201" s="492" t="s">
        <v>83</v>
      </c>
      <c r="C201" s="576" t="s">
        <v>44</v>
      </c>
      <c r="D201" s="561"/>
      <c r="E201" s="577">
        <v>0.18699909804122805</v>
      </c>
      <c r="F201" s="509">
        <v>26685.668886153846</v>
      </c>
      <c r="G201" s="562"/>
      <c r="H201" s="492"/>
      <c r="I201" s="509"/>
      <c r="J201" s="508"/>
      <c r="K201" s="673">
        <v>0.17210466930007273</v>
      </c>
      <c r="L201" s="511">
        <v>23437.83</v>
      </c>
      <c r="M201" s="508"/>
      <c r="N201" s="511">
        <v>-3247.8388861538442</v>
      </c>
      <c r="O201" s="508"/>
      <c r="P201" s="492"/>
      <c r="Q201" s="511">
        <v>25122.77</v>
      </c>
      <c r="R201" s="508"/>
      <c r="S201" s="534">
        <v>-1684.9399999999987</v>
      </c>
      <c r="T201" s="492"/>
      <c r="U201" s="492"/>
      <c r="V201" s="492"/>
      <c r="W201" s="492"/>
      <c r="X201" s="492"/>
      <c r="Y201" s="492"/>
      <c r="Z201" s="492"/>
      <c r="AA201" s="492"/>
      <c r="AB201" s="492"/>
      <c r="AC201" s="492"/>
      <c r="AD201" s="492"/>
      <c r="AE201" s="492"/>
      <c r="AF201" s="492"/>
      <c r="AG201" s="492"/>
      <c r="AH201" s="492"/>
      <c r="AI201" s="492"/>
      <c r="AJ201" s="492"/>
      <c r="AK201" s="492"/>
      <c r="AL201" s="492"/>
      <c r="AM201" s="492"/>
      <c r="AN201" s="492"/>
    </row>
    <row r="202" spans="1:40" ht="15.75" hidden="1" customHeight="1">
      <c r="A202" s="477" t="s">
        <v>350</v>
      </c>
      <c r="B202" s="492" t="s">
        <v>83</v>
      </c>
      <c r="C202" s="508" t="s">
        <v>20</v>
      </c>
      <c r="D202" s="561"/>
      <c r="E202" s="492"/>
      <c r="F202" s="509">
        <v>0</v>
      </c>
      <c r="G202" s="562"/>
      <c r="H202" s="492"/>
      <c r="I202" s="509"/>
      <c r="J202" s="508"/>
      <c r="K202" s="492"/>
      <c r="L202" s="511">
        <v>0</v>
      </c>
      <c r="M202" s="508"/>
      <c r="N202" s="511">
        <v>0</v>
      </c>
      <c r="O202" s="508"/>
      <c r="P202" s="492"/>
      <c r="Q202" s="511">
        <v>0</v>
      </c>
      <c r="R202" s="508"/>
      <c r="S202" s="534">
        <v>0</v>
      </c>
      <c r="T202" s="492"/>
      <c r="U202" s="492"/>
      <c r="V202" s="492"/>
      <c r="W202" s="492"/>
      <c r="X202" s="492"/>
      <c r="Y202" s="492"/>
      <c r="Z202" s="492"/>
      <c r="AA202" s="492"/>
      <c r="AB202" s="492"/>
      <c r="AC202" s="492"/>
      <c r="AD202" s="492"/>
      <c r="AE202" s="492"/>
      <c r="AF202" s="492"/>
      <c r="AG202" s="492"/>
      <c r="AH202" s="492"/>
      <c r="AI202" s="492"/>
      <c r="AJ202" s="492"/>
      <c r="AK202" s="492"/>
      <c r="AL202" s="492"/>
      <c r="AM202" s="492"/>
      <c r="AN202" s="492"/>
    </row>
    <row r="203" spans="1:40" ht="15.75" hidden="1" customHeight="1">
      <c r="A203" s="477" t="s">
        <v>350</v>
      </c>
      <c r="B203" s="492" t="s">
        <v>83</v>
      </c>
      <c r="C203" s="508" t="s">
        <v>20</v>
      </c>
      <c r="D203" s="561"/>
      <c r="E203" s="492"/>
      <c r="F203" s="509">
        <v>0</v>
      </c>
      <c r="G203" s="562"/>
      <c r="H203" s="492"/>
      <c r="I203" s="509"/>
      <c r="J203" s="508"/>
      <c r="K203" s="492"/>
      <c r="L203" s="511">
        <v>0</v>
      </c>
      <c r="M203" s="508"/>
      <c r="N203" s="511">
        <v>0</v>
      </c>
      <c r="O203" s="508"/>
      <c r="P203" s="492"/>
      <c r="Q203" s="511">
        <v>0</v>
      </c>
      <c r="R203" s="508"/>
      <c r="S203" s="534">
        <v>0</v>
      </c>
      <c r="T203" s="492"/>
      <c r="U203" s="492"/>
      <c r="V203" s="492"/>
      <c r="W203" s="492"/>
      <c r="X203" s="492"/>
      <c r="Y203" s="492"/>
      <c r="Z203" s="492"/>
      <c r="AA203" s="492"/>
      <c r="AB203" s="492"/>
      <c r="AC203" s="492"/>
      <c r="AD203" s="492"/>
      <c r="AE203" s="492"/>
      <c r="AF203" s="492"/>
      <c r="AG203" s="492"/>
      <c r="AH203" s="492"/>
      <c r="AI203" s="492"/>
      <c r="AJ203" s="492"/>
      <c r="AK203" s="492"/>
      <c r="AL203" s="492"/>
      <c r="AM203" s="492"/>
      <c r="AN203" s="492"/>
    </row>
    <row r="204" spans="1:40" ht="15.75" hidden="1" customHeight="1">
      <c r="A204" s="477" t="s">
        <v>350</v>
      </c>
      <c r="B204" s="492" t="s">
        <v>83</v>
      </c>
      <c r="C204" s="508" t="s">
        <v>20</v>
      </c>
      <c r="D204" s="561"/>
      <c r="E204" s="492"/>
      <c r="F204" s="509">
        <v>0</v>
      </c>
      <c r="G204" s="562"/>
      <c r="H204" s="492"/>
      <c r="I204" s="509"/>
      <c r="J204" s="508"/>
      <c r="K204" s="492"/>
      <c r="L204" s="511">
        <v>0</v>
      </c>
      <c r="M204" s="508"/>
      <c r="N204" s="511">
        <v>0</v>
      </c>
      <c r="O204" s="508"/>
      <c r="P204" s="492"/>
      <c r="Q204" s="511">
        <v>0</v>
      </c>
      <c r="R204" s="508"/>
      <c r="S204" s="534">
        <v>0</v>
      </c>
      <c r="T204" s="492"/>
      <c r="U204" s="492"/>
      <c r="V204" s="492"/>
      <c r="W204" s="492"/>
      <c r="X204" s="492"/>
      <c r="Y204" s="492"/>
      <c r="Z204" s="492"/>
      <c r="AA204" s="492"/>
      <c r="AB204" s="492"/>
      <c r="AC204" s="492"/>
      <c r="AD204" s="492"/>
      <c r="AE204" s="492"/>
      <c r="AF204" s="492"/>
      <c r="AG204" s="492"/>
      <c r="AH204" s="492"/>
      <c r="AI204" s="492"/>
      <c r="AJ204" s="492"/>
      <c r="AK204" s="492"/>
      <c r="AL204" s="492"/>
      <c r="AM204" s="492"/>
      <c r="AN204" s="492"/>
    </row>
    <row r="205" spans="1:40" ht="20.25">
      <c r="A205" s="477" t="s">
        <v>351</v>
      </c>
      <c r="B205" s="492" t="s">
        <v>83</v>
      </c>
      <c r="C205" s="578" t="s">
        <v>45</v>
      </c>
      <c r="D205" s="561"/>
      <c r="E205" s="492"/>
      <c r="F205" s="509">
        <v>16264.186953694872</v>
      </c>
      <c r="G205" s="562"/>
      <c r="H205" s="492"/>
      <c r="I205" s="509"/>
      <c r="J205" s="508"/>
      <c r="K205" s="492"/>
      <c r="L205" s="511">
        <v>15719.95</v>
      </c>
      <c r="M205" s="508"/>
      <c r="N205" s="511">
        <v>-544.23695369487177</v>
      </c>
      <c r="O205" s="508"/>
      <c r="P205" s="492"/>
      <c r="Q205" s="511">
        <v>16428.09</v>
      </c>
      <c r="R205" s="508"/>
      <c r="S205" s="534">
        <v>-708.13999999999942</v>
      </c>
      <c r="T205" s="492"/>
      <c r="U205" s="492"/>
      <c r="V205" s="492"/>
      <c r="W205" s="492"/>
      <c r="X205" s="492"/>
      <c r="Y205" s="492"/>
      <c r="Z205" s="492"/>
      <c r="AA205" s="492"/>
      <c r="AB205" s="492"/>
      <c r="AC205" s="492"/>
      <c r="AD205" s="492"/>
      <c r="AE205" s="492"/>
      <c r="AF205" s="492"/>
      <c r="AG205" s="492"/>
      <c r="AH205" s="492"/>
      <c r="AI205" s="492"/>
      <c r="AJ205" s="492"/>
      <c r="AK205" s="492"/>
      <c r="AL205" s="492"/>
      <c r="AM205" s="492"/>
      <c r="AN205" s="492"/>
    </row>
    <row r="206" spans="1:40" ht="15.75" customHeight="1">
      <c r="A206" s="477" t="s">
        <v>352</v>
      </c>
      <c r="B206" s="492" t="s">
        <v>83</v>
      </c>
      <c r="C206" s="576" t="s">
        <v>46</v>
      </c>
      <c r="D206" s="579"/>
      <c r="E206" s="580"/>
      <c r="F206" s="530">
        <v>19774.9585868713</v>
      </c>
      <c r="G206" s="581"/>
      <c r="H206" s="580"/>
      <c r="I206" s="530"/>
      <c r="J206" s="496"/>
      <c r="K206" s="580"/>
      <c r="L206" s="530">
        <v>19588.689999999999</v>
      </c>
      <c r="M206" s="496"/>
      <c r="N206" s="530">
        <v>-186.26858687130152</v>
      </c>
      <c r="O206" s="496"/>
      <c r="P206" s="580"/>
      <c r="Q206" s="530">
        <v>19262.22</v>
      </c>
      <c r="R206" s="496"/>
      <c r="S206" s="582">
        <v>326.46999999999753</v>
      </c>
      <c r="T206" s="492"/>
      <c r="U206" s="492"/>
      <c r="V206" s="492"/>
      <c r="W206" s="492"/>
      <c r="X206" s="492"/>
      <c r="Y206" s="492"/>
      <c r="Z206" s="492"/>
      <c r="AA206" s="492"/>
      <c r="AB206" s="492"/>
      <c r="AC206" s="492"/>
      <c r="AD206" s="492"/>
      <c r="AE206" s="492"/>
      <c r="AF206" s="492"/>
      <c r="AG206" s="492"/>
      <c r="AH206" s="492"/>
      <c r="AI206" s="492"/>
      <c r="AJ206" s="492"/>
      <c r="AK206" s="492"/>
      <c r="AL206" s="492"/>
      <c r="AM206" s="492"/>
      <c r="AN206" s="492"/>
    </row>
    <row r="207" spans="1:40" ht="15.75" customHeight="1">
      <c r="A207" s="477" t="s">
        <v>353</v>
      </c>
      <c r="B207" s="492" t="s">
        <v>83</v>
      </c>
      <c r="C207" s="576" t="s">
        <v>47</v>
      </c>
      <c r="D207" s="561"/>
      <c r="E207" s="492"/>
      <c r="F207" s="509">
        <v>10188.402576279343</v>
      </c>
      <c r="G207" s="562"/>
      <c r="H207" s="492"/>
      <c r="I207" s="509"/>
      <c r="J207" s="508"/>
      <c r="K207" s="492"/>
      <c r="L207" s="511">
        <v>9363.9599999999991</v>
      </c>
      <c r="M207" s="508"/>
      <c r="N207" s="511">
        <v>-824.44257627934348</v>
      </c>
      <c r="O207" s="508"/>
      <c r="P207" s="492"/>
      <c r="Q207" s="511">
        <v>11101.57</v>
      </c>
      <c r="R207" s="508"/>
      <c r="S207" s="534">
        <v>-1737.6100000000006</v>
      </c>
      <c r="T207" s="492"/>
      <c r="U207" s="492"/>
      <c r="V207" s="492"/>
      <c r="W207" s="492"/>
      <c r="X207" s="492"/>
      <c r="Y207" s="492"/>
      <c r="Z207" s="492"/>
      <c r="AA207" s="492"/>
      <c r="AB207" s="492"/>
      <c r="AC207" s="492"/>
      <c r="AD207" s="492"/>
      <c r="AE207" s="492"/>
      <c r="AF207" s="492"/>
      <c r="AG207" s="492"/>
      <c r="AH207" s="492"/>
      <c r="AI207" s="492"/>
      <c r="AJ207" s="492"/>
      <c r="AK207" s="492"/>
      <c r="AL207" s="492"/>
      <c r="AM207" s="492"/>
      <c r="AN207" s="492"/>
    </row>
    <row r="208" spans="1:40" ht="15.75" customHeight="1">
      <c r="A208" s="477" t="s">
        <v>354</v>
      </c>
      <c r="B208" s="492" t="s">
        <v>83</v>
      </c>
      <c r="C208" s="576" t="s">
        <v>48</v>
      </c>
      <c r="D208" s="561"/>
      <c r="E208" s="492"/>
      <c r="F208" s="509">
        <v>4442.2008419783351</v>
      </c>
      <c r="G208" s="562"/>
      <c r="H208" s="492"/>
      <c r="I208" s="509"/>
      <c r="J208" s="508"/>
      <c r="K208" s="492"/>
      <c r="L208" s="511">
        <v>4356.6099999999997</v>
      </c>
      <c r="M208" s="508"/>
      <c r="N208" s="511">
        <v>-85.590841978335447</v>
      </c>
      <c r="O208" s="508"/>
      <c r="P208" s="492"/>
      <c r="Q208" s="511">
        <v>3705.23</v>
      </c>
      <c r="R208" s="508"/>
      <c r="S208" s="534">
        <v>651.37999999999965</v>
      </c>
      <c r="T208" s="492"/>
      <c r="U208" s="492"/>
      <c r="V208" s="492"/>
      <c r="W208" s="492"/>
      <c r="X208" s="492"/>
      <c r="Y208" s="492"/>
      <c r="Z208" s="492"/>
      <c r="AA208" s="492"/>
      <c r="AB208" s="492"/>
      <c r="AC208" s="492"/>
      <c r="AD208" s="492"/>
      <c r="AE208" s="492"/>
      <c r="AF208" s="492"/>
      <c r="AG208" s="492"/>
      <c r="AH208" s="492"/>
      <c r="AI208" s="492"/>
      <c r="AJ208" s="492"/>
      <c r="AK208" s="492"/>
      <c r="AL208" s="492"/>
      <c r="AM208" s="492"/>
      <c r="AN208" s="492"/>
    </row>
    <row r="209" spans="1:40" ht="15.75" hidden="1" customHeight="1">
      <c r="A209" s="477" t="s">
        <v>350</v>
      </c>
      <c r="B209" s="492" t="s">
        <v>83</v>
      </c>
      <c r="C209" s="508" t="s">
        <v>20</v>
      </c>
      <c r="D209" s="563"/>
      <c r="E209" s="583"/>
      <c r="F209" s="509">
        <v>0</v>
      </c>
      <c r="G209" s="564"/>
      <c r="H209" s="583"/>
      <c r="I209" s="509"/>
      <c r="J209" s="501"/>
      <c r="K209" s="583"/>
      <c r="L209" s="511">
        <v>0</v>
      </c>
      <c r="M209" s="501"/>
      <c r="N209" s="511">
        <v>0</v>
      </c>
      <c r="O209" s="501"/>
      <c r="P209" s="583"/>
      <c r="Q209" s="511">
        <v>0</v>
      </c>
      <c r="R209" s="501"/>
      <c r="S209" s="559">
        <v>0</v>
      </c>
      <c r="T209" s="492"/>
      <c r="U209" s="492"/>
      <c r="V209" s="492"/>
      <c r="W209" s="492"/>
      <c r="X209" s="492"/>
      <c r="Y209" s="492"/>
      <c r="Z209" s="492"/>
      <c r="AA209" s="492"/>
      <c r="AB209" s="492"/>
      <c r="AC209" s="492"/>
      <c r="AD209" s="492"/>
      <c r="AE209" s="492"/>
      <c r="AF209" s="492"/>
      <c r="AG209" s="492"/>
      <c r="AH209" s="492"/>
      <c r="AI209" s="492"/>
      <c r="AJ209" s="492"/>
      <c r="AK209" s="492"/>
      <c r="AL209" s="492"/>
      <c r="AM209" s="492"/>
      <c r="AN209" s="492"/>
    </row>
    <row r="210" spans="1:40" ht="15.75" customHeight="1">
      <c r="A210" s="477" t="s">
        <v>355</v>
      </c>
      <c r="B210" s="492" t="s">
        <v>83</v>
      </c>
      <c r="C210" s="568" t="s">
        <v>49</v>
      </c>
      <c r="D210" s="569" t="s">
        <v>97</v>
      </c>
      <c r="E210" s="570">
        <v>0.5503839092775864</v>
      </c>
      <c r="F210" s="571">
        <v>117062.60687574693</v>
      </c>
      <c r="G210" s="572"/>
      <c r="H210" s="570"/>
      <c r="I210" s="571"/>
      <c r="J210" s="572" t="s">
        <v>97</v>
      </c>
      <c r="K210" s="570">
        <v>0.4488586101517601</v>
      </c>
      <c r="L210" s="571">
        <v>108311.01</v>
      </c>
      <c r="M210" s="625"/>
      <c r="N210" s="571">
        <v>-8751.5968757469382</v>
      </c>
      <c r="O210" s="572" t="s">
        <v>97</v>
      </c>
      <c r="P210" s="570">
        <v>0.52739423174229727</v>
      </c>
      <c r="Q210" s="571">
        <v>109232.29</v>
      </c>
      <c r="R210" s="625"/>
      <c r="S210" s="585">
        <v>-921.27999999999884</v>
      </c>
      <c r="T210" s="492"/>
      <c r="U210" s="492"/>
      <c r="V210" s="492"/>
      <c r="W210" s="492"/>
      <c r="X210" s="492"/>
      <c r="Y210" s="492"/>
      <c r="Z210" s="492"/>
      <c r="AA210" s="492"/>
      <c r="AB210" s="492"/>
      <c r="AC210" s="492"/>
      <c r="AD210" s="492"/>
      <c r="AE210" s="492"/>
      <c r="AF210" s="492"/>
      <c r="AG210" s="492"/>
      <c r="AH210" s="492"/>
      <c r="AI210" s="492"/>
      <c r="AJ210" s="492"/>
      <c r="AK210" s="492"/>
      <c r="AL210" s="492"/>
      <c r="AM210" s="492"/>
      <c r="AN210" s="492"/>
    </row>
    <row r="211" spans="1:40" ht="15.75" customHeight="1">
      <c r="A211" s="477" t="s">
        <v>356</v>
      </c>
      <c r="B211" s="492" t="s">
        <v>83</v>
      </c>
      <c r="C211" s="508" t="s">
        <v>50</v>
      </c>
      <c r="D211" s="561"/>
      <c r="E211" s="492"/>
      <c r="F211" s="509">
        <v>9556.1841615752273</v>
      </c>
      <c r="G211" s="562"/>
      <c r="H211" s="492"/>
      <c r="I211" s="509"/>
      <c r="J211" s="508"/>
      <c r="K211" s="492"/>
      <c r="L211" s="511">
        <v>10953.22</v>
      </c>
      <c r="M211" s="508"/>
      <c r="N211" s="534">
        <v>1397.035838424772</v>
      </c>
      <c r="O211" s="508"/>
      <c r="P211" s="492"/>
      <c r="Q211" s="511">
        <v>10338.09</v>
      </c>
      <c r="R211" s="508"/>
      <c r="S211" s="534">
        <v>615.1299999999992</v>
      </c>
      <c r="T211" s="492"/>
      <c r="U211" s="492"/>
      <c r="V211" s="492"/>
      <c r="W211" s="492"/>
      <c r="X211" s="492"/>
      <c r="Y211" s="492"/>
      <c r="Z211" s="492"/>
      <c r="AA211" s="492"/>
      <c r="AB211" s="492"/>
      <c r="AC211" s="492"/>
      <c r="AD211" s="492"/>
      <c r="AE211" s="492"/>
      <c r="AF211" s="492"/>
      <c r="AG211" s="492"/>
      <c r="AH211" s="492"/>
      <c r="AI211" s="492"/>
      <c r="AJ211" s="492"/>
      <c r="AK211" s="492"/>
      <c r="AL211" s="492"/>
      <c r="AM211" s="492"/>
      <c r="AN211" s="492"/>
    </row>
    <row r="212" spans="1:40" ht="15.75" customHeight="1">
      <c r="A212" s="477" t="s">
        <v>357</v>
      </c>
      <c r="B212" s="492" t="s">
        <v>83</v>
      </c>
      <c r="C212" s="508" t="s">
        <v>51</v>
      </c>
      <c r="D212" s="561"/>
      <c r="E212" s="492"/>
      <c r="F212" s="509">
        <v>3422.1774033237093</v>
      </c>
      <c r="G212" s="562"/>
      <c r="H212" s="492"/>
      <c r="I212" s="509"/>
      <c r="J212" s="508"/>
      <c r="K212" s="492"/>
      <c r="L212" s="511">
        <v>1302.06</v>
      </c>
      <c r="M212" s="508"/>
      <c r="N212" s="534">
        <v>-2120.1174033237094</v>
      </c>
      <c r="O212" s="508"/>
      <c r="P212" s="492"/>
      <c r="Q212" s="511">
        <v>5248.5599999999904</v>
      </c>
      <c r="R212" s="508"/>
      <c r="S212" s="534">
        <v>-3946.4999999999905</v>
      </c>
      <c r="T212" s="492"/>
      <c r="V212" s="492"/>
      <c r="W212" s="492"/>
      <c r="X212" s="492"/>
      <c r="Y212" s="492"/>
      <c r="Z212" s="492"/>
      <c r="AA212" s="492"/>
      <c r="AB212" s="492"/>
      <c r="AC212" s="492"/>
      <c r="AD212" s="492"/>
      <c r="AE212" s="492"/>
      <c r="AF212" s="492"/>
      <c r="AG212" s="492"/>
      <c r="AH212" s="492"/>
      <c r="AI212" s="492"/>
      <c r="AJ212" s="492"/>
      <c r="AK212" s="492"/>
      <c r="AL212" s="492"/>
      <c r="AM212" s="492"/>
      <c r="AN212" s="492"/>
    </row>
    <row r="213" spans="1:40" ht="15.75" customHeight="1">
      <c r="A213" s="477" t="s">
        <v>358</v>
      </c>
      <c r="B213" s="492" t="s">
        <v>83</v>
      </c>
      <c r="C213" s="501" t="s">
        <v>52</v>
      </c>
      <c r="D213" s="563"/>
      <c r="E213" s="583"/>
      <c r="F213" s="503">
        <v>11083.739355555555</v>
      </c>
      <c r="G213" s="564"/>
      <c r="H213" s="583"/>
      <c r="I213" s="503"/>
      <c r="J213" s="501"/>
      <c r="K213" s="583"/>
      <c r="L213" s="511">
        <v>12916.71</v>
      </c>
      <c r="M213" s="501"/>
      <c r="N213" s="559">
        <v>1832.9706444444437</v>
      </c>
      <c r="O213" s="501"/>
      <c r="P213" s="583"/>
      <c r="Q213" s="511">
        <v>15457.5</v>
      </c>
      <c r="R213" s="501"/>
      <c r="S213" s="559">
        <v>-2540.7900000000009</v>
      </c>
      <c r="T213" s="492"/>
      <c r="U213" s="492"/>
      <c r="V213" s="492"/>
      <c r="W213" s="492"/>
      <c r="X213" s="492"/>
      <c r="Y213" s="492"/>
      <c r="Z213" s="492"/>
      <c r="AA213" s="492"/>
      <c r="AB213" s="492"/>
      <c r="AC213" s="492"/>
      <c r="AD213" s="492"/>
      <c r="AE213" s="492"/>
      <c r="AF213" s="492"/>
      <c r="AG213" s="492"/>
      <c r="AH213" s="492"/>
      <c r="AI213" s="492"/>
      <c r="AJ213" s="492"/>
      <c r="AK213" s="492"/>
      <c r="AL213" s="492"/>
      <c r="AM213" s="492"/>
      <c r="AN213" s="492"/>
    </row>
    <row r="214" spans="1:40" ht="15.75" customHeight="1">
      <c r="A214" s="477" t="s">
        <v>359</v>
      </c>
      <c r="B214" s="492" t="s">
        <v>83</v>
      </c>
      <c r="C214" s="508" t="s">
        <v>53</v>
      </c>
      <c r="D214" s="561"/>
      <c r="E214" s="492"/>
      <c r="F214" s="509">
        <v>4783.316137386666</v>
      </c>
      <c r="G214" s="562"/>
      <c r="H214" s="492"/>
      <c r="I214" s="509"/>
      <c r="J214" s="508"/>
      <c r="K214" s="492"/>
      <c r="L214" s="530">
        <v>5080.0200000000004</v>
      </c>
      <c r="M214" s="508"/>
      <c r="N214" s="534">
        <v>296.70386261333442</v>
      </c>
      <c r="O214" s="508"/>
      <c r="P214" s="492"/>
      <c r="Q214" s="530">
        <v>4412.6099999999997</v>
      </c>
      <c r="R214" s="508"/>
      <c r="S214" s="534">
        <v>667.41000000000076</v>
      </c>
      <c r="T214" s="492"/>
      <c r="U214" s="492"/>
      <c r="V214" s="492"/>
      <c r="W214" s="492"/>
      <c r="X214" s="492"/>
      <c r="Y214" s="492"/>
      <c r="Z214" s="492"/>
      <c r="AA214" s="492"/>
      <c r="AB214" s="492"/>
      <c r="AC214" s="492"/>
      <c r="AD214" s="492"/>
      <c r="AE214" s="492"/>
      <c r="AF214" s="492"/>
      <c r="AG214" s="492"/>
      <c r="AH214" s="492"/>
      <c r="AI214" s="492"/>
      <c r="AJ214" s="492"/>
      <c r="AK214" s="492"/>
      <c r="AL214" s="492"/>
      <c r="AM214" s="492"/>
      <c r="AN214" s="492"/>
    </row>
    <row r="215" spans="1:40" ht="15.75" customHeight="1">
      <c r="A215" s="477" t="s">
        <v>360</v>
      </c>
      <c r="B215" s="492" t="s">
        <v>83</v>
      </c>
      <c r="C215" s="508" t="s">
        <v>54</v>
      </c>
      <c r="D215" s="561"/>
      <c r="E215" s="492"/>
      <c r="F215" s="509">
        <v>1050.8751805936904</v>
      </c>
      <c r="G215" s="562"/>
      <c r="H215" s="492"/>
      <c r="I215" s="509"/>
      <c r="J215" s="508"/>
      <c r="K215" s="492"/>
      <c r="L215" s="511">
        <v>669.31</v>
      </c>
      <c r="M215" s="508"/>
      <c r="N215" s="534">
        <v>-381.56518059369046</v>
      </c>
      <c r="O215" s="508"/>
      <c r="P215" s="492"/>
      <c r="Q215" s="511">
        <v>1503.97</v>
      </c>
      <c r="R215" s="508"/>
      <c r="S215" s="534">
        <v>-834.66000000000008</v>
      </c>
      <c r="T215" s="492"/>
      <c r="U215" s="492"/>
      <c r="V215" s="492"/>
      <c r="W215" s="492"/>
      <c r="X215" s="492"/>
      <c r="Y215" s="492"/>
      <c r="Z215" s="492"/>
      <c r="AA215" s="492"/>
      <c r="AB215" s="492"/>
      <c r="AC215" s="492"/>
      <c r="AD215" s="492"/>
      <c r="AE215" s="492"/>
      <c r="AF215" s="492"/>
      <c r="AG215" s="492"/>
      <c r="AH215" s="492"/>
      <c r="AI215" s="492"/>
      <c r="AJ215" s="492"/>
      <c r="AK215" s="492"/>
      <c r="AL215" s="492"/>
      <c r="AM215" s="492"/>
      <c r="AN215" s="492"/>
    </row>
    <row r="216" spans="1:40" ht="15.75" customHeight="1">
      <c r="A216" s="477" t="s">
        <v>361</v>
      </c>
      <c r="B216" s="492" t="s">
        <v>83</v>
      </c>
      <c r="C216" s="501" t="s">
        <v>55</v>
      </c>
      <c r="D216" s="563"/>
      <c r="E216" s="583"/>
      <c r="F216" s="503">
        <v>11128.231788350371</v>
      </c>
      <c r="G216" s="564"/>
      <c r="H216" s="583"/>
      <c r="I216" s="503"/>
      <c r="J216" s="501"/>
      <c r="K216" s="583"/>
      <c r="L216" s="511">
        <v>18251.97</v>
      </c>
      <c r="M216" s="501"/>
      <c r="N216" s="559">
        <v>7123.7382116496301</v>
      </c>
      <c r="O216" s="501"/>
      <c r="P216" s="583"/>
      <c r="Q216" s="511">
        <v>10931.7</v>
      </c>
      <c r="R216" s="501"/>
      <c r="S216" s="559">
        <v>7320.27</v>
      </c>
      <c r="T216" s="492"/>
      <c r="U216" s="489"/>
      <c r="V216" s="492"/>
      <c r="W216" s="492"/>
      <c r="X216" s="492"/>
      <c r="Y216" s="492"/>
      <c r="Z216" s="492"/>
      <c r="AA216" s="492"/>
      <c r="AB216" s="492"/>
      <c r="AC216" s="492"/>
      <c r="AD216" s="492"/>
      <c r="AE216" s="492"/>
      <c r="AF216" s="492"/>
      <c r="AG216" s="492"/>
      <c r="AH216" s="492"/>
      <c r="AI216" s="492"/>
      <c r="AJ216" s="492"/>
      <c r="AK216" s="492"/>
      <c r="AL216" s="492"/>
      <c r="AM216" s="492"/>
      <c r="AN216" s="492"/>
    </row>
    <row r="217" spans="1:40" ht="15.75" customHeight="1">
      <c r="A217" s="477" t="s">
        <v>362</v>
      </c>
      <c r="B217" s="492" t="s">
        <v>83</v>
      </c>
      <c r="C217" s="508" t="s">
        <v>98</v>
      </c>
      <c r="D217" s="561"/>
      <c r="E217" s="492"/>
      <c r="F217" s="509"/>
      <c r="G217" s="562"/>
      <c r="H217" s="492"/>
      <c r="I217" s="509"/>
      <c r="J217" s="508"/>
      <c r="K217" s="492"/>
      <c r="L217" s="530">
        <v>0</v>
      </c>
      <c r="M217" s="508"/>
      <c r="N217" s="534">
        <v>0</v>
      </c>
      <c r="O217" s="508"/>
      <c r="P217" s="492"/>
      <c r="Q217" s="530">
        <v>0</v>
      </c>
      <c r="R217" s="508"/>
      <c r="S217" s="534">
        <v>0</v>
      </c>
      <c r="T217" s="492"/>
      <c r="U217" s="492"/>
      <c r="V217" s="492"/>
      <c r="W217" s="492"/>
      <c r="X217" s="492"/>
      <c r="Y217" s="492"/>
      <c r="Z217" s="492"/>
      <c r="AA217" s="492"/>
      <c r="AB217" s="492"/>
      <c r="AC217" s="492"/>
      <c r="AD217" s="492"/>
      <c r="AE217" s="492"/>
      <c r="AF217" s="492"/>
      <c r="AG217" s="492"/>
      <c r="AH217" s="492"/>
      <c r="AI217" s="492"/>
      <c r="AJ217" s="492"/>
      <c r="AK217" s="492"/>
      <c r="AL217" s="492"/>
      <c r="AM217" s="492"/>
      <c r="AN217" s="492"/>
    </row>
    <row r="218" spans="1:40" ht="15.75" customHeight="1">
      <c r="A218" s="477" t="s">
        <v>363</v>
      </c>
      <c r="B218" s="492" t="s">
        <v>83</v>
      </c>
      <c r="C218" s="508" t="s">
        <v>56</v>
      </c>
      <c r="D218" s="561"/>
      <c r="E218" s="492"/>
      <c r="F218" s="509">
        <v>4769.9204222222234</v>
      </c>
      <c r="G218" s="562"/>
      <c r="H218" s="492"/>
      <c r="I218" s="509"/>
      <c r="J218" s="508"/>
      <c r="K218" s="492"/>
      <c r="L218" s="511">
        <v>3095.58</v>
      </c>
      <c r="M218" s="508"/>
      <c r="N218" s="534">
        <v>-1674.3404222222234</v>
      </c>
      <c r="O218" s="508"/>
      <c r="P218" s="492"/>
      <c r="Q218" s="511">
        <v>3252.8</v>
      </c>
      <c r="R218" s="508"/>
      <c r="S218" s="534">
        <v>-157.22000000000025</v>
      </c>
      <c r="T218" s="492"/>
      <c r="U218" s="492"/>
      <c r="V218" s="492"/>
      <c r="W218" s="492"/>
      <c r="X218" s="492"/>
      <c r="Y218" s="492"/>
      <c r="Z218" s="492"/>
      <c r="AA218" s="492"/>
      <c r="AB218" s="492"/>
      <c r="AC218" s="492"/>
      <c r="AD218" s="492"/>
      <c r="AE218" s="492"/>
      <c r="AF218" s="492"/>
      <c r="AG218" s="492"/>
      <c r="AH218" s="492"/>
      <c r="AI218" s="492"/>
      <c r="AJ218" s="492"/>
      <c r="AK218" s="492"/>
      <c r="AL218" s="492"/>
      <c r="AM218" s="492"/>
      <c r="AN218" s="492"/>
    </row>
    <row r="219" spans="1:40" ht="15.75" customHeight="1">
      <c r="A219" s="477" t="s">
        <v>364</v>
      </c>
      <c r="B219" s="492" t="s">
        <v>83</v>
      </c>
      <c r="C219" s="508" t="s">
        <v>57</v>
      </c>
      <c r="D219" s="561"/>
      <c r="E219" s="492"/>
      <c r="F219" s="509">
        <v>1220.4654067864171</v>
      </c>
      <c r="G219" s="562"/>
      <c r="H219" s="492"/>
      <c r="I219" s="509"/>
      <c r="J219" s="508"/>
      <c r="K219" s="492"/>
      <c r="L219" s="511">
        <v>699.73</v>
      </c>
      <c r="M219" s="508"/>
      <c r="N219" s="534">
        <v>-520.73540678641712</v>
      </c>
      <c r="O219" s="508"/>
      <c r="P219" s="492"/>
      <c r="Q219" s="511">
        <v>1654</v>
      </c>
      <c r="R219" s="508"/>
      <c r="S219" s="534">
        <v>-954.27</v>
      </c>
      <c r="T219" s="492"/>
      <c r="U219" s="492"/>
      <c r="V219" s="492"/>
      <c r="W219" s="492"/>
      <c r="X219" s="492"/>
      <c r="Y219" s="492"/>
      <c r="Z219" s="492"/>
      <c r="AA219" s="492"/>
      <c r="AB219" s="492"/>
      <c r="AC219" s="492"/>
      <c r="AD219" s="492"/>
      <c r="AE219" s="492"/>
      <c r="AF219" s="492"/>
      <c r="AG219" s="492"/>
      <c r="AH219" s="492"/>
      <c r="AI219" s="492"/>
      <c r="AJ219" s="492"/>
      <c r="AK219" s="492"/>
      <c r="AL219" s="492"/>
      <c r="AM219" s="492"/>
      <c r="AN219" s="492"/>
    </row>
    <row r="220" spans="1:40" ht="15.75" customHeight="1">
      <c r="A220" s="477" t="s">
        <v>365</v>
      </c>
      <c r="B220" s="492" t="s">
        <v>83</v>
      </c>
      <c r="C220" s="508" t="s">
        <v>58</v>
      </c>
      <c r="D220" s="561"/>
      <c r="E220" s="492"/>
      <c r="F220" s="509">
        <v>833.0541497518401</v>
      </c>
      <c r="G220" s="562"/>
      <c r="H220" s="492"/>
      <c r="I220" s="509"/>
      <c r="J220" s="508"/>
      <c r="K220" s="492"/>
      <c r="L220" s="511">
        <v>2994.06</v>
      </c>
      <c r="M220" s="508"/>
      <c r="N220" s="534">
        <v>2161.0058502481597</v>
      </c>
      <c r="O220" s="508"/>
      <c r="P220" s="492"/>
      <c r="Q220" s="511">
        <v>695.18</v>
      </c>
      <c r="R220" s="508"/>
      <c r="S220" s="534">
        <v>2298.88</v>
      </c>
      <c r="T220" s="492"/>
      <c r="U220" s="492"/>
      <c r="V220" s="492"/>
      <c r="W220" s="492"/>
      <c r="X220" s="492"/>
      <c r="Y220" s="492"/>
      <c r="Z220" s="492"/>
      <c r="AA220" s="492"/>
      <c r="AB220" s="492"/>
      <c r="AC220" s="492"/>
      <c r="AD220" s="492"/>
      <c r="AE220" s="492"/>
      <c r="AF220" s="492"/>
      <c r="AG220" s="492"/>
      <c r="AH220" s="492"/>
      <c r="AI220" s="492"/>
      <c r="AJ220" s="492"/>
      <c r="AK220" s="492"/>
      <c r="AL220" s="492"/>
      <c r="AM220" s="492"/>
      <c r="AN220" s="492"/>
    </row>
    <row r="221" spans="1:40" ht="15.75" customHeight="1">
      <c r="A221" s="477" t="s">
        <v>366</v>
      </c>
      <c r="B221" s="492" t="s">
        <v>83</v>
      </c>
      <c r="C221" s="508" t="s">
        <v>59</v>
      </c>
      <c r="D221" s="561"/>
      <c r="E221" s="492"/>
      <c r="F221" s="509">
        <v>179.20450168848672</v>
      </c>
      <c r="G221" s="562"/>
      <c r="H221" s="492"/>
      <c r="I221" s="509"/>
      <c r="J221" s="508"/>
      <c r="K221" s="492"/>
      <c r="L221" s="511">
        <v>161.29</v>
      </c>
      <c r="M221" s="508"/>
      <c r="N221" s="534">
        <v>-17.914501688486723</v>
      </c>
      <c r="O221" s="508"/>
      <c r="P221" s="492"/>
      <c r="Q221" s="511">
        <v>127.04</v>
      </c>
      <c r="R221" s="508"/>
      <c r="S221" s="534">
        <v>34.249999999999986</v>
      </c>
      <c r="T221" s="492"/>
      <c r="U221" s="492"/>
      <c r="V221" s="492"/>
      <c r="W221" s="492"/>
      <c r="X221" s="492"/>
      <c r="Y221" s="492"/>
      <c r="Z221" s="492"/>
      <c r="AA221" s="492"/>
      <c r="AB221" s="492"/>
      <c r="AC221" s="492"/>
      <c r="AD221" s="492"/>
      <c r="AE221" s="492"/>
      <c r="AF221" s="492"/>
      <c r="AG221" s="492"/>
      <c r="AH221" s="492"/>
      <c r="AI221" s="492"/>
      <c r="AJ221" s="492"/>
      <c r="AK221" s="492"/>
      <c r="AL221" s="492"/>
      <c r="AM221" s="492"/>
      <c r="AN221" s="492"/>
    </row>
    <row r="222" spans="1:40" ht="15.75" customHeight="1">
      <c r="A222" s="477" t="s">
        <v>367</v>
      </c>
      <c r="B222" s="492" t="s">
        <v>83</v>
      </c>
      <c r="C222" s="508" t="s">
        <v>60</v>
      </c>
      <c r="D222" s="561"/>
      <c r="E222" s="492"/>
      <c r="F222" s="509">
        <v>92.790571276313315</v>
      </c>
      <c r="G222" s="562"/>
      <c r="H222" s="492"/>
      <c r="I222" s="509"/>
      <c r="J222" s="508"/>
      <c r="K222" s="492"/>
      <c r="L222" s="511">
        <v>40.950000000000003</v>
      </c>
      <c r="M222" s="508"/>
      <c r="N222" s="534">
        <v>-51.840571276313312</v>
      </c>
      <c r="O222" s="508"/>
      <c r="P222" s="492"/>
      <c r="Q222" s="511">
        <v>24.72</v>
      </c>
      <c r="R222" s="508"/>
      <c r="S222" s="534">
        <v>16.230000000000004</v>
      </c>
      <c r="T222" s="492"/>
      <c r="U222" s="492"/>
      <c r="V222" s="492"/>
      <c r="W222" s="492"/>
      <c r="X222" s="492"/>
      <c r="Y222" s="492"/>
      <c r="Z222" s="492"/>
      <c r="AA222" s="492"/>
      <c r="AB222" s="492"/>
      <c r="AC222" s="492"/>
      <c r="AD222" s="492"/>
      <c r="AE222" s="492"/>
      <c r="AF222" s="492"/>
      <c r="AG222" s="492"/>
      <c r="AH222" s="492"/>
      <c r="AI222" s="492"/>
      <c r="AJ222" s="492"/>
      <c r="AK222" s="492"/>
      <c r="AL222" s="492"/>
      <c r="AM222" s="492"/>
      <c r="AN222" s="492"/>
    </row>
    <row r="223" spans="1:40" ht="15.75" customHeight="1">
      <c r="A223" s="477" t="s">
        <v>368</v>
      </c>
      <c r="B223" s="492" t="s">
        <v>83</v>
      </c>
      <c r="C223" s="508" t="s">
        <v>61</v>
      </c>
      <c r="D223" s="561"/>
      <c r="E223" s="492"/>
      <c r="F223" s="509">
        <v>152.45095187595334</v>
      </c>
      <c r="G223" s="562"/>
      <c r="H223" s="492"/>
      <c r="I223" s="509"/>
      <c r="J223" s="508"/>
      <c r="K223" s="492"/>
      <c r="L223" s="511">
        <v>47.04</v>
      </c>
      <c r="M223" s="508"/>
      <c r="N223" s="534">
        <v>-105.41095187595334</v>
      </c>
      <c r="O223" s="508"/>
      <c r="P223" s="492"/>
      <c r="Q223" s="511">
        <v>141.38</v>
      </c>
      <c r="R223" s="508"/>
      <c r="S223" s="534">
        <v>-94.34</v>
      </c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</row>
    <row r="224" spans="1:40" ht="15.75" customHeight="1">
      <c r="A224" s="477" t="s">
        <v>369</v>
      </c>
      <c r="B224" s="492" t="s">
        <v>83</v>
      </c>
      <c r="C224" s="508" t="s">
        <v>62</v>
      </c>
      <c r="D224" s="561"/>
      <c r="E224" s="492"/>
      <c r="F224" s="509">
        <v>3066.5133988524863</v>
      </c>
      <c r="G224" s="562"/>
      <c r="H224" s="492"/>
      <c r="I224" s="509"/>
      <c r="J224" s="508"/>
      <c r="K224" s="492"/>
      <c r="L224" s="511">
        <v>1328.27</v>
      </c>
      <c r="M224" s="508"/>
      <c r="N224" s="534">
        <v>-1738.2433988524863</v>
      </c>
      <c r="O224" s="508"/>
      <c r="P224" s="492"/>
      <c r="Q224" s="511">
        <v>2955.15</v>
      </c>
      <c r="R224" s="508"/>
      <c r="S224" s="534">
        <v>-1626.88</v>
      </c>
      <c r="T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</row>
    <row r="225" spans="1:40" ht="15.75" customHeight="1">
      <c r="A225" s="477" t="s">
        <v>370</v>
      </c>
      <c r="B225" s="492" t="s">
        <v>83</v>
      </c>
      <c r="C225" s="508" t="s">
        <v>63</v>
      </c>
      <c r="D225" s="561"/>
      <c r="E225" s="492"/>
      <c r="F225" s="509">
        <v>1895.3289853790277</v>
      </c>
      <c r="G225" s="562"/>
      <c r="H225" s="492"/>
      <c r="I225" s="509"/>
      <c r="J225" s="508"/>
      <c r="K225" s="492"/>
      <c r="L225" s="511">
        <v>1951.19</v>
      </c>
      <c r="M225" s="508"/>
      <c r="N225" s="534">
        <v>55.861014620972355</v>
      </c>
      <c r="O225" s="508"/>
      <c r="P225" s="492"/>
      <c r="Q225" s="511">
        <v>1859.4</v>
      </c>
      <c r="R225" s="508"/>
      <c r="S225" s="534">
        <v>91.789999999999964</v>
      </c>
      <c r="T225" s="492"/>
      <c r="X225" s="492"/>
      <c r="Y225" s="492"/>
      <c r="Z225" s="492"/>
      <c r="AA225" s="492"/>
      <c r="AB225" s="492"/>
      <c r="AC225" s="492"/>
      <c r="AD225" s="492"/>
      <c r="AE225" s="492"/>
      <c r="AF225" s="492"/>
      <c r="AG225" s="492"/>
      <c r="AH225" s="492"/>
      <c r="AI225" s="492"/>
      <c r="AJ225" s="492"/>
      <c r="AK225" s="492"/>
      <c r="AL225" s="492"/>
      <c r="AM225" s="492"/>
      <c r="AN225" s="492"/>
    </row>
    <row r="226" spans="1:40" ht="15.75" hidden="1" customHeight="1">
      <c r="A226" s="477" t="s">
        <v>350</v>
      </c>
      <c r="B226" s="492" t="s">
        <v>83</v>
      </c>
      <c r="C226" s="508" t="s">
        <v>20</v>
      </c>
      <c r="D226" s="561"/>
      <c r="E226" s="492"/>
      <c r="F226" s="509">
        <v>0</v>
      </c>
      <c r="G226" s="562"/>
      <c r="H226" s="492"/>
      <c r="I226" s="509"/>
      <c r="J226" s="508"/>
      <c r="K226" s="492"/>
      <c r="L226" s="511">
        <v>0</v>
      </c>
      <c r="M226" s="508"/>
      <c r="N226" s="534">
        <v>0</v>
      </c>
      <c r="O226" s="508"/>
      <c r="P226" s="492"/>
      <c r="Q226" s="511">
        <v>0</v>
      </c>
      <c r="R226" s="508"/>
      <c r="S226" s="534">
        <v>0</v>
      </c>
      <c r="T226" s="492"/>
      <c r="U226" s="492"/>
      <c r="V226" s="492"/>
      <c r="W226" s="492"/>
      <c r="X226" s="492"/>
      <c r="Y226" s="492"/>
      <c r="Z226" s="492"/>
      <c r="AA226" s="492"/>
      <c r="AB226" s="492"/>
      <c r="AC226" s="492"/>
      <c r="AD226" s="492"/>
      <c r="AE226" s="492"/>
      <c r="AF226" s="492"/>
      <c r="AG226" s="492"/>
      <c r="AH226" s="492"/>
      <c r="AI226" s="492"/>
      <c r="AJ226" s="492"/>
      <c r="AK226" s="492"/>
      <c r="AL226" s="492"/>
      <c r="AM226" s="492"/>
      <c r="AN226" s="492"/>
    </row>
    <row r="227" spans="1:40" ht="15.75" hidden="1" customHeight="1">
      <c r="A227" s="477" t="s">
        <v>350</v>
      </c>
      <c r="B227" s="492" t="s">
        <v>83</v>
      </c>
      <c r="C227" s="508" t="s">
        <v>20</v>
      </c>
      <c r="D227" s="561"/>
      <c r="E227" s="492"/>
      <c r="F227" s="509">
        <v>0</v>
      </c>
      <c r="G227" s="562"/>
      <c r="H227" s="492"/>
      <c r="I227" s="509"/>
      <c r="J227" s="508"/>
      <c r="K227" s="492"/>
      <c r="L227" s="511">
        <v>0</v>
      </c>
      <c r="M227" s="508"/>
      <c r="N227" s="534">
        <v>0</v>
      </c>
      <c r="O227" s="508"/>
      <c r="P227" s="492"/>
      <c r="Q227" s="511">
        <v>0</v>
      </c>
      <c r="R227" s="508"/>
      <c r="S227" s="534">
        <v>0</v>
      </c>
      <c r="T227" s="492"/>
      <c r="U227" s="492"/>
      <c r="V227" s="492"/>
      <c r="W227" s="492"/>
      <c r="X227" s="492"/>
      <c r="Y227" s="492"/>
      <c r="Z227" s="492"/>
      <c r="AA227" s="492"/>
      <c r="AB227" s="492"/>
      <c r="AC227" s="492"/>
      <c r="AD227" s="492"/>
      <c r="AE227" s="492"/>
      <c r="AF227" s="492"/>
      <c r="AG227" s="492"/>
      <c r="AH227" s="492"/>
      <c r="AI227" s="492"/>
      <c r="AJ227" s="492"/>
      <c r="AK227" s="492"/>
      <c r="AL227" s="492"/>
      <c r="AM227" s="492"/>
      <c r="AN227" s="492"/>
    </row>
    <row r="228" spans="1:40" ht="15.75" hidden="1" customHeight="1">
      <c r="A228" s="477" t="s">
        <v>350</v>
      </c>
      <c r="B228" s="492" t="s">
        <v>83</v>
      </c>
      <c r="C228" s="508" t="s">
        <v>20</v>
      </c>
      <c r="D228" s="561"/>
      <c r="E228" s="492"/>
      <c r="F228" s="509">
        <v>0</v>
      </c>
      <c r="G228" s="562"/>
      <c r="H228" s="492"/>
      <c r="I228" s="509"/>
      <c r="J228" s="508"/>
      <c r="K228" s="492"/>
      <c r="L228" s="511">
        <v>0</v>
      </c>
      <c r="M228" s="508"/>
      <c r="N228" s="534">
        <v>0</v>
      </c>
      <c r="O228" s="508"/>
      <c r="P228" s="492"/>
      <c r="Q228" s="511">
        <v>0</v>
      </c>
      <c r="R228" s="508"/>
      <c r="S228" s="534">
        <v>0</v>
      </c>
      <c r="T228" s="492"/>
      <c r="U228" s="492"/>
      <c r="V228" s="492"/>
      <c r="W228" s="492"/>
      <c r="X228" s="492"/>
      <c r="Y228" s="492"/>
      <c r="Z228" s="492"/>
      <c r="AA228" s="492"/>
      <c r="AB228" s="492"/>
      <c r="AC228" s="492"/>
      <c r="AD228" s="492"/>
      <c r="AE228" s="492"/>
      <c r="AF228" s="492"/>
      <c r="AG228" s="492"/>
      <c r="AH228" s="492"/>
      <c r="AI228" s="492"/>
      <c r="AJ228" s="492"/>
      <c r="AK228" s="492"/>
      <c r="AL228" s="492"/>
      <c r="AM228" s="492"/>
      <c r="AN228" s="492"/>
    </row>
    <row r="229" spans="1:40" ht="15.75" customHeight="1">
      <c r="B229" s="492"/>
      <c r="C229" s="568" t="s">
        <v>64</v>
      </c>
      <c r="D229" s="569" t="s">
        <v>97</v>
      </c>
      <c r="E229" s="570">
        <v>0.25028723290372462</v>
      </c>
      <c r="F229" s="571">
        <v>53234.252414617971</v>
      </c>
      <c r="G229" s="572"/>
      <c r="H229" s="570"/>
      <c r="I229" s="571"/>
      <c r="J229" s="572" t="s">
        <v>97</v>
      </c>
      <c r="K229" s="570">
        <v>0.24654213011200268</v>
      </c>
      <c r="L229" s="571">
        <v>59491.4</v>
      </c>
      <c r="M229" s="575"/>
      <c r="N229" s="571">
        <v>6257.1475853820302</v>
      </c>
      <c r="O229" s="572" t="s">
        <v>97</v>
      </c>
      <c r="P229" s="570">
        <v>0.28294206326705479</v>
      </c>
      <c r="Q229" s="571">
        <v>58602.1</v>
      </c>
      <c r="R229" s="575"/>
      <c r="S229" s="571">
        <v>889.30000000000291</v>
      </c>
      <c r="T229" s="492"/>
      <c r="U229" s="492"/>
      <c r="V229" s="492"/>
      <c r="W229" s="492"/>
      <c r="X229" s="492"/>
      <c r="Y229" s="492"/>
      <c r="Z229" s="492"/>
      <c r="AA229" s="492"/>
      <c r="AB229" s="492"/>
      <c r="AC229" s="492"/>
      <c r="AD229" s="492"/>
      <c r="AE229" s="492"/>
      <c r="AF229" s="492"/>
      <c r="AG229" s="492"/>
      <c r="AH229" s="492"/>
      <c r="AI229" s="492"/>
      <c r="AJ229" s="492"/>
      <c r="AK229" s="492"/>
      <c r="AL229" s="492"/>
      <c r="AM229" s="492"/>
      <c r="AN229" s="492"/>
    </row>
    <row r="230" spans="1:40" ht="15.75" customHeight="1">
      <c r="B230" s="492"/>
      <c r="C230" s="501"/>
      <c r="D230" s="563"/>
      <c r="E230" s="583"/>
      <c r="F230" s="534"/>
      <c r="G230" s="564"/>
      <c r="H230" s="583"/>
      <c r="I230" s="534"/>
      <c r="J230" s="501"/>
      <c r="K230" s="583"/>
      <c r="L230" s="559"/>
      <c r="M230" s="501"/>
      <c r="N230" s="559"/>
      <c r="O230" s="501"/>
      <c r="P230" s="583"/>
      <c r="Q230" s="559"/>
      <c r="R230" s="501"/>
      <c r="S230" s="559"/>
      <c r="T230" s="492"/>
      <c r="U230" s="492"/>
      <c r="V230" s="492"/>
      <c r="W230" s="492"/>
      <c r="X230" s="492"/>
      <c r="Y230" s="492"/>
      <c r="Z230" s="492"/>
      <c r="AA230" s="492"/>
      <c r="AB230" s="492"/>
      <c r="AC230" s="492"/>
      <c r="AD230" s="492"/>
      <c r="AE230" s="492"/>
      <c r="AF230" s="492"/>
      <c r="AG230" s="492"/>
      <c r="AH230" s="492"/>
      <c r="AI230" s="492"/>
      <c r="AJ230" s="492"/>
      <c r="AK230" s="492"/>
      <c r="AL230" s="492"/>
      <c r="AM230" s="492"/>
      <c r="AN230" s="492"/>
    </row>
    <row r="231" spans="1:40" ht="15.75" customHeight="1">
      <c r="B231" s="492"/>
      <c r="C231" s="568" t="s">
        <v>65</v>
      </c>
      <c r="D231" s="569" t="s">
        <v>39</v>
      </c>
      <c r="E231" s="570">
        <v>0.80067114218131097</v>
      </c>
      <c r="F231" s="571">
        <v>170296.8592903649</v>
      </c>
      <c r="G231" s="572"/>
      <c r="H231" s="570"/>
      <c r="I231" s="571"/>
      <c r="J231" s="572" t="s">
        <v>39</v>
      </c>
      <c r="K231" s="570">
        <v>0.69540074026376286</v>
      </c>
      <c r="L231" s="571">
        <v>167802.41</v>
      </c>
      <c r="M231" s="575"/>
      <c r="N231" s="585">
        <v>-2494.4492903648934</v>
      </c>
      <c r="O231" s="572" t="s">
        <v>39</v>
      </c>
      <c r="P231" s="570">
        <v>0.810336295009352</v>
      </c>
      <c r="Q231" s="571">
        <v>167834.38999999998</v>
      </c>
      <c r="R231" s="575"/>
      <c r="S231" s="585">
        <v>-31.979999999981374</v>
      </c>
      <c r="T231" s="492"/>
      <c r="U231" s="492"/>
      <c r="V231" s="492"/>
      <c r="W231" s="492"/>
      <c r="X231" s="492"/>
      <c r="Y231" s="492"/>
      <c r="Z231" s="492"/>
      <c r="AA231" s="492"/>
      <c r="AB231" s="492"/>
      <c r="AC231" s="492"/>
      <c r="AD231" s="492"/>
      <c r="AE231" s="492"/>
      <c r="AF231" s="492"/>
      <c r="AG231" s="492"/>
      <c r="AH231" s="492"/>
      <c r="AI231" s="492"/>
      <c r="AJ231" s="492"/>
      <c r="AK231" s="492"/>
      <c r="AL231" s="492"/>
      <c r="AM231" s="492"/>
      <c r="AN231" s="492"/>
    </row>
    <row r="232" spans="1:40" ht="15.75" customHeight="1">
      <c r="B232" s="492"/>
      <c r="C232" s="508"/>
      <c r="D232" s="561"/>
      <c r="E232" s="492"/>
      <c r="F232" s="534"/>
      <c r="G232" s="562"/>
      <c r="H232" s="492"/>
      <c r="I232" s="534"/>
      <c r="J232" s="508"/>
      <c r="K232" s="492"/>
      <c r="L232" s="534"/>
      <c r="M232" s="508"/>
      <c r="N232" s="534">
        <v>0</v>
      </c>
      <c r="O232" s="508"/>
      <c r="P232" s="492"/>
      <c r="Q232" s="534"/>
      <c r="R232" s="508"/>
      <c r="S232" s="534"/>
      <c r="T232" s="492"/>
      <c r="U232" s="492"/>
      <c r="V232" s="492"/>
      <c r="W232" s="492"/>
      <c r="X232" s="492"/>
      <c r="Y232" s="492"/>
      <c r="Z232" s="492"/>
      <c r="AA232" s="492"/>
      <c r="AB232" s="492"/>
      <c r="AC232" s="492"/>
      <c r="AD232" s="492"/>
      <c r="AE232" s="492"/>
      <c r="AF232" s="492"/>
      <c r="AG232" s="492"/>
      <c r="AH232" s="492"/>
      <c r="AI232" s="492"/>
      <c r="AJ232" s="492"/>
      <c r="AK232" s="492"/>
      <c r="AL232" s="492"/>
      <c r="AM232" s="492"/>
      <c r="AN232" s="492"/>
    </row>
    <row r="233" spans="1:40" ht="15.75" customHeight="1" thickBot="1">
      <c r="B233" s="492"/>
      <c r="C233" s="600" t="s">
        <v>72</v>
      </c>
      <c r="D233" s="630"/>
      <c r="E233" s="601"/>
      <c r="F233" s="603">
        <v>42395.781069341465</v>
      </c>
      <c r="G233" s="631"/>
      <c r="H233" s="601"/>
      <c r="I233" s="603"/>
      <c r="J233" s="600"/>
      <c r="K233" s="602"/>
      <c r="L233" s="603">
        <v>73500.76999999999</v>
      </c>
      <c r="M233" s="600"/>
      <c r="N233" s="603">
        <v>31104.988930658525</v>
      </c>
      <c r="O233" s="600"/>
      <c r="P233" s="605">
        <v>0.13553559902194354</v>
      </c>
      <c r="Q233" s="603">
        <v>39282.569999999803</v>
      </c>
      <c r="R233" s="600"/>
      <c r="S233" s="603">
        <v>34218.200000000186</v>
      </c>
      <c r="T233" s="492"/>
      <c r="U233" s="492"/>
      <c r="V233" s="492"/>
      <c r="W233" s="492"/>
      <c r="X233" s="492"/>
      <c r="Y233" s="492"/>
      <c r="Z233" s="492"/>
      <c r="AA233" s="492"/>
      <c r="AB233" s="492"/>
      <c r="AC233" s="492"/>
      <c r="AD233" s="492"/>
      <c r="AE233" s="492"/>
      <c r="AF233" s="492"/>
      <c r="AG233" s="492"/>
      <c r="AH233" s="492"/>
      <c r="AI233" s="492"/>
      <c r="AJ233" s="492"/>
      <c r="AK233" s="492"/>
      <c r="AL233" s="492"/>
      <c r="AM233" s="492"/>
      <c r="AN233" s="492"/>
    </row>
    <row r="234" spans="1:40" ht="15.75" customHeight="1" thickTop="1">
      <c r="B234" s="492"/>
      <c r="C234" s="492"/>
      <c r="D234" s="492"/>
      <c r="E234" s="492"/>
      <c r="F234" s="492"/>
      <c r="G234" s="492"/>
      <c r="H234" s="492"/>
      <c r="I234" s="492"/>
      <c r="J234" s="492"/>
      <c r="K234" s="492"/>
      <c r="L234" s="550"/>
      <c r="M234" s="550"/>
      <c r="N234" s="492"/>
      <c r="O234" s="550"/>
      <c r="P234" s="492"/>
      <c r="Q234" s="550"/>
      <c r="R234" s="492"/>
      <c r="S234" s="492"/>
      <c r="T234" s="492"/>
      <c r="U234" s="492"/>
      <c r="V234" s="492"/>
      <c r="W234" s="492"/>
      <c r="X234" s="492"/>
      <c r="Y234" s="492"/>
      <c r="Z234" s="492"/>
      <c r="AA234" s="492"/>
      <c r="AB234" s="492"/>
      <c r="AC234" s="492"/>
      <c r="AD234" s="492"/>
      <c r="AE234" s="492"/>
      <c r="AF234" s="492"/>
      <c r="AG234" s="492"/>
      <c r="AH234" s="492"/>
      <c r="AI234" s="492"/>
      <c r="AJ234" s="492"/>
      <c r="AK234" s="492"/>
      <c r="AL234" s="492"/>
      <c r="AM234" s="492"/>
      <c r="AN234" s="492"/>
    </row>
    <row r="235" spans="1:40" ht="15.75" customHeight="1">
      <c r="B235" s="492"/>
      <c r="C235" s="489"/>
      <c r="D235" s="489"/>
      <c r="E235" s="489"/>
      <c r="F235" s="489"/>
      <c r="G235" s="489"/>
      <c r="H235" s="489"/>
      <c r="I235" s="489"/>
      <c r="J235" s="489"/>
      <c r="K235" s="489"/>
      <c r="L235" s="632"/>
      <c r="M235" s="632"/>
      <c r="N235" s="489"/>
      <c r="O235" s="632"/>
      <c r="P235" s="489"/>
      <c r="Q235" s="632"/>
      <c r="R235" s="489"/>
      <c r="S235" s="489"/>
      <c r="T235" s="489"/>
      <c r="U235" s="489"/>
      <c r="V235" s="492"/>
      <c r="W235" s="492"/>
      <c r="X235" s="492"/>
      <c r="Y235" s="492"/>
      <c r="Z235" s="492"/>
      <c r="AA235" s="492"/>
      <c r="AB235" s="492"/>
      <c r="AC235" s="492"/>
      <c r="AD235" s="492"/>
      <c r="AE235" s="492"/>
      <c r="AF235" s="492"/>
      <c r="AG235" s="492"/>
      <c r="AH235" s="492"/>
      <c r="AI235" s="492"/>
      <c r="AJ235" s="492"/>
      <c r="AK235" s="492"/>
      <c r="AL235" s="492"/>
      <c r="AM235" s="492"/>
      <c r="AN235" s="492"/>
    </row>
    <row r="236" spans="1:40" ht="33" customHeight="1">
      <c r="B236" s="492"/>
      <c r="C236" s="610" t="s">
        <v>478</v>
      </c>
      <c r="D236" s="480"/>
      <c r="E236" s="480"/>
      <c r="F236" s="480"/>
      <c r="G236" s="480"/>
      <c r="H236" s="478"/>
      <c r="I236" s="478"/>
      <c r="J236" s="478"/>
      <c r="K236" s="482" t="s">
        <v>99</v>
      </c>
      <c r="L236" s="480"/>
      <c r="M236" s="480"/>
      <c r="N236" s="478"/>
      <c r="O236" s="478"/>
      <c r="P236" s="480"/>
      <c r="Q236" s="478"/>
      <c r="R236" s="480"/>
      <c r="S236" s="611" t="s">
        <v>480</v>
      </c>
      <c r="T236" s="480"/>
      <c r="U236" s="478"/>
      <c r="V236" s="489"/>
      <c r="W236" s="489"/>
      <c r="X236" s="489"/>
      <c r="Y236" s="489"/>
      <c r="Z236" s="489"/>
      <c r="AA236" s="489"/>
      <c r="AB236" s="489"/>
      <c r="AC236" s="489"/>
      <c r="AD236" s="489"/>
      <c r="AE236" s="489"/>
      <c r="AF236" s="489"/>
      <c r="AG236" s="489"/>
      <c r="AH236" s="489"/>
      <c r="AI236" s="489"/>
      <c r="AJ236" s="489"/>
      <c r="AK236" s="489"/>
      <c r="AL236" s="489"/>
      <c r="AM236" s="489"/>
      <c r="AN236" s="489"/>
    </row>
    <row r="237" spans="1:40" ht="24" customHeight="1" thickBot="1">
      <c r="B237" s="492"/>
      <c r="C237" s="487"/>
      <c r="D237" s="489"/>
      <c r="E237" s="489"/>
      <c r="F237" s="489"/>
      <c r="G237" s="489"/>
      <c r="H237" s="489"/>
      <c r="I237" s="489"/>
      <c r="J237" s="489"/>
      <c r="K237" s="489"/>
      <c r="L237" s="489"/>
      <c r="M237" s="489"/>
      <c r="N237" s="489"/>
      <c r="O237" s="489"/>
      <c r="P237" s="489"/>
      <c r="Q237" s="489"/>
      <c r="R237" s="489"/>
      <c r="S237" s="489"/>
      <c r="T237" s="489"/>
      <c r="U237" s="489"/>
      <c r="V237" s="478"/>
      <c r="W237" s="478"/>
      <c r="X237" s="478"/>
      <c r="Y237" s="478"/>
      <c r="Z237" s="478"/>
      <c r="AA237" s="478"/>
      <c r="AB237" s="478"/>
      <c r="AC237" s="478"/>
      <c r="AD237" s="478"/>
      <c r="AE237" s="478"/>
      <c r="AF237" s="478"/>
      <c r="AG237" s="478"/>
      <c r="AH237" s="478"/>
      <c r="AI237" s="478"/>
      <c r="AJ237" s="478"/>
      <c r="AK237" s="478"/>
      <c r="AL237" s="478"/>
      <c r="AM237" s="478"/>
      <c r="AN237" s="478"/>
    </row>
    <row r="238" spans="1:40" ht="15.75" customHeight="1" thickTop="1">
      <c r="B238" s="492"/>
      <c r="C238" s="493"/>
      <c r="D238" s="879" t="s">
        <v>5</v>
      </c>
      <c r="E238" s="880"/>
      <c r="F238" s="881"/>
      <c r="G238" s="882"/>
      <c r="H238" s="880"/>
      <c r="I238" s="881"/>
      <c r="J238" s="882" t="s">
        <v>7</v>
      </c>
      <c r="K238" s="880"/>
      <c r="L238" s="881"/>
      <c r="M238" s="882" t="s">
        <v>220</v>
      </c>
      <c r="N238" s="881"/>
      <c r="O238" s="879" t="s">
        <v>8</v>
      </c>
      <c r="P238" s="880"/>
      <c r="Q238" s="881"/>
      <c r="R238" s="882" t="s">
        <v>221</v>
      </c>
      <c r="S238" s="881"/>
      <c r="T238" s="626"/>
      <c r="U238" s="492"/>
      <c r="V238" s="489"/>
      <c r="W238" s="489"/>
      <c r="X238" s="489"/>
      <c r="Y238" s="489"/>
      <c r="Z238" s="489"/>
      <c r="AA238" s="489"/>
      <c r="AB238" s="489"/>
      <c r="AC238" s="489"/>
      <c r="AD238" s="489"/>
      <c r="AE238" s="489"/>
      <c r="AF238" s="489"/>
      <c r="AG238" s="489"/>
      <c r="AH238" s="489"/>
      <c r="AI238" s="489"/>
      <c r="AJ238" s="489"/>
      <c r="AK238" s="489"/>
      <c r="AL238" s="489"/>
      <c r="AM238" s="489"/>
      <c r="AN238" s="489"/>
    </row>
    <row r="239" spans="1:40" ht="15.75" customHeight="1">
      <c r="A239" s="477" t="s">
        <v>99</v>
      </c>
      <c r="B239" s="492" t="s">
        <v>99</v>
      </c>
      <c r="C239" s="508"/>
      <c r="D239" s="552" t="s">
        <v>40</v>
      </c>
      <c r="E239" s="552" t="s">
        <v>84</v>
      </c>
      <c r="F239" s="633" t="s">
        <v>12</v>
      </c>
      <c r="G239" s="634"/>
      <c r="H239" s="552"/>
      <c r="I239" s="633"/>
      <c r="J239" s="634" t="s">
        <v>40</v>
      </c>
      <c r="K239" s="552" t="s">
        <v>84</v>
      </c>
      <c r="L239" s="633" t="s">
        <v>12</v>
      </c>
      <c r="M239" s="634" t="s">
        <v>40</v>
      </c>
      <c r="N239" s="633" t="s">
        <v>223</v>
      </c>
      <c r="O239" s="552" t="s">
        <v>40</v>
      </c>
      <c r="P239" s="552" t="s">
        <v>84</v>
      </c>
      <c r="Q239" s="633" t="s">
        <v>12</v>
      </c>
      <c r="R239" s="634" t="s">
        <v>85</v>
      </c>
      <c r="S239" s="633" t="s">
        <v>12</v>
      </c>
      <c r="T239" s="552"/>
      <c r="U239" s="492"/>
      <c r="V239" s="492"/>
      <c r="W239" s="492"/>
      <c r="X239" s="492"/>
      <c r="Y239" s="492"/>
      <c r="Z239" s="492"/>
      <c r="AA239" s="492"/>
      <c r="AB239" s="492"/>
      <c r="AC239" s="492"/>
      <c r="AD239" s="492"/>
      <c r="AE239" s="492"/>
      <c r="AF239" s="492"/>
      <c r="AG239" s="492"/>
      <c r="AH239" s="492"/>
      <c r="AI239" s="492"/>
      <c r="AJ239" s="492"/>
      <c r="AK239" s="492"/>
      <c r="AL239" s="492"/>
      <c r="AM239" s="492"/>
      <c r="AN239" s="492"/>
    </row>
    <row r="240" spans="1:40" ht="15.75" customHeight="1">
      <c r="A240" s="477" t="s">
        <v>99</v>
      </c>
      <c r="B240" s="492" t="s">
        <v>99</v>
      </c>
      <c r="C240" s="508"/>
      <c r="D240" s="552"/>
      <c r="E240" s="552"/>
      <c r="F240" s="633"/>
      <c r="G240" s="634"/>
      <c r="H240" s="552"/>
      <c r="I240" s="633"/>
      <c r="J240" s="634"/>
      <c r="K240" s="509"/>
      <c r="L240" s="511"/>
      <c r="M240" s="634"/>
      <c r="N240" s="633"/>
      <c r="O240" s="552"/>
      <c r="P240" s="552"/>
      <c r="Q240" s="633"/>
      <c r="R240" s="634"/>
      <c r="S240" s="633"/>
      <c r="T240" s="552"/>
      <c r="U240" s="492"/>
      <c r="V240" s="492"/>
      <c r="W240" s="492"/>
      <c r="X240" s="492"/>
      <c r="Y240" s="492"/>
      <c r="Z240" s="492"/>
      <c r="AA240" s="492"/>
      <c r="AB240" s="492"/>
      <c r="AC240" s="492"/>
      <c r="AD240" s="492"/>
      <c r="AE240" s="492"/>
      <c r="AF240" s="492"/>
      <c r="AG240" s="492"/>
      <c r="AH240" s="492"/>
      <c r="AI240" s="492"/>
      <c r="AJ240" s="492"/>
      <c r="AK240" s="492"/>
      <c r="AL240" s="492"/>
      <c r="AM240" s="492"/>
      <c r="AN240" s="492"/>
    </row>
    <row r="241" spans="1:40" ht="15.75" customHeight="1">
      <c r="A241" s="477" t="s">
        <v>371</v>
      </c>
      <c r="B241" s="492" t="s">
        <v>99</v>
      </c>
      <c r="C241" s="508" t="s">
        <v>100</v>
      </c>
      <c r="D241" s="674">
        <v>0</v>
      </c>
      <c r="E241" s="550">
        <v>48000</v>
      </c>
      <c r="F241" s="550">
        <v>10560</v>
      </c>
      <c r="G241" s="675"/>
      <c r="H241" s="550"/>
      <c r="I241" s="550"/>
      <c r="J241" s="535">
        <v>14</v>
      </c>
      <c r="K241" s="509">
        <v>50617.07</v>
      </c>
      <c r="L241" s="511">
        <v>9648.5899999999965</v>
      </c>
      <c r="M241" s="554">
        <v>5.452229166666666E-2</v>
      </c>
      <c r="N241" s="534">
        <v>-911.41000000000349</v>
      </c>
      <c r="O241" s="535">
        <v>0</v>
      </c>
      <c r="P241" s="509">
        <v>866.04</v>
      </c>
      <c r="Q241" s="511">
        <v>866.04</v>
      </c>
      <c r="R241" s="554">
        <v>0</v>
      </c>
      <c r="S241" s="534">
        <v>8782.5499999999956</v>
      </c>
      <c r="T241" s="552"/>
      <c r="U241" s="492"/>
      <c r="V241" s="492"/>
      <c r="W241" s="492"/>
      <c r="X241" s="492"/>
      <c r="Y241" s="492"/>
      <c r="Z241" s="492"/>
      <c r="AA241" s="492"/>
      <c r="AB241" s="492"/>
      <c r="AC241" s="492"/>
      <c r="AD241" s="492"/>
      <c r="AE241" s="492"/>
      <c r="AF241" s="492"/>
      <c r="AG241" s="492"/>
      <c r="AH241" s="492"/>
      <c r="AI241" s="492"/>
      <c r="AJ241" s="492"/>
      <c r="AK241" s="492"/>
      <c r="AL241" s="492"/>
      <c r="AM241" s="492"/>
      <c r="AN241" s="492"/>
    </row>
    <row r="242" spans="1:40" ht="15.75" customHeight="1">
      <c r="A242" s="477" t="s">
        <v>372</v>
      </c>
      <c r="B242" s="492" t="s">
        <v>99</v>
      </c>
      <c r="C242" s="508" t="s">
        <v>87</v>
      </c>
      <c r="D242" s="552"/>
      <c r="E242" s="619"/>
      <c r="F242" s="635">
        <v>0.22</v>
      </c>
      <c r="G242" s="508"/>
      <c r="H242" s="619"/>
      <c r="I242" s="635"/>
      <c r="J242" s="535"/>
      <c r="K242" s="492"/>
      <c r="L242" s="635">
        <v>0.19061929108105224</v>
      </c>
      <c r="M242" s="554"/>
      <c r="N242" s="534">
        <v>-16716.281948897114</v>
      </c>
      <c r="O242" s="535"/>
      <c r="P242" s="492"/>
      <c r="Q242" s="635">
        <v>1</v>
      </c>
      <c r="R242" s="535"/>
      <c r="S242" s="534">
        <v>0</v>
      </c>
      <c r="T242" s="552"/>
      <c r="U242" s="492"/>
      <c r="V242" s="492"/>
      <c r="W242" s="492"/>
      <c r="X242" s="492"/>
      <c r="Y242" s="492"/>
      <c r="Z242" s="492"/>
      <c r="AA242" s="492"/>
      <c r="AB242" s="492"/>
      <c r="AC242" s="492"/>
      <c r="AD242" s="492"/>
      <c r="AE242" s="492"/>
      <c r="AF242" s="492"/>
      <c r="AG242" s="492"/>
      <c r="AH242" s="492"/>
      <c r="AI242" s="492"/>
      <c r="AJ242" s="492"/>
      <c r="AK242" s="492"/>
      <c r="AL242" s="492"/>
      <c r="AM242" s="492"/>
      <c r="AN242" s="492"/>
    </row>
    <row r="243" spans="1:40" ht="15.75" customHeight="1">
      <c r="A243" s="477" t="s">
        <v>99</v>
      </c>
      <c r="B243" s="492" t="s">
        <v>99</v>
      </c>
      <c r="C243" s="508"/>
      <c r="D243" s="552"/>
      <c r="E243" s="676"/>
      <c r="F243" s="613"/>
      <c r="G243" s="634"/>
      <c r="H243" s="676"/>
      <c r="I243" s="613"/>
      <c r="J243" s="634"/>
      <c r="K243" s="552"/>
      <c r="L243" s="633"/>
      <c r="M243" s="634"/>
      <c r="N243" s="633"/>
      <c r="O243" s="634"/>
      <c r="P243" s="552"/>
      <c r="Q243" s="633"/>
      <c r="R243" s="612"/>
      <c r="S243" s="633"/>
      <c r="T243" s="552"/>
      <c r="U243" s="492"/>
      <c r="V243" s="492"/>
      <c r="W243" s="492"/>
      <c r="X243" s="492"/>
      <c r="Y243" s="492"/>
      <c r="Z243" s="492"/>
      <c r="AA243" s="492"/>
      <c r="AB243" s="492"/>
      <c r="AC243" s="492"/>
      <c r="AD243" s="492"/>
      <c r="AE243" s="492"/>
      <c r="AF243" s="492"/>
      <c r="AG243" s="492"/>
      <c r="AH243" s="492"/>
      <c r="AI243" s="492"/>
      <c r="AJ243" s="492"/>
      <c r="AK243" s="492"/>
      <c r="AL243" s="492"/>
      <c r="AM243" s="492"/>
      <c r="AN243" s="492"/>
    </row>
    <row r="244" spans="1:40" ht="15.75" customHeight="1">
      <c r="A244" s="477" t="s">
        <v>373</v>
      </c>
      <c r="B244" s="492" t="s">
        <v>99</v>
      </c>
      <c r="C244" s="496" t="s">
        <v>101</v>
      </c>
      <c r="D244" s="639">
        <v>0</v>
      </c>
      <c r="E244" s="550">
        <v>0</v>
      </c>
      <c r="F244" s="550">
        <v>0</v>
      </c>
      <c r="G244" s="677"/>
      <c r="H244" s="550"/>
      <c r="I244" s="550"/>
      <c r="J244" s="640">
        <v>0</v>
      </c>
      <c r="K244" s="529">
        <v>0</v>
      </c>
      <c r="L244" s="530">
        <v>0</v>
      </c>
      <c r="M244" s="644">
        <v>0</v>
      </c>
      <c r="N244" s="582">
        <v>0</v>
      </c>
      <c r="O244" s="640">
        <v>0</v>
      </c>
      <c r="P244" s="529">
        <v>0</v>
      </c>
      <c r="Q244" s="530">
        <v>0</v>
      </c>
      <c r="R244" s="554">
        <v>0</v>
      </c>
      <c r="S244" s="582">
        <v>0</v>
      </c>
      <c r="T244" s="623"/>
      <c r="U244" s="492"/>
      <c r="V244" s="492"/>
      <c r="W244" s="492"/>
      <c r="X244" s="492"/>
      <c r="Y244" s="492"/>
      <c r="Z244" s="492"/>
      <c r="AA244" s="492"/>
      <c r="AB244" s="492"/>
      <c r="AC244" s="492"/>
      <c r="AD244" s="492"/>
      <c r="AE244" s="492"/>
      <c r="AF244" s="492"/>
      <c r="AG244" s="492"/>
      <c r="AH244" s="492"/>
      <c r="AI244" s="492"/>
      <c r="AJ244" s="492"/>
      <c r="AK244" s="492"/>
      <c r="AL244" s="492"/>
      <c r="AM244" s="492"/>
      <c r="AN244" s="492"/>
    </row>
    <row r="245" spans="1:40" ht="15.75" customHeight="1">
      <c r="A245" s="477" t="s">
        <v>372</v>
      </c>
      <c r="B245" s="492" t="s">
        <v>99</v>
      </c>
      <c r="C245" s="508" t="s">
        <v>87</v>
      </c>
      <c r="D245" s="492"/>
      <c r="E245" s="619"/>
      <c r="F245" s="635" t="e">
        <v>#DIV/0!</v>
      </c>
      <c r="G245" s="508"/>
      <c r="H245" s="619"/>
      <c r="I245" s="635"/>
      <c r="J245" s="535"/>
      <c r="K245" s="492"/>
      <c r="L245" s="635">
        <v>0</v>
      </c>
      <c r="M245" s="554"/>
      <c r="N245" s="534">
        <v>0</v>
      </c>
      <c r="O245" s="535"/>
      <c r="P245" s="492"/>
      <c r="Q245" s="635">
        <v>0</v>
      </c>
      <c r="R245" s="535"/>
      <c r="S245" s="534">
        <v>0</v>
      </c>
      <c r="T245" s="623"/>
      <c r="U245" s="492"/>
      <c r="V245" s="492"/>
      <c r="W245" s="492"/>
      <c r="X245" s="492"/>
      <c r="Y245" s="492"/>
      <c r="Z245" s="492"/>
      <c r="AA245" s="492"/>
      <c r="AB245" s="492"/>
      <c r="AC245" s="492"/>
      <c r="AD245" s="492"/>
      <c r="AE245" s="492"/>
      <c r="AF245" s="492"/>
      <c r="AG245" s="492"/>
      <c r="AH245" s="492"/>
      <c r="AI245" s="492"/>
      <c r="AJ245" s="492"/>
      <c r="AK245" s="492"/>
      <c r="AL245" s="492"/>
      <c r="AM245" s="492"/>
      <c r="AN245" s="492"/>
    </row>
    <row r="246" spans="1:40" ht="15.75" customHeight="1">
      <c r="A246" s="477" t="s">
        <v>99</v>
      </c>
      <c r="B246" s="492" t="s">
        <v>99</v>
      </c>
      <c r="C246" s="501"/>
      <c r="D246" s="583"/>
      <c r="E246" s="678"/>
      <c r="F246" s="637"/>
      <c r="G246" s="501"/>
      <c r="H246" s="678"/>
      <c r="I246" s="637"/>
      <c r="J246" s="638"/>
      <c r="K246" s="679"/>
      <c r="L246" s="637"/>
      <c r="M246" s="558"/>
      <c r="N246" s="559"/>
      <c r="O246" s="638"/>
      <c r="P246" s="679"/>
      <c r="Q246" s="637"/>
      <c r="R246" s="638"/>
      <c r="S246" s="559"/>
      <c r="T246" s="623"/>
      <c r="U246" s="492"/>
      <c r="V246" s="492"/>
      <c r="W246" s="492"/>
      <c r="X246" s="492"/>
      <c r="Y246" s="492"/>
      <c r="Z246" s="492"/>
      <c r="AA246" s="492"/>
      <c r="AB246" s="492"/>
      <c r="AC246" s="492"/>
      <c r="AD246" s="492"/>
      <c r="AE246" s="492"/>
      <c r="AF246" s="492"/>
      <c r="AG246" s="492"/>
      <c r="AH246" s="492"/>
      <c r="AI246" s="492"/>
      <c r="AJ246" s="492"/>
      <c r="AK246" s="492"/>
      <c r="AL246" s="492"/>
      <c r="AM246" s="492"/>
      <c r="AN246" s="492"/>
    </row>
    <row r="247" spans="1:40" ht="15.75" customHeight="1">
      <c r="A247" s="477" t="s">
        <v>374</v>
      </c>
      <c r="B247" s="492" t="s">
        <v>99</v>
      </c>
      <c r="C247" s="496" t="s">
        <v>102</v>
      </c>
      <c r="D247" s="639">
        <v>0</v>
      </c>
      <c r="E247" s="550">
        <v>0</v>
      </c>
      <c r="F247" s="550">
        <v>0</v>
      </c>
      <c r="G247" s="640"/>
      <c r="H247" s="550"/>
      <c r="I247" s="550"/>
      <c r="J247" s="640">
        <v>0</v>
      </c>
      <c r="K247" s="509">
        <v>0</v>
      </c>
      <c r="L247" s="511">
        <v>0</v>
      </c>
      <c r="M247" s="554">
        <v>0</v>
      </c>
      <c r="N247" s="582">
        <v>0</v>
      </c>
      <c r="O247" s="640">
        <v>0</v>
      </c>
      <c r="P247" s="509">
        <v>0</v>
      </c>
      <c r="Q247" s="511">
        <v>0</v>
      </c>
      <c r="R247" s="554">
        <v>0</v>
      </c>
      <c r="S247" s="534">
        <v>0</v>
      </c>
      <c r="T247" s="623"/>
      <c r="U247" s="492"/>
      <c r="V247" s="492"/>
      <c r="W247" s="492"/>
      <c r="X247" s="492"/>
      <c r="Y247" s="492"/>
      <c r="Z247" s="492"/>
      <c r="AA247" s="492"/>
      <c r="AB247" s="492"/>
      <c r="AC247" s="492"/>
      <c r="AD247" s="492"/>
      <c r="AE247" s="492"/>
      <c r="AF247" s="492"/>
      <c r="AG247" s="492"/>
      <c r="AH247" s="492"/>
      <c r="AI247" s="492"/>
      <c r="AJ247" s="492"/>
      <c r="AK247" s="492"/>
      <c r="AL247" s="492"/>
      <c r="AM247" s="492"/>
      <c r="AN247" s="492"/>
    </row>
    <row r="248" spans="1:40" ht="15.75" customHeight="1">
      <c r="A248" s="477" t="s">
        <v>372</v>
      </c>
      <c r="B248" s="492" t="s">
        <v>99</v>
      </c>
      <c r="C248" s="508" t="s">
        <v>87</v>
      </c>
      <c r="D248" s="492"/>
      <c r="E248" s="492"/>
      <c r="F248" s="635" t="e">
        <v>#DIV/0!</v>
      </c>
      <c r="G248" s="508"/>
      <c r="H248" s="492"/>
      <c r="I248" s="635"/>
      <c r="J248" s="508"/>
      <c r="K248" s="492"/>
      <c r="L248" s="635">
        <v>0</v>
      </c>
      <c r="M248" s="525"/>
      <c r="N248" s="526">
        <v>0</v>
      </c>
      <c r="O248" s="508"/>
      <c r="P248" s="492"/>
      <c r="Q248" s="635">
        <v>0</v>
      </c>
      <c r="R248" s="525"/>
      <c r="S248" s="526">
        <v>0</v>
      </c>
      <c r="T248" s="623"/>
      <c r="U248" s="492"/>
      <c r="V248" s="492"/>
      <c r="W248" s="492"/>
      <c r="X248" s="492"/>
      <c r="Y248" s="492"/>
      <c r="Z248" s="492"/>
      <c r="AA248" s="492"/>
      <c r="AB248" s="492"/>
      <c r="AC248" s="492"/>
      <c r="AD248" s="492"/>
      <c r="AE248" s="492"/>
      <c r="AF248" s="492"/>
      <c r="AG248" s="492"/>
      <c r="AH248" s="492"/>
      <c r="AI248" s="492"/>
      <c r="AJ248" s="492"/>
      <c r="AK248" s="492"/>
      <c r="AL248" s="492"/>
      <c r="AM248" s="492"/>
      <c r="AN248" s="492"/>
    </row>
    <row r="249" spans="1:40" ht="15.75" customHeight="1" thickBot="1">
      <c r="A249" s="477" t="s">
        <v>99</v>
      </c>
      <c r="B249" s="492" t="s">
        <v>99</v>
      </c>
      <c r="C249" s="508"/>
      <c r="D249" s="492"/>
      <c r="E249" s="492"/>
      <c r="F249" s="635"/>
      <c r="G249" s="508"/>
      <c r="H249" s="492"/>
      <c r="I249" s="635"/>
      <c r="J249" s="508"/>
      <c r="K249" s="492"/>
      <c r="L249" s="635"/>
      <c r="M249" s="525"/>
      <c r="N249" s="526"/>
      <c r="O249" s="508"/>
      <c r="P249" s="492"/>
      <c r="Q249" s="635"/>
      <c r="R249" s="525"/>
      <c r="S249" s="526"/>
      <c r="T249" s="623"/>
      <c r="U249" s="492"/>
      <c r="V249" s="492"/>
      <c r="W249" s="492"/>
      <c r="X249" s="492"/>
      <c r="Y249" s="492"/>
      <c r="Z249" s="492"/>
      <c r="AA249" s="492"/>
      <c r="AB249" s="492"/>
      <c r="AC249" s="492"/>
      <c r="AD249" s="492"/>
      <c r="AE249" s="492"/>
      <c r="AF249" s="492"/>
      <c r="AG249" s="492"/>
      <c r="AH249" s="492"/>
      <c r="AI249" s="492"/>
      <c r="AJ249" s="492"/>
      <c r="AK249" s="492"/>
      <c r="AL249" s="492"/>
      <c r="AM249" s="492"/>
      <c r="AN249" s="492"/>
    </row>
    <row r="250" spans="1:40" ht="15.75" customHeight="1" thickTop="1">
      <c r="A250" s="477" t="s">
        <v>375</v>
      </c>
      <c r="B250" s="492" t="s">
        <v>99</v>
      </c>
      <c r="C250" s="536" t="s">
        <v>96</v>
      </c>
      <c r="D250" s="537"/>
      <c r="E250" s="537">
        <v>48000</v>
      </c>
      <c r="F250" s="539">
        <v>10560</v>
      </c>
      <c r="G250" s="540"/>
      <c r="H250" s="537"/>
      <c r="I250" s="539"/>
      <c r="J250" s="540"/>
      <c r="K250" s="537">
        <v>50617.07</v>
      </c>
      <c r="L250" s="539">
        <v>9648.5899999999965</v>
      </c>
      <c r="M250" s="672">
        <v>-2.9380708918947757E-2</v>
      </c>
      <c r="N250" s="539">
        <v>-911.41000000000349</v>
      </c>
      <c r="O250" s="540"/>
      <c r="P250" s="537">
        <v>866.04</v>
      </c>
      <c r="Q250" s="539">
        <v>866.04</v>
      </c>
      <c r="R250" s="680">
        <v>-0.80938070891894776</v>
      </c>
      <c r="S250" s="539">
        <v>8782.5499999999956</v>
      </c>
      <c r="T250" s="623"/>
      <c r="U250" s="492"/>
      <c r="V250" s="492"/>
      <c r="W250" s="492"/>
      <c r="X250" s="492"/>
      <c r="Y250" s="492"/>
      <c r="Z250" s="492"/>
      <c r="AA250" s="492"/>
      <c r="AB250" s="492"/>
      <c r="AC250" s="492"/>
      <c r="AD250" s="492"/>
      <c r="AE250" s="492"/>
      <c r="AF250" s="492"/>
      <c r="AG250" s="492"/>
      <c r="AH250" s="492"/>
      <c r="AI250" s="492"/>
      <c r="AJ250" s="492"/>
      <c r="AK250" s="492"/>
      <c r="AL250" s="492"/>
      <c r="AM250" s="492"/>
      <c r="AN250" s="492"/>
    </row>
    <row r="251" spans="1:40" ht="23.25" customHeight="1" thickBot="1">
      <c r="A251" s="477" t="s">
        <v>99</v>
      </c>
      <c r="B251" s="492" t="s">
        <v>99</v>
      </c>
      <c r="C251" s="541"/>
      <c r="D251" s="542"/>
      <c r="E251" s="542"/>
      <c r="F251" s="547">
        <v>0.22</v>
      </c>
      <c r="G251" s="541"/>
      <c r="H251" s="542"/>
      <c r="I251" s="547"/>
      <c r="J251" s="541"/>
      <c r="K251" s="542"/>
      <c r="L251" s="547">
        <v>0.19061929108105224</v>
      </c>
      <c r="M251" s="546"/>
      <c r="N251" s="547">
        <v>-8.6307765151515475E-2</v>
      </c>
      <c r="O251" s="541"/>
      <c r="P251" s="542"/>
      <c r="Q251" s="547">
        <v>1</v>
      </c>
      <c r="R251" s="546"/>
      <c r="S251" s="547">
        <v>10.141044293566113</v>
      </c>
      <c r="T251" s="623"/>
      <c r="U251" s="492"/>
      <c r="V251" s="492"/>
      <c r="W251" s="492"/>
      <c r="X251" s="492"/>
      <c r="Y251" s="492"/>
      <c r="Z251" s="492"/>
      <c r="AA251" s="492"/>
      <c r="AB251" s="492"/>
      <c r="AC251" s="492"/>
      <c r="AD251" s="492"/>
      <c r="AE251" s="492"/>
      <c r="AF251" s="492"/>
      <c r="AG251" s="492"/>
      <c r="AH251" s="492"/>
      <c r="AI251" s="492"/>
      <c r="AJ251" s="492"/>
      <c r="AK251" s="492"/>
      <c r="AL251" s="492"/>
      <c r="AM251" s="492"/>
      <c r="AN251" s="492"/>
    </row>
    <row r="252" spans="1:40" ht="15.75" customHeight="1" thickTop="1">
      <c r="A252" s="477" t="s">
        <v>99</v>
      </c>
      <c r="B252" s="492" t="s">
        <v>99</v>
      </c>
      <c r="C252" s="508"/>
      <c r="D252" s="492"/>
      <c r="E252" s="492"/>
      <c r="F252" s="534"/>
      <c r="G252" s="508"/>
      <c r="H252" s="492"/>
      <c r="I252" s="534"/>
      <c r="J252" s="508"/>
      <c r="K252" s="492"/>
      <c r="L252" s="518"/>
      <c r="M252" s="508"/>
      <c r="N252" s="518"/>
      <c r="O252" s="508"/>
      <c r="P252" s="492"/>
      <c r="Q252" s="518"/>
      <c r="R252" s="508"/>
      <c r="S252" s="518"/>
      <c r="T252" s="492"/>
      <c r="U252" s="492"/>
      <c r="V252" s="492"/>
      <c r="W252" s="492"/>
      <c r="X252" s="492"/>
      <c r="Y252" s="492"/>
      <c r="Z252" s="492"/>
      <c r="AA252" s="492"/>
      <c r="AB252" s="492"/>
      <c r="AC252" s="492"/>
      <c r="AD252" s="492"/>
      <c r="AE252" s="492"/>
      <c r="AF252" s="492"/>
      <c r="AG252" s="492"/>
      <c r="AH252" s="492"/>
      <c r="AI252" s="492"/>
      <c r="AJ252" s="492"/>
      <c r="AK252" s="492"/>
      <c r="AL252" s="492"/>
      <c r="AM252" s="492"/>
      <c r="AN252" s="492"/>
    </row>
    <row r="253" spans="1:40" ht="15.75" customHeight="1">
      <c r="A253" s="477" t="s">
        <v>376</v>
      </c>
      <c r="B253" s="492" t="s">
        <v>99</v>
      </c>
      <c r="C253" s="551" t="s">
        <v>30</v>
      </c>
      <c r="D253" s="492"/>
      <c r="E253" s="492"/>
      <c r="F253" s="534"/>
      <c r="G253" s="508"/>
      <c r="H253" s="492"/>
      <c r="I253" s="534"/>
      <c r="J253" s="508"/>
      <c r="K253" s="492"/>
      <c r="L253" s="518"/>
      <c r="M253" s="508"/>
      <c r="N253" s="518"/>
      <c r="O253" s="508"/>
      <c r="P253" s="492"/>
      <c r="Q253" s="518"/>
      <c r="R253" s="508"/>
      <c r="S253" s="518"/>
      <c r="T253" s="492"/>
      <c r="U253" s="492"/>
      <c r="V253" s="492"/>
      <c r="W253" s="492"/>
      <c r="X253" s="492"/>
      <c r="Y253" s="492"/>
      <c r="Z253" s="492"/>
      <c r="AA253" s="492"/>
      <c r="AB253" s="492"/>
      <c r="AC253" s="492"/>
      <c r="AD253" s="492"/>
      <c r="AE253" s="492"/>
      <c r="AF253" s="492"/>
      <c r="AG253" s="492"/>
      <c r="AH253" s="492"/>
      <c r="AI253" s="492"/>
      <c r="AJ253" s="492"/>
      <c r="AK253" s="492"/>
      <c r="AL253" s="492"/>
      <c r="AM253" s="492"/>
      <c r="AN253" s="492"/>
    </row>
    <row r="254" spans="1:40" ht="15.75" customHeight="1">
      <c r="A254" s="477" t="s">
        <v>377</v>
      </c>
      <c r="B254" s="492" t="s">
        <v>99</v>
      </c>
      <c r="C254" s="576" t="s">
        <v>41</v>
      </c>
      <c r="D254" s="492"/>
      <c r="E254" s="492"/>
      <c r="F254" s="509">
        <v>297.32500000000005</v>
      </c>
      <c r="G254" s="508"/>
      <c r="H254" s="492"/>
      <c r="I254" s="509"/>
      <c r="J254" s="508"/>
      <c r="K254" s="492"/>
      <c r="L254" s="511">
        <v>901.88</v>
      </c>
      <c r="M254" s="508"/>
      <c r="N254" s="534">
        <v>604.55499999999995</v>
      </c>
      <c r="O254" s="508"/>
      <c r="P254" s="492"/>
      <c r="Q254" s="511">
        <v>901.88</v>
      </c>
      <c r="R254" s="508"/>
      <c r="S254" s="511">
        <v>0</v>
      </c>
      <c r="T254" s="492"/>
      <c r="U254" s="492"/>
      <c r="V254" s="492"/>
      <c r="W254" s="492"/>
      <c r="X254" s="492"/>
      <c r="Y254" s="492"/>
      <c r="Z254" s="492"/>
      <c r="AA254" s="492"/>
      <c r="AB254" s="492"/>
      <c r="AC254" s="492"/>
      <c r="AD254" s="492"/>
      <c r="AE254" s="492"/>
      <c r="AF254" s="492"/>
      <c r="AG254" s="492"/>
      <c r="AH254" s="492"/>
      <c r="AI254" s="492"/>
      <c r="AJ254" s="492"/>
      <c r="AK254" s="492"/>
      <c r="AL254" s="492"/>
      <c r="AM254" s="492"/>
      <c r="AN254" s="492"/>
    </row>
    <row r="255" spans="1:40" ht="15.75" customHeight="1">
      <c r="A255" s="477" t="s">
        <v>378</v>
      </c>
      <c r="B255" s="492" t="s">
        <v>99</v>
      </c>
      <c r="C255" s="578" t="s">
        <v>42</v>
      </c>
      <c r="D255" s="561"/>
      <c r="E255" s="492"/>
      <c r="F255" s="503">
        <v>4847.8046153846153</v>
      </c>
      <c r="G255" s="562"/>
      <c r="H255" s="492"/>
      <c r="I255" s="503"/>
      <c r="J255" s="508"/>
      <c r="K255" s="492"/>
      <c r="L255" s="511">
        <v>1523.66</v>
      </c>
      <c r="M255" s="508"/>
      <c r="N255" s="534">
        <v>-3324.1446153846155</v>
      </c>
      <c r="O255" s="508"/>
      <c r="P255" s="492"/>
      <c r="Q255" s="511">
        <v>2105.37</v>
      </c>
      <c r="R255" s="508"/>
      <c r="S255" s="534">
        <v>-581.70999999999981</v>
      </c>
      <c r="T255" s="492"/>
      <c r="U255" s="492"/>
      <c r="V255" s="492"/>
      <c r="W255" s="492"/>
      <c r="X255" s="492"/>
      <c r="Y255" s="492"/>
      <c r="Z255" s="492"/>
      <c r="AA255" s="492"/>
      <c r="AB255" s="492"/>
      <c r="AC255" s="492"/>
      <c r="AD255" s="492"/>
      <c r="AE255" s="492"/>
      <c r="AF255" s="492"/>
      <c r="AG255" s="492"/>
      <c r="AH255" s="492"/>
      <c r="AI255" s="492"/>
      <c r="AJ255" s="492"/>
      <c r="AK255" s="492"/>
      <c r="AL255" s="492"/>
      <c r="AM255" s="492"/>
      <c r="AN255" s="492"/>
    </row>
    <row r="256" spans="1:40" ht="15.75" customHeight="1">
      <c r="A256" s="477" t="s">
        <v>379</v>
      </c>
      <c r="B256" s="492" t="s">
        <v>99</v>
      </c>
      <c r="C256" s="576" t="s">
        <v>43</v>
      </c>
      <c r="D256" s="579"/>
      <c r="E256" s="580"/>
      <c r="F256" s="509">
        <v>17.530769230769231</v>
      </c>
      <c r="G256" s="581"/>
      <c r="H256" s="580"/>
      <c r="I256" s="509"/>
      <c r="J256" s="496"/>
      <c r="K256" s="580"/>
      <c r="L256" s="530">
        <v>0.08</v>
      </c>
      <c r="M256" s="496"/>
      <c r="N256" s="582">
        <v>-17.450769230769232</v>
      </c>
      <c r="O256" s="496"/>
      <c r="P256" s="580"/>
      <c r="Q256" s="530">
        <v>0.08</v>
      </c>
      <c r="R256" s="496"/>
      <c r="S256" s="582">
        <v>0</v>
      </c>
      <c r="T256" s="492"/>
      <c r="U256" s="492"/>
      <c r="V256" s="492"/>
      <c r="W256" s="492"/>
      <c r="X256" s="492"/>
      <c r="Y256" s="492"/>
      <c r="Z256" s="492"/>
      <c r="AA256" s="492"/>
      <c r="AB256" s="492"/>
      <c r="AC256" s="492"/>
      <c r="AD256" s="492"/>
      <c r="AE256" s="492"/>
      <c r="AF256" s="492"/>
      <c r="AG256" s="492"/>
      <c r="AH256" s="492"/>
      <c r="AI256" s="492"/>
      <c r="AJ256" s="492"/>
      <c r="AK256" s="492"/>
      <c r="AL256" s="492"/>
      <c r="AM256" s="492"/>
      <c r="AN256" s="492"/>
    </row>
    <row r="257" spans="1:40" ht="15.75" customHeight="1">
      <c r="A257" s="477" t="s">
        <v>380</v>
      </c>
      <c r="B257" s="492" t="s">
        <v>99</v>
      </c>
      <c r="C257" s="576" t="s">
        <v>44</v>
      </c>
      <c r="D257" s="561"/>
      <c r="E257" s="492"/>
      <c r="F257" s="509">
        <v>0</v>
      </c>
      <c r="G257" s="562"/>
      <c r="H257" s="492"/>
      <c r="I257" s="509"/>
      <c r="J257" s="508"/>
      <c r="K257" s="492"/>
      <c r="L257" s="511">
        <v>0</v>
      </c>
      <c r="M257" s="508"/>
      <c r="N257" s="534">
        <v>0</v>
      </c>
      <c r="O257" s="508"/>
      <c r="P257" s="492"/>
      <c r="Q257" s="511">
        <v>0</v>
      </c>
      <c r="R257" s="508"/>
      <c r="S257" s="534">
        <v>0</v>
      </c>
      <c r="T257" s="492"/>
      <c r="U257" s="492"/>
      <c r="V257" s="492"/>
      <c r="W257" s="492"/>
      <c r="X257" s="492"/>
      <c r="Y257" s="492"/>
      <c r="Z257" s="492"/>
      <c r="AA257" s="492"/>
      <c r="AB257" s="492"/>
      <c r="AC257" s="492"/>
      <c r="AD257" s="492"/>
      <c r="AE257" s="492"/>
      <c r="AF257" s="492"/>
      <c r="AG257" s="492"/>
      <c r="AH257" s="492"/>
      <c r="AI257" s="492"/>
      <c r="AJ257" s="492"/>
      <c r="AK257" s="492"/>
      <c r="AL257" s="492"/>
      <c r="AM257" s="492"/>
      <c r="AN257" s="492"/>
    </row>
    <row r="258" spans="1:40" ht="15.75" hidden="1" customHeight="1">
      <c r="A258" s="477" t="s">
        <v>381</v>
      </c>
      <c r="B258" s="492" t="s">
        <v>99</v>
      </c>
      <c r="C258" s="508" t="s">
        <v>20</v>
      </c>
      <c r="D258" s="561"/>
      <c r="E258" s="492"/>
      <c r="F258" s="509">
        <v>0</v>
      </c>
      <c r="G258" s="562"/>
      <c r="H258" s="492"/>
      <c r="I258" s="509"/>
      <c r="J258" s="508"/>
      <c r="K258" s="492"/>
      <c r="L258" s="511">
        <v>0</v>
      </c>
      <c r="M258" s="508"/>
      <c r="N258" s="534">
        <v>0</v>
      </c>
      <c r="O258" s="508"/>
      <c r="P258" s="492"/>
      <c r="Q258" s="511">
        <v>0</v>
      </c>
      <c r="R258" s="508"/>
      <c r="S258" s="534">
        <v>0</v>
      </c>
      <c r="T258" s="492"/>
      <c r="U258" s="492"/>
      <c r="V258" s="492"/>
      <c r="W258" s="492"/>
      <c r="X258" s="492"/>
      <c r="Y258" s="492"/>
      <c r="Z258" s="492"/>
      <c r="AA258" s="492"/>
      <c r="AB258" s="492"/>
      <c r="AC258" s="492"/>
      <c r="AD258" s="492"/>
      <c r="AE258" s="492"/>
      <c r="AF258" s="492"/>
      <c r="AG258" s="492"/>
      <c r="AH258" s="492"/>
      <c r="AI258" s="492"/>
      <c r="AJ258" s="492"/>
      <c r="AK258" s="492"/>
      <c r="AL258" s="492"/>
      <c r="AM258" s="492"/>
      <c r="AN258" s="492"/>
    </row>
    <row r="259" spans="1:40" ht="15.75" hidden="1" customHeight="1">
      <c r="A259" s="477" t="s">
        <v>381</v>
      </c>
      <c r="B259" s="492" t="s">
        <v>99</v>
      </c>
      <c r="C259" s="508" t="s">
        <v>20</v>
      </c>
      <c r="D259" s="561"/>
      <c r="E259" s="492"/>
      <c r="F259" s="509">
        <v>0</v>
      </c>
      <c r="G259" s="562"/>
      <c r="H259" s="492"/>
      <c r="I259" s="509"/>
      <c r="J259" s="508"/>
      <c r="K259" s="492"/>
      <c r="L259" s="511">
        <v>0</v>
      </c>
      <c r="M259" s="508"/>
      <c r="N259" s="534">
        <v>0</v>
      </c>
      <c r="O259" s="508"/>
      <c r="P259" s="492"/>
      <c r="Q259" s="511">
        <v>0</v>
      </c>
      <c r="R259" s="508"/>
      <c r="S259" s="534">
        <v>0</v>
      </c>
      <c r="T259" s="492"/>
      <c r="U259" s="492"/>
      <c r="V259" s="492"/>
      <c r="W259" s="492"/>
      <c r="X259" s="492"/>
      <c r="Y259" s="492"/>
      <c r="Z259" s="492"/>
      <c r="AA259" s="492"/>
      <c r="AB259" s="492"/>
      <c r="AC259" s="492"/>
      <c r="AD259" s="492"/>
      <c r="AE259" s="492"/>
      <c r="AF259" s="492"/>
      <c r="AG259" s="492"/>
      <c r="AH259" s="492"/>
      <c r="AI259" s="492"/>
      <c r="AJ259" s="492"/>
      <c r="AK259" s="492"/>
      <c r="AL259" s="492"/>
      <c r="AM259" s="492"/>
      <c r="AN259" s="492"/>
    </row>
    <row r="260" spans="1:40" ht="15.75" hidden="1" customHeight="1">
      <c r="A260" s="477" t="s">
        <v>381</v>
      </c>
      <c r="B260" s="492" t="s">
        <v>99</v>
      </c>
      <c r="C260" s="508" t="s">
        <v>20</v>
      </c>
      <c r="D260" s="561"/>
      <c r="E260" s="492"/>
      <c r="F260" s="509">
        <v>0</v>
      </c>
      <c r="G260" s="562"/>
      <c r="H260" s="492"/>
      <c r="I260" s="509"/>
      <c r="J260" s="508"/>
      <c r="K260" s="492"/>
      <c r="L260" s="511">
        <v>0</v>
      </c>
      <c r="M260" s="508"/>
      <c r="N260" s="534">
        <v>0</v>
      </c>
      <c r="O260" s="508"/>
      <c r="P260" s="492"/>
      <c r="Q260" s="511">
        <v>0</v>
      </c>
      <c r="R260" s="508"/>
      <c r="S260" s="534">
        <v>0</v>
      </c>
      <c r="T260" s="492"/>
      <c r="U260" s="492"/>
      <c r="V260" s="492"/>
      <c r="W260" s="492"/>
      <c r="X260" s="492"/>
      <c r="Y260" s="492"/>
      <c r="Z260" s="492"/>
      <c r="AA260" s="492"/>
      <c r="AB260" s="492"/>
      <c r="AC260" s="492"/>
      <c r="AD260" s="492"/>
      <c r="AE260" s="492"/>
      <c r="AF260" s="492"/>
      <c r="AG260" s="492"/>
      <c r="AH260" s="492"/>
      <c r="AI260" s="492"/>
      <c r="AJ260" s="492"/>
      <c r="AK260" s="492"/>
      <c r="AL260" s="492"/>
      <c r="AM260" s="492"/>
      <c r="AN260" s="492"/>
    </row>
    <row r="261" spans="1:40" ht="15.75" customHeight="1">
      <c r="A261" s="477" t="s">
        <v>382</v>
      </c>
      <c r="B261" s="492" t="s">
        <v>99</v>
      </c>
      <c r="C261" s="578" t="s">
        <v>45</v>
      </c>
      <c r="D261" s="561"/>
      <c r="E261" s="492"/>
      <c r="F261" s="503">
        <v>619.8155113461537</v>
      </c>
      <c r="G261" s="562"/>
      <c r="H261" s="492"/>
      <c r="I261" s="503"/>
      <c r="J261" s="508"/>
      <c r="K261" s="492"/>
      <c r="L261" s="511">
        <v>810.54</v>
      </c>
      <c r="M261" s="508"/>
      <c r="N261" s="534">
        <v>190.72448865384627</v>
      </c>
      <c r="O261" s="508"/>
      <c r="P261" s="492"/>
      <c r="Q261" s="511">
        <v>226.46</v>
      </c>
      <c r="R261" s="508"/>
      <c r="S261" s="534">
        <v>584.07999999999993</v>
      </c>
      <c r="T261" s="492"/>
      <c r="U261" s="492"/>
      <c r="V261" s="492"/>
      <c r="W261" s="492"/>
      <c r="X261" s="492"/>
      <c r="Y261" s="492"/>
      <c r="Z261" s="492"/>
      <c r="AA261" s="492"/>
      <c r="AB261" s="492"/>
      <c r="AC261" s="492"/>
      <c r="AD261" s="492"/>
      <c r="AE261" s="492"/>
      <c r="AF261" s="492"/>
      <c r="AG261" s="492"/>
      <c r="AH261" s="492"/>
      <c r="AI261" s="492"/>
      <c r="AJ261" s="492"/>
      <c r="AK261" s="492"/>
      <c r="AL261" s="492"/>
      <c r="AM261" s="492"/>
      <c r="AN261" s="492"/>
    </row>
    <row r="262" spans="1:40" ht="15.75" customHeight="1">
      <c r="A262" s="477" t="s">
        <v>383</v>
      </c>
      <c r="B262" s="492" t="s">
        <v>99</v>
      </c>
      <c r="C262" s="576" t="s">
        <v>46</v>
      </c>
      <c r="D262" s="579"/>
      <c r="E262" s="580"/>
      <c r="F262" s="509">
        <v>753.60828692307689</v>
      </c>
      <c r="G262" s="581"/>
      <c r="H262" s="580"/>
      <c r="I262" s="509"/>
      <c r="J262" s="496"/>
      <c r="K262" s="580"/>
      <c r="L262" s="530">
        <v>1273.5999999999999</v>
      </c>
      <c r="M262" s="496"/>
      <c r="N262" s="582">
        <v>519.99171307692302</v>
      </c>
      <c r="O262" s="496"/>
      <c r="P262" s="580"/>
      <c r="Q262" s="530">
        <v>1014.72</v>
      </c>
      <c r="R262" s="496"/>
      <c r="S262" s="582">
        <v>258.87999999999988</v>
      </c>
      <c r="T262" s="492"/>
      <c r="U262" s="492"/>
      <c r="V262" s="492"/>
      <c r="W262" s="492"/>
      <c r="X262" s="492"/>
      <c r="Y262" s="492"/>
      <c r="Z262" s="492"/>
      <c r="AA262" s="492"/>
      <c r="AB262" s="492"/>
      <c r="AC262" s="492"/>
      <c r="AD262" s="492"/>
      <c r="AE262" s="492"/>
      <c r="AF262" s="492"/>
      <c r="AG262" s="492"/>
      <c r="AH262" s="492"/>
      <c r="AI262" s="492"/>
      <c r="AJ262" s="492"/>
      <c r="AK262" s="492"/>
      <c r="AL262" s="492"/>
      <c r="AM262" s="492"/>
      <c r="AN262" s="492"/>
    </row>
    <row r="263" spans="1:40" ht="15.75" customHeight="1">
      <c r="A263" s="477" t="s">
        <v>384</v>
      </c>
      <c r="B263" s="492" t="s">
        <v>99</v>
      </c>
      <c r="C263" s="576" t="s">
        <v>47</v>
      </c>
      <c r="D263" s="561"/>
      <c r="E263" s="492"/>
      <c r="F263" s="509">
        <v>388.27209565384607</v>
      </c>
      <c r="G263" s="562"/>
      <c r="H263" s="492"/>
      <c r="I263" s="509"/>
      <c r="J263" s="508"/>
      <c r="K263" s="492"/>
      <c r="L263" s="511">
        <v>111.41</v>
      </c>
      <c r="M263" s="508"/>
      <c r="N263" s="534">
        <v>-276.86209565384604</v>
      </c>
      <c r="O263" s="508"/>
      <c r="P263" s="492"/>
      <c r="Q263" s="511">
        <v>112.9</v>
      </c>
      <c r="R263" s="508"/>
      <c r="S263" s="534">
        <v>-1.4900000000000091</v>
      </c>
      <c r="T263" s="492"/>
      <c r="U263" s="492"/>
      <c r="V263" s="492"/>
      <c r="W263" s="492"/>
      <c r="X263" s="492"/>
      <c r="Y263" s="492"/>
      <c r="Z263" s="492"/>
      <c r="AA263" s="492"/>
      <c r="AB263" s="492"/>
      <c r="AC263" s="492"/>
      <c r="AD263" s="492"/>
      <c r="AE263" s="492"/>
      <c r="AF263" s="492"/>
      <c r="AG263" s="492"/>
      <c r="AH263" s="492"/>
      <c r="AI263" s="492"/>
      <c r="AJ263" s="492"/>
      <c r="AK263" s="492"/>
      <c r="AL263" s="492"/>
      <c r="AM263" s="492"/>
      <c r="AN263" s="492"/>
    </row>
    <row r="264" spans="1:40" ht="15.75" customHeight="1">
      <c r="A264" s="477" t="s">
        <v>385</v>
      </c>
      <c r="B264" s="492" t="s">
        <v>99</v>
      </c>
      <c r="C264" s="576" t="s">
        <v>48</v>
      </c>
      <c r="D264" s="561"/>
      <c r="E264" s="492"/>
      <c r="F264" s="509">
        <v>169.28881807692304</v>
      </c>
      <c r="G264" s="562"/>
      <c r="H264" s="492"/>
      <c r="I264" s="509"/>
      <c r="J264" s="508"/>
      <c r="K264" s="492"/>
      <c r="L264" s="511">
        <v>299.07</v>
      </c>
      <c r="M264" s="508"/>
      <c r="N264" s="534">
        <v>129.78118192307696</v>
      </c>
      <c r="O264" s="508"/>
      <c r="P264" s="492"/>
      <c r="Q264" s="511">
        <v>83.33</v>
      </c>
      <c r="R264" s="508"/>
      <c r="S264" s="534">
        <v>215.74</v>
      </c>
      <c r="T264" s="492"/>
      <c r="U264" s="492"/>
      <c r="V264" s="492"/>
      <c r="W264" s="492"/>
      <c r="X264" s="492"/>
      <c r="Y264" s="492"/>
      <c r="Z264" s="492"/>
      <c r="AA264" s="492"/>
      <c r="AB264" s="492"/>
      <c r="AC264" s="492"/>
      <c r="AD264" s="492"/>
      <c r="AE264" s="492"/>
      <c r="AF264" s="492"/>
      <c r="AG264" s="492"/>
      <c r="AH264" s="492"/>
      <c r="AI264" s="492"/>
      <c r="AJ264" s="492"/>
      <c r="AK264" s="492"/>
      <c r="AL264" s="492"/>
      <c r="AM264" s="492"/>
      <c r="AN264" s="492"/>
    </row>
    <row r="265" spans="1:40" ht="15.75" hidden="1" customHeight="1">
      <c r="A265" s="477" t="s">
        <v>381</v>
      </c>
      <c r="B265" s="492" t="s">
        <v>99</v>
      </c>
      <c r="C265" s="508" t="s">
        <v>20</v>
      </c>
      <c r="D265" s="563"/>
      <c r="E265" s="583"/>
      <c r="F265" s="509">
        <v>0</v>
      </c>
      <c r="G265" s="564"/>
      <c r="H265" s="583"/>
      <c r="I265" s="509"/>
      <c r="J265" s="501"/>
      <c r="K265" s="583"/>
      <c r="L265" s="511">
        <v>0</v>
      </c>
      <c r="M265" s="501"/>
      <c r="N265" s="559">
        <v>0</v>
      </c>
      <c r="O265" s="501"/>
      <c r="P265" s="583"/>
      <c r="Q265" s="511">
        <v>0</v>
      </c>
      <c r="R265" s="501"/>
      <c r="S265" s="559">
        <v>0</v>
      </c>
      <c r="T265" s="492"/>
      <c r="U265" s="492"/>
      <c r="V265" s="492"/>
      <c r="W265" s="492"/>
      <c r="X265" s="492"/>
      <c r="Y265" s="492"/>
      <c r="Z265" s="492"/>
      <c r="AA265" s="492"/>
      <c r="AB265" s="492"/>
      <c r="AC265" s="492"/>
      <c r="AD265" s="492"/>
      <c r="AE265" s="492"/>
      <c r="AF265" s="492"/>
      <c r="AG265" s="492"/>
      <c r="AH265" s="492"/>
      <c r="AI265" s="492"/>
      <c r="AJ265" s="492"/>
      <c r="AK265" s="492"/>
      <c r="AL265" s="492"/>
      <c r="AM265" s="492"/>
      <c r="AN265" s="492"/>
    </row>
    <row r="266" spans="1:40" ht="15.75" customHeight="1">
      <c r="A266" s="477" t="s">
        <v>386</v>
      </c>
      <c r="B266" s="492" t="s">
        <v>99</v>
      </c>
      <c r="C266" s="568" t="s">
        <v>49</v>
      </c>
      <c r="D266" s="569" t="s">
        <v>39</v>
      </c>
      <c r="E266" s="570">
        <v>0.67174669475524462</v>
      </c>
      <c r="F266" s="571">
        <v>7093.6450966153834</v>
      </c>
      <c r="G266" s="572"/>
      <c r="H266" s="570"/>
      <c r="I266" s="571"/>
      <c r="J266" s="572" t="s">
        <v>39</v>
      </c>
      <c r="K266" s="570">
        <v>0.50994393999537768</v>
      </c>
      <c r="L266" s="571">
        <v>4920.24</v>
      </c>
      <c r="M266" s="625"/>
      <c r="N266" s="585">
        <v>-2173.4050966153836</v>
      </c>
      <c r="O266" s="572" t="s">
        <v>39</v>
      </c>
      <c r="P266" s="570">
        <v>0</v>
      </c>
      <c r="Q266" s="571">
        <v>4444.74</v>
      </c>
      <c r="R266" s="625"/>
      <c r="S266" s="585">
        <v>475.5</v>
      </c>
      <c r="T266" s="492"/>
      <c r="U266" s="492"/>
      <c r="V266" s="492"/>
      <c r="W266" s="492"/>
      <c r="X266" s="492"/>
      <c r="Y266" s="492"/>
      <c r="Z266" s="492"/>
      <c r="AA266" s="492"/>
      <c r="AB266" s="492"/>
      <c r="AC266" s="492"/>
      <c r="AD266" s="492"/>
      <c r="AE266" s="492"/>
      <c r="AF266" s="492"/>
      <c r="AG266" s="492"/>
      <c r="AH266" s="492"/>
      <c r="AI266" s="492"/>
      <c r="AJ266" s="492"/>
      <c r="AK266" s="492"/>
      <c r="AL266" s="492"/>
      <c r="AM266" s="492"/>
      <c r="AN266" s="492"/>
    </row>
    <row r="267" spans="1:40" ht="15.75" customHeight="1">
      <c r="A267" s="477" t="s">
        <v>387</v>
      </c>
      <c r="B267" s="492" t="s">
        <v>99</v>
      </c>
      <c r="C267" s="681" t="s">
        <v>50</v>
      </c>
      <c r="D267" s="561"/>
      <c r="E267" s="492"/>
      <c r="F267" s="509">
        <v>48.333333333333336</v>
      </c>
      <c r="G267" s="562"/>
      <c r="H267" s="492"/>
      <c r="I267" s="509"/>
      <c r="J267" s="508"/>
      <c r="K267" s="492"/>
      <c r="L267" s="511">
        <v>89.88</v>
      </c>
      <c r="M267" s="508"/>
      <c r="N267" s="534">
        <v>41.54666666666666</v>
      </c>
      <c r="O267" s="508"/>
      <c r="P267" s="492"/>
      <c r="Q267" s="534">
        <v>79.41</v>
      </c>
      <c r="R267" s="508"/>
      <c r="S267" s="534">
        <v>10.469999999999999</v>
      </c>
      <c r="T267" s="492"/>
      <c r="U267" s="492"/>
      <c r="V267" s="492"/>
      <c r="W267" s="492"/>
      <c r="X267" s="492"/>
      <c r="Y267" s="492"/>
      <c r="Z267" s="492"/>
      <c r="AA267" s="492"/>
      <c r="AB267" s="492"/>
      <c r="AC267" s="492"/>
      <c r="AD267" s="492"/>
      <c r="AE267" s="492"/>
      <c r="AF267" s="492"/>
      <c r="AG267" s="492"/>
      <c r="AH267" s="492"/>
      <c r="AI267" s="492"/>
      <c r="AJ267" s="492"/>
      <c r="AK267" s="492"/>
      <c r="AL267" s="492"/>
      <c r="AM267" s="492"/>
      <c r="AN267" s="492"/>
    </row>
    <row r="268" spans="1:40" ht="15.75" customHeight="1">
      <c r="A268" s="477" t="s">
        <v>388</v>
      </c>
      <c r="B268" s="492" t="s">
        <v>99</v>
      </c>
      <c r="C268" s="576" t="s">
        <v>51</v>
      </c>
      <c r="D268" s="561"/>
      <c r="E268" s="492"/>
      <c r="F268" s="509">
        <v>561.67798128057109</v>
      </c>
      <c r="G268" s="562"/>
      <c r="H268" s="492"/>
      <c r="I268" s="509"/>
      <c r="J268" s="508"/>
      <c r="K268" s="492"/>
      <c r="L268" s="511">
        <v>0</v>
      </c>
      <c r="M268" s="508"/>
      <c r="N268" s="534">
        <v>-561.67798128057109</v>
      </c>
      <c r="O268" s="508"/>
      <c r="P268" s="492"/>
      <c r="Q268" s="534">
        <v>1150</v>
      </c>
      <c r="R268" s="508"/>
      <c r="S268" s="534">
        <v>-1150</v>
      </c>
      <c r="T268" s="492"/>
      <c r="V268" s="492"/>
      <c r="W268" s="492"/>
      <c r="X268" s="492"/>
      <c r="Y268" s="492"/>
      <c r="Z268" s="492"/>
      <c r="AA268" s="492"/>
      <c r="AB268" s="492"/>
      <c r="AC268" s="492"/>
      <c r="AD268" s="492"/>
      <c r="AE268" s="492"/>
      <c r="AF268" s="492"/>
      <c r="AG268" s="492"/>
      <c r="AH268" s="492"/>
      <c r="AI268" s="492"/>
      <c r="AJ268" s="492"/>
      <c r="AK268" s="492"/>
      <c r="AL268" s="492"/>
      <c r="AM268" s="492"/>
      <c r="AN268" s="492"/>
    </row>
    <row r="269" spans="1:40" ht="15.75" customHeight="1">
      <c r="A269" s="477" t="s">
        <v>389</v>
      </c>
      <c r="B269" s="492" t="s">
        <v>99</v>
      </c>
      <c r="C269" s="578" t="s">
        <v>52</v>
      </c>
      <c r="D269" s="563"/>
      <c r="E269" s="583"/>
      <c r="F269" s="503">
        <v>124.50360000000001</v>
      </c>
      <c r="G269" s="564"/>
      <c r="H269" s="583"/>
      <c r="I269" s="503"/>
      <c r="J269" s="501"/>
      <c r="K269" s="583"/>
      <c r="L269" s="511">
        <v>157.77000000000001</v>
      </c>
      <c r="M269" s="501"/>
      <c r="N269" s="559">
        <v>33.266400000000004</v>
      </c>
      <c r="O269" s="501"/>
      <c r="P269" s="583"/>
      <c r="Q269" s="559">
        <v>157.77000000000001</v>
      </c>
      <c r="R269" s="501"/>
      <c r="S269" s="559">
        <v>0</v>
      </c>
      <c r="T269" s="492"/>
      <c r="U269" s="492" t="s">
        <v>1</v>
      </c>
      <c r="V269" s="492"/>
      <c r="W269" s="492"/>
      <c r="X269" s="492"/>
      <c r="Y269" s="492"/>
      <c r="Z269" s="492"/>
      <c r="AA269" s="492"/>
      <c r="AB269" s="492"/>
      <c r="AC269" s="492"/>
      <c r="AD269" s="492"/>
      <c r="AE269" s="492"/>
      <c r="AF269" s="492"/>
      <c r="AG269" s="492"/>
      <c r="AH269" s="492"/>
      <c r="AI269" s="492"/>
      <c r="AJ269" s="492"/>
      <c r="AK269" s="492"/>
      <c r="AL269" s="492"/>
      <c r="AM269" s="492"/>
      <c r="AN269" s="492"/>
    </row>
    <row r="270" spans="1:40" ht="15.75" customHeight="1">
      <c r="A270" s="477" t="s">
        <v>390</v>
      </c>
      <c r="B270" s="492" t="s">
        <v>99</v>
      </c>
      <c r="C270" s="576" t="s">
        <v>53</v>
      </c>
      <c r="D270" s="561"/>
      <c r="E270" s="492"/>
      <c r="F270" s="509">
        <v>1450.4268862377776</v>
      </c>
      <c r="G270" s="562"/>
      <c r="H270" s="492"/>
      <c r="I270" s="509"/>
      <c r="J270" s="508"/>
      <c r="K270" s="492"/>
      <c r="L270" s="530">
        <v>1544.79</v>
      </c>
      <c r="M270" s="508"/>
      <c r="N270" s="534">
        <v>94.363113762222383</v>
      </c>
      <c r="O270" s="508"/>
      <c r="P270" s="492"/>
      <c r="Q270" s="534">
        <v>118.65</v>
      </c>
      <c r="R270" s="508"/>
      <c r="S270" s="534">
        <v>1426.1399999999999</v>
      </c>
      <c r="T270" s="492"/>
      <c r="U270" s="492"/>
      <c r="V270" s="492"/>
      <c r="W270" s="492"/>
      <c r="X270" s="492"/>
      <c r="Y270" s="492"/>
      <c r="Z270" s="492"/>
      <c r="AA270" s="492"/>
      <c r="AB270" s="492"/>
      <c r="AC270" s="492"/>
      <c r="AD270" s="492"/>
      <c r="AE270" s="492"/>
      <c r="AF270" s="492"/>
      <c r="AG270" s="492"/>
      <c r="AH270" s="492"/>
      <c r="AI270" s="492"/>
      <c r="AJ270" s="492"/>
      <c r="AK270" s="492"/>
      <c r="AL270" s="492"/>
      <c r="AM270" s="492"/>
      <c r="AN270" s="492"/>
    </row>
    <row r="271" spans="1:40" ht="15.75" customHeight="1">
      <c r="A271" s="477" t="s">
        <v>391</v>
      </c>
      <c r="B271" s="492" t="s">
        <v>99</v>
      </c>
      <c r="C271" s="576" t="s">
        <v>54</v>
      </c>
      <c r="D271" s="561"/>
      <c r="E271" s="492"/>
      <c r="F271" s="509">
        <v>214.03823837858201</v>
      </c>
      <c r="G271" s="562"/>
      <c r="H271" s="492"/>
      <c r="I271" s="509"/>
      <c r="J271" s="508"/>
      <c r="K271" s="492"/>
      <c r="L271" s="511">
        <v>179.64</v>
      </c>
      <c r="M271" s="508"/>
      <c r="N271" s="534">
        <v>-34.398238378582022</v>
      </c>
      <c r="O271" s="508"/>
      <c r="P271" s="492"/>
      <c r="Q271" s="534">
        <v>280.61</v>
      </c>
      <c r="R271" s="508"/>
      <c r="S271" s="534">
        <v>-100.97000000000003</v>
      </c>
      <c r="T271" s="492"/>
      <c r="U271" s="492"/>
      <c r="V271" s="492"/>
      <c r="W271" s="492"/>
      <c r="X271" s="492"/>
      <c r="Y271" s="492"/>
      <c r="Z271" s="492"/>
      <c r="AA271" s="492"/>
      <c r="AB271" s="492"/>
      <c r="AC271" s="492"/>
      <c r="AD271" s="492"/>
      <c r="AE271" s="492"/>
      <c r="AF271" s="492"/>
      <c r="AG271" s="492"/>
      <c r="AH271" s="492"/>
      <c r="AI271" s="492"/>
      <c r="AJ271" s="492"/>
      <c r="AK271" s="492"/>
      <c r="AL271" s="492"/>
      <c r="AM271" s="492"/>
      <c r="AN271" s="492"/>
    </row>
    <row r="272" spans="1:40" ht="15.75" customHeight="1">
      <c r="A272" s="477" t="s">
        <v>392</v>
      </c>
      <c r="B272" s="492" t="s">
        <v>99</v>
      </c>
      <c r="C272" s="576" t="s">
        <v>55</v>
      </c>
      <c r="D272" s="563"/>
      <c r="E272" s="583"/>
      <c r="F272" s="503">
        <v>687.14674435248071</v>
      </c>
      <c r="G272" s="564"/>
      <c r="H272" s="583"/>
      <c r="I272" s="503"/>
      <c r="J272" s="501"/>
      <c r="K272" s="583"/>
      <c r="L272" s="511">
        <v>987.01</v>
      </c>
      <c r="M272" s="501"/>
      <c r="N272" s="559">
        <v>299.86325564751928</v>
      </c>
      <c r="O272" s="501"/>
      <c r="P272" s="583"/>
      <c r="Q272" s="559">
        <v>824.74</v>
      </c>
      <c r="R272" s="501"/>
      <c r="S272" s="559">
        <v>162.26999999999998</v>
      </c>
      <c r="T272" s="492"/>
      <c r="U272" s="492"/>
      <c r="V272" s="492"/>
      <c r="W272" s="492"/>
      <c r="X272" s="492"/>
      <c r="Y272" s="492"/>
      <c r="Z272" s="492"/>
      <c r="AA272" s="492"/>
      <c r="AB272" s="492"/>
      <c r="AC272" s="492"/>
      <c r="AD272" s="492"/>
      <c r="AE272" s="492"/>
      <c r="AF272" s="492"/>
      <c r="AG272" s="492"/>
      <c r="AH272" s="492"/>
      <c r="AI272" s="492"/>
      <c r="AJ272" s="492"/>
      <c r="AK272" s="492"/>
      <c r="AL272" s="492"/>
      <c r="AM272" s="492"/>
      <c r="AN272" s="492"/>
    </row>
    <row r="273" spans="1:40" ht="15.75" customHeight="1">
      <c r="A273" s="477" t="s">
        <v>393</v>
      </c>
      <c r="B273" s="492" t="s">
        <v>99</v>
      </c>
      <c r="C273" s="681" t="s">
        <v>98</v>
      </c>
      <c r="D273" s="561"/>
      <c r="E273" s="492"/>
      <c r="F273" s="509"/>
      <c r="G273" s="562"/>
      <c r="H273" s="492"/>
      <c r="I273" s="509"/>
      <c r="J273" s="508"/>
      <c r="K273" s="492"/>
      <c r="L273" s="530">
        <v>0</v>
      </c>
      <c r="M273" s="508"/>
      <c r="N273" s="534">
        <v>0</v>
      </c>
      <c r="O273" s="508"/>
      <c r="P273" s="492"/>
      <c r="Q273" s="534">
        <v>0</v>
      </c>
      <c r="R273" s="508"/>
      <c r="S273" s="534">
        <v>0</v>
      </c>
      <c r="T273" s="492"/>
      <c r="U273" s="492"/>
      <c r="V273" s="492"/>
      <c r="W273" s="492"/>
      <c r="X273" s="492"/>
      <c r="Y273" s="492"/>
      <c r="Z273" s="492"/>
      <c r="AA273" s="492"/>
      <c r="AB273" s="492"/>
      <c r="AC273" s="492"/>
      <c r="AD273" s="492"/>
      <c r="AE273" s="492"/>
      <c r="AF273" s="492"/>
      <c r="AG273" s="492"/>
      <c r="AH273" s="492"/>
      <c r="AI273" s="492"/>
      <c r="AJ273" s="492"/>
      <c r="AK273" s="492"/>
      <c r="AL273" s="492"/>
      <c r="AM273" s="492"/>
      <c r="AN273" s="492"/>
    </row>
    <row r="274" spans="1:40" ht="15.75" customHeight="1">
      <c r="A274" s="477" t="s">
        <v>394</v>
      </c>
      <c r="B274" s="492" t="s">
        <v>99</v>
      </c>
      <c r="C274" s="576" t="s">
        <v>56</v>
      </c>
      <c r="D274" s="561"/>
      <c r="E274" s="492"/>
      <c r="F274" s="509">
        <v>45.951533333333337</v>
      </c>
      <c r="G274" s="562"/>
      <c r="H274" s="492"/>
      <c r="I274" s="509"/>
      <c r="J274" s="508"/>
      <c r="K274" s="492"/>
      <c r="L274" s="511">
        <v>0</v>
      </c>
      <c r="M274" s="508"/>
      <c r="N274" s="534">
        <v>-45.951533333333337</v>
      </c>
      <c r="O274" s="508"/>
      <c r="P274" s="492"/>
      <c r="Q274" s="534">
        <v>2.8</v>
      </c>
      <c r="R274" s="508"/>
      <c r="S274" s="534">
        <v>-2.8</v>
      </c>
      <c r="T274" s="492"/>
      <c r="U274" s="492"/>
      <c r="V274" s="492"/>
      <c r="W274" s="492"/>
      <c r="X274" s="492"/>
      <c r="Y274" s="492"/>
      <c r="Z274" s="492"/>
      <c r="AA274" s="492"/>
      <c r="AB274" s="492"/>
      <c r="AC274" s="492"/>
      <c r="AD274" s="492"/>
      <c r="AE274" s="492"/>
      <c r="AF274" s="492"/>
      <c r="AG274" s="492"/>
      <c r="AH274" s="492"/>
      <c r="AI274" s="492"/>
      <c r="AJ274" s="492"/>
      <c r="AK274" s="492"/>
      <c r="AL274" s="492"/>
      <c r="AM274" s="492"/>
      <c r="AN274" s="492"/>
    </row>
    <row r="275" spans="1:40" ht="15.75" customHeight="1">
      <c r="A275" s="477" t="s">
        <v>395</v>
      </c>
      <c r="B275" s="492" t="s">
        <v>99</v>
      </c>
      <c r="C275" s="576" t="s">
        <v>57</v>
      </c>
      <c r="D275" s="561"/>
      <c r="E275" s="492"/>
      <c r="F275" s="509">
        <v>28.333333333333332</v>
      </c>
      <c r="G275" s="562"/>
      <c r="H275" s="492"/>
      <c r="I275" s="509"/>
      <c r="J275" s="508"/>
      <c r="K275" s="492"/>
      <c r="L275" s="511">
        <v>0</v>
      </c>
      <c r="M275" s="508"/>
      <c r="N275" s="534">
        <v>-28.333333333333332</v>
      </c>
      <c r="O275" s="508"/>
      <c r="P275" s="492"/>
      <c r="Q275" s="534">
        <v>0</v>
      </c>
      <c r="R275" s="508"/>
      <c r="S275" s="534">
        <v>0</v>
      </c>
      <c r="T275" s="492"/>
      <c r="U275" s="492"/>
      <c r="V275" s="492"/>
      <c r="W275" s="492"/>
      <c r="X275" s="492"/>
      <c r="Y275" s="492"/>
      <c r="Z275" s="492"/>
      <c r="AA275" s="492"/>
      <c r="AB275" s="492"/>
      <c r="AC275" s="492"/>
      <c r="AD275" s="492"/>
      <c r="AE275" s="492"/>
      <c r="AF275" s="492"/>
      <c r="AG275" s="492"/>
      <c r="AH275" s="492"/>
      <c r="AI275" s="492"/>
      <c r="AJ275" s="492"/>
      <c r="AK275" s="492"/>
      <c r="AL275" s="492"/>
      <c r="AM275" s="492"/>
      <c r="AN275" s="492"/>
    </row>
    <row r="276" spans="1:40" ht="15.75" customHeight="1">
      <c r="A276" s="477" t="s">
        <v>396</v>
      </c>
      <c r="B276" s="492" t="s">
        <v>99</v>
      </c>
      <c r="C276" s="576" t="s">
        <v>58</v>
      </c>
      <c r="D276" s="561"/>
      <c r="E276" s="492"/>
      <c r="F276" s="509">
        <v>146.23689705261995</v>
      </c>
      <c r="G276" s="562"/>
      <c r="H276" s="492"/>
      <c r="I276" s="509"/>
      <c r="J276" s="508"/>
      <c r="K276" s="492"/>
      <c r="L276" s="511">
        <v>47.8</v>
      </c>
      <c r="M276" s="508"/>
      <c r="N276" s="534">
        <v>-98.436897052619955</v>
      </c>
      <c r="O276" s="508"/>
      <c r="P276" s="492"/>
      <c r="Q276" s="534">
        <v>77.989999999999995</v>
      </c>
      <c r="R276" s="508"/>
      <c r="S276" s="534">
        <v>-30.189999999999998</v>
      </c>
      <c r="T276" s="492"/>
      <c r="U276" s="492"/>
      <c r="V276" s="492"/>
      <c r="W276" s="492"/>
      <c r="X276" s="492"/>
      <c r="Y276" s="492"/>
      <c r="Z276" s="492"/>
      <c r="AA276" s="492"/>
      <c r="AB276" s="492"/>
      <c r="AC276" s="492"/>
      <c r="AD276" s="492"/>
      <c r="AE276" s="492"/>
      <c r="AF276" s="492"/>
      <c r="AG276" s="492"/>
      <c r="AH276" s="492"/>
      <c r="AI276" s="492"/>
      <c r="AJ276" s="492"/>
      <c r="AK276" s="492"/>
      <c r="AL276" s="492"/>
      <c r="AM276" s="492"/>
      <c r="AN276" s="492"/>
    </row>
    <row r="277" spans="1:40" ht="15.75" customHeight="1">
      <c r="A277" s="477" t="s">
        <v>397</v>
      </c>
      <c r="B277" s="492" t="s">
        <v>99</v>
      </c>
      <c r="C277" s="576" t="s">
        <v>59</v>
      </c>
      <c r="D277" s="561"/>
      <c r="E277" s="492"/>
      <c r="F277" s="509">
        <v>32.368975325808613</v>
      </c>
      <c r="G277" s="562"/>
      <c r="H277" s="492"/>
      <c r="I277" s="509"/>
      <c r="J277" s="508"/>
      <c r="K277" s="492"/>
      <c r="L277" s="511">
        <v>17.43</v>
      </c>
      <c r="M277" s="508"/>
      <c r="N277" s="534">
        <v>-14.938975325808613</v>
      </c>
      <c r="O277" s="508"/>
      <c r="P277" s="492"/>
      <c r="Q277" s="534">
        <v>26.3</v>
      </c>
      <c r="R277" s="508"/>
      <c r="S277" s="534">
        <v>-8.870000000000001</v>
      </c>
      <c r="T277" s="492"/>
      <c r="U277" s="492"/>
      <c r="V277" s="492"/>
      <c r="W277" s="492"/>
      <c r="X277" s="492"/>
      <c r="Y277" s="492"/>
      <c r="Z277" s="492"/>
      <c r="AA277" s="492"/>
      <c r="AB277" s="492"/>
      <c r="AC277" s="492"/>
      <c r="AD277" s="492"/>
      <c r="AE277" s="492"/>
      <c r="AF277" s="492"/>
      <c r="AG277" s="492"/>
      <c r="AH277" s="492"/>
      <c r="AI277" s="492"/>
      <c r="AJ277" s="492"/>
      <c r="AK277" s="492"/>
      <c r="AL277" s="492"/>
      <c r="AM277" s="492"/>
      <c r="AN277" s="492"/>
    </row>
    <row r="278" spans="1:40" ht="15.75" customHeight="1">
      <c r="A278" s="477" t="s">
        <v>398</v>
      </c>
      <c r="B278" s="492" t="s">
        <v>99</v>
      </c>
      <c r="C278" s="576" t="s">
        <v>60</v>
      </c>
      <c r="D278" s="561"/>
      <c r="E278" s="492"/>
      <c r="F278" s="509">
        <v>22.492098830591392</v>
      </c>
      <c r="G278" s="562"/>
      <c r="H278" s="492"/>
      <c r="I278" s="509"/>
      <c r="J278" s="508"/>
      <c r="K278" s="492"/>
      <c r="L278" s="511">
        <v>11.94</v>
      </c>
      <c r="M278" s="508"/>
      <c r="N278" s="534">
        <v>-10.552098830591392</v>
      </c>
      <c r="O278" s="508"/>
      <c r="P278" s="492"/>
      <c r="Q278" s="534">
        <v>7.21</v>
      </c>
      <c r="R278" s="508"/>
      <c r="S278" s="534">
        <v>4.7299999999999995</v>
      </c>
      <c r="T278" s="492"/>
      <c r="U278" s="492"/>
      <c r="V278" s="492"/>
      <c r="W278" s="492"/>
      <c r="X278" s="492"/>
      <c r="Y278" s="492"/>
      <c r="Z278" s="492"/>
      <c r="AA278" s="492"/>
      <c r="AB278" s="492"/>
      <c r="AC278" s="492"/>
      <c r="AD278" s="492"/>
      <c r="AE278" s="492"/>
      <c r="AF278" s="492"/>
      <c r="AG278" s="492"/>
      <c r="AH278" s="492"/>
      <c r="AI278" s="492"/>
      <c r="AJ278" s="492"/>
      <c r="AK278" s="492"/>
      <c r="AL278" s="492"/>
      <c r="AM278" s="492"/>
      <c r="AN278" s="492"/>
    </row>
    <row r="279" spans="1:40" ht="15.75" customHeight="1">
      <c r="A279" s="477" t="s">
        <v>399</v>
      </c>
      <c r="B279" s="492" t="s">
        <v>99</v>
      </c>
      <c r="C279" s="576" t="s">
        <v>61</v>
      </c>
      <c r="D279" s="561"/>
      <c r="E279" s="492"/>
      <c r="F279" s="509">
        <v>102.90506750548639</v>
      </c>
      <c r="G279" s="562"/>
      <c r="H279" s="492"/>
      <c r="I279" s="509"/>
      <c r="J279" s="508"/>
      <c r="K279" s="492"/>
      <c r="L279" s="511">
        <v>13.72</v>
      </c>
      <c r="M279" s="508"/>
      <c r="N279" s="534">
        <v>-89.185067505486387</v>
      </c>
      <c r="O279" s="508"/>
      <c r="P279" s="492"/>
      <c r="Q279" s="534">
        <v>41.24</v>
      </c>
      <c r="R279" s="508"/>
      <c r="S279" s="534">
        <v>-27.520000000000003</v>
      </c>
      <c r="T279" s="492"/>
      <c r="U279" s="492"/>
      <c r="V279" s="492"/>
      <c r="W279" s="492"/>
      <c r="X279" s="492"/>
      <c r="Y279" s="492"/>
      <c r="Z279" s="492"/>
      <c r="AA279" s="492"/>
      <c r="AB279" s="492"/>
      <c r="AC279" s="492"/>
      <c r="AD279" s="492"/>
      <c r="AE279" s="492"/>
      <c r="AF279" s="492"/>
      <c r="AG279" s="492"/>
      <c r="AH279" s="492"/>
      <c r="AI279" s="492"/>
      <c r="AJ279" s="492"/>
      <c r="AK279" s="492"/>
      <c r="AL279" s="492"/>
      <c r="AM279" s="492"/>
      <c r="AN279" s="492"/>
    </row>
    <row r="280" spans="1:40" ht="15.75" customHeight="1">
      <c r="A280" s="477" t="s">
        <v>400</v>
      </c>
      <c r="B280" s="492" t="s">
        <v>99</v>
      </c>
      <c r="C280" s="576" t="s">
        <v>62</v>
      </c>
      <c r="D280" s="561"/>
      <c r="E280" s="492"/>
      <c r="F280" s="509">
        <v>175.49870178698256</v>
      </c>
      <c r="G280" s="562"/>
      <c r="H280" s="492"/>
      <c r="I280" s="509"/>
      <c r="J280" s="508"/>
      <c r="K280" s="492"/>
      <c r="L280" s="511">
        <v>131.96</v>
      </c>
      <c r="M280" s="508"/>
      <c r="N280" s="534">
        <v>-43.538701786982557</v>
      </c>
      <c r="O280" s="508"/>
      <c r="P280" s="492"/>
      <c r="Q280" s="534">
        <v>22.33</v>
      </c>
      <c r="R280" s="508"/>
      <c r="S280" s="534">
        <v>109.63000000000001</v>
      </c>
      <c r="T280" s="492"/>
      <c r="X280" s="492"/>
      <c r="Y280" s="492"/>
      <c r="Z280" s="492"/>
      <c r="AA280" s="492"/>
      <c r="AB280" s="492"/>
      <c r="AC280" s="492"/>
      <c r="AD280" s="492"/>
      <c r="AE280" s="492"/>
      <c r="AF280" s="492"/>
      <c r="AG280" s="492"/>
      <c r="AH280" s="492"/>
      <c r="AI280" s="492"/>
      <c r="AJ280" s="492"/>
      <c r="AK280" s="492"/>
      <c r="AL280" s="492"/>
      <c r="AM280" s="492"/>
      <c r="AN280" s="492"/>
    </row>
    <row r="281" spans="1:40" ht="15.75" customHeight="1">
      <c r="A281" s="477" t="s">
        <v>401</v>
      </c>
      <c r="B281" s="492" t="s">
        <v>99</v>
      </c>
      <c r="C281" s="576" t="s">
        <v>63</v>
      </c>
      <c r="D281" s="561"/>
      <c r="E281" s="492"/>
      <c r="F281" s="509">
        <v>206.67914215411085</v>
      </c>
      <c r="G281" s="562"/>
      <c r="H281" s="492"/>
      <c r="I281" s="509"/>
      <c r="J281" s="508"/>
      <c r="K281" s="492"/>
      <c r="L281" s="511">
        <v>216.81</v>
      </c>
      <c r="M281" s="508"/>
      <c r="N281" s="534">
        <v>10.130857845889153</v>
      </c>
      <c r="O281" s="508"/>
      <c r="P281" s="492"/>
      <c r="Q281" s="534">
        <v>206.61</v>
      </c>
      <c r="R281" s="508"/>
      <c r="S281" s="534">
        <v>10.199999999999989</v>
      </c>
      <c r="T281" s="492"/>
      <c r="X281" s="492"/>
      <c r="Y281" s="492"/>
      <c r="Z281" s="492"/>
      <c r="AA281" s="492"/>
      <c r="AB281" s="492"/>
      <c r="AC281" s="492"/>
      <c r="AD281" s="492"/>
      <c r="AE281" s="492"/>
      <c r="AF281" s="492"/>
      <c r="AG281" s="492"/>
      <c r="AH281" s="492"/>
      <c r="AI281" s="492"/>
      <c r="AJ281" s="492"/>
      <c r="AK281" s="492"/>
      <c r="AL281" s="492"/>
      <c r="AM281" s="492"/>
      <c r="AN281" s="492"/>
    </row>
    <row r="282" spans="1:40" ht="15.75" hidden="1" customHeight="1">
      <c r="A282" s="477" t="s">
        <v>381</v>
      </c>
      <c r="B282" s="492" t="s">
        <v>99</v>
      </c>
      <c r="C282" s="576" t="s">
        <v>20</v>
      </c>
      <c r="D282" s="561"/>
      <c r="E282" s="492"/>
      <c r="F282" s="509">
        <v>0</v>
      </c>
      <c r="G282" s="562"/>
      <c r="H282" s="492"/>
      <c r="I282" s="509"/>
      <c r="J282" s="508"/>
      <c r="K282" s="492"/>
      <c r="L282" s="511">
        <v>0</v>
      </c>
      <c r="M282" s="508"/>
      <c r="N282" s="534">
        <v>0</v>
      </c>
      <c r="O282" s="508"/>
      <c r="P282" s="492"/>
      <c r="Q282" s="511">
        <v>0</v>
      </c>
      <c r="R282" s="508"/>
      <c r="S282" s="534">
        <v>0</v>
      </c>
      <c r="T282" s="492"/>
      <c r="X282" s="492"/>
      <c r="Y282" s="492"/>
      <c r="Z282" s="492"/>
      <c r="AA282" s="492"/>
      <c r="AB282" s="492"/>
      <c r="AC282" s="492"/>
      <c r="AD282" s="492"/>
      <c r="AE282" s="492"/>
      <c r="AF282" s="492"/>
      <c r="AG282" s="492"/>
      <c r="AH282" s="492"/>
      <c r="AI282" s="492"/>
      <c r="AJ282" s="492"/>
      <c r="AK282" s="492"/>
      <c r="AL282" s="492"/>
      <c r="AM282" s="492"/>
      <c r="AN282" s="492"/>
    </row>
    <row r="283" spans="1:40" ht="15.75" hidden="1" customHeight="1">
      <c r="A283" s="477" t="s">
        <v>381</v>
      </c>
      <c r="B283" s="492" t="s">
        <v>99</v>
      </c>
      <c r="C283" s="576" t="s">
        <v>20</v>
      </c>
      <c r="D283" s="561"/>
      <c r="E283" s="492"/>
      <c r="F283" s="509">
        <v>0</v>
      </c>
      <c r="G283" s="562"/>
      <c r="H283" s="492"/>
      <c r="I283" s="509"/>
      <c r="J283" s="508"/>
      <c r="K283" s="492"/>
      <c r="L283" s="511">
        <v>0</v>
      </c>
      <c r="M283" s="508"/>
      <c r="N283" s="534">
        <v>0</v>
      </c>
      <c r="O283" s="508"/>
      <c r="P283" s="492"/>
      <c r="Q283" s="511">
        <v>0</v>
      </c>
      <c r="R283" s="508"/>
      <c r="S283" s="534">
        <v>0</v>
      </c>
      <c r="T283" s="492"/>
      <c r="X283" s="492"/>
      <c r="Y283" s="492"/>
      <c r="Z283" s="492"/>
      <c r="AA283" s="492"/>
      <c r="AB283" s="492"/>
      <c r="AC283" s="492"/>
      <c r="AD283" s="492"/>
      <c r="AE283" s="492"/>
      <c r="AF283" s="492"/>
      <c r="AG283" s="492"/>
      <c r="AH283" s="492"/>
      <c r="AI283" s="492"/>
      <c r="AJ283" s="492"/>
      <c r="AK283" s="492"/>
      <c r="AL283" s="492"/>
      <c r="AM283" s="492"/>
      <c r="AN283" s="492"/>
    </row>
    <row r="284" spans="1:40" ht="15.75" hidden="1" customHeight="1">
      <c r="A284" s="477" t="s">
        <v>381</v>
      </c>
      <c r="B284" s="492" t="s">
        <v>99</v>
      </c>
      <c r="C284" s="576" t="s">
        <v>20</v>
      </c>
      <c r="D284" s="561"/>
      <c r="E284" s="492"/>
      <c r="F284" s="509">
        <v>0</v>
      </c>
      <c r="G284" s="562"/>
      <c r="H284" s="492"/>
      <c r="I284" s="509"/>
      <c r="J284" s="508"/>
      <c r="K284" s="492"/>
      <c r="L284" s="511">
        <v>0</v>
      </c>
      <c r="M284" s="508"/>
      <c r="N284" s="534">
        <v>0</v>
      </c>
      <c r="O284" s="508"/>
      <c r="P284" s="492"/>
      <c r="Q284" s="511">
        <v>0</v>
      </c>
      <c r="R284" s="508"/>
      <c r="S284" s="534">
        <v>0</v>
      </c>
      <c r="T284" s="492"/>
      <c r="X284" s="492"/>
      <c r="Y284" s="492"/>
      <c r="Z284" s="492"/>
      <c r="AA284" s="492"/>
      <c r="AB284" s="492"/>
      <c r="AC284" s="492"/>
      <c r="AD284" s="492"/>
      <c r="AE284" s="492"/>
      <c r="AF284" s="492"/>
      <c r="AG284" s="492"/>
      <c r="AH284" s="492"/>
      <c r="AI284" s="492"/>
      <c r="AJ284" s="492"/>
      <c r="AK284" s="492"/>
      <c r="AL284" s="492"/>
      <c r="AM284" s="492"/>
      <c r="AN284" s="492"/>
    </row>
    <row r="285" spans="1:40" ht="15.75" customHeight="1">
      <c r="B285" s="492"/>
      <c r="C285" s="568" t="s">
        <v>64</v>
      </c>
      <c r="D285" s="569" t="s">
        <v>39</v>
      </c>
      <c r="E285" s="570" t="e">
        <v>#DIV/0!</v>
      </c>
      <c r="F285" s="571">
        <v>3846.592532905011</v>
      </c>
      <c r="G285" s="572"/>
      <c r="H285" s="570"/>
      <c r="I285" s="571"/>
      <c r="J285" s="572" t="s">
        <v>39</v>
      </c>
      <c r="K285" s="570">
        <v>0.35225354170920326</v>
      </c>
      <c r="L285" s="571">
        <v>3398.75</v>
      </c>
      <c r="M285" s="575"/>
      <c r="N285" s="571">
        <v>-447.84253290501124</v>
      </c>
      <c r="O285" s="572" t="s">
        <v>39</v>
      </c>
      <c r="P285" s="570">
        <v>0</v>
      </c>
      <c r="Q285" s="571">
        <v>2995.6600000000003</v>
      </c>
      <c r="R285" s="575"/>
      <c r="S285" s="571">
        <v>403.08999999999969</v>
      </c>
      <c r="T285" s="548"/>
      <c r="X285" s="492"/>
      <c r="Y285" s="492"/>
      <c r="Z285" s="492"/>
      <c r="AA285" s="492"/>
      <c r="AB285" s="492"/>
      <c r="AC285" s="492"/>
      <c r="AD285" s="492"/>
      <c r="AE285" s="492"/>
      <c r="AF285" s="492"/>
      <c r="AG285" s="492"/>
      <c r="AH285" s="492"/>
      <c r="AI285" s="492"/>
      <c r="AJ285" s="492"/>
      <c r="AK285" s="492"/>
      <c r="AL285" s="492"/>
      <c r="AM285" s="492"/>
      <c r="AN285" s="492"/>
    </row>
    <row r="286" spans="1:40" ht="15.75" customHeight="1">
      <c r="B286" s="492"/>
      <c r="C286" s="501"/>
      <c r="D286" s="563"/>
      <c r="E286" s="583"/>
      <c r="F286" s="534"/>
      <c r="G286" s="564"/>
      <c r="H286" s="583"/>
      <c r="I286" s="534"/>
      <c r="J286" s="501"/>
      <c r="K286" s="583"/>
      <c r="L286" s="559"/>
      <c r="M286" s="501"/>
      <c r="N286" s="559"/>
      <c r="O286" s="501"/>
      <c r="P286" s="583"/>
      <c r="Q286" s="559"/>
      <c r="R286" s="501"/>
      <c r="S286" s="559"/>
      <c r="T286" s="548"/>
      <c r="U286" s="492"/>
      <c r="V286" s="492"/>
      <c r="W286" s="492"/>
      <c r="X286" s="492"/>
      <c r="Y286" s="492"/>
      <c r="Z286" s="492"/>
      <c r="AA286" s="492"/>
      <c r="AB286" s="492"/>
      <c r="AC286" s="492"/>
      <c r="AD286" s="492"/>
      <c r="AE286" s="492"/>
      <c r="AF286" s="492"/>
      <c r="AG286" s="492"/>
      <c r="AH286" s="492"/>
      <c r="AI286" s="492"/>
      <c r="AJ286" s="492"/>
      <c r="AK286" s="492"/>
      <c r="AL286" s="492"/>
      <c r="AM286" s="492"/>
      <c r="AN286" s="492"/>
    </row>
    <row r="287" spans="1:40" ht="15.75" customHeight="1">
      <c r="B287" s="492"/>
      <c r="C287" s="568" t="s">
        <v>65</v>
      </c>
      <c r="D287" s="569" t="s">
        <v>39</v>
      </c>
      <c r="E287" s="570" t="e">
        <v>#DIV/0!</v>
      </c>
      <c r="F287" s="571">
        <v>10940.237629520394</v>
      </c>
      <c r="G287" s="572"/>
      <c r="H287" s="570"/>
      <c r="I287" s="571"/>
      <c r="J287" s="572" t="s">
        <v>39</v>
      </c>
      <c r="K287" s="570">
        <v>0.86219748170458099</v>
      </c>
      <c r="L287" s="571">
        <v>8318.99</v>
      </c>
      <c r="M287" s="575"/>
      <c r="N287" s="585">
        <v>-2621.2476295203942</v>
      </c>
      <c r="O287" s="572" t="s">
        <v>39</v>
      </c>
      <c r="P287" s="570">
        <v>0</v>
      </c>
      <c r="Q287" s="571">
        <v>7440.4</v>
      </c>
      <c r="R287" s="575"/>
      <c r="S287" s="585">
        <v>878.59000000000015</v>
      </c>
      <c r="T287" s="548"/>
      <c r="U287" s="492"/>
      <c r="V287" s="492"/>
      <c r="W287" s="492"/>
      <c r="X287" s="492"/>
      <c r="Y287" s="492"/>
      <c r="Z287" s="492"/>
      <c r="AA287" s="492"/>
      <c r="AB287" s="492"/>
      <c r="AC287" s="492"/>
      <c r="AD287" s="492"/>
      <c r="AE287" s="492"/>
      <c r="AF287" s="492"/>
      <c r="AG287" s="492"/>
      <c r="AH287" s="492"/>
      <c r="AI287" s="492"/>
      <c r="AJ287" s="492"/>
      <c r="AK287" s="492"/>
      <c r="AL287" s="492"/>
      <c r="AM287" s="492"/>
      <c r="AN287" s="492"/>
    </row>
    <row r="288" spans="1:40" ht="15.75" customHeight="1">
      <c r="B288" s="492"/>
      <c r="C288" s="508"/>
      <c r="D288" s="561"/>
      <c r="E288" s="492"/>
      <c r="F288" s="534"/>
      <c r="G288" s="562"/>
      <c r="H288" s="492"/>
      <c r="I288" s="534"/>
      <c r="J288" s="508"/>
      <c r="K288" s="492"/>
      <c r="L288" s="534"/>
      <c r="M288" s="508"/>
      <c r="N288" s="534">
        <v>0</v>
      </c>
      <c r="O288" s="508"/>
      <c r="P288" s="492"/>
      <c r="Q288" s="534"/>
      <c r="R288" s="508"/>
      <c r="S288" s="534"/>
      <c r="T288" s="492"/>
      <c r="U288" s="492"/>
      <c r="V288" s="492"/>
      <c r="W288" s="492"/>
      <c r="X288" s="492"/>
      <c r="Y288" s="492"/>
      <c r="Z288" s="492"/>
      <c r="AA288" s="492"/>
      <c r="AB288" s="492"/>
      <c r="AC288" s="492"/>
      <c r="AD288" s="492"/>
      <c r="AE288" s="492"/>
      <c r="AF288" s="492"/>
      <c r="AG288" s="492"/>
      <c r="AH288" s="492"/>
      <c r="AI288" s="492"/>
      <c r="AJ288" s="492"/>
      <c r="AK288" s="492"/>
      <c r="AL288" s="492"/>
      <c r="AM288" s="492"/>
      <c r="AN288" s="492"/>
    </row>
    <row r="289" spans="1:40" ht="29.25" customHeight="1" thickBot="1">
      <c r="B289" s="492"/>
      <c r="C289" s="600" t="s">
        <v>72</v>
      </c>
      <c r="D289" s="630"/>
      <c r="E289" s="601"/>
      <c r="F289" s="603">
        <v>-380.23762952039397</v>
      </c>
      <c r="G289" s="631"/>
      <c r="H289" s="601"/>
      <c r="I289" s="603"/>
      <c r="J289" s="600"/>
      <c r="K289" s="602"/>
      <c r="L289" s="603">
        <v>1329.5999999999967</v>
      </c>
      <c r="M289" s="600"/>
      <c r="N289" s="603">
        <v>1709.8376295203907</v>
      </c>
      <c r="O289" s="600"/>
      <c r="P289" s="605">
        <v>-7.5912890859544593</v>
      </c>
      <c r="Q289" s="603">
        <v>-6574.36</v>
      </c>
      <c r="R289" s="600"/>
      <c r="S289" s="603">
        <v>7903.9599999999964</v>
      </c>
      <c r="T289" s="548"/>
      <c r="U289" s="492"/>
      <c r="V289" s="492"/>
      <c r="W289" s="492"/>
      <c r="X289" s="492"/>
      <c r="Y289" s="492"/>
      <c r="Z289" s="492"/>
      <c r="AA289" s="492"/>
      <c r="AB289" s="492"/>
      <c r="AC289" s="492"/>
      <c r="AD289" s="492"/>
      <c r="AE289" s="492"/>
      <c r="AF289" s="492"/>
      <c r="AG289" s="492"/>
      <c r="AH289" s="492"/>
      <c r="AI289" s="492"/>
      <c r="AJ289" s="492"/>
      <c r="AK289" s="492"/>
      <c r="AL289" s="492"/>
      <c r="AM289" s="492"/>
      <c r="AN289" s="492"/>
    </row>
    <row r="290" spans="1:40" ht="15.75" customHeight="1" thickTop="1">
      <c r="B290" s="492"/>
      <c r="C290" s="492"/>
      <c r="D290" s="492"/>
      <c r="E290" s="492"/>
      <c r="F290" s="492"/>
      <c r="G290" s="492"/>
      <c r="H290" s="492"/>
      <c r="I290" s="492"/>
      <c r="J290" s="492"/>
      <c r="K290" s="492"/>
      <c r="L290" s="550"/>
      <c r="M290" s="492"/>
      <c r="N290" s="492"/>
      <c r="O290" s="492"/>
      <c r="P290" s="492"/>
      <c r="Q290" s="492"/>
      <c r="R290" s="492"/>
      <c r="S290" s="492"/>
      <c r="T290" s="492"/>
      <c r="U290" s="492"/>
      <c r="V290" s="492"/>
      <c r="W290" s="492"/>
      <c r="X290" s="492"/>
      <c r="Y290" s="492"/>
      <c r="Z290" s="492"/>
      <c r="AA290" s="492"/>
      <c r="AB290" s="492"/>
      <c r="AC290" s="492"/>
      <c r="AD290" s="492"/>
      <c r="AE290" s="492"/>
      <c r="AF290" s="492"/>
      <c r="AG290" s="492"/>
      <c r="AH290" s="492"/>
      <c r="AI290" s="492"/>
      <c r="AJ290" s="492"/>
      <c r="AK290" s="492"/>
      <c r="AL290" s="492"/>
      <c r="AM290" s="492"/>
      <c r="AN290" s="492"/>
    </row>
    <row r="291" spans="1:40" ht="36" customHeight="1">
      <c r="B291" s="492"/>
      <c r="C291" s="610" t="s">
        <v>478</v>
      </c>
      <c r="D291" s="480"/>
      <c r="E291" s="480"/>
      <c r="F291" s="480"/>
      <c r="G291" s="480"/>
      <c r="H291" s="478"/>
      <c r="I291" s="478"/>
      <c r="J291" s="478"/>
      <c r="K291" s="482" t="s">
        <v>103</v>
      </c>
      <c r="L291" s="480"/>
      <c r="M291" s="480"/>
      <c r="N291" s="478"/>
      <c r="O291" s="478"/>
      <c r="P291" s="480"/>
      <c r="Q291" s="478"/>
      <c r="R291" s="480"/>
      <c r="S291" s="611" t="s">
        <v>480</v>
      </c>
      <c r="T291" s="492"/>
      <c r="U291" s="492"/>
      <c r="V291" s="492"/>
      <c r="W291" s="492"/>
      <c r="X291" s="492"/>
      <c r="Y291" s="492"/>
      <c r="Z291" s="492"/>
      <c r="AA291" s="492"/>
      <c r="AB291" s="492"/>
      <c r="AC291" s="492"/>
      <c r="AD291" s="492"/>
      <c r="AE291" s="492"/>
      <c r="AF291" s="492"/>
      <c r="AG291" s="492"/>
      <c r="AH291" s="492"/>
      <c r="AI291" s="492"/>
      <c r="AJ291" s="492"/>
      <c r="AK291" s="492"/>
      <c r="AL291" s="492"/>
      <c r="AM291" s="492"/>
      <c r="AN291" s="492"/>
    </row>
    <row r="292" spans="1:40" ht="15.75" customHeight="1" thickBot="1">
      <c r="B292" s="492"/>
      <c r="C292" s="487"/>
      <c r="D292" s="489"/>
      <c r="E292" s="489"/>
      <c r="F292" s="489"/>
      <c r="G292" s="489"/>
      <c r="H292" s="489"/>
      <c r="I292" s="489"/>
      <c r="J292" s="489"/>
      <c r="K292" s="489"/>
      <c r="L292" s="489"/>
      <c r="M292" s="489"/>
      <c r="N292" s="489"/>
      <c r="O292" s="489"/>
      <c r="P292" s="489"/>
      <c r="Q292" s="489"/>
      <c r="R292" s="489"/>
      <c r="S292" s="489"/>
      <c r="T292" s="492"/>
      <c r="U292" s="492"/>
      <c r="V292" s="492"/>
      <c r="W292" s="492"/>
      <c r="X292" s="492"/>
      <c r="Y292" s="492"/>
      <c r="Z292" s="492"/>
      <c r="AA292" s="492"/>
      <c r="AB292" s="492"/>
      <c r="AC292" s="492"/>
      <c r="AD292" s="492"/>
      <c r="AE292" s="492"/>
      <c r="AF292" s="492"/>
      <c r="AG292" s="492"/>
      <c r="AH292" s="492"/>
      <c r="AI292" s="492"/>
      <c r="AJ292" s="492"/>
      <c r="AK292" s="492"/>
      <c r="AL292" s="492"/>
      <c r="AM292" s="492"/>
      <c r="AN292" s="492"/>
    </row>
    <row r="293" spans="1:40" ht="15.75" customHeight="1" thickTop="1">
      <c r="B293" s="492"/>
      <c r="C293" s="493"/>
      <c r="D293" s="879" t="s">
        <v>5</v>
      </c>
      <c r="E293" s="880"/>
      <c r="F293" s="881"/>
      <c r="G293" s="882"/>
      <c r="H293" s="880"/>
      <c r="I293" s="881"/>
      <c r="J293" s="882" t="s">
        <v>7</v>
      </c>
      <c r="K293" s="880"/>
      <c r="L293" s="881"/>
      <c r="M293" s="882" t="s">
        <v>220</v>
      </c>
      <c r="N293" s="881"/>
      <c r="O293" s="879" t="s">
        <v>8</v>
      </c>
      <c r="P293" s="880"/>
      <c r="Q293" s="881"/>
      <c r="R293" s="882" t="s">
        <v>221</v>
      </c>
      <c r="S293" s="881"/>
      <c r="T293" s="492"/>
      <c r="U293" s="492"/>
      <c r="V293" s="492"/>
      <c r="W293" s="492"/>
      <c r="X293" s="492"/>
      <c r="Y293" s="492"/>
      <c r="Z293" s="492"/>
      <c r="AA293" s="492"/>
      <c r="AB293" s="492"/>
      <c r="AC293" s="492"/>
      <c r="AD293" s="492"/>
      <c r="AE293" s="492"/>
      <c r="AF293" s="492"/>
      <c r="AG293" s="492"/>
      <c r="AH293" s="492"/>
      <c r="AI293" s="492"/>
      <c r="AJ293" s="492"/>
      <c r="AK293" s="492"/>
      <c r="AL293" s="492"/>
      <c r="AM293" s="492"/>
      <c r="AN293" s="492"/>
    </row>
    <row r="294" spans="1:40" ht="15.75" customHeight="1">
      <c r="A294" s="477" t="s">
        <v>103</v>
      </c>
      <c r="B294" s="492" t="s">
        <v>103</v>
      </c>
      <c r="C294" s="508"/>
      <c r="D294" s="552" t="s">
        <v>84</v>
      </c>
      <c r="E294" s="552" t="s">
        <v>104</v>
      </c>
      <c r="F294" s="633" t="s">
        <v>12</v>
      </c>
      <c r="G294" s="634"/>
      <c r="H294" s="552"/>
      <c r="I294" s="633"/>
      <c r="J294" s="634" t="s">
        <v>84</v>
      </c>
      <c r="K294" s="552" t="s">
        <v>104</v>
      </c>
      <c r="L294" s="633" t="s">
        <v>12</v>
      </c>
      <c r="M294" s="634" t="s">
        <v>40</v>
      </c>
      <c r="N294" s="633" t="s">
        <v>223</v>
      </c>
      <c r="O294" s="552" t="s">
        <v>84</v>
      </c>
      <c r="P294" s="552" t="s">
        <v>104</v>
      </c>
      <c r="Q294" s="633" t="s">
        <v>12</v>
      </c>
      <c r="R294" s="634" t="s">
        <v>85</v>
      </c>
      <c r="S294" s="633" t="s">
        <v>12</v>
      </c>
      <c r="T294" s="492"/>
      <c r="U294" s="492"/>
      <c r="V294" s="492"/>
      <c r="W294" s="492"/>
      <c r="X294" s="492"/>
      <c r="Y294" s="492"/>
      <c r="Z294" s="492"/>
      <c r="AA294" s="492"/>
      <c r="AB294" s="492"/>
      <c r="AC294" s="492"/>
      <c r="AD294" s="492"/>
      <c r="AE294" s="492"/>
      <c r="AF294" s="492"/>
      <c r="AG294" s="492"/>
      <c r="AH294" s="492"/>
      <c r="AI294" s="492"/>
      <c r="AJ294" s="492"/>
      <c r="AK294" s="492"/>
      <c r="AL294" s="492"/>
      <c r="AM294" s="492"/>
      <c r="AN294" s="492"/>
    </row>
    <row r="295" spans="1:40" ht="15.75" customHeight="1">
      <c r="A295" s="477" t="s">
        <v>402</v>
      </c>
      <c r="B295" s="492" t="s">
        <v>103</v>
      </c>
      <c r="C295" s="508" t="s">
        <v>105</v>
      </c>
      <c r="D295" s="550">
        <v>81099.13784000001</v>
      </c>
      <c r="E295" s="623">
        <v>0.35699999999999998</v>
      </c>
      <c r="F295" s="534">
        <v>28952.392208880003</v>
      </c>
      <c r="G295" s="550"/>
      <c r="H295" s="623"/>
      <c r="I295" s="534"/>
      <c r="J295" s="509">
        <v>87058.76</v>
      </c>
      <c r="K295" s="623">
        <v>0.34657282047205812</v>
      </c>
      <c r="L295" s="534">
        <v>30172.199999999993</v>
      </c>
      <c r="M295" s="554">
        <v>7.3485641385703585E-2</v>
      </c>
      <c r="N295" s="534">
        <v>1219.8077911199907</v>
      </c>
      <c r="O295" s="509">
        <v>97246.46</v>
      </c>
      <c r="P295" s="623">
        <v>0.35566508025073607</v>
      </c>
      <c r="Q295" s="534">
        <v>34587.17</v>
      </c>
      <c r="R295" s="554">
        <v>-0.10476165404889815</v>
      </c>
      <c r="S295" s="534">
        <v>-4414.9700000000048</v>
      </c>
      <c r="T295" s="492"/>
      <c r="U295" s="492"/>
      <c r="V295" s="492"/>
      <c r="W295" s="492"/>
      <c r="X295" s="492"/>
      <c r="Y295" s="492"/>
      <c r="Z295" s="492"/>
      <c r="AA295" s="492"/>
      <c r="AB295" s="492"/>
      <c r="AC295" s="492"/>
      <c r="AD295" s="492"/>
      <c r="AE295" s="492"/>
      <c r="AF295" s="492"/>
      <c r="AG295" s="492"/>
      <c r="AH295" s="492"/>
      <c r="AI295" s="492"/>
      <c r="AJ295" s="492"/>
      <c r="AK295" s="492"/>
      <c r="AL295" s="492"/>
      <c r="AM295" s="492"/>
      <c r="AN295" s="492"/>
    </row>
    <row r="296" spans="1:40" ht="15.75" customHeight="1">
      <c r="A296" s="477" t="s">
        <v>403</v>
      </c>
      <c r="B296" s="492" t="s">
        <v>103</v>
      </c>
      <c r="C296" s="508" t="s">
        <v>106</v>
      </c>
      <c r="D296" s="550">
        <v>28800</v>
      </c>
      <c r="E296" s="623">
        <v>0.248</v>
      </c>
      <c r="F296" s="534">
        <v>7142.4</v>
      </c>
      <c r="G296" s="550"/>
      <c r="H296" s="623"/>
      <c r="I296" s="534"/>
      <c r="J296" s="509">
        <v>18886.29</v>
      </c>
      <c r="K296" s="623">
        <v>0.23393848130045664</v>
      </c>
      <c r="L296" s="534">
        <v>4418.2300000000014</v>
      </c>
      <c r="M296" s="554">
        <v>-0.34422604166666665</v>
      </c>
      <c r="N296" s="534">
        <v>-2724.1699999999983</v>
      </c>
      <c r="O296" s="509">
        <v>0</v>
      </c>
      <c r="P296" s="623">
        <v>0</v>
      </c>
      <c r="Q296" s="534">
        <v>0</v>
      </c>
      <c r="R296" s="554">
        <v>0</v>
      </c>
      <c r="S296" s="534">
        <v>4418.2300000000014</v>
      </c>
      <c r="T296" s="492"/>
      <c r="U296" s="492"/>
      <c r="V296" s="492"/>
      <c r="W296" s="492"/>
      <c r="X296" s="492"/>
      <c r="Y296" s="492"/>
      <c r="Z296" s="492"/>
      <c r="AA296" s="492"/>
      <c r="AB296" s="492"/>
      <c r="AC296" s="492"/>
      <c r="AD296" s="492"/>
      <c r="AE296" s="492"/>
      <c r="AF296" s="492"/>
      <c r="AG296" s="492"/>
      <c r="AH296" s="492"/>
      <c r="AI296" s="492"/>
      <c r="AJ296" s="492"/>
      <c r="AK296" s="492"/>
      <c r="AL296" s="492"/>
      <c r="AM296" s="492"/>
      <c r="AN296" s="492"/>
    </row>
    <row r="297" spans="1:40" ht="15.75" customHeight="1">
      <c r="A297" s="477" t="s">
        <v>404</v>
      </c>
      <c r="B297" s="492" t="s">
        <v>103</v>
      </c>
      <c r="C297" s="508" t="s">
        <v>107</v>
      </c>
      <c r="D297" s="550">
        <v>60847.342499999999</v>
      </c>
      <c r="E297" s="623">
        <v>0.23700000000000002</v>
      </c>
      <c r="F297" s="534">
        <v>14420.8201725</v>
      </c>
      <c r="G297" s="550"/>
      <c r="H297" s="623"/>
      <c r="I297" s="534"/>
      <c r="J297" s="509">
        <v>95506.71</v>
      </c>
      <c r="K297" s="623">
        <v>0.23560993777295858</v>
      </c>
      <c r="L297" s="534">
        <v>22502.33</v>
      </c>
      <c r="M297" s="554">
        <v>0.56961185281017013</v>
      </c>
      <c r="N297" s="534">
        <v>8081.5098275000018</v>
      </c>
      <c r="O297" s="509">
        <v>63908.639999999999</v>
      </c>
      <c r="P297" s="623">
        <v>0.23059511202241043</v>
      </c>
      <c r="Q297" s="534">
        <v>14737.0199999999</v>
      </c>
      <c r="R297" s="554">
        <v>0.49442563634588388</v>
      </c>
      <c r="S297" s="534">
        <v>7765.3100000001014</v>
      </c>
      <c r="T297" s="492"/>
      <c r="U297" s="492"/>
      <c r="V297" s="492"/>
      <c r="W297" s="492"/>
      <c r="X297" s="492"/>
      <c r="Y297" s="492"/>
      <c r="Z297" s="492"/>
      <c r="AA297" s="492"/>
      <c r="AB297" s="492"/>
      <c r="AC297" s="492"/>
      <c r="AD297" s="492"/>
      <c r="AE297" s="492"/>
      <c r="AF297" s="492"/>
      <c r="AG297" s="492"/>
      <c r="AH297" s="492"/>
      <c r="AI297" s="492"/>
      <c r="AJ297" s="492"/>
      <c r="AK297" s="492"/>
      <c r="AL297" s="492"/>
      <c r="AM297" s="492"/>
      <c r="AN297" s="492"/>
    </row>
    <row r="298" spans="1:40" ht="15.75" customHeight="1">
      <c r="A298" s="477" t="s">
        <v>405</v>
      </c>
      <c r="B298" s="492" t="s">
        <v>103</v>
      </c>
      <c r="C298" s="508" t="s">
        <v>108</v>
      </c>
      <c r="D298" s="550">
        <v>65349.206999999995</v>
      </c>
      <c r="E298" s="623">
        <v>0.29399999999999998</v>
      </c>
      <c r="F298" s="534">
        <v>19212.666857999997</v>
      </c>
      <c r="G298" s="550"/>
      <c r="H298" s="623"/>
      <c r="I298" s="534"/>
      <c r="J298" s="509">
        <v>73676.91</v>
      </c>
      <c r="K298" s="623">
        <v>0.28959995743578282</v>
      </c>
      <c r="L298" s="534">
        <v>21336.83</v>
      </c>
      <c r="M298" s="554">
        <v>0.12743387995511574</v>
      </c>
      <c r="N298" s="534">
        <v>2124.1631420000049</v>
      </c>
      <c r="O298" s="509">
        <v>60027.4</v>
      </c>
      <c r="P298" s="623">
        <v>0.31739355694232968</v>
      </c>
      <c r="Q298" s="534">
        <v>19052.310000000001</v>
      </c>
      <c r="R298" s="554">
        <v>0.22738799281661379</v>
      </c>
      <c r="S298" s="534">
        <v>2284.5200000000004</v>
      </c>
      <c r="T298" s="492"/>
      <c r="U298" s="492"/>
      <c r="V298" s="492"/>
      <c r="W298" s="492"/>
      <c r="X298" s="492"/>
      <c r="Y298" s="492"/>
      <c r="Z298" s="492"/>
      <c r="AA298" s="492"/>
      <c r="AB298" s="492"/>
      <c r="AC298" s="492"/>
      <c r="AD298" s="492"/>
      <c r="AE298" s="492"/>
      <c r="AF298" s="492"/>
      <c r="AG298" s="492"/>
      <c r="AH298" s="492"/>
      <c r="AI298" s="492"/>
      <c r="AJ298" s="492"/>
      <c r="AK298" s="492"/>
      <c r="AL298" s="492"/>
      <c r="AM298" s="492"/>
      <c r="AN298" s="492"/>
    </row>
    <row r="299" spans="1:40" ht="15.75" customHeight="1">
      <c r="A299" s="477" t="s">
        <v>406</v>
      </c>
      <c r="B299" s="492" t="s">
        <v>103</v>
      </c>
      <c r="C299" s="508" t="s">
        <v>109</v>
      </c>
      <c r="D299" s="550">
        <v>17909.036</v>
      </c>
      <c r="E299" s="623">
        <v>0.27700000000000002</v>
      </c>
      <c r="F299" s="534">
        <v>4960.8029720000004</v>
      </c>
      <c r="G299" s="550"/>
      <c r="H299" s="623"/>
      <c r="I299" s="534"/>
      <c r="J299" s="509">
        <v>15743.02</v>
      </c>
      <c r="K299" s="623">
        <v>0.29404713962124168</v>
      </c>
      <c r="L299" s="534">
        <v>4629.1900000000005</v>
      </c>
      <c r="M299" s="554">
        <v>-0.12094542665501368</v>
      </c>
      <c r="N299" s="534">
        <v>-331.6129719999999</v>
      </c>
      <c r="O299" s="509">
        <v>16945.259999999998</v>
      </c>
      <c r="P299" s="623">
        <v>0.2982108270985509</v>
      </c>
      <c r="Q299" s="534">
        <v>5053.2599999999902</v>
      </c>
      <c r="R299" s="554">
        <v>-7.0948454021950574E-2</v>
      </c>
      <c r="S299" s="534">
        <v>-424.0699999999897</v>
      </c>
      <c r="T299" s="492"/>
      <c r="U299" s="492"/>
      <c r="V299" s="492"/>
      <c r="W299" s="492"/>
      <c r="X299" s="492"/>
      <c r="Y299" s="492"/>
      <c r="Z299" s="492"/>
      <c r="AA299" s="492"/>
      <c r="AB299" s="492"/>
      <c r="AC299" s="492"/>
      <c r="AD299" s="492"/>
      <c r="AE299" s="492"/>
      <c r="AF299" s="492"/>
      <c r="AG299" s="492"/>
      <c r="AH299" s="492"/>
      <c r="AI299" s="492"/>
      <c r="AJ299" s="492"/>
      <c r="AK299" s="492"/>
      <c r="AL299" s="492"/>
      <c r="AM299" s="492"/>
      <c r="AN299" s="492"/>
    </row>
    <row r="300" spans="1:40" ht="15.75" customHeight="1">
      <c r="A300" s="477" t="s">
        <v>407</v>
      </c>
      <c r="B300" s="492" t="s">
        <v>103</v>
      </c>
      <c r="C300" s="508" t="s">
        <v>110</v>
      </c>
      <c r="D300" s="550">
        <v>153843.459</v>
      </c>
      <c r="E300" s="623">
        <v>0.13500000000000001</v>
      </c>
      <c r="F300" s="534">
        <v>20768.866965000001</v>
      </c>
      <c r="G300" s="550"/>
      <c r="H300" s="623"/>
      <c r="I300" s="534"/>
      <c r="J300" s="509">
        <v>186492.61</v>
      </c>
      <c r="K300" s="623">
        <v>0.13094845956630663</v>
      </c>
      <c r="L300" s="534">
        <v>24420.919999999991</v>
      </c>
      <c r="M300" s="554">
        <v>0.21222319890766356</v>
      </c>
      <c r="N300" s="534">
        <v>3652.0530349999899</v>
      </c>
      <c r="O300" s="509">
        <v>143365.44</v>
      </c>
      <c r="P300" s="623">
        <v>0.13637603316392011</v>
      </c>
      <c r="Q300" s="534">
        <v>19551.61</v>
      </c>
      <c r="R300" s="554">
        <v>0.30081984891198316</v>
      </c>
      <c r="S300" s="534">
        <v>4869.3099999999904</v>
      </c>
      <c r="T300" s="492"/>
      <c r="U300" s="492"/>
      <c r="V300" s="492"/>
      <c r="W300" s="492"/>
      <c r="X300" s="492"/>
      <c r="Y300" s="492"/>
      <c r="Z300" s="492"/>
      <c r="AA300" s="492"/>
      <c r="AB300" s="492"/>
      <c r="AC300" s="492"/>
      <c r="AD300" s="492"/>
      <c r="AE300" s="492"/>
      <c r="AF300" s="492"/>
      <c r="AG300" s="492"/>
      <c r="AH300" s="492"/>
      <c r="AI300" s="492"/>
      <c r="AJ300" s="492"/>
      <c r="AK300" s="492"/>
      <c r="AL300" s="492"/>
      <c r="AM300" s="492"/>
      <c r="AN300" s="492"/>
    </row>
    <row r="301" spans="1:40" ht="15.75" hidden="1" customHeight="1">
      <c r="A301" s="477" t="s">
        <v>408</v>
      </c>
      <c r="B301" s="492" t="s">
        <v>103</v>
      </c>
      <c r="C301" s="508" t="s">
        <v>20</v>
      </c>
      <c r="D301" s="550">
        <v>0</v>
      </c>
      <c r="E301" s="623">
        <v>0</v>
      </c>
      <c r="F301" s="534">
        <v>0</v>
      </c>
      <c r="G301" s="550"/>
      <c r="H301" s="623"/>
      <c r="I301" s="534"/>
      <c r="J301" s="509">
        <v>0</v>
      </c>
      <c r="K301" s="623">
        <v>0</v>
      </c>
      <c r="L301" s="534">
        <v>0</v>
      </c>
      <c r="M301" s="554" t="e">
        <v>#DIV/0!</v>
      </c>
      <c r="N301" s="534">
        <v>0</v>
      </c>
      <c r="O301" s="509">
        <v>0</v>
      </c>
      <c r="P301" s="623">
        <v>0</v>
      </c>
      <c r="Q301" s="534">
        <v>0</v>
      </c>
      <c r="R301" s="554">
        <v>0</v>
      </c>
      <c r="S301" s="534">
        <v>0</v>
      </c>
      <c r="T301" s="492"/>
      <c r="U301" s="492"/>
      <c r="V301" s="492"/>
      <c r="W301" s="492"/>
      <c r="X301" s="492"/>
      <c r="Y301" s="492"/>
      <c r="Z301" s="492"/>
      <c r="AA301" s="492"/>
      <c r="AB301" s="492"/>
      <c r="AC301" s="492"/>
      <c r="AD301" s="492"/>
      <c r="AE301" s="492"/>
      <c r="AF301" s="492"/>
      <c r="AG301" s="492"/>
      <c r="AH301" s="492"/>
      <c r="AI301" s="492"/>
      <c r="AJ301" s="492"/>
      <c r="AK301" s="492"/>
      <c r="AL301" s="492"/>
      <c r="AM301" s="492"/>
      <c r="AN301" s="492"/>
    </row>
    <row r="302" spans="1:40" ht="15.75" customHeight="1">
      <c r="A302" s="477" t="s">
        <v>409</v>
      </c>
      <c r="B302" s="492" t="s">
        <v>103</v>
      </c>
      <c r="C302" s="508" t="s">
        <v>111</v>
      </c>
      <c r="D302" s="550">
        <v>0</v>
      </c>
      <c r="E302" s="623">
        <v>0</v>
      </c>
      <c r="F302" s="534">
        <v>10456.478287315782</v>
      </c>
      <c r="G302" s="550"/>
      <c r="H302" s="623"/>
      <c r="I302" s="534"/>
      <c r="J302" s="509">
        <v>0</v>
      </c>
      <c r="K302" s="623">
        <v>0</v>
      </c>
      <c r="L302" s="534">
        <v>4672.6899999999996</v>
      </c>
      <c r="M302" s="554"/>
      <c r="N302" s="534">
        <v>-5783.7882873157823</v>
      </c>
      <c r="O302" s="509">
        <v>0</v>
      </c>
      <c r="P302" s="623">
        <v>0</v>
      </c>
      <c r="Q302" s="534">
        <v>3691.28</v>
      </c>
      <c r="R302" s="554">
        <v>0</v>
      </c>
      <c r="S302" s="534">
        <v>981.4099999999994</v>
      </c>
      <c r="T302" s="492"/>
      <c r="U302" s="492"/>
      <c r="V302" s="492"/>
      <c r="W302" s="492"/>
      <c r="X302" s="492"/>
      <c r="Y302" s="492"/>
      <c r="Z302" s="492"/>
      <c r="AA302" s="492"/>
      <c r="AB302" s="492"/>
      <c r="AC302" s="492"/>
      <c r="AD302" s="492"/>
      <c r="AE302" s="492"/>
      <c r="AF302" s="492"/>
      <c r="AG302" s="492"/>
      <c r="AH302" s="492"/>
      <c r="AI302" s="492"/>
      <c r="AJ302" s="492"/>
      <c r="AK302" s="492"/>
      <c r="AL302" s="492"/>
      <c r="AM302" s="492"/>
      <c r="AN302" s="492"/>
    </row>
    <row r="303" spans="1:40" ht="15.75" customHeight="1">
      <c r="A303" s="477" t="s">
        <v>410</v>
      </c>
      <c r="B303" s="492" t="s">
        <v>103</v>
      </c>
      <c r="C303" s="501" t="s">
        <v>112</v>
      </c>
      <c r="D303" s="550">
        <v>0</v>
      </c>
      <c r="E303" s="623">
        <v>0</v>
      </c>
      <c r="F303" s="534">
        <v>0</v>
      </c>
      <c r="G303" s="550"/>
      <c r="H303" s="623"/>
      <c r="I303" s="534"/>
      <c r="J303" s="509">
        <v>0</v>
      </c>
      <c r="K303" s="623">
        <v>0</v>
      </c>
      <c r="L303" s="534">
        <v>0</v>
      </c>
      <c r="M303" s="554"/>
      <c r="N303" s="534">
        <v>0</v>
      </c>
      <c r="O303" s="509">
        <v>0</v>
      </c>
      <c r="P303" s="623">
        <v>0</v>
      </c>
      <c r="Q303" s="534">
        <v>0</v>
      </c>
      <c r="R303" s="554">
        <v>0</v>
      </c>
      <c r="S303" s="534">
        <v>0</v>
      </c>
      <c r="T303" s="492"/>
      <c r="U303" s="492"/>
      <c r="V303" s="492"/>
      <c r="W303" s="492"/>
      <c r="X303" s="492"/>
      <c r="Y303" s="492"/>
      <c r="Z303" s="492"/>
      <c r="AA303" s="492"/>
      <c r="AB303" s="492"/>
      <c r="AC303" s="492"/>
      <c r="AD303" s="492"/>
      <c r="AE303" s="492"/>
      <c r="AF303" s="492"/>
      <c r="AG303" s="492"/>
      <c r="AH303" s="492"/>
      <c r="AI303" s="492"/>
      <c r="AJ303" s="492"/>
      <c r="AK303" s="492"/>
      <c r="AL303" s="492"/>
      <c r="AM303" s="492"/>
      <c r="AN303" s="492"/>
    </row>
    <row r="304" spans="1:40" ht="15.75" customHeight="1">
      <c r="A304" s="477" t="s">
        <v>411</v>
      </c>
      <c r="B304" s="492" t="s">
        <v>103</v>
      </c>
      <c r="C304" s="527" t="s">
        <v>113</v>
      </c>
      <c r="D304" s="663">
        <v>407848.18234</v>
      </c>
      <c r="E304" s="682">
        <v>0.25969081646023107</v>
      </c>
      <c r="F304" s="665">
        <v>105914.42746369579</v>
      </c>
      <c r="G304" s="663"/>
      <c r="H304" s="682"/>
      <c r="I304" s="665"/>
      <c r="J304" s="663">
        <v>477364.30000000005</v>
      </c>
      <c r="K304" s="682">
        <v>0.23494088267597718</v>
      </c>
      <c r="L304" s="665">
        <v>112152.38999999998</v>
      </c>
      <c r="M304" s="683">
        <v>0.17044606466346438</v>
      </c>
      <c r="N304" s="665">
        <v>6237.9625363041996</v>
      </c>
      <c r="O304" s="663">
        <v>381493.2</v>
      </c>
      <c r="P304" s="682">
        <v>0.25340595848104208</v>
      </c>
      <c r="Q304" s="665">
        <v>96672.649999999892</v>
      </c>
      <c r="R304" s="683">
        <v>0.25130487253770195</v>
      </c>
      <c r="S304" s="665">
        <v>15479.740000000093</v>
      </c>
      <c r="T304" s="492"/>
      <c r="U304" s="492"/>
      <c r="V304" s="492"/>
      <c r="W304" s="492"/>
      <c r="X304" s="492"/>
      <c r="Y304" s="492"/>
      <c r="Z304" s="492"/>
      <c r="AA304" s="492"/>
      <c r="AB304" s="492"/>
      <c r="AC304" s="492"/>
      <c r="AD304" s="492"/>
      <c r="AE304" s="492"/>
      <c r="AF304" s="492"/>
      <c r="AG304" s="492"/>
      <c r="AH304" s="492"/>
      <c r="AI304" s="492"/>
      <c r="AJ304" s="492"/>
      <c r="AK304" s="492"/>
      <c r="AL304" s="492"/>
      <c r="AM304" s="492"/>
      <c r="AN304" s="492"/>
    </row>
    <row r="305" spans="1:40" ht="15.75" customHeight="1">
      <c r="A305" s="477" t="s">
        <v>103</v>
      </c>
      <c r="B305" s="492" t="s">
        <v>103</v>
      </c>
      <c r="C305" s="508"/>
      <c r="D305" s="492"/>
      <c r="E305" s="492"/>
      <c r="F305" s="518"/>
      <c r="G305" s="508"/>
      <c r="H305" s="492"/>
      <c r="I305" s="518"/>
      <c r="J305" s="508"/>
      <c r="K305" s="492"/>
      <c r="L305" s="518"/>
      <c r="M305" s="508"/>
      <c r="N305" s="526">
        <v>5.8896249412691032E-2</v>
      </c>
      <c r="O305" s="508"/>
      <c r="P305" s="492"/>
      <c r="Q305" s="518"/>
      <c r="R305" s="508"/>
      <c r="S305" s="526">
        <v>0.16012533017353006</v>
      </c>
      <c r="T305" s="492"/>
      <c r="U305" s="492"/>
      <c r="V305" s="492"/>
      <c r="W305" s="492"/>
      <c r="X305" s="492"/>
      <c r="Y305" s="492"/>
      <c r="Z305" s="492"/>
      <c r="AA305" s="492"/>
      <c r="AB305" s="492"/>
      <c r="AC305" s="492"/>
      <c r="AD305" s="492"/>
      <c r="AE305" s="492"/>
      <c r="AF305" s="492"/>
      <c r="AG305" s="492"/>
      <c r="AH305" s="492"/>
      <c r="AI305" s="492"/>
      <c r="AJ305" s="492"/>
      <c r="AK305" s="492"/>
      <c r="AL305" s="492"/>
      <c r="AM305" s="492"/>
      <c r="AN305" s="492"/>
    </row>
    <row r="306" spans="1:40" ht="15.75" customHeight="1">
      <c r="A306" s="477" t="s">
        <v>103</v>
      </c>
      <c r="B306" s="492" t="s">
        <v>103</v>
      </c>
      <c r="C306" s="501"/>
      <c r="D306" s="583"/>
      <c r="E306" s="583"/>
      <c r="F306" s="684"/>
      <c r="G306" s="501"/>
      <c r="H306" s="583"/>
      <c r="I306" s="684"/>
      <c r="J306" s="501"/>
      <c r="K306" s="583"/>
      <c r="L306" s="684"/>
      <c r="M306" s="501"/>
      <c r="N306" s="643"/>
      <c r="O306" s="501"/>
      <c r="P306" s="583"/>
      <c r="Q306" s="684"/>
      <c r="R306" s="501"/>
      <c r="S306" s="643"/>
      <c r="T306" s="492"/>
      <c r="U306" s="492"/>
      <c r="V306" s="492"/>
      <c r="W306" s="492"/>
      <c r="X306" s="492"/>
      <c r="Y306" s="492"/>
      <c r="Z306" s="492"/>
      <c r="AA306" s="492"/>
      <c r="AB306" s="492"/>
      <c r="AC306" s="492"/>
      <c r="AD306" s="492"/>
      <c r="AE306" s="492"/>
      <c r="AF306" s="492"/>
      <c r="AG306" s="492"/>
      <c r="AH306" s="492"/>
      <c r="AI306" s="492"/>
      <c r="AJ306" s="492"/>
      <c r="AK306" s="492"/>
      <c r="AL306" s="492"/>
      <c r="AM306" s="492"/>
      <c r="AN306" s="492"/>
    </row>
    <row r="307" spans="1:40" ht="15.75" customHeight="1">
      <c r="A307" s="477" t="s">
        <v>412</v>
      </c>
      <c r="B307" s="492" t="s">
        <v>103</v>
      </c>
      <c r="C307" s="508" t="s">
        <v>114</v>
      </c>
      <c r="D307" s="550">
        <v>23014.84</v>
      </c>
      <c r="E307" s="623">
        <v>0.17100000000000001</v>
      </c>
      <c r="F307" s="582">
        <v>3935.5376400000005</v>
      </c>
      <c r="G307" s="550"/>
      <c r="H307" s="623"/>
      <c r="I307" s="582"/>
      <c r="J307" s="509">
        <v>32612.16</v>
      </c>
      <c r="K307" s="623">
        <v>0.1719337204282084</v>
      </c>
      <c r="L307" s="582">
        <v>5607.130000000001</v>
      </c>
      <c r="M307" s="554">
        <v>0.41700572326377239</v>
      </c>
      <c r="N307" s="534">
        <v>1671.5923600000006</v>
      </c>
      <c r="O307" s="509">
        <v>17894.14</v>
      </c>
      <c r="P307" s="623">
        <v>0.15636012683481798</v>
      </c>
      <c r="Q307" s="582">
        <v>2797.9299999999898</v>
      </c>
      <c r="R307" s="554">
        <v>0.82250502119688351</v>
      </c>
      <c r="S307" s="534">
        <v>2809.2000000000112</v>
      </c>
      <c r="T307" s="492"/>
      <c r="U307" s="492"/>
      <c r="V307" s="492"/>
      <c r="W307" s="492"/>
      <c r="X307" s="492"/>
      <c r="Y307" s="492"/>
      <c r="Z307" s="492"/>
      <c r="AA307" s="492"/>
      <c r="AB307" s="492"/>
      <c r="AC307" s="492"/>
      <c r="AD307" s="492"/>
      <c r="AE307" s="492"/>
      <c r="AF307" s="492"/>
      <c r="AG307" s="492"/>
      <c r="AH307" s="492"/>
      <c r="AI307" s="492"/>
      <c r="AJ307" s="492"/>
      <c r="AK307" s="492"/>
      <c r="AL307" s="492"/>
      <c r="AM307" s="492"/>
      <c r="AN307" s="492"/>
    </row>
    <row r="308" spans="1:40" ht="15.75" customHeight="1">
      <c r="A308" s="477" t="s">
        <v>413</v>
      </c>
      <c r="B308" s="492" t="s">
        <v>103</v>
      </c>
      <c r="C308" s="501" t="s">
        <v>115</v>
      </c>
      <c r="D308" s="550">
        <v>19997.678345249682</v>
      </c>
      <c r="E308" s="623">
        <v>0.25600000000000001</v>
      </c>
      <c r="F308" s="559">
        <v>5119.4056563839185</v>
      </c>
      <c r="G308" s="550"/>
      <c r="H308" s="623"/>
      <c r="I308" s="559"/>
      <c r="J308" s="509">
        <v>25642.9</v>
      </c>
      <c r="K308" s="623">
        <v>0.28574459207031966</v>
      </c>
      <c r="L308" s="559">
        <v>7327.32</v>
      </c>
      <c r="M308" s="554">
        <v>0.282293852180661</v>
      </c>
      <c r="N308" s="534">
        <v>2207.9143436160812</v>
      </c>
      <c r="O308" s="509">
        <v>21225.38</v>
      </c>
      <c r="P308" s="623">
        <v>0.24730440632864994</v>
      </c>
      <c r="Q308" s="559">
        <v>5249.13</v>
      </c>
      <c r="R308" s="554">
        <v>0.20812442462749783</v>
      </c>
      <c r="S308" s="534">
        <v>2078.1899999999996</v>
      </c>
      <c r="T308" s="492"/>
      <c r="U308" s="492"/>
      <c r="V308" s="492"/>
      <c r="W308" s="492"/>
      <c r="X308" s="492"/>
      <c r="Y308" s="492"/>
      <c r="Z308" s="492"/>
      <c r="AA308" s="492"/>
      <c r="AB308" s="492"/>
      <c r="AC308" s="492"/>
      <c r="AD308" s="492"/>
      <c r="AE308" s="492"/>
      <c r="AF308" s="492"/>
      <c r="AG308" s="492"/>
      <c r="AH308" s="492"/>
      <c r="AI308" s="492"/>
      <c r="AJ308" s="492"/>
      <c r="AK308" s="492"/>
      <c r="AL308" s="492"/>
      <c r="AM308" s="492"/>
      <c r="AN308" s="492"/>
    </row>
    <row r="309" spans="1:40" ht="15.75" customHeight="1">
      <c r="A309" s="477" t="s">
        <v>414</v>
      </c>
      <c r="B309" s="492" t="s">
        <v>103</v>
      </c>
      <c r="C309" s="527" t="s">
        <v>116</v>
      </c>
      <c r="D309" s="663">
        <v>450860.7006852497</v>
      </c>
      <c r="E309" s="682">
        <v>0.25499976064744873</v>
      </c>
      <c r="F309" s="665">
        <v>114969.37076007971</v>
      </c>
      <c r="G309" s="666"/>
      <c r="H309" s="682"/>
      <c r="I309" s="665"/>
      <c r="J309" s="666">
        <v>535619.36</v>
      </c>
      <c r="K309" s="682">
        <v>0.23353681614495786</v>
      </c>
      <c r="L309" s="665">
        <v>125086.84</v>
      </c>
      <c r="M309" s="683">
        <v>0.18799300800874447</v>
      </c>
      <c r="N309" s="665">
        <v>10117.46923992029</v>
      </c>
      <c r="O309" s="666">
        <v>420612.72000000003</v>
      </c>
      <c r="P309" s="682">
        <v>0.24896943202288291</v>
      </c>
      <c r="Q309" s="665">
        <v>104719.70999999989</v>
      </c>
      <c r="R309" s="683">
        <v>0.27342644321360504</v>
      </c>
      <c r="S309" s="665">
        <v>20367.130000000107</v>
      </c>
      <c r="T309" s="492"/>
      <c r="U309" s="550"/>
      <c r="V309" s="492"/>
      <c r="W309" s="492"/>
      <c r="X309" s="492"/>
      <c r="Y309" s="492"/>
      <c r="Z309" s="492"/>
      <c r="AA309" s="492"/>
      <c r="AB309" s="492"/>
      <c r="AC309" s="492"/>
      <c r="AD309" s="492"/>
      <c r="AE309" s="492"/>
      <c r="AF309" s="492"/>
      <c r="AG309" s="492"/>
      <c r="AH309" s="492"/>
      <c r="AI309" s="492"/>
      <c r="AJ309" s="492"/>
      <c r="AK309" s="492"/>
      <c r="AL309" s="492"/>
      <c r="AM309" s="492"/>
      <c r="AN309" s="492"/>
    </row>
    <row r="310" spans="1:40" ht="15.75" customHeight="1">
      <c r="A310" s="477" t="s">
        <v>103</v>
      </c>
      <c r="B310" s="492" t="s">
        <v>103</v>
      </c>
      <c r="C310" s="508"/>
      <c r="D310" s="492"/>
      <c r="E310" s="492"/>
      <c r="F310" s="518"/>
      <c r="G310" s="508"/>
      <c r="H310" s="492"/>
      <c r="I310" s="518"/>
      <c r="J310" s="508"/>
      <c r="K310" s="492"/>
      <c r="L310" s="518"/>
      <c r="M310" s="508"/>
      <c r="N310" s="526">
        <v>8.8001431799027752E-2</v>
      </c>
      <c r="O310" s="508"/>
      <c r="P310" s="492"/>
      <c r="Q310" s="518"/>
      <c r="R310" s="508"/>
      <c r="S310" s="526">
        <v>0.19449184876467027</v>
      </c>
      <c r="T310" s="492"/>
      <c r="U310" s="492"/>
      <c r="V310" s="492"/>
      <c r="W310" s="492"/>
      <c r="X310" s="492"/>
      <c r="Y310" s="492"/>
      <c r="Z310" s="492"/>
      <c r="AA310" s="492"/>
      <c r="AB310" s="492"/>
      <c r="AC310" s="492"/>
      <c r="AD310" s="492"/>
      <c r="AE310" s="492"/>
      <c r="AF310" s="492"/>
      <c r="AG310" s="492"/>
      <c r="AH310" s="492"/>
      <c r="AI310" s="492"/>
      <c r="AJ310" s="492"/>
      <c r="AK310" s="492"/>
      <c r="AL310" s="492"/>
      <c r="AM310" s="492"/>
      <c r="AN310" s="492"/>
    </row>
    <row r="311" spans="1:40" ht="15.75" customHeight="1">
      <c r="A311" s="477" t="s">
        <v>103</v>
      </c>
      <c r="B311" s="492" t="s">
        <v>103</v>
      </c>
      <c r="C311" s="508"/>
      <c r="D311" s="492"/>
      <c r="E311" s="492"/>
      <c r="F311" s="518"/>
      <c r="G311" s="508"/>
      <c r="H311" s="492"/>
      <c r="I311" s="518"/>
      <c r="J311" s="508"/>
      <c r="K311" s="492"/>
      <c r="L311" s="518"/>
      <c r="M311" s="508"/>
      <c r="N311" s="526"/>
      <c r="O311" s="508"/>
      <c r="P311" s="492"/>
      <c r="Q311" s="518"/>
      <c r="R311" s="508"/>
      <c r="S311" s="526"/>
      <c r="T311" s="492"/>
      <c r="U311" s="492"/>
      <c r="V311" s="492"/>
      <c r="W311" s="492"/>
      <c r="X311" s="492"/>
      <c r="Y311" s="492"/>
      <c r="Z311" s="492"/>
      <c r="AA311" s="492"/>
      <c r="AB311" s="492"/>
      <c r="AC311" s="492"/>
      <c r="AD311" s="492"/>
      <c r="AE311" s="492"/>
      <c r="AF311" s="492"/>
      <c r="AG311" s="492"/>
      <c r="AH311" s="492"/>
      <c r="AI311" s="492"/>
      <c r="AJ311" s="492"/>
      <c r="AK311" s="492"/>
      <c r="AL311" s="492"/>
      <c r="AM311" s="492"/>
      <c r="AN311" s="492"/>
    </row>
    <row r="312" spans="1:40" ht="15.75" customHeight="1">
      <c r="A312" s="477" t="s">
        <v>415</v>
      </c>
      <c r="B312" s="492" t="s">
        <v>103</v>
      </c>
      <c r="C312" s="501" t="s">
        <v>117</v>
      </c>
      <c r="D312" s="557">
        <v>0</v>
      </c>
      <c r="E312" s="685">
        <v>0</v>
      </c>
      <c r="F312" s="559">
        <v>0</v>
      </c>
      <c r="G312" s="638"/>
      <c r="H312" s="685"/>
      <c r="I312" s="559"/>
      <c r="J312" s="522">
        <v>0</v>
      </c>
      <c r="K312" s="685">
        <v>0</v>
      </c>
      <c r="L312" s="503">
        <v>0</v>
      </c>
      <c r="M312" s="685">
        <v>0</v>
      </c>
      <c r="N312" s="559">
        <v>0</v>
      </c>
      <c r="O312" s="522">
        <v>0</v>
      </c>
      <c r="P312" s="685">
        <v>0</v>
      </c>
      <c r="Q312" s="503">
        <v>0</v>
      </c>
      <c r="R312" s="685">
        <v>0</v>
      </c>
      <c r="S312" s="559">
        <v>0</v>
      </c>
      <c r="T312" s="492"/>
      <c r="U312" s="550"/>
      <c r="V312" s="492"/>
      <c r="W312" s="492"/>
      <c r="X312" s="492"/>
      <c r="Y312" s="492"/>
      <c r="Z312" s="492"/>
      <c r="AA312" s="492"/>
      <c r="AB312" s="492"/>
      <c r="AC312" s="492"/>
      <c r="AD312" s="492"/>
      <c r="AE312" s="492"/>
      <c r="AF312" s="492"/>
      <c r="AG312" s="492"/>
      <c r="AH312" s="492"/>
      <c r="AI312" s="492"/>
      <c r="AJ312" s="492"/>
      <c r="AK312" s="492"/>
      <c r="AL312" s="492"/>
      <c r="AM312" s="492"/>
      <c r="AN312" s="492"/>
    </row>
    <row r="313" spans="1:40" ht="15.75" customHeight="1" thickBot="1">
      <c r="A313" s="477" t="s">
        <v>103</v>
      </c>
      <c r="B313" s="492" t="s">
        <v>103</v>
      </c>
      <c r="C313" s="508"/>
      <c r="D313" s="550"/>
      <c r="E313" s="623"/>
      <c r="F313" s="534"/>
      <c r="G313" s="535"/>
      <c r="H313" s="623"/>
      <c r="I313" s="534"/>
      <c r="J313" s="535"/>
      <c r="K313" s="623"/>
      <c r="L313" s="534"/>
      <c r="M313" s="554"/>
      <c r="N313" s="534"/>
      <c r="O313" s="535"/>
      <c r="P313" s="623"/>
      <c r="Q313" s="534"/>
      <c r="R313" s="554"/>
      <c r="S313" s="534"/>
      <c r="T313" s="492"/>
      <c r="U313" s="492"/>
      <c r="V313" s="492"/>
      <c r="W313" s="492"/>
      <c r="X313" s="492"/>
      <c r="Y313" s="492"/>
      <c r="Z313" s="492"/>
      <c r="AA313" s="492"/>
      <c r="AB313" s="492"/>
      <c r="AC313" s="492"/>
      <c r="AD313" s="492"/>
      <c r="AE313" s="492"/>
      <c r="AF313" s="492"/>
      <c r="AG313" s="492"/>
      <c r="AH313" s="492"/>
      <c r="AI313" s="492"/>
      <c r="AJ313" s="492"/>
      <c r="AK313" s="492"/>
      <c r="AL313" s="492"/>
      <c r="AM313" s="492"/>
      <c r="AN313" s="492"/>
    </row>
    <row r="314" spans="1:40" ht="15.75" customHeight="1" thickTop="1">
      <c r="A314" s="477" t="s">
        <v>416</v>
      </c>
      <c r="B314" s="492" t="s">
        <v>103</v>
      </c>
      <c r="C314" s="536" t="s">
        <v>118</v>
      </c>
      <c r="D314" s="537">
        <v>450860.7006852497</v>
      </c>
      <c r="E314" s="686">
        <v>0.25499976064744873</v>
      </c>
      <c r="F314" s="539">
        <v>114969.37076007971</v>
      </c>
      <c r="G314" s="540"/>
      <c r="H314" s="686"/>
      <c r="I314" s="539"/>
      <c r="J314" s="540">
        <v>535619.36</v>
      </c>
      <c r="K314" s="686">
        <v>0.23353681614495786</v>
      </c>
      <c r="L314" s="539">
        <v>125086.84</v>
      </c>
      <c r="M314" s="687">
        <v>0.18799300800874447</v>
      </c>
      <c r="N314" s="688">
        <v>10117.46923992029</v>
      </c>
      <c r="O314" s="540">
        <v>420612.72000000003</v>
      </c>
      <c r="P314" s="686">
        <v>0.24896943202288291</v>
      </c>
      <c r="Q314" s="539">
        <v>104719.70999999989</v>
      </c>
      <c r="R314" s="687">
        <v>0.27342644321360504</v>
      </c>
      <c r="S314" s="688">
        <v>20367.130000000107</v>
      </c>
      <c r="T314" s="492"/>
      <c r="U314" s="632"/>
      <c r="V314" s="550"/>
      <c r="W314" s="550"/>
      <c r="X314" s="492"/>
      <c r="Y314" s="492"/>
      <c r="Z314" s="492"/>
      <c r="AA314" s="492"/>
      <c r="AB314" s="492"/>
      <c r="AC314" s="492"/>
      <c r="AD314" s="492"/>
      <c r="AE314" s="492"/>
      <c r="AF314" s="492"/>
      <c r="AG314" s="492"/>
      <c r="AH314" s="492"/>
      <c r="AI314" s="492"/>
      <c r="AJ314" s="492"/>
      <c r="AK314" s="492"/>
      <c r="AL314" s="492"/>
      <c r="AM314" s="492"/>
      <c r="AN314" s="492"/>
    </row>
    <row r="315" spans="1:40" ht="15.75" customHeight="1" thickBot="1">
      <c r="A315" s="477" t="s">
        <v>103</v>
      </c>
      <c r="B315" s="492" t="s">
        <v>103</v>
      </c>
      <c r="C315" s="600"/>
      <c r="D315" s="689"/>
      <c r="E315" s="690"/>
      <c r="F315" s="603"/>
      <c r="G315" s="691"/>
      <c r="H315" s="690"/>
      <c r="I315" s="603"/>
      <c r="J315" s="691"/>
      <c r="K315" s="690"/>
      <c r="L315" s="692">
        <v>1.0880014317990279</v>
      </c>
      <c r="M315" s="693"/>
      <c r="N315" s="547">
        <v>8.8001431799027752E-2</v>
      </c>
      <c r="O315" s="691"/>
      <c r="P315" s="690"/>
      <c r="Q315" s="603"/>
      <c r="R315" s="693"/>
      <c r="S315" s="547">
        <v>0.19449184876467027</v>
      </c>
      <c r="T315" s="492"/>
      <c r="U315" s="489"/>
      <c r="V315" s="492"/>
      <c r="W315" s="492"/>
      <c r="X315" s="492"/>
      <c r="Y315" s="492"/>
      <c r="Z315" s="492"/>
      <c r="AA315" s="492"/>
      <c r="AB315" s="492"/>
      <c r="AC315" s="492"/>
      <c r="AD315" s="492"/>
      <c r="AE315" s="492"/>
      <c r="AF315" s="492"/>
      <c r="AG315" s="492"/>
      <c r="AH315" s="492"/>
      <c r="AI315" s="492"/>
      <c r="AJ315" s="492"/>
      <c r="AK315" s="492"/>
      <c r="AL315" s="492"/>
      <c r="AM315" s="492"/>
      <c r="AN315" s="492"/>
    </row>
    <row r="316" spans="1:40" ht="15.75" customHeight="1" thickTop="1">
      <c r="A316" s="477" t="s">
        <v>103</v>
      </c>
      <c r="B316" s="492" t="s">
        <v>103</v>
      </c>
      <c r="C316" s="527"/>
      <c r="D316" s="584"/>
      <c r="E316" s="645"/>
      <c r="F316" s="647"/>
      <c r="G316" s="646"/>
      <c r="H316" s="645"/>
      <c r="I316" s="647"/>
      <c r="J316" s="646"/>
      <c r="K316" s="645"/>
      <c r="L316" s="647"/>
      <c r="M316" s="508"/>
      <c r="N316" s="526"/>
      <c r="O316" s="646"/>
      <c r="P316" s="645"/>
      <c r="Q316" s="647"/>
      <c r="R316" s="508"/>
      <c r="S316" s="526"/>
      <c r="T316" s="492"/>
      <c r="U316" s="489"/>
      <c r="V316" s="492"/>
      <c r="W316" s="492"/>
      <c r="X316" s="492"/>
      <c r="Y316" s="492"/>
      <c r="Z316" s="492"/>
      <c r="AA316" s="492"/>
      <c r="AB316" s="492"/>
      <c r="AC316" s="492"/>
      <c r="AD316" s="492"/>
      <c r="AE316" s="492"/>
      <c r="AF316" s="492"/>
      <c r="AG316" s="492"/>
      <c r="AH316" s="492"/>
      <c r="AI316" s="492"/>
      <c r="AJ316" s="492"/>
      <c r="AK316" s="492"/>
      <c r="AL316" s="492"/>
      <c r="AM316" s="492"/>
      <c r="AN316" s="492"/>
    </row>
    <row r="317" spans="1:40" ht="15.75" customHeight="1">
      <c r="A317" s="477" t="s">
        <v>417</v>
      </c>
      <c r="B317" s="492" t="s">
        <v>103</v>
      </c>
      <c r="C317" s="551" t="s">
        <v>30</v>
      </c>
      <c r="D317" s="492"/>
      <c r="E317" s="492"/>
      <c r="F317" s="534"/>
      <c r="G317" s="508"/>
      <c r="H317" s="492"/>
      <c r="I317" s="534"/>
      <c r="J317" s="508"/>
      <c r="K317" s="492"/>
      <c r="L317" s="518"/>
      <c r="M317" s="508"/>
      <c r="N317" s="518"/>
      <c r="O317" s="508"/>
      <c r="P317" s="492"/>
      <c r="Q317" s="518"/>
      <c r="R317" s="508"/>
      <c r="S317" s="518"/>
      <c r="T317" s="492"/>
      <c r="U317" s="489"/>
      <c r="V317" s="492"/>
      <c r="W317" s="492"/>
      <c r="X317" s="492"/>
      <c r="Y317" s="492"/>
      <c r="Z317" s="492"/>
      <c r="AA317" s="492"/>
      <c r="AB317" s="492"/>
      <c r="AC317" s="492"/>
      <c r="AD317" s="492"/>
      <c r="AE317" s="492"/>
      <c r="AF317" s="492"/>
      <c r="AG317" s="492"/>
      <c r="AH317" s="492"/>
      <c r="AI317" s="492"/>
      <c r="AJ317" s="492"/>
      <c r="AK317" s="492"/>
      <c r="AL317" s="492"/>
      <c r="AM317" s="492"/>
      <c r="AN317" s="492"/>
    </row>
    <row r="318" spans="1:40" ht="15.75" customHeight="1">
      <c r="A318" s="477" t="s">
        <v>418</v>
      </c>
      <c r="B318" s="492" t="s">
        <v>103</v>
      </c>
      <c r="C318" s="576" t="s">
        <v>41</v>
      </c>
      <c r="D318" s="492"/>
      <c r="E318" s="492"/>
      <c r="F318" s="509">
        <v>6935.8538461538465</v>
      </c>
      <c r="G318" s="508"/>
      <c r="H318" s="492"/>
      <c r="I318" s="509"/>
      <c r="J318" s="508"/>
      <c r="K318" s="492"/>
      <c r="L318" s="511">
        <v>8530.26</v>
      </c>
      <c r="M318" s="508"/>
      <c r="N318" s="511">
        <v>1594.4061538461538</v>
      </c>
      <c r="O318" s="508"/>
      <c r="P318" s="492"/>
      <c r="Q318" s="511">
        <v>9176.36</v>
      </c>
      <c r="R318" s="508"/>
      <c r="S318" s="511">
        <v>-646.10000000000036</v>
      </c>
      <c r="T318" s="492"/>
      <c r="U318" s="489"/>
      <c r="V318" s="492"/>
      <c r="W318" s="492"/>
      <c r="X318" s="492"/>
      <c r="Y318" s="492"/>
      <c r="Z318" s="492"/>
      <c r="AA318" s="492"/>
      <c r="AB318" s="492"/>
      <c r="AC318" s="492"/>
      <c r="AD318" s="492"/>
      <c r="AE318" s="492"/>
      <c r="AF318" s="492"/>
      <c r="AG318" s="492"/>
      <c r="AH318" s="492"/>
      <c r="AI318" s="492"/>
      <c r="AJ318" s="492"/>
      <c r="AK318" s="492"/>
      <c r="AL318" s="492"/>
      <c r="AM318" s="492"/>
      <c r="AN318" s="492"/>
    </row>
    <row r="319" spans="1:40" ht="15.75" customHeight="1">
      <c r="A319" s="477" t="s">
        <v>419</v>
      </c>
      <c r="B319" s="492" t="s">
        <v>103</v>
      </c>
      <c r="C319" s="578" t="s">
        <v>42</v>
      </c>
      <c r="D319" s="561"/>
      <c r="E319" s="492"/>
      <c r="F319" s="503">
        <v>26364.924123076926</v>
      </c>
      <c r="G319" s="562"/>
      <c r="H319" s="492"/>
      <c r="I319" s="503"/>
      <c r="J319" s="508"/>
      <c r="K319" s="492"/>
      <c r="L319" s="511">
        <v>22650.76</v>
      </c>
      <c r="M319" s="508"/>
      <c r="N319" s="511">
        <v>-3714.1641230769274</v>
      </c>
      <c r="O319" s="508"/>
      <c r="P319" s="492"/>
      <c r="Q319" s="511">
        <v>23703.279999999999</v>
      </c>
      <c r="R319" s="508"/>
      <c r="S319" s="534">
        <v>-1052.5200000000004</v>
      </c>
      <c r="T319" s="492"/>
      <c r="U319" s="489"/>
      <c r="V319" s="492"/>
      <c r="W319" s="492"/>
      <c r="X319" s="492"/>
      <c r="Y319" s="492"/>
      <c r="Z319" s="492"/>
      <c r="AA319" s="492"/>
      <c r="AB319" s="492"/>
      <c r="AC319" s="492"/>
      <c r="AD319" s="492"/>
      <c r="AE319" s="492"/>
      <c r="AF319" s="492"/>
      <c r="AG319" s="492"/>
      <c r="AH319" s="492"/>
      <c r="AI319" s="492"/>
      <c r="AJ319" s="492"/>
      <c r="AK319" s="492"/>
      <c r="AL319" s="492"/>
      <c r="AM319" s="492"/>
      <c r="AN319" s="492"/>
    </row>
    <row r="320" spans="1:40" ht="15.75" customHeight="1">
      <c r="A320" s="477" t="s">
        <v>420</v>
      </c>
      <c r="B320" s="492" t="s">
        <v>103</v>
      </c>
      <c r="C320" s="576" t="s">
        <v>43</v>
      </c>
      <c r="D320" s="579"/>
      <c r="E320" s="580"/>
      <c r="F320" s="509">
        <v>140.24615384615385</v>
      </c>
      <c r="G320" s="581"/>
      <c r="H320" s="580"/>
      <c r="I320" s="509"/>
      <c r="J320" s="496"/>
      <c r="K320" s="580"/>
      <c r="L320" s="530">
        <v>113.92</v>
      </c>
      <c r="M320" s="496"/>
      <c r="N320" s="530">
        <v>-26.326153846153844</v>
      </c>
      <c r="O320" s="496"/>
      <c r="P320" s="580"/>
      <c r="Q320" s="530">
        <v>113.92</v>
      </c>
      <c r="R320" s="496"/>
      <c r="S320" s="582">
        <v>0</v>
      </c>
      <c r="T320" s="492"/>
      <c r="U320" s="694"/>
      <c r="V320" s="695"/>
      <c r="W320" s="492"/>
      <c r="X320" s="492"/>
      <c r="Y320" s="492"/>
      <c r="Z320" s="492"/>
      <c r="AA320" s="492"/>
      <c r="AB320" s="492"/>
      <c r="AC320" s="492"/>
      <c r="AD320" s="492"/>
      <c r="AE320" s="492"/>
      <c r="AF320" s="492"/>
      <c r="AG320" s="492"/>
      <c r="AH320" s="492"/>
      <c r="AI320" s="492"/>
      <c r="AJ320" s="492"/>
      <c r="AK320" s="492"/>
      <c r="AL320" s="492"/>
      <c r="AM320" s="492"/>
      <c r="AN320" s="492"/>
    </row>
    <row r="321" spans="1:40" ht="15.75" customHeight="1">
      <c r="A321" s="477" t="s">
        <v>421</v>
      </c>
      <c r="B321" s="492" t="s">
        <v>103</v>
      </c>
      <c r="C321" s="576" t="s">
        <v>44</v>
      </c>
      <c r="D321" s="561"/>
      <c r="E321" s="492"/>
      <c r="F321" s="509">
        <v>0</v>
      </c>
      <c r="G321" s="562"/>
      <c r="H321" s="492"/>
      <c r="I321" s="509"/>
      <c r="J321" s="508"/>
      <c r="K321" s="492"/>
      <c r="L321" s="511">
        <v>0</v>
      </c>
      <c r="M321" s="508"/>
      <c r="N321" s="511">
        <v>0</v>
      </c>
      <c r="O321" s="508"/>
      <c r="P321" s="492"/>
      <c r="Q321" s="511">
        <v>0</v>
      </c>
      <c r="R321" s="508"/>
      <c r="S321" s="534">
        <v>0</v>
      </c>
      <c r="T321" s="492"/>
      <c r="U321" s="489"/>
      <c r="V321" s="492"/>
      <c r="W321" s="492"/>
      <c r="X321" s="492"/>
      <c r="Y321" s="492"/>
      <c r="Z321" s="492"/>
      <c r="AA321" s="492"/>
      <c r="AB321" s="492"/>
      <c r="AC321" s="492"/>
      <c r="AD321" s="492"/>
      <c r="AE321" s="492"/>
      <c r="AF321" s="492"/>
      <c r="AG321" s="492"/>
      <c r="AH321" s="492"/>
      <c r="AI321" s="492"/>
      <c r="AJ321" s="492"/>
      <c r="AK321" s="492"/>
      <c r="AL321" s="492"/>
      <c r="AM321" s="492"/>
      <c r="AN321" s="492"/>
    </row>
    <row r="322" spans="1:40" ht="15.75" hidden="1" customHeight="1">
      <c r="A322" s="477" t="s">
        <v>408</v>
      </c>
      <c r="B322" s="492" t="s">
        <v>103</v>
      </c>
      <c r="C322" s="508" t="s">
        <v>20</v>
      </c>
      <c r="D322" s="561"/>
      <c r="E322" s="492"/>
      <c r="F322" s="509">
        <v>0</v>
      </c>
      <c r="G322" s="562"/>
      <c r="H322" s="492"/>
      <c r="I322" s="509"/>
      <c r="J322" s="508"/>
      <c r="K322" s="492"/>
      <c r="L322" s="511">
        <v>0</v>
      </c>
      <c r="M322" s="508"/>
      <c r="N322" s="511">
        <v>0</v>
      </c>
      <c r="O322" s="508"/>
      <c r="P322" s="492"/>
      <c r="Q322" s="511">
        <v>0</v>
      </c>
      <c r="R322" s="508"/>
      <c r="S322" s="534">
        <v>0</v>
      </c>
      <c r="T322" s="492"/>
      <c r="U322" s="489"/>
      <c r="V322" s="492"/>
      <c r="W322" s="492"/>
      <c r="X322" s="492"/>
      <c r="Y322" s="492"/>
      <c r="Z322" s="492"/>
      <c r="AA322" s="492"/>
      <c r="AB322" s="492"/>
      <c r="AC322" s="492"/>
      <c r="AD322" s="492"/>
      <c r="AE322" s="492"/>
      <c r="AF322" s="492"/>
      <c r="AG322" s="492"/>
      <c r="AH322" s="492"/>
      <c r="AI322" s="492"/>
      <c r="AJ322" s="492"/>
      <c r="AK322" s="492"/>
      <c r="AL322" s="492"/>
      <c r="AM322" s="492"/>
      <c r="AN322" s="492"/>
    </row>
    <row r="323" spans="1:40" ht="15.75" hidden="1" customHeight="1">
      <c r="A323" s="477" t="s">
        <v>408</v>
      </c>
      <c r="B323" s="492" t="s">
        <v>103</v>
      </c>
      <c r="C323" s="508" t="s">
        <v>20</v>
      </c>
      <c r="D323" s="561"/>
      <c r="E323" s="492"/>
      <c r="F323" s="509">
        <v>0</v>
      </c>
      <c r="G323" s="562"/>
      <c r="H323" s="492"/>
      <c r="I323" s="509"/>
      <c r="J323" s="508"/>
      <c r="K323" s="492"/>
      <c r="L323" s="511">
        <v>0</v>
      </c>
      <c r="M323" s="508"/>
      <c r="N323" s="511">
        <v>0</v>
      </c>
      <c r="O323" s="508"/>
      <c r="P323" s="492"/>
      <c r="Q323" s="511">
        <v>0</v>
      </c>
      <c r="R323" s="508"/>
      <c r="S323" s="534">
        <v>0</v>
      </c>
      <c r="T323" s="492"/>
      <c r="U323" s="489"/>
      <c r="V323" s="492"/>
      <c r="W323" s="492"/>
      <c r="X323" s="492"/>
      <c r="Y323" s="492"/>
      <c r="Z323" s="492"/>
      <c r="AA323" s="492"/>
      <c r="AB323" s="492"/>
      <c r="AC323" s="492"/>
      <c r="AD323" s="492"/>
      <c r="AE323" s="492"/>
      <c r="AF323" s="492"/>
      <c r="AG323" s="492"/>
      <c r="AH323" s="492"/>
      <c r="AI323" s="492"/>
      <c r="AJ323" s="492"/>
      <c r="AK323" s="492"/>
      <c r="AL323" s="492"/>
      <c r="AM323" s="492"/>
      <c r="AN323" s="492"/>
    </row>
    <row r="324" spans="1:40" ht="15.75" hidden="1" customHeight="1">
      <c r="A324" s="477" t="s">
        <v>408</v>
      </c>
      <c r="B324" s="492" t="s">
        <v>103</v>
      </c>
      <c r="C324" s="508" t="s">
        <v>20</v>
      </c>
      <c r="D324" s="561"/>
      <c r="E324" s="492"/>
      <c r="F324" s="509">
        <v>0</v>
      </c>
      <c r="G324" s="562"/>
      <c r="H324" s="492"/>
      <c r="I324" s="509"/>
      <c r="J324" s="508"/>
      <c r="K324" s="492"/>
      <c r="L324" s="511">
        <v>0</v>
      </c>
      <c r="M324" s="508"/>
      <c r="N324" s="511">
        <v>0</v>
      </c>
      <c r="O324" s="508"/>
      <c r="P324" s="492"/>
      <c r="Q324" s="511">
        <v>0</v>
      </c>
      <c r="R324" s="508"/>
      <c r="S324" s="534">
        <v>0</v>
      </c>
      <c r="T324" s="492"/>
      <c r="U324" s="489"/>
      <c r="V324" s="492"/>
      <c r="W324" s="492"/>
      <c r="X324" s="492"/>
      <c r="Y324" s="492"/>
      <c r="Z324" s="492"/>
      <c r="AA324" s="492"/>
      <c r="AB324" s="492"/>
      <c r="AC324" s="492"/>
      <c r="AD324" s="492"/>
      <c r="AE324" s="492"/>
      <c r="AF324" s="492"/>
      <c r="AG324" s="492"/>
      <c r="AH324" s="492"/>
      <c r="AI324" s="492"/>
      <c r="AJ324" s="492"/>
      <c r="AK324" s="492"/>
      <c r="AL324" s="492"/>
      <c r="AM324" s="492"/>
      <c r="AN324" s="492"/>
    </row>
    <row r="325" spans="1:40" ht="15.75" customHeight="1">
      <c r="A325" s="477" t="s">
        <v>422</v>
      </c>
      <c r="B325" s="492" t="s">
        <v>103</v>
      </c>
      <c r="C325" s="578" t="s">
        <v>45</v>
      </c>
      <c r="D325" s="561"/>
      <c r="E325" s="492"/>
      <c r="F325" s="503">
        <v>4125.0641995076921</v>
      </c>
      <c r="G325" s="562"/>
      <c r="H325" s="492"/>
      <c r="I325" s="503"/>
      <c r="J325" s="508"/>
      <c r="K325" s="492"/>
      <c r="L325" s="511">
        <v>3917.79</v>
      </c>
      <c r="M325" s="508"/>
      <c r="N325" s="511">
        <v>-207.27419950769217</v>
      </c>
      <c r="O325" s="508"/>
      <c r="P325" s="492"/>
      <c r="Q325" s="511">
        <v>3053.73</v>
      </c>
      <c r="R325" s="508"/>
      <c r="S325" s="534">
        <v>864.06</v>
      </c>
      <c r="T325" s="492"/>
      <c r="U325" s="489"/>
      <c r="V325" s="492"/>
      <c r="W325" s="492"/>
      <c r="X325" s="492"/>
      <c r="Y325" s="492"/>
      <c r="Z325" s="492"/>
      <c r="AA325" s="492"/>
      <c r="AB325" s="492"/>
      <c r="AC325" s="492"/>
      <c r="AD325" s="492"/>
      <c r="AE325" s="492"/>
      <c r="AF325" s="492"/>
      <c r="AG325" s="492"/>
      <c r="AH325" s="492"/>
      <c r="AI325" s="492"/>
      <c r="AJ325" s="492"/>
      <c r="AK325" s="492"/>
      <c r="AL325" s="492"/>
      <c r="AM325" s="492"/>
      <c r="AN325" s="492"/>
    </row>
    <row r="326" spans="1:40" ht="15.75" customHeight="1">
      <c r="A326" s="477" t="s">
        <v>423</v>
      </c>
      <c r="B326" s="492" t="s">
        <v>103</v>
      </c>
      <c r="C326" s="576" t="s">
        <v>46</v>
      </c>
      <c r="D326" s="579"/>
      <c r="E326" s="580"/>
      <c r="F326" s="509">
        <v>5015.4965597538467</v>
      </c>
      <c r="G326" s="581"/>
      <c r="H326" s="580"/>
      <c r="I326" s="509"/>
      <c r="J326" s="496"/>
      <c r="K326" s="580"/>
      <c r="L326" s="530">
        <v>6835.35</v>
      </c>
      <c r="M326" s="496"/>
      <c r="N326" s="530">
        <v>1819.8534402461537</v>
      </c>
      <c r="O326" s="496"/>
      <c r="P326" s="580"/>
      <c r="Q326" s="530">
        <v>6876.95</v>
      </c>
      <c r="R326" s="496"/>
      <c r="S326" s="582">
        <v>-41.599999999999454</v>
      </c>
      <c r="T326" s="492"/>
      <c r="U326" s="489"/>
      <c r="V326" s="492"/>
      <c r="W326" s="492"/>
      <c r="X326" s="492"/>
      <c r="Y326" s="492"/>
      <c r="Z326" s="492"/>
      <c r="AA326" s="492"/>
      <c r="AB326" s="492"/>
      <c r="AC326" s="492"/>
      <c r="AD326" s="492"/>
      <c r="AE326" s="492"/>
      <c r="AF326" s="492"/>
      <c r="AG326" s="492"/>
      <c r="AH326" s="492"/>
      <c r="AI326" s="492"/>
      <c r="AJ326" s="492"/>
      <c r="AK326" s="492"/>
      <c r="AL326" s="492"/>
      <c r="AM326" s="492"/>
      <c r="AN326" s="492"/>
    </row>
    <row r="327" spans="1:40" ht="15.75" customHeight="1">
      <c r="A327" s="477" t="s">
        <v>424</v>
      </c>
      <c r="B327" s="492" t="s">
        <v>103</v>
      </c>
      <c r="C327" s="576" t="s">
        <v>47</v>
      </c>
      <c r="D327" s="561"/>
      <c r="E327" s="492"/>
      <c r="F327" s="509">
        <v>2584.0710536123074</v>
      </c>
      <c r="G327" s="562"/>
      <c r="H327" s="492"/>
      <c r="I327" s="509"/>
      <c r="J327" s="508"/>
      <c r="K327" s="492"/>
      <c r="L327" s="511">
        <v>756.55</v>
      </c>
      <c r="M327" s="508"/>
      <c r="N327" s="511">
        <v>-1827.5210536123075</v>
      </c>
      <c r="O327" s="508"/>
      <c r="P327" s="492"/>
      <c r="Q327" s="511">
        <v>1183.98</v>
      </c>
      <c r="R327" s="508"/>
      <c r="S327" s="534">
        <v>-427.43000000000006</v>
      </c>
      <c r="T327" s="492"/>
      <c r="U327" s="489"/>
      <c r="V327" s="492"/>
      <c r="W327" s="492"/>
      <c r="X327" s="492"/>
      <c r="Y327" s="492"/>
      <c r="Z327" s="492"/>
      <c r="AA327" s="492"/>
      <c r="AB327" s="492"/>
      <c r="AC327" s="492"/>
      <c r="AD327" s="492"/>
      <c r="AE327" s="492"/>
      <c r="AF327" s="492"/>
      <c r="AG327" s="492"/>
      <c r="AH327" s="492"/>
      <c r="AI327" s="492"/>
      <c r="AJ327" s="492"/>
      <c r="AK327" s="492"/>
      <c r="AL327" s="492"/>
      <c r="AM327" s="492"/>
      <c r="AN327" s="492"/>
    </row>
    <row r="328" spans="1:40" ht="15.75" customHeight="1">
      <c r="A328" s="477" t="s">
        <v>425</v>
      </c>
      <c r="B328" s="492" t="s">
        <v>103</v>
      </c>
      <c r="C328" s="576" t="s">
        <v>48</v>
      </c>
      <c r="D328" s="561"/>
      <c r="E328" s="492"/>
      <c r="F328" s="509">
        <v>1126.6695170461537</v>
      </c>
      <c r="G328" s="562"/>
      <c r="H328" s="492"/>
      <c r="I328" s="509"/>
      <c r="J328" s="508"/>
      <c r="K328" s="492"/>
      <c r="L328" s="511">
        <v>1425.7</v>
      </c>
      <c r="M328" s="508"/>
      <c r="N328" s="511">
        <v>299.03048295384633</v>
      </c>
      <c r="O328" s="508"/>
      <c r="P328" s="492"/>
      <c r="Q328" s="511">
        <v>872.62</v>
      </c>
      <c r="R328" s="508"/>
      <c r="S328" s="534">
        <v>553.08000000000004</v>
      </c>
      <c r="T328" s="492"/>
      <c r="U328" s="489"/>
      <c r="V328" s="492"/>
      <c r="W328" s="492"/>
      <c r="X328" s="492"/>
      <c r="Y328" s="492"/>
      <c r="Z328" s="492"/>
      <c r="AA328" s="492"/>
      <c r="AB328" s="492"/>
      <c r="AC328" s="492"/>
      <c r="AD328" s="492"/>
      <c r="AE328" s="492"/>
      <c r="AF328" s="492"/>
      <c r="AG328" s="492"/>
      <c r="AH328" s="492"/>
      <c r="AI328" s="492"/>
      <c r="AJ328" s="492"/>
      <c r="AK328" s="492"/>
      <c r="AL328" s="492"/>
      <c r="AM328" s="492"/>
      <c r="AN328" s="492"/>
    </row>
    <row r="329" spans="1:40" ht="15.75" hidden="1" customHeight="1">
      <c r="A329" s="477" t="s">
        <v>408</v>
      </c>
      <c r="B329" s="492" t="s">
        <v>103</v>
      </c>
      <c r="C329" s="508" t="s">
        <v>20</v>
      </c>
      <c r="D329" s="563"/>
      <c r="E329" s="583"/>
      <c r="F329" s="509">
        <v>0</v>
      </c>
      <c r="G329" s="564"/>
      <c r="H329" s="583"/>
      <c r="I329" s="509"/>
      <c r="J329" s="501"/>
      <c r="K329" s="583"/>
      <c r="L329" s="511">
        <v>0</v>
      </c>
      <c r="M329" s="501"/>
      <c r="N329" s="559">
        <v>0</v>
      </c>
      <c r="O329" s="501"/>
      <c r="P329" s="583"/>
      <c r="Q329" s="511">
        <v>0</v>
      </c>
      <c r="R329" s="501"/>
      <c r="S329" s="559">
        <v>0</v>
      </c>
      <c r="T329" s="492"/>
      <c r="U329" s="489"/>
      <c r="V329" s="492"/>
      <c r="W329" s="492"/>
      <c r="X329" s="492"/>
      <c r="Y329" s="492"/>
      <c r="Z329" s="492"/>
      <c r="AA329" s="492"/>
      <c r="AB329" s="492"/>
      <c r="AC329" s="492"/>
      <c r="AD329" s="492"/>
      <c r="AE329" s="492"/>
      <c r="AF329" s="492"/>
      <c r="AG329" s="492"/>
      <c r="AH329" s="492"/>
      <c r="AI329" s="492"/>
      <c r="AJ329" s="492"/>
      <c r="AK329" s="492"/>
      <c r="AL329" s="492"/>
      <c r="AM329" s="492"/>
      <c r="AN329" s="492"/>
    </row>
    <row r="330" spans="1:40" ht="15.75" customHeight="1">
      <c r="A330" s="477" t="s">
        <v>426</v>
      </c>
      <c r="B330" s="492" t="s">
        <v>103</v>
      </c>
      <c r="C330" s="568" t="s">
        <v>49</v>
      </c>
      <c r="D330" s="569" t="s">
        <v>39</v>
      </c>
      <c r="E330" s="570">
        <v>0.40264920253934972</v>
      </c>
      <c r="F330" s="571">
        <v>46292.325452996927</v>
      </c>
      <c r="G330" s="572"/>
      <c r="H330" s="570"/>
      <c r="I330" s="571"/>
      <c r="J330" s="572" t="s">
        <v>39</v>
      </c>
      <c r="K330" s="570">
        <v>0.35359698909973258</v>
      </c>
      <c r="L330" s="571">
        <v>44230.329999999994</v>
      </c>
      <c r="M330" s="625"/>
      <c r="N330" s="585">
        <v>-2061.9954529969327</v>
      </c>
      <c r="O330" s="572" t="s">
        <v>39</v>
      </c>
      <c r="P330" s="570">
        <v>0.42953556689566891</v>
      </c>
      <c r="Q330" s="571">
        <v>44980.840000000004</v>
      </c>
      <c r="R330" s="625"/>
      <c r="S330" s="585">
        <v>-750.51000000000931</v>
      </c>
      <c r="T330" s="492"/>
      <c r="U330" s="489"/>
      <c r="V330" s="492"/>
      <c r="W330" s="492"/>
      <c r="X330" s="492"/>
      <c r="Y330" s="492"/>
      <c r="Z330" s="492"/>
      <c r="AA330" s="492"/>
      <c r="AB330" s="492"/>
      <c r="AC330" s="492"/>
      <c r="AD330" s="492"/>
      <c r="AE330" s="492"/>
      <c r="AF330" s="492"/>
      <c r="AG330" s="492"/>
      <c r="AH330" s="492"/>
      <c r="AI330" s="492"/>
      <c r="AJ330" s="492"/>
      <c r="AK330" s="492"/>
      <c r="AL330" s="492"/>
      <c r="AM330" s="492"/>
      <c r="AN330" s="492"/>
    </row>
    <row r="331" spans="1:40" ht="15.75" customHeight="1">
      <c r="A331" s="477" t="s">
        <v>427</v>
      </c>
      <c r="B331" s="492" t="s">
        <v>103</v>
      </c>
      <c r="C331" s="681" t="s">
        <v>50</v>
      </c>
      <c r="D331" s="561"/>
      <c r="E331" s="492"/>
      <c r="F331" s="509">
        <v>2588.4355861060794</v>
      </c>
      <c r="G331" s="562"/>
      <c r="H331" s="492"/>
      <c r="I331" s="509"/>
      <c r="J331" s="508"/>
      <c r="K331" s="492"/>
      <c r="L331" s="511">
        <v>2995.28</v>
      </c>
      <c r="M331" s="508"/>
      <c r="N331" s="534">
        <v>406.84441389392077</v>
      </c>
      <c r="O331" s="508"/>
      <c r="P331" s="492"/>
      <c r="Q331" s="511">
        <v>3503.16</v>
      </c>
      <c r="R331" s="508"/>
      <c r="S331" s="534">
        <v>-507.87999999999965</v>
      </c>
      <c r="T331" s="492"/>
      <c r="U331" s="489"/>
      <c r="V331" s="492"/>
      <c r="W331" s="550"/>
      <c r="X331" s="492"/>
      <c r="Y331" s="492"/>
      <c r="Z331" s="492"/>
      <c r="AA331" s="492"/>
      <c r="AB331" s="492"/>
      <c r="AC331" s="492"/>
      <c r="AD331" s="492"/>
      <c r="AE331" s="492"/>
      <c r="AF331" s="492"/>
      <c r="AG331" s="492"/>
      <c r="AH331" s="492"/>
      <c r="AI331" s="492"/>
      <c r="AJ331" s="492"/>
      <c r="AK331" s="492"/>
      <c r="AL331" s="492"/>
      <c r="AM331" s="492"/>
      <c r="AN331" s="492"/>
    </row>
    <row r="332" spans="1:40" ht="15.75" customHeight="1">
      <c r="A332" s="477" t="s">
        <v>428</v>
      </c>
      <c r="B332" s="492" t="s">
        <v>103</v>
      </c>
      <c r="C332" s="576" t="s">
        <v>51</v>
      </c>
      <c r="D332" s="561"/>
      <c r="E332" s="492"/>
      <c r="F332" s="509">
        <v>561.52577820142733</v>
      </c>
      <c r="G332" s="562"/>
      <c r="H332" s="492"/>
      <c r="I332" s="509"/>
      <c r="J332" s="508"/>
      <c r="K332" s="492"/>
      <c r="L332" s="511">
        <v>517.6</v>
      </c>
      <c r="M332" s="508"/>
      <c r="N332" s="534">
        <v>-43.925778201427306</v>
      </c>
      <c r="O332" s="508"/>
      <c r="P332" s="492"/>
      <c r="Q332" s="511">
        <v>81.150000000000006</v>
      </c>
      <c r="R332" s="508"/>
      <c r="S332" s="534">
        <v>436.45000000000005</v>
      </c>
      <c r="T332" s="492"/>
      <c r="U332" s="489"/>
      <c r="V332" s="492"/>
      <c r="W332" s="492"/>
      <c r="X332" s="492"/>
      <c r="Y332" s="492"/>
      <c r="Z332" s="492"/>
      <c r="AA332" s="492"/>
      <c r="AB332" s="492"/>
      <c r="AC332" s="492"/>
      <c r="AD332" s="492"/>
      <c r="AE332" s="492"/>
      <c r="AF332" s="492"/>
      <c r="AG332" s="492"/>
      <c r="AH332" s="492"/>
      <c r="AI332" s="492"/>
      <c r="AJ332" s="492"/>
      <c r="AK332" s="492"/>
      <c r="AL332" s="492"/>
      <c r="AM332" s="492"/>
      <c r="AN332" s="492"/>
    </row>
    <row r="333" spans="1:40" ht="15.75" customHeight="1">
      <c r="A333" s="477" t="s">
        <v>429</v>
      </c>
      <c r="B333" s="492" t="s">
        <v>103</v>
      </c>
      <c r="C333" s="578" t="s">
        <v>52</v>
      </c>
      <c r="D333" s="563"/>
      <c r="E333" s="583"/>
      <c r="F333" s="503">
        <v>1264.3204888888893</v>
      </c>
      <c r="G333" s="564"/>
      <c r="H333" s="583"/>
      <c r="I333" s="503"/>
      <c r="J333" s="501"/>
      <c r="K333" s="583"/>
      <c r="L333" s="511">
        <v>1088.69</v>
      </c>
      <c r="M333" s="501"/>
      <c r="N333" s="559">
        <v>-175.6304888888892</v>
      </c>
      <c r="O333" s="501"/>
      <c r="P333" s="583"/>
      <c r="Q333" s="511">
        <v>1111.49</v>
      </c>
      <c r="R333" s="501"/>
      <c r="S333" s="559">
        <v>-22.799999999999955</v>
      </c>
      <c r="T333" s="492"/>
      <c r="U333" s="489"/>
      <c r="V333" s="492"/>
      <c r="W333" s="492"/>
      <c r="X333" s="492"/>
      <c r="Y333" s="492"/>
      <c r="Z333" s="492"/>
      <c r="AA333" s="492"/>
      <c r="AB333" s="492"/>
      <c r="AC333" s="492"/>
      <c r="AD333" s="492"/>
      <c r="AE333" s="492"/>
      <c r="AF333" s="492"/>
      <c r="AG333" s="492"/>
      <c r="AH333" s="492"/>
      <c r="AI333" s="492"/>
      <c r="AJ333" s="492"/>
      <c r="AK333" s="492"/>
      <c r="AL333" s="492"/>
      <c r="AM333" s="492"/>
      <c r="AN333" s="492"/>
    </row>
    <row r="334" spans="1:40" ht="15.75" customHeight="1">
      <c r="A334" s="477" t="s">
        <v>430</v>
      </c>
      <c r="B334" s="492" t="s">
        <v>103</v>
      </c>
      <c r="C334" s="576" t="s">
        <v>53</v>
      </c>
      <c r="D334" s="561"/>
      <c r="E334" s="492"/>
      <c r="F334" s="509">
        <v>4449.6567389444454</v>
      </c>
      <c r="G334" s="562"/>
      <c r="H334" s="492"/>
      <c r="I334" s="509"/>
      <c r="J334" s="508"/>
      <c r="K334" s="492"/>
      <c r="L334" s="530">
        <v>5753.09</v>
      </c>
      <c r="M334" s="508"/>
      <c r="N334" s="534">
        <v>1303.4332610555548</v>
      </c>
      <c r="O334" s="508"/>
      <c r="P334" s="492"/>
      <c r="Q334" s="530">
        <v>4379.1499999999996</v>
      </c>
      <c r="R334" s="508"/>
      <c r="S334" s="534">
        <v>1373.9400000000005</v>
      </c>
      <c r="T334" s="492"/>
      <c r="U334" s="489"/>
      <c r="V334" s="492"/>
      <c r="W334" s="492"/>
      <c r="X334" s="492"/>
      <c r="Y334" s="492"/>
      <c r="Z334" s="492"/>
      <c r="AA334" s="492"/>
      <c r="AB334" s="492"/>
      <c r="AC334" s="492"/>
      <c r="AD334" s="492"/>
      <c r="AE334" s="492"/>
      <c r="AF334" s="492"/>
      <c r="AG334" s="492"/>
      <c r="AH334" s="492"/>
      <c r="AI334" s="492"/>
      <c r="AJ334" s="492"/>
      <c r="AK334" s="492"/>
      <c r="AL334" s="492"/>
      <c r="AM334" s="492"/>
      <c r="AN334" s="492"/>
    </row>
    <row r="335" spans="1:40" ht="15.75" customHeight="1">
      <c r="A335" s="477" t="s">
        <v>431</v>
      </c>
      <c r="B335" s="492" t="s">
        <v>103</v>
      </c>
      <c r="C335" s="576" t="s">
        <v>54</v>
      </c>
      <c r="D335" s="561"/>
      <c r="E335" s="492"/>
      <c r="F335" s="509">
        <v>818.27646887680896</v>
      </c>
      <c r="G335" s="562"/>
      <c r="H335" s="492"/>
      <c r="I335" s="509"/>
      <c r="J335" s="508"/>
      <c r="K335" s="492"/>
      <c r="L335" s="511">
        <v>641.58000000000004</v>
      </c>
      <c r="M335" s="508"/>
      <c r="N335" s="534">
        <v>-176.69646887680892</v>
      </c>
      <c r="O335" s="508"/>
      <c r="P335" s="492"/>
      <c r="Q335" s="511">
        <v>1002.14</v>
      </c>
      <c r="R335" s="508"/>
      <c r="S335" s="534">
        <v>-360.55999999999995</v>
      </c>
      <c r="T335" s="492"/>
      <c r="U335" s="489"/>
      <c r="V335" s="492"/>
      <c r="W335" s="492"/>
      <c r="X335" s="492"/>
      <c r="Y335" s="492"/>
      <c r="Z335" s="492"/>
      <c r="AA335" s="492"/>
      <c r="AB335" s="492"/>
      <c r="AC335" s="492"/>
      <c r="AD335" s="492"/>
      <c r="AE335" s="492"/>
      <c r="AF335" s="492"/>
      <c r="AG335" s="492"/>
      <c r="AH335" s="492"/>
      <c r="AI335" s="492"/>
      <c r="AJ335" s="492"/>
      <c r="AK335" s="492"/>
      <c r="AL335" s="492"/>
      <c r="AM335" s="492"/>
      <c r="AN335" s="492"/>
    </row>
    <row r="336" spans="1:40" ht="15.75" customHeight="1">
      <c r="A336" s="477" t="s">
        <v>432</v>
      </c>
      <c r="B336" s="492" t="s">
        <v>103</v>
      </c>
      <c r="C336" s="578" t="s">
        <v>55</v>
      </c>
      <c r="D336" s="563"/>
      <c r="E336" s="583"/>
      <c r="F336" s="503">
        <v>12488.085877265243</v>
      </c>
      <c r="G336" s="564"/>
      <c r="H336" s="583"/>
      <c r="I336" s="503"/>
      <c r="J336" s="501"/>
      <c r="K336" s="583"/>
      <c r="L336" s="503">
        <v>15111.77</v>
      </c>
      <c r="M336" s="501"/>
      <c r="N336" s="559">
        <v>2623.6841227347577</v>
      </c>
      <c r="O336" s="501"/>
      <c r="P336" s="583"/>
      <c r="Q336" s="503">
        <v>10773.75</v>
      </c>
      <c r="R336" s="501"/>
      <c r="S336" s="559">
        <v>4338.0200000000004</v>
      </c>
      <c r="T336" s="492"/>
      <c r="U336" s="489"/>
      <c r="V336" s="492"/>
      <c r="W336" s="492"/>
      <c r="X336" s="492"/>
      <c r="Y336" s="492"/>
      <c r="Z336" s="492"/>
      <c r="AA336" s="492"/>
      <c r="AB336" s="492"/>
      <c r="AC336" s="492"/>
      <c r="AD336" s="492"/>
      <c r="AE336" s="492"/>
      <c r="AF336" s="492"/>
      <c r="AG336" s="492"/>
      <c r="AH336" s="492"/>
      <c r="AI336" s="492"/>
      <c r="AJ336" s="492"/>
      <c r="AK336" s="492"/>
      <c r="AL336" s="492"/>
      <c r="AM336" s="492"/>
      <c r="AN336" s="492"/>
    </row>
    <row r="337" spans="1:40" ht="15.75" customHeight="1">
      <c r="A337" s="477" t="s">
        <v>433</v>
      </c>
      <c r="B337" s="492" t="s">
        <v>103</v>
      </c>
      <c r="C337" s="576" t="s">
        <v>98</v>
      </c>
      <c r="D337" s="561"/>
      <c r="E337" s="492"/>
      <c r="F337" s="509"/>
      <c r="G337" s="562"/>
      <c r="H337" s="492"/>
      <c r="I337" s="509"/>
      <c r="J337" s="508"/>
      <c r="K337" s="492"/>
      <c r="L337" s="511">
        <v>0</v>
      </c>
      <c r="M337" s="508"/>
      <c r="N337" s="534">
        <v>0</v>
      </c>
      <c r="O337" s="508"/>
      <c r="P337" s="492"/>
      <c r="Q337" s="511">
        <v>0</v>
      </c>
      <c r="R337" s="508"/>
      <c r="S337" s="534">
        <v>0</v>
      </c>
      <c r="T337" s="492"/>
      <c r="U337" s="489"/>
      <c r="V337" s="492"/>
      <c r="W337" s="492"/>
      <c r="X337" s="492"/>
      <c r="Y337" s="492"/>
      <c r="Z337" s="492"/>
      <c r="AA337" s="492"/>
      <c r="AB337" s="492"/>
      <c r="AC337" s="492"/>
      <c r="AD337" s="492"/>
      <c r="AE337" s="492"/>
      <c r="AF337" s="492"/>
      <c r="AG337" s="492"/>
      <c r="AH337" s="492"/>
      <c r="AI337" s="492"/>
      <c r="AJ337" s="492"/>
      <c r="AK337" s="492"/>
      <c r="AL337" s="492"/>
      <c r="AM337" s="492"/>
      <c r="AN337" s="492"/>
    </row>
    <row r="338" spans="1:40" ht="15.75" customHeight="1">
      <c r="A338" s="477" t="s">
        <v>434</v>
      </c>
      <c r="B338" s="492" t="s">
        <v>103</v>
      </c>
      <c r="C338" s="576" t="s">
        <v>56</v>
      </c>
      <c r="D338" s="561"/>
      <c r="E338" s="492"/>
      <c r="F338" s="509">
        <v>255.67533333333333</v>
      </c>
      <c r="G338" s="562"/>
      <c r="H338" s="492"/>
      <c r="I338" s="509"/>
      <c r="J338" s="508"/>
      <c r="K338" s="492"/>
      <c r="L338" s="511">
        <v>0</v>
      </c>
      <c r="M338" s="508"/>
      <c r="N338" s="534">
        <v>-255.67533333333333</v>
      </c>
      <c r="O338" s="508"/>
      <c r="P338" s="492"/>
      <c r="Q338" s="511">
        <v>9.99</v>
      </c>
      <c r="R338" s="508"/>
      <c r="S338" s="534">
        <v>-9.99</v>
      </c>
      <c r="T338" s="492"/>
      <c r="U338" s="489"/>
      <c r="V338" s="492"/>
      <c r="W338" s="492"/>
      <c r="X338" s="492"/>
      <c r="Y338" s="492"/>
      <c r="Z338" s="492"/>
      <c r="AA338" s="492"/>
      <c r="AB338" s="492"/>
      <c r="AC338" s="492"/>
      <c r="AD338" s="492"/>
      <c r="AE338" s="492"/>
      <c r="AF338" s="492"/>
      <c r="AG338" s="492"/>
      <c r="AH338" s="492"/>
      <c r="AI338" s="492"/>
      <c r="AJ338" s="492"/>
      <c r="AK338" s="492"/>
      <c r="AL338" s="492"/>
      <c r="AM338" s="492"/>
      <c r="AN338" s="492"/>
    </row>
    <row r="339" spans="1:40" ht="15.75" customHeight="1">
      <c r="A339" s="477" t="s">
        <v>435</v>
      </c>
      <c r="B339" s="492" t="s">
        <v>103</v>
      </c>
      <c r="C339" s="576" t="s">
        <v>57</v>
      </c>
      <c r="D339" s="561"/>
      <c r="E339" s="492"/>
      <c r="F339" s="509">
        <v>28.333333333333332</v>
      </c>
      <c r="G339" s="562"/>
      <c r="H339" s="492"/>
      <c r="I339" s="509"/>
      <c r="J339" s="508"/>
      <c r="K339" s="492"/>
      <c r="L339" s="511">
        <v>0</v>
      </c>
      <c r="M339" s="508"/>
      <c r="N339" s="534">
        <v>-28.333333333333332</v>
      </c>
      <c r="O339" s="508"/>
      <c r="P339" s="492"/>
      <c r="Q339" s="511">
        <v>0</v>
      </c>
      <c r="R339" s="508"/>
      <c r="S339" s="534">
        <v>0</v>
      </c>
      <c r="T339" s="492"/>
      <c r="U339" s="489"/>
      <c r="V339" s="492"/>
      <c r="W339" s="492"/>
      <c r="X339" s="492"/>
      <c r="Y339" s="492"/>
      <c r="Z339" s="492"/>
      <c r="AA339" s="492"/>
      <c r="AB339" s="492"/>
      <c r="AC339" s="492"/>
      <c r="AD339" s="492"/>
      <c r="AE339" s="492"/>
      <c r="AF339" s="492"/>
      <c r="AG339" s="492"/>
      <c r="AH339" s="492"/>
      <c r="AI339" s="492"/>
      <c r="AJ339" s="492"/>
      <c r="AK339" s="492"/>
      <c r="AL339" s="492"/>
      <c r="AM339" s="492"/>
      <c r="AN339" s="492"/>
    </row>
    <row r="340" spans="1:40" ht="15.75" customHeight="1">
      <c r="A340" s="477" t="s">
        <v>436</v>
      </c>
      <c r="B340" s="492" t="s">
        <v>103</v>
      </c>
      <c r="C340" s="576" t="s">
        <v>58</v>
      </c>
      <c r="D340" s="561"/>
      <c r="E340" s="492"/>
      <c r="F340" s="509">
        <v>716.40904661649995</v>
      </c>
      <c r="G340" s="562"/>
      <c r="H340" s="492"/>
      <c r="I340" s="509"/>
      <c r="J340" s="508"/>
      <c r="K340" s="492"/>
      <c r="L340" s="511">
        <v>799.65</v>
      </c>
      <c r="M340" s="508"/>
      <c r="N340" s="534">
        <v>83.240953383500027</v>
      </c>
      <c r="O340" s="508"/>
      <c r="P340" s="492"/>
      <c r="Q340" s="511">
        <v>278.54000000000002</v>
      </c>
      <c r="R340" s="508"/>
      <c r="S340" s="534">
        <v>521.1099999999999</v>
      </c>
      <c r="T340" s="492"/>
      <c r="U340" s="489"/>
      <c r="V340" s="492"/>
      <c r="W340" s="492"/>
      <c r="X340" s="492"/>
      <c r="Y340" s="492"/>
      <c r="Z340" s="492"/>
      <c r="AA340" s="492"/>
      <c r="AB340" s="492"/>
      <c r="AC340" s="492"/>
      <c r="AD340" s="492"/>
      <c r="AE340" s="492"/>
      <c r="AF340" s="492"/>
      <c r="AG340" s="492"/>
      <c r="AH340" s="492"/>
      <c r="AI340" s="492"/>
      <c r="AJ340" s="492"/>
      <c r="AK340" s="492"/>
      <c r="AL340" s="492"/>
      <c r="AM340" s="492"/>
      <c r="AN340" s="492"/>
    </row>
    <row r="341" spans="1:40" ht="15.75" customHeight="1">
      <c r="A341" s="477" t="s">
        <v>437</v>
      </c>
      <c r="B341" s="492" t="s">
        <v>103</v>
      </c>
      <c r="C341" s="576" t="s">
        <v>59</v>
      </c>
      <c r="D341" s="561"/>
      <c r="E341" s="492"/>
      <c r="F341" s="509">
        <v>115.54074359217363</v>
      </c>
      <c r="G341" s="562"/>
      <c r="H341" s="492"/>
      <c r="I341" s="509"/>
      <c r="J341" s="508"/>
      <c r="K341" s="492"/>
      <c r="L341" s="511">
        <v>62.25</v>
      </c>
      <c r="M341" s="508"/>
      <c r="N341" s="534">
        <v>-53.290743592173627</v>
      </c>
      <c r="O341" s="508"/>
      <c r="P341" s="492"/>
      <c r="Q341" s="511">
        <v>93.83</v>
      </c>
      <c r="R341" s="508"/>
      <c r="S341" s="534">
        <v>-31.58</v>
      </c>
      <c r="T341" s="492"/>
      <c r="U341" s="489"/>
      <c r="V341" s="492"/>
      <c r="W341" s="492"/>
      <c r="X341" s="492"/>
      <c r="Y341" s="492"/>
      <c r="Z341" s="492"/>
      <c r="AA341" s="492"/>
      <c r="AB341" s="492"/>
      <c r="AC341" s="492"/>
      <c r="AD341" s="492"/>
      <c r="AE341" s="492"/>
      <c r="AF341" s="492"/>
      <c r="AG341" s="492"/>
      <c r="AH341" s="492"/>
      <c r="AI341" s="492"/>
      <c r="AJ341" s="492"/>
      <c r="AK341" s="492"/>
      <c r="AL341" s="492"/>
      <c r="AM341" s="492"/>
      <c r="AN341" s="492"/>
    </row>
    <row r="342" spans="1:40" ht="15.75" customHeight="1">
      <c r="A342" s="477" t="s">
        <v>438</v>
      </c>
      <c r="B342" s="492" t="s">
        <v>103</v>
      </c>
      <c r="C342" s="576" t="s">
        <v>60</v>
      </c>
      <c r="D342" s="561"/>
      <c r="E342" s="492"/>
      <c r="F342" s="509">
        <v>-31.110347462173621</v>
      </c>
      <c r="G342" s="562"/>
      <c r="H342" s="492"/>
      <c r="I342" s="509"/>
      <c r="J342" s="508"/>
      <c r="K342" s="492"/>
      <c r="L342" s="511">
        <v>-335.96</v>
      </c>
      <c r="M342" s="508"/>
      <c r="N342" s="534">
        <v>-304.84965253782639</v>
      </c>
      <c r="O342" s="508"/>
      <c r="P342" s="492"/>
      <c r="Q342" s="511">
        <v>25.75</v>
      </c>
      <c r="R342" s="508"/>
      <c r="S342" s="534">
        <v>-361.71</v>
      </c>
      <c r="T342" s="492"/>
      <c r="U342" s="489"/>
      <c r="V342" s="492"/>
      <c r="W342" s="492"/>
      <c r="X342" s="492"/>
      <c r="Y342" s="492"/>
      <c r="Z342" s="492"/>
      <c r="AA342" s="492"/>
      <c r="AB342" s="492"/>
      <c r="AC342" s="492"/>
      <c r="AD342" s="492"/>
      <c r="AE342" s="492"/>
      <c r="AF342" s="492"/>
      <c r="AG342" s="492"/>
      <c r="AH342" s="492"/>
      <c r="AI342" s="492"/>
      <c r="AJ342" s="492"/>
      <c r="AK342" s="492"/>
      <c r="AL342" s="492"/>
      <c r="AM342" s="492"/>
      <c r="AN342" s="492"/>
    </row>
    <row r="343" spans="1:40" ht="15.75" customHeight="1">
      <c r="A343" s="477" t="s">
        <v>439</v>
      </c>
      <c r="B343" s="492" t="s">
        <v>103</v>
      </c>
      <c r="C343" s="576" t="s">
        <v>61</v>
      </c>
      <c r="D343" s="561"/>
      <c r="E343" s="492"/>
      <c r="F343" s="509">
        <v>156.51117666245145</v>
      </c>
      <c r="G343" s="562"/>
      <c r="H343" s="492"/>
      <c r="I343" s="509"/>
      <c r="J343" s="508"/>
      <c r="K343" s="492"/>
      <c r="L343" s="511">
        <v>49</v>
      </c>
      <c r="M343" s="508"/>
      <c r="N343" s="534">
        <v>-107.51117666245145</v>
      </c>
      <c r="O343" s="508"/>
      <c r="P343" s="492"/>
      <c r="Q343" s="511">
        <v>147.26</v>
      </c>
      <c r="R343" s="508"/>
      <c r="S343" s="534">
        <v>-98.259999999999991</v>
      </c>
      <c r="T343" s="492"/>
      <c r="U343" s="489"/>
      <c r="V343" s="492"/>
      <c r="W343" s="492"/>
      <c r="X343" s="492"/>
      <c r="Y343" s="492"/>
      <c r="Z343" s="492"/>
      <c r="AA343" s="492"/>
      <c r="AB343" s="492"/>
      <c r="AC343" s="492"/>
      <c r="AD343" s="492"/>
      <c r="AE343" s="492"/>
      <c r="AF343" s="492"/>
      <c r="AG343" s="492"/>
      <c r="AH343" s="492"/>
      <c r="AI343" s="492"/>
      <c r="AJ343" s="492"/>
      <c r="AK343" s="492"/>
      <c r="AL343" s="492"/>
      <c r="AM343" s="492"/>
      <c r="AN343" s="492"/>
    </row>
    <row r="344" spans="1:40" ht="15.75" customHeight="1">
      <c r="A344" s="477" t="s">
        <v>440</v>
      </c>
      <c r="B344" s="492" t="s">
        <v>103</v>
      </c>
      <c r="C344" s="576" t="s">
        <v>62</v>
      </c>
      <c r="D344" s="561"/>
      <c r="E344" s="492"/>
      <c r="F344" s="509">
        <v>378.95432121431327</v>
      </c>
      <c r="G344" s="562"/>
      <c r="H344" s="492"/>
      <c r="I344" s="509"/>
      <c r="J344" s="508"/>
      <c r="K344" s="492"/>
      <c r="L344" s="511">
        <v>471.28</v>
      </c>
      <c r="M344" s="508"/>
      <c r="N344" s="534">
        <v>92.325678785686705</v>
      </c>
      <c r="O344" s="508"/>
      <c r="P344" s="492"/>
      <c r="Q344" s="511">
        <v>79.75</v>
      </c>
      <c r="R344" s="508"/>
      <c r="S344" s="534">
        <v>391.53</v>
      </c>
      <c r="T344" s="492"/>
      <c r="U344" s="696"/>
      <c r="X344" s="492"/>
      <c r="Y344" s="492"/>
      <c r="Z344" s="492"/>
      <c r="AA344" s="492"/>
      <c r="AB344" s="492"/>
      <c r="AC344" s="492"/>
      <c r="AD344" s="492"/>
      <c r="AE344" s="492"/>
      <c r="AF344" s="492"/>
      <c r="AG344" s="492"/>
      <c r="AH344" s="492"/>
      <c r="AI344" s="492"/>
      <c r="AJ344" s="492"/>
      <c r="AK344" s="492"/>
      <c r="AL344" s="492"/>
      <c r="AM344" s="492"/>
      <c r="AN344" s="492"/>
    </row>
    <row r="345" spans="1:40" ht="15.75" customHeight="1">
      <c r="A345" s="477" t="s">
        <v>441</v>
      </c>
      <c r="B345" s="492" t="s">
        <v>103</v>
      </c>
      <c r="C345" s="576" t="s">
        <v>63</v>
      </c>
      <c r="D345" s="561"/>
      <c r="E345" s="492"/>
      <c r="F345" s="509">
        <v>1597.3918737469346</v>
      </c>
      <c r="G345" s="562"/>
      <c r="H345" s="492"/>
      <c r="I345" s="509"/>
      <c r="J345" s="508"/>
      <c r="K345" s="492"/>
      <c r="L345" s="511">
        <v>1733.14</v>
      </c>
      <c r="M345" s="508"/>
      <c r="N345" s="534">
        <v>135.74812625306549</v>
      </c>
      <c r="O345" s="508"/>
      <c r="P345" s="492"/>
      <c r="Q345" s="511">
        <v>1652.78</v>
      </c>
      <c r="R345" s="508"/>
      <c r="S345" s="534">
        <v>80.360000000000127</v>
      </c>
      <c r="T345" s="492"/>
      <c r="U345" s="696"/>
      <c r="X345" s="492"/>
      <c r="Y345" s="492"/>
      <c r="Z345" s="492"/>
      <c r="AA345" s="492"/>
      <c r="AB345" s="492"/>
      <c r="AC345" s="492"/>
      <c r="AD345" s="492"/>
      <c r="AE345" s="492"/>
      <c r="AF345" s="492"/>
      <c r="AG345" s="492"/>
      <c r="AH345" s="492"/>
      <c r="AI345" s="492"/>
      <c r="AJ345" s="492"/>
      <c r="AK345" s="492"/>
      <c r="AL345" s="492"/>
      <c r="AM345" s="492"/>
      <c r="AN345" s="492"/>
    </row>
    <row r="346" spans="1:40" ht="15.75" hidden="1" customHeight="1">
      <c r="A346" s="477" t="s">
        <v>408</v>
      </c>
      <c r="B346" s="492" t="s">
        <v>103</v>
      </c>
      <c r="C346" s="576" t="s">
        <v>20</v>
      </c>
      <c r="D346" s="561"/>
      <c r="E346" s="492"/>
      <c r="F346" s="509">
        <v>0</v>
      </c>
      <c r="G346" s="562"/>
      <c r="H346" s="492"/>
      <c r="I346" s="509"/>
      <c r="J346" s="508"/>
      <c r="K346" s="492"/>
      <c r="L346" s="511">
        <v>0</v>
      </c>
      <c r="M346" s="508"/>
      <c r="N346" s="534">
        <v>0</v>
      </c>
      <c r="O346" s="508"/>
      <c r="P346" s="492"/>
      <c r="Q346" s="511">
        <v>0</v>
      </c>
      <c r="R346" s="508"/>
      <c r="S346" s="534">
        <v>0</v>
      </c>
      <c r="T346" s="492"/>
      <c r="U346" s="696"/>
      <c r="X346" s="492"/>
      <c r="Y346" s="492"/>
      <c r="Z346" s="492"/>
      <c r="AA346" s="492"/>
      <c r="AB346" s="492"/>
      <c r="AC346" s="492"/>
      <c r="AD346" s="492"/>
      <c r="AE346" s="492"/>
      <c r="AF346" s="492"/>
      <c r="AG346" s="492"/>
      <c r="AH346" s="492"/>
      <c r="AI346" s="492"/>
      <c r="AJ346" s="492"/>
      <c r="AK346" s="492"/>
      <c r="AL346" s="492"/>
      <c r="AM346" s="492"/>
      <c r="AN346" s="492"/>
    </row>
    <row r="347" spans="1:40" ht="15.75" hidden="1" customHeight="1">
      <c r="A347" s="477" t="s">
        <v>408</v>
      </c>
      <c r="B347" s="492" t="s">
        <v>103</v>
      </c>
      <c r="C347" s="576" t="s">
        <v>20</v>
      </c>
      <c r="D347" s="561"/>
      <c r="E347" s="492"/>
      <c r="F347" s="509">
        <v>0</v>
      </c>
      <c r="G347" s="562"/>
      <c r="H347" s="492"/>
      <c r="I347" s="509"/>
      <c r="J347" s="508"/>
      <c r="K347" s="492"/>
      <c r="L347" s="511">
        <v>0</v>
      </c>
      <c r="M347" s="508"/>
      <c r="N347" s="534">
        <v>0</v>
      </c>
      <c r="O347" s="508"/>
      <c r="P347" s="492"/>
      <c r="Q347" s="511">
        <v>0</v>
      </c>
      <c r="R347" s="508"/>
      <c r="S347" s="534">
        <v>0</v>
      </c>
      <c r="T347" s="492"/>
      <c r="U347" s="696"/>
      <c r="X347" s="492"/>
      <c r="Y347" s="492"/>
      <c r="Z347" s="492"/>
      <c r="AA347" s="492"/>
      <c r="AB347" s="492"/>
      <c r="AC347" s="492"/>
      <c r="AD347" s="492"/>
      <c r="AE347" s="492"/>
      <c r="AF347" s="492"/>
      <c r="AG347" s="492"/>
      <c r="AH347" s="492"/>
      <c r="AI347" s="492"/>
      <c r="AJ347" s="492"/>
      <c r="AK347" s="492"/>
      <c r="AL347" s="492"/>
      <c r="AM347" s="492"/>
      <c r="AN347" s="492"/>
    </row>
    <row r="348" spans="1:40" ht="15.75" hidden="1" customHeight="1">
      <c r="A348" s="477" t="s">
        <v>408</v>
      </c>
      <c r="B348" s="492" t="s">
        <v>103</v>
      </c>
      <c r="C348" s="576" t="s">
        <v>20</v>
      </c>
      <c r="D348" s="561"/>
      <c r="E348" s="492"/>
      <c r="F348" s="509">
        <v>0</v>
      </c>
      <c r="G348" s="562"/>
      <c r="H348" s="492"/>
      <c r="I348" s="509"/>
      <c r="J348" s="508"/>
      <c r="K348" s="492"/>
      <c r="L348" s="511">
        <v>0</v>
      </c>
      <c r="M348" s="508"/>
      <c r="N348" s="534">
        <v>0</v>
      </c>
      <c r="O348" s="508"/>
      <c r="P348" s="492"/>
      <c r="Q348" s="511">
        <v>0</v>
      </c>
      <c r="R348" s="508"/>
      <c r="S348" s="534">
        <v>0</v>
      </c>
      <c r="T348" s="492"/>
      <c r="U348" s="696"/>
      <c r="X348" s="492"/>
      <c r="Y348" s="492"/>
      <c r="Z348" s="492"/>
      <c r="AA348" s="492"/>
      <c r="AB348" s="492"/>
      <c r="AC348" s="492"/>
      <c r="AD348" s="492"/>
      <c r="AE348" s="492"/>
      <c r="AF348" s="492"/>
      <c r="AG348" s="492"/>
      <c r="AH348" s="492"/>
      <c r="AI348" s="492"/>
      <c r="AJ348" s="492"/>
      <c r="AK348" s="492"/>
      <c r="AL348" s="492"/>
      <c r="AM348" s="492"/>
      <c r="AN348" s="492"/>
    </row>
    <row r="349" spans="1:40" ht="15.75" customHeight="1">
      <c r="B349" s="486"/>
      <c r="C349" s="568" t="s">
        <v>64</v>
      </c>
      <c r="D349" s="569" t="s">
        <v>39</v>
      </c>
      <c r="E349" s="570">
        <v>0.22082408776768847</v>
      </c>
      <c r="F349" s="571">
        <v>25388.006419319758</v>
      </c>
      <c r="G349" s="572"/>
      <c r="H349" s="570"/>
      <c r="I349" s="571"/>
      <c r="J349" s="572" t="s">
        <v>39</v>
      </c>
      <c r="K349" s="570">
        <v>0.23093852238972543</v>
      </c>
      <c r="L349" s="571">
        <v>28887.370000000003</v>
      </c>
      <c r="M349" s="575"/>
      <c r="N349" s="571">
        <v>3499.3635806802417</v>
      </c>
      <c r="O349" s="572" t="s">
        <v>39</v>
      </c>
      <c r="P349" s="570">
        <v>0.2209587860776164</v>
      </c>
      <c r="Q349" s="571">
        <v>23138.74</v>
      </c>
      <c r="R349" s="575"/>
      <c r="S349" s="571">
        <v>5748.630000000001</v>
      </c>
      <c r="T349" s="492"/>
      <c r="U349" s="696"/>
      <c r="X349" s="492"/>
      <c r="Y349" s="492"/>
      <c r="Z349" s="492"/>
      <c r="AA349" s="492"/>
      <c r="AB349" s="492"/>
      <c r="AC349" s="492"/>
      <c r="AD349" s="492"/>
      <c r="AE349" s="492"/>
      <c r="AF349" s="492"/>
      <c r="AG349" s="492"/>
      <c r="AH349" s="492"/>
      <c r="AI349" s="492"/>
      <c r="AJ349" s="492"/>
      <c r="AK349" s="492"/>
      <c r="AL349" s="492"/>
      <c r="AM349" s="492"/>
      <c r="AN349" s="492"/>
    </row>
    <row r="350" spans="1:40" ht="15.75" customHeight="1">
      <c r="B350" s="486"/>
      <c r="C350" s="501"/>
      <c r="D350" s="563"/>
      <c r="E350" s="583"/>
      <c r="F350" s="534"/>
      <c r="G350" s="564"/>
      <c r="H350" s="583"/>
      <c r="I350" s="534"/>
      <c r="J350" s="501"/>
      <c r="K350" s="583"/>
      <c r="L350" s="559"/>
      <c r="M350" s="501"/>
      <c r="N350" s="559"/>
      <c r="O350" s="501"/>
      <c r="P350" s="583"/>
      <c r="Q350" s="559"/>
      <c r="R350" s="501"/>
      <c r="S350" s="559"/>
      <c r="T350" s="492"/>
      <c r="U350" s="489"/>
      <c r="V350" s="492"/>
      <c r="W350" s="492"/>
      <c r="X350" s="492"/>
      <c r="Y350" s="492"/>
      <c r="Z350" s="492"/>
      <c r="AA350" s="492"/>
      <c r="AB350" s="492"/>
      <c r="AC350" s="492"/>
      <c r="AD350" s="492"/>
      <c r="AE350" s="492"/>
      <c r="AF350" s="492"/>
      <c r="AG350" s="492"/>
      <c r="AH350" s="492"/>
      <c r="AI350" s="492"/>
      <c r="AJ350" s="492"/>
      <c r="AK350" s="492"/>
      <c r="AL350" s="492"/>
      <c r="AM350" s="492"/>
      <c r="AN350" s="492"/>
    </row>
    <row r="351" spans="1:40" ht="15.75" customHeight="1">
      <c r="B351" s="486"/>
      <c r="C351" s="568" t="s">
        <v>65</v>
      </c>
      <c r="D351" s="569" t="s">
        <v>39</v>
      </c>
      <c r="E351" s="570">
        <v>0.62347329030703824</v>
      </c>
      <c r="F351" s="571">
        <v>71680.331872316689</v>
      </c>
      <c r="G351" s="572"/>
      <c r="H351" s="570"/>
      <c r="I351" s="571"/>
      <c r="J351" s="572" t="s">
        <v>39</v>
      </c>
      <c r="K351" s="570">
        <v>0.58453551148945804</v>
      </c>
      <c r="L351" s="571">
        <v>73117.7</v>
      </c>
      <c r="M351" s="575"/>
      <c r="N351" s="585">
        <v>1437.3681276833086</v>
      </c>
      <c r="O351" s="572" t="s">
        <v>39</v>
      </c>
      <c r="P351" s="570">
        <v>0.65049435297328528</v>
      </c>
      <c r="Q351" s="571">
        <v>68119.58</v>
      </c>
      <c r="R351" s="575"/>
      <c r="S351" s="585">
        <v>4998.1199999999953</v>
      </c>
      <c r="T351" s="492"/>
      <c r="U351" s="489"/>
      <c r="V351" s="492"/>
      <c r="W351" s="492"/>
      <c r="X351" s="492"/>
      <c r="Y351" s="492"/>
      <c r="Z351" s="492"/>
      <c r="AA351" s="492"/>
      <c r="AB351" s="492"/>
      <c r="AC351" s="492"/>
      <c r="AD351" s="492"/>
      <c r="AE351" s="492"/>
      <c r="AF351" s="492"/>
      <c r="AG351" s="492"/>
      <c r="AH351" s="492"/>
      <c r="AI351" s="492"/>
      <c r="AJ351" s="492"/>
      <c r="AK351" s="492"/>
      <c r="AL351" s="492"/>
      <c r="AM351" s="492"/>
      <c r="AN351" s="492"/>
    </row>
    <row r="352" spans="1:40" ht="15.75" customHeight="1">
      <c r="B352" s="486"/>
      <c r="C352" s="508"/>
      <c r="D352" s="561"/>
      <c r="E352" s="492"/>
      <c r="F352" s="534"/>
      <c r="G352" s="562"/>
      <c r="H352" s="492"/>
      <c r="I352" s="534"/>
      <c r="J352" s="508"/>
      <c r="K352" s="492"/>
      <c r="L352" s="534"/>
      <c r="M352" s="508"/>
      <c r="N352" s="534">
        <v>0</v>
      </c>
      <c r="O352" s="508"/>
      <c r="P352" s="492"/>
      <c r="Q352" s="534"/>
      <c r="R352" s="508"/>
      <c r="S352" s="534"/>
      <c r="T352" s="492"/>
      <c r="U352" s="489"/>
      <c r="V352" s="492"/>
      <c r="W352" s="492"/>
      <c r="X352" s="492"/>
      <c r="Y352" s="492"/>
      <c r="Z352" s="492"/>
      <c r="AA352" s="492"/>
      <c r="AB352" s="492"/>
      <c r="AC352" s="492"/>
      <c r="AD352" s="492"/>
      <c r="AE352" s="492"/>
      <c r="AF352" s="492"/>
      <c r="AG352" s="492"/>
      <c r="AH352" s="492"/>
      <c r="AI352" s="492"/>
      <c r="AJ352" s="492"/>
      <c r="AK352" s="492"/>
      <c r="AL352" s="492"/>
      <c r="AM352" s="492"/>
      <c r="AN352" s="492"/>
    </row>
    <row r="353" spans="1:40" ht="24" customHeight="1" thickBot="1">
      <c r="B353" s="486"/>
      <c r="C353" s="600" t="s">
        <v>72</v>
      </c>
      <c r="D353" s="630"/>
      <c r="E353" s="601"/>
      <c r="F353" s="603">
        <v>43289.038887763018</v>
      </c>
      <c r="G353" s="631"/>
      <c r="H353" s="601"/>
      <c r="I353" s="603"/>
      <c r="J353" s="600"/>
      <c r="K353" s="602"/>
      <c r="L353" s="603">
        <v>51969.14</v>
      </c>
      <c r="M353" s="600"/>
      <c r="N353" s="603">
        <v>8680.1011122369819</v>
      </c>
      <c r="O353" s="600"/>
      <c r="P353" s="605">
        <v>8.7016222429031356E-2</v>
      </c>
      <c r="Q353" s="603">
        <v>36600.129999999888</v>
      </c>
      <c r="R353" s="600"/>
      <c r="S353" s="603">
        <v>15369.010000000111</v>
      </c>
      <c r="T353" s="492"/>
      <c r="U353" s="489"/>
      <c r="V353" s="492"/>
      <c r="W353" s="492"/>
      <c r="X353" s="492"/>
      <c r="Y353" s="492"/>
      <c r="Z353" s="492"/>
      <c r="AA353" s="492"/>
      <c r="AB353" s="492"/>
      <c r="AC353" s="492"/>
      <c r="AD353" s="492"/>
      <c r="AE353" s="492"/>
      <c r="AF353" s="492"/>
      <c r="AG353" s="492"/>
      <c r="AH353" s="492"/>
      <c r="AI353" s="492"/>
      <c r="AJ353" s="492"/>
      <c r="AK353" s="492"/>
      <c r="AL353" s="492"/>
      <c r="AM353" s="492"/>
      <c r="AN353" s="492"/>
    </row>
    <row r="354" spans="1:40" ht="15.75" customHeight="1" thickTop="1">
      <c r="B354" s="486"/>
      <c r="C354" s="548"/>
      <c r="D354" s="561"/>
      <c r="E354" s="492"/>
      <c r="F354" s="584"/>
      <c r="G354" s="561"/>
      <c r="H354" s="492"/>
      <c r="I354" s="584"/>
      <c r="J354" s="548"/>
      <c r="K354" s="548"/>
      <c r="L354" s="584"/>
      <c r="M354" s="548"/>
      <c r="N354" s="584"/>
      <c r="O354" s="548"/>
      <c r="P354" s="548"/>
      <c r="Q354" s="584"/>
      <c r="R354" s="548"/>
      <c r="S354" s="584"/>
      <c r="T354" s="492"/>
      <c r="U354" s="492"/>
      <c r="V354" s="492"/>
      <c r="W354" s="492"/>
      <c r="X354" s="492"/>
      <c r="Y354" s="492"/>
      <c r="Z354" s="492"/>
      <c r="AA354" s="492"/>
      <c r="AB354" s="492"/>
      <c r="AC354" s="492"/>
      <c r="AD354" s="492"/>
      <c r="AE354" s="492"/>
      <c r="AF354" s="492"/>
      <c r="AG354" s="492"/>
      <c r="AH354" s="492"/>
      <c r="AI354" s="492"/>
      <c r="AJ354" s="492"/>
      <c r="AK354" s="492"/>
      <c r="AL354" s="492"/>
      <c r="AM354" s="492"/>
      <c r="AN354" s="492"/>
    </row>
    <row r="355" spans="1:40" ht="15.75" hidden="1" customHeight="1">
      <c r="B355" s="486"/>
      <c r="C355" s="548"/>
      <c r="D355" s="561"/>
      <c r="E355" s="492"/>
      <c r="F355" s="584"/>
      <c r="G355" s="561"/>
      <c r="H355" s="492"/>
      <c r="I355" s="584"/>
      <c r="J355" s="548"/>
      <c r="K355" s="548"/>
      <c r="L355" s="584"/>
      <c r="M355" s="548"/>
      <c r="N355" s="584"/>
      <c r="O355" s="548"/>
      <c r="P355" s="548"/>
      <c r="Q355" s="584"/>
      <c r="R355" s="548"/>
      <c r="S355" s="584"/>
      <c r="T355" s="492"/>
      <c r="U355" s="492"/>
      <c r="V355" s="492"/>
      <c r="W355" s="492"/>
      <c r="X355" s="492"/>
      <c r="Y355" s="492"/>
      <c r="Z355" s="492"/>
      <c r="AA355" s="492"/>
      <c r="AB355" s="492"/>
      <c r="AC355" s="492"/>
      <c r="AD355" s="492"/>
      <c r="AE355" s="492"/>
      <c r="AF355" s="492"/>
      <c r="AG355" s="492"/>
      <c r="AH355" s="492"/>
      <c r="AI355" s="492"/>
      <c r="AJ355" s="492"/>
      <c r="AK355" s="492"/>
      <c r="AL355" s="492"/>
      <c r="AM355" s="492"/>
      <c r="AN355" s="492"/>
    </row>
    <row r="356" spans="1:40" ht="34.5" hidden="1" customHeight="1">
      <c r="B356" s="486"/>
      <c r="C356" s="610" t="s">
        <v>478</v>
      </c>
      <c r="D356" s="480"/>
      <c r="E356" s="480"/>
      <c r="F356" s="480"/>
      <c r="G356" s="480"/>
      <c r="H356" s="478"/>
      <c r="I356" s="478"/>
      <c r="J356" s="478"/>
      <c r="K356" s="482" t="s">
        <v>119</v>
      </c>
      <c r="L356" s="480"/>
      <c r="M356" s="480"/>
      <c r="N356" s="478"/>
      <c r="O356" s="478"/>
      <c r="P356" s="480"/>
      <c r="Q356" s="478"/>
      <c r="R356" s="480"/>
      <c r="S356" s="611" t="s">
        <v>480</v>
      </c>
      <c r="T356" s="489"/>
      <c r="U356" s="489"/>
      <c r="V356" s="492"/>
      <c r="W356" s="489"/>
      <c r="X356" s="489"/>
      <c r="Y356" s="489"/>
      <c r="Z356" s="489"/>
      <c r="AA356" s="489"/>
      <c r="AB356" s="489"/>
      <c r="AC356" s="489"/>
      <c r="AD356" s="489"/>
      <c r="AE356" s="489"/>
      <c r="AF356" s="489"/>
      <c r="AG356" s="489"/>
      <c r="AH356" s="489"/>
      <c r="AI356" s="489"/>
      <c r="AJ356" s="489"/>
      <c r="AK356" s="489"/>
      <c r="AL356" s="489"/>
      <c r="AM356" s="489"/>
      <c r="AN356" s="489"/>
    </row>
    <row r="357" spans="1:40" ht="15.75" hidden="1" customHeight="1">
      <c r="B357" s="486"/>
      <c r="C357" s="487"/>
      <c r="D357" s="489"/>
      <c r="E357" s="489"/>
      <c r="F357" s="489"/>
      <c r="G357" s="489"/>
      <c r="H357" s="489"/>
      <c r="I357" s="489"/>
      <c r="J357" s="489"/>
      <c r="K357" s="489"/>
      <c r="L357" s="489"/>
      <c r="M357" s="489"/>
      <c r="N357" s="489"/>
      <c r="O357" s="489"/>
      <c r="P357" s="489"/>
      <c r="Q357" s="489"/>
      <c r="R357" s="489"/>
      <c r="S357" s="489"/>
      <c r="T357" s="489"/>
      <c r="U357" s="489"/>
      <c r="V357" s="492"/>
      <c r="W357" s="489"/>
      <c r="X357" s="489"/>
      <c r="Y357" s="489"/>
      <c r="Z357" s="489"/>
      <c r="AA357" s="489"/>
      <c r="AB357" s="489"/>
      <c r="AC357" s="489"/>
      <c r="AD357" s="489"/>
      <c r="AE357" s="489"/>
      <c r="AF357" s="489"/>
      <c r="AG357" s="489"/>
      <c r="AH357" s="489"/>
      <c r="AI357" s="489"/>
      <c r="AJ357" s="489"/>
      <c r="AK357" s="489"/>
      <c r="AL357" s="489"/>
      <c r="AM357" s="489"/>
      <c r="AN357" s="489"/>
    </row>
    <row r="358" spans="1:40" ht="15.75" hidden="1" customHeight="1">
      <c r="B358" s="486"/>
      <c r="C358" s="493"/>
      <c r="D358" s="879" t="s">
        <v>5</v>
      </c>
      <c r="E358" s="880"/>
      <c r="F358" s="881"/>
      <c r="G358" s="882"/>
      <c r="H358" s="880"/>
      <c r="I358" s="881"/>
      <c r="J358" s="882" t="s">
        <v>7</v>
      </c>
      <c r="K358" s="880"/>
      <c r="L358" s="881"/>
      <c r="M358" s="882"/>
      <c r="N358" s="881"/>
      <c r="O358" s="879" t="s">
        <v>8</v>
      </c>
      <c r="P358" s="880"/>
      <c r="Q358" s="881"/>
      <c r="R358" s="882" t="s">
        <v>9</v>
      </c>
      <c r="S358" s="881"/>
      <c r="T358" s="489"/>
      <c r="U358" s="489"/>
      <c r="V358" s="492"/>
      <c r="W358" s="489"/>
      <c r="X358" s="489"/>
      <c r="Y358" s="489"/>
      <c r="Z358" s="489"/>
      <c r="AA358" s="489"/>
      <c r="AB358" s="489"/>
      <c r="AC358" s="489"/>
      <c r="AD358" s="489"/>
      <c r="AE358" s="489"/>
      <c r="AF358" s="489"/>
      <c r="AG358" s="489"/>
      <c r="AH358" s="489"/>
      <c r="AI358" s="489"/>
      <c r="AJ358" s="489"/>
      <c r="AK358" s="489"/>
      <c r="AL358" s="489"/>
      <c r="AM358" s="489"/>
      <c r="AN358" s="489"/>
    </row>
    <row r="359" spans="1:40" ht="15.75" hidden="1" customHeight="1">
      <c r="A359" s="477" t="s">
        <v>119</v>
      </c>
      <c r="B359" s="492" t="s">
        <v>119</v>
      </c>
      <c r="C359" s="508"/>
      <c r="D359" s="697" t="s">
        <v>84</v>
      </c>
      <c r="E359" s="697" t="s">
        <v>104</v>
      </c>
      <c r="F359" s="698" t="s">
        <v>12</v>
      </c>
      <c r="G359" s="699"/>
      <c r="H359" s="697"/>
      <c r="I359" s="698"/>
      <c r="J359" s="634" t="s">
        <v>84</v>
      </c>
      <c r="K359" s="552" t="s">
        <v>104</v>
      </c>
      <c r="L359" s="633" t="s">
        <v>12</v>
      </c>
      <c r="M359" s="634"/>
      <c r="N359" s="633"/>
      <c r="O359" s="634" t="s">
        <v>84</v>
      </c>
      <c r="P359" s="552" t="s">
        <v>104</v>
      </c>
      <c r="Q359" s="633" t="s">
        <v>12</v>
      </c>
      <c r="R359" s="634" t="s">
        <v>85</v>
      </c>
      <c r="S359" s="633" t="s">
        <v>12</v>
      </c>
      <c r="T359" s="489"/>
      <c r="U359" s="489"/>
      <c r="V359" s="492"/>
      <c r="W359" s="489"/>
      <c r="X359" s="489"/>
      <c r="Y359" s="489"/>
      <c r="Z359" s="489"/>
      <c r="AA359" s="489"/>
      <c r="AB359" s="489"/>
      <c r="AC359" s="489"/>
      <c r="AD359" s="489"/>
      <c r="AE359" s="489"/>
      <c r="AF359" s="489"/>
      <c r="AG359" s="489"/>
      <c r="AH359" s="489"/>
      <c r="AI359" s="489"/>
      <c r="AJ359" s="489"/>
      <c r="AK359" s="489"/>
      <c r="AL359" s="489"/>
      <c r="AM359" s="489"/>
      <c r="AN359" s="489"/>
    </row>
    <row r="360" spans="1:40" ht="15.75" hidden="1" customHeight="1">
      <c r="A360" s="477" t="s">
        <v>442</v>
      </c>
      <c r="B360" s="492" t="s">
        <v>119</v>
      </c>
      <c r="C360" s="536" t="s">
        <v>119</v>
      </c>
      <c r="D360" s="700">
        <v>0</v>
      </c>
      <c r="E360" s="701">
        <v>0</v>
      </c>
      <c r="F360" s="702">
        <v>0</v>
      </c>
      <c r="G360" s="700"/>
      <c r="H360" s="701"/>
      <c r="I360" s="700"/>
      <c r="J360" s="703">
        <v>0</v>
      </c>
      <c r="K360" s="686">
        <v>0</v>
      </c>
      <c r="L360" s="704">
        <v>0</v>
      </c>
      <c r="M360" s="687"/>
      <c r="N360" s="688"/>
      <c r="O360" s="703">
        <v>0</v>
      </c>
      <c r="P360" s="686">
        <v>0</v>
      </c>
      <c r="Q360" s="704">
        <v>0</v>
      </c>
      <c r="R360" s="687">
        <v>0</v>
      </c>
      <c r="S360" s="688">
        <v>0</v>
      </c>
      <c r="T360" s="489"/>
      <c r="U360" s="489"/>
      <c r="V360" s="705"/>
      <c r="W360" s="489"/>
      <c r="X360" s="489"/>
      <c r="Y360" s="489"/>
      <c r="Z360" s="489"/>
      <c r="AA360" s="489"/>
      <c r="AB360" s="489"/>
      <c r="AC360" s="489"/>
      <c r="AD360" s="489"/>
      <c r="AE360" s="489"/>
      <c r="AF360" s="489"/>
      <c r="AG360" s="489"/>
      <c r="AH360" s="489"/>
      <c r="AI360" s="489"/>
      <c r="AJ360" s="489"/>
      <c r="AK360" s="489"/>
      <c r="AL360" s="489"/>
      <c r="AM360" s="489"/>
      <c r="AN360" s="489"/>
    </row>
    <row r="361" spans="1:40" ht="15.75" hidden="1" customHeight="1">
      <c r="A361" s="477" t="s">
        <v>119</v>
      </c>
      <c r="B361" s="492" t="s">
        <v>119</v>
      </c>
      <c r="C361" s="600"/>
      <c r="D361" s="689"/>
      <c r="E361" s="690"/>
      <c r="F361" s="603"/>
      <c r="G361" s="691"/>
      <c r="H361" s="690"/>
      <c r="I361" s="603"/>
      <c r="J361" s="691"/>
      <c r="K361" s="690"/>
      <c r="L361" s="603"/>
      <c r="M361" s="693"/>
      <c r="N361" s="547"/>
      <c r="O361" s="691"/>
      <c r="P361" s="690"/>
      <c r="Q361" s="603"/>
      <c r="R361" s="693"/>
      <c r="S361" s="547"/>
      <c r="T361" s="489"/>
      <c r="U361" s="489"/>
      <c r="V361" s="492"/>
      <c r="W361" s="489"/>
      <c r="X361" s="489"/>
      <c r="Y361" s="489"/>
      <c r="Z361" s="489"/>
      <c r="AA361" s="489"/>
      <c r="AB361" s="489"/>
      <c r="AC361" s="489"/>
      <c r="AD361" s="489"/>
      <c r="AE361" s="489"/>
      <c r="AF361" s="489"/>
      <c r="AG361" s="489"/>
      <c r="AH361" s="489"/>
      <c r="AI361" s="489"/>
      <c r="AJ361" s="489"/>
      <c r="AK361" s="489"/>
      <c r="AL361" s="489"/>
      <c r="AM361" s="489"/>
      <c r="AN361" s="489"/>
    </row>
    <row r="362" spans="1:40" ht="15.75" hidden="1" customHeight="1">
      <c r="A362" s="477" t="s">
        <v>443</v>
      </c>
      <c r="B362" s="492" t="s">
        <v>119</v>
      </c>
      <c r="C362" s="527" t="s">
        <v>120</v>
      </c>
      <c r="D362" s="584">
        <v>0</v>
      </c>
      <c r="E362" s="645">
        <v>0</v>
      </c>
      <c r="F362" s="647">
        <v>0</v>
      </c>
      <c r="G362" s="646"/>
      <c r="H362" s="645"/>
      <c r="I362" s="647"/>
      <c r="J362" s="646">
        <v>0</v>
      </c>
      <c r="K362" s="645">
        <v>0</v>
      </c>
      <c r="L362" s="647">
        <v>0</v>
      </c>
      <c r="M362" s="623"/>
      <c r="N362" s="706"/>
      <c r="O362" s="646">
        <v>0</v>
      </c>
      <c r="P362" s="645">
        <v>0</v>
      </c>
      <c r="Q362" s="647">
        <v>0</v>
      </c>
      <c r="R362" s="508">
        <v>0</v>
      </c>
      <c r="S362" s="526">
        <v>0</v>
      </c>
      <c r="T362" s="489"/>
      <c r="U362" s="489"/>
      <c r="V362" s="492"/>
      <c r="W362" s="489"/>
      <c r="X362" s="489"/>
      <c r="Y362" s="489"/>
      <c r="Z362" s="489"/>
      <c r="AA362" s="489"/>
      <c r="AB362" s="489"/>
      <c r="AC362" s="489"/>
      <c r="AD362" s="489"/>
      <c r="AE362" s="489"/>
      <c r="AF362" s="489"/>
      <c r="AG362" s="489"/>
      <c r="AH362" s="489"/>
      <c r="AI362" s="489"/>
      <c r="AJ362" s="489"/>
      <c r="AK362" s="489"/>
      <c r="AL362" s="489"/>
      <c r="AM362" s="489"/>
      <c r="AN362" s="489"/>
    </row>
    <row r="363" spans="1:40" ht="15.75" hidden="1" customHeight="1">
      <c r="A363" s="477" t="s">
        <v>119</v>
      </c>
      <c r="B363" s="492" t="s">
        <v>119</v>
      </c>
      <c r="C363" s="551"/>
      <c r="D363" s="492"/>
      <c r="E363" s="492"/>
      <c r="F363" s="534"/>
      <c r="G363" s="508"/>
      <c r="H363" s="492"/>
      <c r="I363" s="534"/>
      <c r="J363" s="508"/>
      <c r="K363" s="492"/>
      <c r="L363" s="518"/>
      <c r="M363" s="508"/>
      <c r="N363" s="635"/>
      <c r="O363" s="508"/>
      <c r="P363" s="492"/>
      <c r="Q363" s="518"/>
      <c r="R363" s="508"/>
      <c r="S363" s="518">
        <v>0</v>
      </c>
      <c r="T363" s="489"/>
      <c r="U363" s="489"/>
      <c r="V363" s="492"/>
      <c r="W363" s="489"/>
      <c r="X363" s="489"/>
      <c r="Y363" s="489"/>
      <c r="Z363" s="489"/>
      <c r="AA363" s="489"/>
      <c r="AB363" s="489"/>
      <c r="AC363" s="489"/>
      <c r="AD363" s="489"/>
      <c r="AE363" s="489"/>
      <c r="AF363" s="489"/>
      <c r="AG363" s="489"/>
      <c r="AH363" s="489"/>
      <c r="AI363" s="489"/>
      <c r="AJ363" s="489"/>
      <c r="AK363" s="489"/>
      <c r="AL363" s="489"/>
      <c r="AM363" s="489"/>
      <c r="AN363" s="489"/>
    </row>
    <row r="364" spans="1:40" ht="15.75" hidden="1" customHeight="1">
      <c r="A364" s="477" t="s">
        <v>444</v>
      </c>
      <c r="B364" s="492" t="s">
        <v>119</v>
      </c>
      <c r="C364" s="551" t="s">
        <v>30</v>
      </c>
      <c r="D364" s="492"/>
      <c r="E364" s="492"/>
      <c r="F364" s="534"/>
      <c r="G364" s="508"/>
      <c r="H364" s="492"/>
      <c r="I364" s="534"/>
      <c r="J364" s="508"/>
      <c r="K364" s="492"/>
      <c r="L364" s="518"/>
      <c r="M364" s="508"/>
      <c r="N364" s="518"/>
      <c r="O364" s="508"/>
      <c r="P364" s="492"/>
      <c r="Q364" s="518"/>
      <c r="R364" s="508"/>
      <c r="S364" s="518"/>
      <c r="T364" s="489"/>
      <c r="U364" s="489"/>
      <c r="V364" s="492"/>
      <c r="W364" s="489"/>
      <c r="X364" s="489"/>
      <c r="Y364" s="489"/>
      <c r="Z364" s="489"/>
      <c r="AA364" s="489"/>
      <c r="AB364" s="489"/>
      <c r="AC364" s="489"/>
      <c r="AD364" s="489"/>
      <c r="AE364" s="489"/>
      <c r="AF364" s="489"/>
      <c r="AG364" s="489"/>
      <c r="AH364" s="489"/>
      <c r="AI364" s="489"/>
      <c r="AJ364" s="489"/>
      <c r="AK364" s="489"/>
      <c r="AL364" s="489"/>
      <c r="AM364" s="489"/>
      <c r="AN364" s="489"/>
    </row>
    <row r="365" spans="1:40" ht="15.75" hidden="1" customHeight="1">
      <c r="A365" s="477" t="s">
        <v>445</v>
      </c>
      <c r="B365" s="492" t="s">
        <v>119</v>
      </c>
      <c r="C365" s="576" t="s">
        <v>41</v>
      </c>
      <c r="D365" s="492"/>
      <c r="E365" s="492"/>
      <c r="F365" s="509">
        <v>0</v>
      </c>
      <c r="G365" s="508"/>
      <c r="H365" s="492"/>
      <c r="I365" s="509"/>
      <c r="J365" s="508"/>
      <c r="K365" s="492"/>
      <c r="L365" s="511">
        <v>0</v>
      </c>
      <c r="M365" s="508"/>
      <c r="N365" s="518"/>
      <c r="O365" s="508"/>
      <c r="P365" s="492"/>
      <c r="Q365" s="511">
        <v>0</v>
      </c>
      <c r="R365" s="508"/>
      <c r="S365" s="511">
        <v>0</v>
      </c>
      <c r="T365" s="489"/>
      <c r="U365" s="489"/>
      <c r="V365" s="492"/>
      <c r="W365" s="489"/>
      <c r="X365" s="489"/>
      <c r="Y365" s="489"/>
      <c r="Z365" s="489"/>
      <c r="AA365" s="489"/>
      <c r="AB365" s="489"/>
      <c r="AC365" s="489"/>
      <c r="AD365" s="489"/>
      <c r="AE365" s="489"/>
      <c r="AF365" s="489"/>
      <c r="AG365" s="489"/>
      <c r="AH365" s="489"/>
      <c r="AI365" s="489"/>
      <c r="AJ365" s="489"/>
      <c r="AK365" s="489"/>
      <c r="AL365" s="489"/>
      <c r="AM365" s="489"/>
      <c r="AN365" s="489"/>
    </row>
    <row r="366" spans="1:40" ht="15.75" hidden="1" customHeight="1">
      <c r="A366" s="477" t="s">
        <v>446</v>
      </c>
      <c r="B366" s="492" t="s">
        <v>119</v>
      </c>
      <c r="C366" s="578" t="s">
        <v>42</v>
      </c>
      <c r="D366" s="561"/>
      <c r="E366" s="492"/>
      <c r="F366" s="503">
        <v>0</v>
      </c>
      <c r="G366" s="562"/>
      <c r="H366" s="492"/>
      <c r="I366" s="503"/>
      <c r="J366" s="508"/>
      <c r="K366" s="492"/>
      <c r="L366" s="503">
        <v>0</v>
      </c>
      <c r="M366" s="508"/>
      <c r="N366" s="534"/>
      <c r="O366" s="508"/>
      <c r="P366" s="492"/>
      <c r="Q366" s="503">
        <v>0</v>
      </c>
      <c r="R366" s="508"/>
      <c r="S366" s="534">
        <v>0</v>
      </c>
      <c r="T366" s="489"/>
      <c r="U366" s="489"/>
      <c r="V366" s="492"/>
      <c r="W366" s="489"/>
      <c r="X366" s="489"/>
      <c r="Y366" s="489"/>
      <c r="Z366" s="489"/>
      <c r="AA366" s="489"/>
      <c r="AB366" s="489"/>
      <c r="AC366" s="489"/>
      <c r="AD366" s="489"/>
      <c r="AE366" s="489"/>
      <c r="AF366" s="489"/>
      <c r="AG366" s="489"/>
      <c r="AH366" s="489"/>
      <c r="AI366" s="489"/>
      <c r="AJ366" s="489"/>
      <c r="AK366" s="489"/>
      <c r="AL366" s="489"/>
      <c r="AM366" s="489"/>
      <c r="AN366" s="489"/>
    </row>
    <row r="367" spans="1:40" ht="15.75" hidden="1" customHeight="1">
      <c r="A367" s="477" t="s">
        <v>447</v>
      </c>
      <c r="B367" s="492" t="s">
        <v>119</v>
      </c>
      <c r="C367" s="576" t="s">
        <v>43</v>
      </c>
      <c r="D367" s="579"/>
      <c r="E367" s="580"/>
      <c r="F367" s="509">
        <v>0</v>
      </c>
      <c r="G367" s="581"/>
      <c r="H367" s="580"/>
      <c r="I367" s="509"/>
      <c r="J367" s="496"/>
      <c r="K367" s="580"/>
      <c r="L367" s="511">
        <v>0</v>
      </c>
      <c r="M367" s="496"/>
      <c r="N367" s="582"/>
      <c r="O367" s="496"/>
      <c r="P367" s="580"/>
      <c r="Q367" s="511">
        <v>0</v>
      </c>
      <c r="R367" s="496"/>
      <c r="S367" s="582">
        <v>0</v>
      </c>
      <c r="T367" s="489"/>
      <c r="U367" s="489"/>
      <c r="V367" s="492"/>
      <c r="W367" s="489"/>
      <c r="X367" s="489"/>
      <c r="Y367" s="489"/>
      <c r="Z367" s="489"/>
      <c r="AA367" s="489"/>
      <c r="AB367" s="489"/>
      <c r="AC367" s="489"/>
      <c r="AD367" s="489"/>
      <c r="AE367" s="489"/>
      <c r="AF367" s="489"/>
      <c r="AG367" s="489"/>
      <c r="AH367" s="489"/>
      <c r="AI367" s="489"/>
      <c r="AJ367" s="489"/>
      <c r="AK367" s="489"/>
      <c r="AL367" s="489"/>
      <c r="AM367" s="489"/>
      <c r="AN367" s="489"/>
    </row>
    <row r="368" spans="1:40" ht="15.75" hidden="1" customHeight="1">
      <c r="A368" s="477" t="s">
        <v>448</v>
      </c>
      <c r="B368" s="492" t="s">
        <v>119</v>
      </c>
      <c r="C368" s="576" t="s">
        <v>44</v>
      </c>
      <c r="D368" s="561"/>
      <c r="E368" s="492"/>
      <c r="F368" s="509">
        <v>0</v>
      </c>
      <c r="G368" s="562"/>
      <c r="H368" s="492"/>
      <c r="I368" s="509"/>
      <c r="J368" s="508"/>
      <c r="K368" s="492"/>
      <c r="L368" s="511">
        <v>0</v>
      </c>
      <c r="M368" s="508"/>
      <c r="N368" s="534"/>
      <c r="O368" s="508"/>
      <c r="P368" s="492"/>
      <c r="Q368" s="511">
        <v>0</v>
      </c>
      <c r="R368" s="508"/>
      <c r="S368" s="534">
        <v>0</v>
      </c>
      <c r="T368" s="489"/>
      <c r="U368" s="489"/>
      <c r="V368" s="492"/>
      <c r="W368" s="489"/>
      <c r="X368" s="489"/>
      <c r="Y368" s="489"/>
      <c r="Z368" s="489"/>
      <c r="AA368" s="489"/>
      <c r="AB368" s="489"/>
      <c r="AC368" s="489"/>
      <c r="AD368" s="489"/>
      <c r="AE368" s="489"/>
      <c r="AF368" s="489"/>
      <c r="AG368" s="489"/>
      <c r="AH368" s="489"/>
      <c r="AI368" s="489"/>
      <c r="AJ368" s="489"/>
      <c r="AK368" s="489"/>
      <c r="AL368" s="489"/>
      <c r="AM368" s="489"/>
      <c r="AN368" s="489"/>
    </row>
    <row r="369" spans="1:40" ht="15.75" hidden="1" customHeight="1">
      <c r="A369" s="477" t="s">
        <v>449</v>
      </c>
      <c r="B369" s="492" t="s">
        <v>119</v>
      </c>
      <c r="C369" s="508" t="s">
        <v>20</v>
      </c>
      <c r="D369" s="561"/>
      <c r="E369" s="492"/>
      <c r="F369" s="509">
        <v>0</v>
      </c>
      <c r="G369" s="562"/>
      <c r="H369" s="492"/>
      <c r="I369" s="509"/>
      <c r="J369" s="508"/>
      <c r="K369" s="492"/>
      <c r="L369" s="511">
        <v>0</v>
      </c>
      <c r="M369" s="508"/>
      <c r="N369" s="534"/>
      <c r="O369" s="508"/>
      <c r="P369" s="492"/>
      <c r="Q369" s="511">
        <v>0</v>
      </c>
      <c r="R369" s="508"/>
      <c r="S369" s="534">
        <v>0</v>
      </c>
      <c r="T369" s="489"/>
      <c r="U369" s="489"/>
      <c r="V369" s="492"/>
      <c r="W369" s="489"/>
      <c r="X369" s="489"/>
      <c r="Y369" s="489"/>
      <c r="Z369" s="489"/>
      <c r="AA369" s="489"/>
      <c r="AB369" s="489"/>
      <c r="AC369" s="489"/>
      <c r="AD369" s="489"/>
      <c r="AE369" s="489"/>
      <c r="AF369" s="489"/>
      <c r="AG369" s="489"/>
      <c r="AH369" s="489"/>
      <c r="AI369" s="489"/>
      <c r="AJ369" s="489"/>
      <c r="AK369" s="489"/>
      <c r="AL369" s="489"/>
      <c r="AM369" s="489"/>
      <c r="AN369" s="489"/>
    </row>
    <row r="370" spans="1:40" ht="15.75" hidden="1" customHeight="1">
      <c r="A370" s="477" t="s">
        <v>449</v>
      </c>
      <c r="B370" s="492" t="s">
        <v>119</v>
      </c>
      <c r="C370" s="508" t="s">
        <v>20</v>
      </c>
      <c r="D370" s="561"/>
      <c r="E370" s="492"/>
      <c r="F370" s="509">
        <v>0</v>
      </c>
      <c r="G370" s="562"/>
      <c r="H370" s="492"/>
      <c r="I370" s="509"/>
      <c r="J370" s="508"/>
      <c r="K370" s="492"/>
      <c r="L370" s="511">
        <v>0</v>
      </c>
      <c r="M370" s="508"/>
      <c r="N370" s="534"/>
      <c r="O370" s="508"/>
      <c r="P370" s="492"/>
      <c r="Q370" s="511">
        <v>0</v>
      </c>
      <c r="R370" s="508"/>
      <c r="S370" s="534">
        <v>0</v>
      </c>
      <c r="T370" s="489"/>
      <c r="U370" s="489"/>
      <c r="V370" s="492"/>
      <c r="W370" s="489"/>
      <c r="X370" s="489"/>
      <c r="Y370" s="489"/>
      <c r="Z370" s="489"/>
      <c r="AA370" s="489"/>
      <c r="AB370" s="489"/>
      <c r="AC370" s="489"/>
      <c r="AD370" s="489"/>
      <c r="AE370" s="489"/>
      <c r="AF370" s="489"/>
      <c r="AG370" s="489"/>
      <c r="AH370" s="489"/>
      <c r="AI370" s="489"/>
      <c r="AJ370" s="489"/>
      <c r="AK370" s="489"/>
      <c r="AL370" s="489"/>
      <c r="AM370" s="489"/>
      <c r="AN370" s="489"/>
    </row>
    <row r="371" spans="1:40" ht="15.75" hidden="1" customHeight="1">
      <c r="A371" s="477" t="s">
        <v>449</v>
      </c>
      <c r="B371" s="492" t="s">
        <v>119</v>
      </c>
      <c r="C371" s="508" t="s">
        <v>20</v>
      </c>
      <c r="D371" s="561"/>
      <c r="E371" s="492"/>
      <c r="F371" s="509">
        <v>0</v>
      </c>
      <c r="G371" s="562"/>
      <c r="H371" s="492"/>
      <c r="I371" s="509"/>
      <c r="J371" s="508"/>
      <c r="K371" s="492"/>
      <c r="L371" s="511">
        <v>0</v>
      </c>
      <c r="M371" s="508"/>
      <c r="N371" s="534"/>
      <c r="O371" s="508"/>
      <c r="P371" s="492"/>
      <c r="Q371" s="511">
        <v>0</v>
      </c>
      <c r="R371" s="508"/>
      <c r="S371" s="534">
        <v>0</v>
      </c>
      <c r="T371" s="489"/>
      <c r="U371" s="489"/>
      <c r="V371" s="492"/>
      <c r="W371" s="489"/>
      <c r="X371" s="489"/>
      <c r="Y371" s="489"/>
      <c r="Z371" s="489"/>
      <c r="AA371" s="489"/>
      <c r="AB371" s="489"/>
      <c r="AC371" s="489"/>
      <c r="AD371" s="489"/>
      <c r="AE371" s="489"/>
      <c r="AF371" s="489"/>
      <c r="AG371" s="489"/>
      <c r="AH371" s="489"/>
      <c r="AI371" s="489"/>
      <c r="AJ371" s="489"/>
      <c r="AK371" s="489"/>
      <c r="AL371" s="489"/>
      <c r="AM371" s="489"/>
      <c r="AN371" s="489"/>
    </row>
    <row r="372" spans="1:40" ht="15.75" hidden="1" customHeight="1">
      <c r="A372" s="477" t="s">
        <v>450</v>
      </c>
      <c r="B372" s="492" t="s">
        <v>119</v>
      </c>
      <c r="C372" s="578" t="s">
        <v>45</v>
      </c>
      <c r="D372" s="561"/>
      <c r="E372" s="492"/>
      <c r="F372" s="503">
        <v>0</v>
      </c>
      <c r="G372" s="562"/>
      <c r="H372" s="492"/>
      <c r="I372" s="503"/>
      <c r="J372" s="508"/>
      <c r="K372" s="492"/>
      <c r="L372" s="503">
        <v>0</v>
      </c>
      <c r="M372" s="508"/>
      <c r="N372" s="534"/>
      <c r="O372" s="508"/>
      <c r="P372" s="492"/>
      <c r="Q372" s="503">
        <v>0</v>
      </c>
      <c r="R372" s="508"/>
      <c r="S372" s="534">
        <v>0</v>
      </c>
      <c r="T372" s="489"/>
      <c r="U372" s="489"/>
      <c r="V372" s="492"/>
      <c r="W372" s="489"/>
      <c r="X372" s="489"/>
      <c r="Y372" s="489"/>
      <c r="Z372" s="489"/>
      <c r="AA372" s="489"/>
      <c r="AB372" s="489"/>
      <c r="AC372" s="489"/>
      <c r="AD372" s="489"/>
      <c r="AE372" s="489"/>
      <c r="AF372" s="489"/>
      <c r="AG372" s="489"/>
      <c r="AH372" s="489"/>
      <c r="AI372" s="489"/>
      <c r="AJ372" s="489"/>
      <c r="AK372" s="489"/>
      <c r="AL372" s="489"/>
      <c r="AM372" s="489"/>
      <c r="AN372" s="489"/>
    </row>
    <row r="373" spans="1:40" ht="15.75" hidden="1" customHeight="1">
      <c r="A373" s="477" t="s">
        <v>451</v>
      </c>
      <c r="B373" s="492" t="s">
        <v>119</v>
      </c>
      <c r="C373" s="576" t="s">
        <v>46</v>
      </c>
      <c r="D373" s="579"/>
      <c r="E373" s="580"/>
      <c r="F373" s="509">
        <v>0</v>
      </c>
      <c r="G373" s="581"/>
      <c r="H373" s="580"/>
      <c r="I373" s="509"/>
      <c r="J373" s="496"/>
      <c r="K373" s="580"/>
      <c r="L373" s="511">
        <v>0</v>
      </c>
      <c r="M373" s="496"/>
      <c r="N373" s="582"/>
      <c r="O373" s="496"/>
      <c r="P373" s="580"/>
      <c r="Q373" s="511">
        <v>0</v>
      </c>
      <c r="R373" s="496"/>
      <c r="S373" s="582">
        <v>0</v>
      </c>
      <c r="T373" s="489"/>
      <c r="U373" s="489"/>
      <c r="V373" s="492"/>
      <c r="W373" s="489"/>
      <c r="X373" s="489"/>
      <c r="Y373" s="489"/>
      <c r="Z373" s="489"/>
      <c r="AA373" s="489"/>
      <c r="AB373" s="489"/>
      <c r="AC373" s="489"/>
      <c r="AD373" s="489"/>
      <c r="AE373" s="489"/>
      <c r="AF373" s="489"/>
      <c r="AG373" s="489"/>
      <c r="AH373" s="489"/>
      <c r="AI373" s="489"/>
      <c r="AJ373" s="489"/>
      <c r="AK373" s="489"/>
      <c r="AL373" s="489"/>
      <c r="AM373" s="489"/>
      <c r="AN373" s="489"/>
    </row>
    <row r="374" spans="1:40" ht="15.75" hidden="1" customHeight="1">
      <c r="A374" s="477" t="s">
        <v>452</v>
      </c>
      <c r="B374" s="492" t="s">
        <v>119</v>
      </c>
      <c r="C374" s="576" t="s">
        <v>47</v>
      </c>
      <c r="D374" s="561"/>
      <c r="E374" s="492"/>
      <c r="F374" s="509">
        <v>0</v>
      </c>
      <c r="G374" s="562"/>
      <c r="H374" s="492"/>
      <c r="I374" s="509"/>
      <c r="J374" s="508"/>
      <c r="K374" s="492"/>
      <c r="L374" s="511">
        <v>0</v>
      </c>
      <c r="M374" s="508"/>
      <c r="N374" s="534"/>
      <c r="O374" s="508"/>
      <c r="P374" s="492"/>
      <c r="Q374" s="511">
        <v>0</v>
      </c>
      <c r="R374" s="508"/>
      <c r="S374" s="534">
        <v>0</v>
      </c>
      <c r="T374" s="489"/>
      <c r="U374" s="489"/>
      <c r="V374" s="492"/>
      <c r="W374" s="489"/>
      <c r="X374" s="489"/>
      <c r="Y374" s="489"/>
      <c r="Z374" s="489"/>
      <c r="AA374" s="489"/>
      <c r="AB374" s="489"/>
      <c r="AC374" s="489"/>
      <c r="AD374" s="489"/>
      <c r="AE374" s="489"/>
      <c r="AF374" s="489"/>
      <c r="AG374" s="489"/>
      <c r="AH374" s="489"/>
      <c r="AI374" s="489"/>
      <c r="AJ374" s="489"/>
      <c r="AK374" s="489"/>
      <c r="AL374" s="489"/>
      <c r="AM374" s="489"/>
      <c r="AN374" s="489"/>
    </row>
    <row r="375" spans="1:40" ht="15.75" hidden="1" customHeight="1">
      <c r="A375" s="477" t="s">
        <v>453</v>
      </c>
      <c r="B375" s="492" t="s">
        <v>119</v>
      </c>
      <c r="C375" s="576" t="s">
        <v>48</v>
      </c>
      <c r="D375" s="561"/>
      <c r="E375" s="492"/>
      <c r="F375" s="509">
        <v>0</v>
      </c>
      <c r="G375" s="562"/>
      <c r="H375" s="492"/>
      <c r="I375" s="509"/>
      <c r="J375" s="508"/>
      <c r="K375" s="492"/>
      <c r="L375" s="511">
        <v>0</v>
      </c>
      <c r="M375" s="508"/>
      <c r="N375" s="534"/>
      <c r="O375" s="508"/>
      <c r="P375" s="492"/>
      <c r="Q375" s="511">
        <v>0</v>
      </c>
      <c r="R375" s="508"/>
      <c r="S375" s="534">
        <v>0</v>
      </c>
      <c r="T375" s="489"/>
      <c r="U375" s="489"/>
      <c r="V375" s="492"/>
      <c r="W375" s="489"/>
      <c r="X375" s="489"/>
      <c r="Y375" s="489"/>
      <c r="Z375" s="489"/>
      <c r="AA375" s="489"/>
      <c r="AB375" s="489"/>
      <c r="AC375" s="489"/>
      <c r="AD375" s="489"/>
      <c r="AE375" s="489"/>
      <c r="AF375" s="489"/>
      <c r="AG375" s="489"/>
      <c r="AH375" s="489"/>
      <c r="AI375" s="489"/>
      <c r="AJ375" s="489"/>
      <c r="AK375" s="489"/>
      <c r="AL375" s="489"/>
      <c r="AM375" s="489"/>
      <c r="AN375" s="489"/>
    </row>
    <row r="376" spans="1:40" ht="15.75" hidden="1" customHeight="1">
      <c r="A376" s="477" t="s">
        <v>449</v>
      </c>
      <c r="B376" s="492" t="s">
        <v>119</v>
      </c>
      <c r="C376" s="508" t="s">
        <v>20</v>
      </c>
      <c r="D376" s="563"/>
      <c r="E376" s="583"/>
      <c r="F376" s="509">
        <v>0</v>
      </c>
      <c r="G376" s="564"/>
      <c r="H376" s="583"/>
      <c r="I376" s="509"/>
      <c r="J376" s="501"/>
      <c r="K376" s="583"/>
      <c r="L376" s="511">
        <v>0</v>
      </c>
      <c r="M376" s="501"/>
      <c r="N376" s="559"/>
      <c r="O376" s="501"/>
      <c r="P376" s="583"/>
      <c r="Q376" s="511">
        <v>0</v>
      </c>
      <c r="R376" s="501"/>
      <c r="S376" s="559">
        <v>0</v>
      </c>
      <c r="T376" s="489"/>
      <c r="U376" s="489"/>
      <c r="V376" s="492"/>
      <c r="W376" s="489"/>
      <c r="X376" s="489"/>
      <c r="Y376" s="489"/>
      <c r="Z376" s="489"/>
      <c r="AA376" s="489"/>
      <c r="AB376" s="489"/>
      <c r="AC376" s="489"/>
      <c r="AD376" s="489"/>
      <c r="AE376" s="489"/>
      <c r="AF376" s="489"/>
      <c r="AG376" s="489"/>
      <c r="AH376" s="489"/>
      <c r="AI376" s="489"/>
      <c r="AJ376" s="489"/>
      <c r="AK376" s="489"/>
      <c r="AL376" s="489"/>
      <c r="AM376" s="489"/>
      <c r="AN376" s="489"/>
    </row>
    <row r="377" spans="1:40" ht="15.75" hidden="1" customHeight="1">
      <c r="A377" s="477" t="s">
        <v>454</v>
      </c>
      <c r="B377" s="492" t="s">
        <v>119</v>
      </c>
      <c r="C377" s="568" t="s">
        <v>49</v>
      </c>
      <c r="D377" s="569" t="s">
        <v>39</v>
      </c>
      <c r="E377" s="570">
        <v>0</v>
      </c>
      <c r="F377" s="571">
        <v>0</v>
      </c>
      <c r="G377" s="572"/>
      <c r="H377" s="570"/>
      <c r="I377" s="571"/>
      <c r="J377" s="572" t="s">
        <v>39</v>
      </c>
      <c r="K377" s="570">
        <v>0</v>
      </c>
      <c r="L377" s="571">
        <v>0</v>
      </c>
      <c r="M377" s="625"/>
      <c r="N377" s="585"/>
      <c r="O377" s="572" t="s">
        <v>39</v>
      </c>
      <c r="P377" s="570">
        <v>0</v>
      </c>
      <c r="Q377" s="571">
        <v>0</v>
      </c>
      <c r="R377" s="625"/>
      <c r="S377" s="585">
        <v>0</v>
      </c>
      <c r="T377" s="489"/>
      <c r="U377" s="489"/>
      <c r="V377" s="492"/>
      <c r="W377" s="489"/>
      <c r="X377" s="489"/>
      <c r="Y377" s="489"/>
      <c r="Z377" s="489"/>
      <c r="AA377" s="489"/>
      <c r="AB377" s="489"/>
      <c r="AC377" s="489"/>
      <c r="AD377" s="489"/>
      <c r="AE377" s="489"/>
      <c r="AF377" s="489"/>
      <c r="AG377" s="489"/>
      <c r="AH377" s="489"/>
      <c r="AI377" s="489"/>
      <c r="AJ377" s="489"/>
      <c r="AK377" s="489"/>
      <c r="AL377" s="489"/>
      <c r="AM377" s="489"/>
      <c r="AN377" s="489"/>
    </row>
    <row r="378" spans="1:40" ht="15.75" hidden="1" customHeight="1">
      <c r="A378" s="477" t="s">
        <v>455</v>
      </c>
      <c r="B378" s="492" t="s">
        <v>119</v>
      </c>
      <c r="C378" s="681" t="s">
        <v>50</v>
      </c>
      <c r="D378" s="561"/>
      <c r="E378" s="492"/>
      <c r="F378" s="509">
        <v>0</v>
      </c>
      <c r="G378" s="562"/>
      <c r="H378" s="492"/>
      <c r="I378" s="509"/>
      <c r="J378" s="508"/>
      <c r="K378" s="492"/>
      <c r="L378" s="511">
        <v>0</v>
      </c>
      <c r="M378" s="508"/>
      <c r="N378" s="534"/>
      <c r="O378" s="508"/>
      <c r="P378" s="492"/>
      <c r="Q378" s="511">
        <v>0</v>
      </c>
      <c r="R378" s="508"/>
      <c r="S378" s="534">
        <v>0</v>
      </c>
      <c r="T378" s="489"/>
      <c r="U378" s="489"/>
      <c r="V378" s="492"/>
      <c r="W378" s="489"/>
      <c r="X378" s="489"/>
      <c r="Y378" s="489"/>
      <c r="Z378" s="489"/>
      <c r="AA378" s="489"/>
      <c r="AB378" s="489"/>
      <c r="AC378" s="489"/>
      <c r="AD378" s="489"/>
      <c r="AE378" s="489"/>
      <c r="AF378" s="489"/>
      <c r="AG378" s="489"/>
      <c r="AH378" s="489"/>
      <c r="AI378" s="489"/>
      <c r="AJ378" s="489"/>
      <c r="AK378" s="489"/>
      <c r="AL378" s="489"/>
      <c r="AM378" s="489"/>
      <c r="AN378" s="489"/>
    </row>
    <row r="379" spans="1:40" ht="15.75" hidden="1" customHeight="1">
      <c r="A379" s="477" t="s">
        <v>456</v>
      </c>
      <c r="B379" s="492" t="s">
        <v>119</v>
      </c>
      <c r="C379" s="576" t="s">
        <v>51</v>
      </c>
      <c r="D379" s="561"/>
      <c r="E379" s="492"/>
      <c r="F379" s="509">
        <v>0</v>
      </c>
      <c r="G379" s="562"/>
      <c r="H379" s="492"/>
      <c r="I379" s="509"/>
      <c r="J379" s="508"/>
      <c r="K379" s="492"/>
      <c r="L379" s="511">
        <v>0</v>
      </c>
      <c r="M379" s="508"/>
      <c r="N379" s="534"/>
      <c r="O379" s="508"/>
      <c r="P379" s="492"/>
      <c r="Q379" s="511">
        <v>0</v>
      </c>
      <c r="R379" s="508"/>
      <c r="S379" s="534">
        <v>0</v>
      </c>
      <c r="T379" s="489"/>
      <c r="U379" s="489"/>
      <c r="V379" s="492"/>
      <c r="W379" s="489"/>
      <c r="X379" s="489"/>
      <c r="Y379" s="489"/>
      <c r="Z379" s="489"/>
      <c r="AA379" s="489"/>
      <c r="AB379" s="489"/>
      <c r="AC379" s="489"/>
      <c r="AD379" s="489"/>
      <c r="AE379" s="489"/>
      <c r="AF379" s="489"/>
      <c r="AG379" s="489"/>
      <c r="AH379" s="489"/>
      <c r="AI379" s="489"/>
      <c r="AJ379" s="489"/>
      <c r="AK379" s="489"/>
      <c r="AL379" s="489"/>
      <c r="AM379" s="489"/>
      <c r="AN379" s="489"/>
    </row>
    <row r="380" spans="1:40" ht="15.75" hidden="1" customHeight="1">
      <c r="A380" s="477" t="s">
        <v>457</v>
      </c>
      <c r="B380" s="492" t="s">
        <v>119</v>
      </c>
      <c r="C380" s="578" t="s">
        <v>52</v>
      </c>
      <c r="D380" s="563"/>
      <c r="E380" s="583"/>
      <c r="F380" s="503">
        <v>0</v>
      </c>
      <c r="G380" s="564"/>
      <c r="H380" s="583"/>
      <c r="I380" s="503"/>
      <c r="J380" s="501"/>
      <c r="K380" s="583"/>
      <c r="L380" s="503">
        <v>0</v>
      </c>
      <c r="M380" s="501"/>
      <c r="N380" s="559"/>
      <c r="O380" s="501"/>
      <c r="P380" s="583"/>
      <c r="Q380" s="503">
        <v>0</v>
      </c>
      <c r="R380" s="501"/>
      <c r="S380" s="559">
        <v>0</v>
      </c>
      <c r="T380" s="489"/>
      <c r="U380" s="489"/>
      <c r="V380" s="492"/>
      <c r="W380" s="489"/>
      <c r="X380" s="489"/>
      <c r="Y380" s="489"/>
      <c r="Z380" s="489"/>
      <c r="AA380" s="489"/>
      <c r="AB380" s="489"/>
      <c r="AC380" s="489"/>
      <c r="AD380" s="489"/>
      <c r="AE380" s="489"/>
      <c r="AF380" s="489"/>
      <c r="AG380" s="489"/>
      <c r="AH380" s="489"/>
      <c r="AI380" s="489"/>
      <c r="AJ380" s="489"/>
      <c r="AK380" s="489"/>
      <c r="AL380" s="489"/>
      <c r="AM380" s="489"/>
      <c r="AN380" s="489"/>
    </row>
    <row r="381" spans="1:40" ht="15.75" hidden="1" customHeight="1">
      <c r="A381" s="477" t="s">
        <v>458</v>
      </c>
      <c r="B381" s="492" t="s">
        <v>119</v>
      </c>
      <c r="C381" s="576" t="s">
        <v>53</v>
      </c>
      <c r="D381" s="561"/>
      <c r="E381" s="492"/>
      <c r="F381" s="509">
        <v>0</v>
      </c>
      <c r="G381" s="562"/>
      <c r="H381" s="492"/>
      <c r="I381" s="509"/>
      <c r="J381" s="508"/>
      <c r="K381" s="492"/>
      <c r="L381" s="511">
        <v>0</v>
      </c>
      <c r="M381" s="508"/>
      <c r="N381" s="534"/>
      <c r="O381" s="508"/>
      <c r="P381" s="492"/>
      <c r="Q381" s="511">
        <v>0</v>
      </c>
      <c r="R381" s="508"/>
      <c r="S381" s="534">
        <v>0</v>
      </c>
      <c r="T381" s="489"/>
      <c r="U381" s="489"/>
      <c r="V381" s="492"/>
      <c r="W381" s="489"/>
      <c r="X381" s="489"/>
      <c r="Y381" s="489"/>
      <c r="Z381" s="489"/>
      <c r="AA381" s="489"/>
      <c r="AB381" s="489"/>
      <c r="AC381" s="489"/>
      <c r="AD381" s="489"/>
      <c r="AE381" s="489"/>
      <c r="AF381" s="489"/>
      <c r="AG381" s="489"/>
      <c r="AH381" s="489"/>
      <c r="AI381" s="489"/>
      <c r="AJ381" s="489"/>
      <c r="AK381" s="489"/>
      <c r="AL381" s="489"/>
      <c r="AM381" s="489"/>
      <c r="AN381" s="489"/>
    </row>
    <row r="382" spans="1:40" ht="15.75" hidden="1" customHeight="1">
      <c r="A382" s="477" t="s">
        <v>459</v>
      </c>
      <c r="B382" s="492" t="s">
        <v>119</v>
      </c>
      <c r="C382" s="576" t="s">
        <v>54</v>
      </c>
      <c r="D382" s="561"/>
      <c r="E382" s="492"/>
      <c r="F382" s="509">
        <v>0</v>
      </c>
      <c r="G382" s="562"/>
      <c r="H382" s="492"/>
      <c r="I382" s="509"/>
      <c r="J382" s="508"/>
      <c r="K382" s="492"/>
      <c r="L382" s="511">
        <v>0</v>
      </c>
      <c r="M382" s="508"/>
      <c r="N382" s="534"/>
      <c r="O382" s="508"/>
      <c r="P382" s="492"/>
      <c r="Q382" s="511">
        <v>0</v>
      </c>
      <c r="R382" s="508"/>
      <c r="S382" s="534">
        <v>0</v>
      </c>
      <c r="T382" s="489"/>
      <c r="U382" s="489"/>
      <c r="V382" s="492"/>
      <c r="W382" s="489"/>
      <c r="X382" s="489"/>
      <c r="Y382" s="489"/>
      <c r="Z382" s="489"/>
      <c r="AA382" s="489"/>
      <c r="AB382" s="489"/>
      <c r="AC382" s="489"/>
      <c r="AD382" s="489"/>
      <c r="AE382" s="489"/>
      <c r="AF382" s="489"/>
      <c r="AG382" s="489"/>
      <c r="AH382" s="489"/>
      <c r="AI382" s="489"/>
      <c r="AJ382" s="489"/>
      <c r="AK382" s="489"/>
      <c r="AL382" s="489"/>
      <c r="AM382" s="489"/>
      <c r="AN382" s="489"/>
    </row>
    <row r="383" spans="1:40" ht="15.75" hidden="1" customHeight="1">
      <c r="A383" s="477" t="s">
        <v>460</v>
      </c>
      <c r="B383" s="492" t="s">
        <v>119</v>
      </c>
      <c r="C383" s="576" t="s">
        <v>55</v>
      </c>
      <c r="D383" s="563"/>
      <c r="E383" s="583"/>
      <c r="F383" s="503">
        <v>0</v>
      </c>
      <c r="G383" s="564"/>
      <c r="H383" s="583"/>
      <c r="I383" s="503"/>
      <c r="J383" s="501"/>
      <c r="K383" s="583"/>
      <c r="L383" s="503">
        <v>0</v>
      </c>
      <c r="M383" s="501"/>
      <c r="N383" s="559"/>
      <c r="O383" s="501"/>
      <c r="P383" s="583"/>
      <c r="Q383" s="503">
        <v>0</v>
      </c>
      <c r="R383" s="501"/>
      <c r="S383" s="559">
        <v>0</v>
      </c>
      <c r="T383" s="489"/>
      <c r="U383" s="489"/>
      <c r="V383" s="492"/>
      <c r="W383" s="489"/>
      <c r="X383" s="489"/>
      <c r="Y383" s="489"/>
      <c r="Z383" s="489"/>
      <c r="AA383" s="489"/>
      <c r="AB383" s="489"/>
      <c r="AC383" s="489"/>
      <c r="AD383" s="489"/>
      <c r="AE383" s="489"/>
      <c r="AF383" s="489"/>
      <c r="AG383" s="489"/>
      <c r="AH383" s="489"/>
      <c r="AI383" s="489"/>
      <c r="AJ383" s="489"/>
      <c r="AK383" s="489"/>
      <c r="AL383" s="489"/>
      <c r="AM383" s="489"/>
      <c r="AN383" s="489"/>
    </row>
    <row r="384" spans="1:40" ht="20.25" hidden="1" customHeight="1">
      <c r="A384" s="477" t="s">
        <v>461</v>
      </c>
      <c r="B384" s="492" t="s">
        <v>119</v>
      </c>
      <c r="C384" s="681" t="s">
        <v>56</v>
      </c>
      <c r="D384" s="561"/>
      <c r="E384" s="492"/>
      <c r="F384" s="509">
        <v>0</v>
      </c>
      <c r="G384" s="562"/>
      <c r="H384" s="492"/>
      <c r="I384" s="509"/>
      <c r="J384" s="508"/>
      <c r="K384" s="492"/>
      <c r="L384" s="511">
        <v>0</v>
      </c>
      <c r="M384" s="508"/>
      <c r="N384" s="534"/>
      <c r="O384" s="508"/>
      <c r="P384" s="492"/>
      <c r="Q384" s="511">
        <v>0</v>
      </c>
      <c r="R384" s="508"/>
      <c r="S384" s="534">
        <v>0</v>
      </c>
      <c r="T384" s="489"/>
      <c r="U384" s="489"/>
      <c r="V384" s="492"/>
      <c r="W384" s="489"/>
      <c r="X384" s="489"/>
      <c r="Y384" s="489"/>
      <c r="Z384" s="489"/>
      <c r="AA384" s="489"/>
      <c r="AB384" s="489"/>
      <c r="AC384" s="489"/>
      <c r="AD384" s="489"/>
      <c r="AE384" s="489"/>
      <c r="AF384" s="489"/>
      <c r="AG384" s="489"/>
      <c r="AH384" s="489"/>
      <c r="AI384" s="489"/>
      <c r="AJ384" s="489"/>
      <c r="AK384" s="489"/>
      <c r="AL384" s="489"/>
      <c r="AM384" s="489"/>
      <c r="AN384" s="489"/>
    </row>
    <row r="385" spans="1:40" ht="20.25" hidden="1" customHeight="1">
      <c r="A385" s="477" t="s">
        <v>462</v>
      </c>
      <c r="B385" s="492" t="s">
        <v>119</v>
      </c>
      <c r="C385" s="576" t="s">
        <v>57</v>
      </c>
      <c r="D385" s="561"/>
      <c r="E385" s="492"/>
      <c r="F385" s="509">
        <v>0</v>
      </c>
      <c r="G385" s="562"/>
      <c r="H385" s="492"/>
      <c r="I385" s="509"/>
      <c r="J385" s="508"/>
      <c r="K385" s="492"/>
      <c r="L385" s="511">
        <v>0</v>
      </c>
      <c r="M385" s="508"/>
      <c r="N385" s="534"/>
      <c r="O385" s="508"/>
      <c r="P385" s="492"/>
      <c r="Q385" s="511">
        <v>0</v>
      </c>
      <c r="R385" s="508"/>
      <c r="S385" s="534">
        <v>0</v>
      </c>
      <c r="T385" s="489"/>
      <c r="U385" s="489"/>
      <c r="V385" s="492"/>
      <c r="W385" s="489"/>
      <c r="X385" s="489"/>
      <c r="Y385" s="489"/>
      <c r="Z385" s="489"/>
      <c r="AA385" s="489"/>
      <c r="AB385" s="489"/>
      <c r="AC385" s="489"/>
      <c r="AD385" s="489"/>
      <c r="AE385" s="489"/>
      <c r="AF385" s="489"/>
      <c r="AG385" s="489"/>
      <c r="AH385" s="489"/>
      <c r="AI385" s="489"/>
      <c r="AJ385" s="489"/>
      <c r="AK385" s="489"/>
      <c r="AL385" s="489"/>
      <c r="AM385" s="489"/>
      <c r="AN385" s="489"/>
    </row>
    <row r="386" spans="1:40" ht="20.25" hidden="1" customHeight="1">
      <c r="A386" s="477" t="s">
        <v>463</v>
      </c>
      <c r="B386" s="492" t="s">
        <v>119</v>
      </c>
      <c r="C386" s="576" t="s">
        <v>58</v>
      </c>
      <c r="D386" s="561"/>
      <c r="E386" s="492"/>
      <c r="F386" s="509">
        <v>0</v>
      </c>
      <c r="G386" s="562"/>
      <c r="H386" s="492"/>
      <c r="I386" s="509"/>
      <c r="J386" s="508"/>
      <c r="K386" s="492"/>
      <c r="L386" s="511">
        <v>0</v>
      </c>
      <c r="M386" s="508"/>
      <c r="N386" s="534"/>
      <c r="O386" s="508"/>
      <c r="P386" s="492"/>
      <c r="Q386" s="511">
        <v>0</v>
      </c>
      <c r="R386" s="508"/>
      <c r="S386" s="534">
        <v>0</v>
      </c>
      <c r="T386" s="489"/>
      <c r="U386" s="489"/>
      <c r="V386" s="492"/>
      <c r="W386" s="489"/>
      <c r="X386" s="489"/>
      <c r="Y386" s="489"/>
      <c r="Z386" s="489"/>
      <c r="AA386" s="489"/>
      <c r="AB386" s="489"/>
      <c r="AC386" s="489"/>
      <c r="AD386" s="489"/>
      <c r="AE386" s="489"/>
      <c r="AF386" s="489"/>
      <c r="AG386" s="489"/>
      <c r="AH386" s="489"/>
      <c r="AI386" s="489"/>
      <c r="AJ386" s="489"/>
      <c r="AK386" s="489"/>
      <c r="AL386" s="489"/>
      <c r="AM386" s="489"/>
      <c r="AN386" s="489"/>
    </row>
    <row r="387" spans="1:40" ht="20.25" hidden="1" customHeight="1">
      <c r="A387" s="477" t="s">
        <v>464</v>
      </c>
      <c r="B387" s="492" t="s">
        <v>119</v>
      </c>
      <c r="C387" s="576" t="s">
        <v>59</v>
      </c>
      <c r="D387" s="561"/>
      <c r="E387" s="492"/>
      <c r="F387" s="509">
        <v>0</v>
      </c>
      <c r="G387" s="562"/>
      <c r="H387" s="492"/>
      <c r="I387" s="509"/>
      <c r="J387" s="508"/>
      <c r="K387" s="492"/>
      <c r="L387" s="511">
        <v>0</v>
      </c>
      <c r="M387" s="508"/>
      <c r="N387" s="534"/>
      <c r="O387" s="508"/>
      <c r="P387" s="492"/>
      <c r="Q387" s="511">
        <v>0</v>
      </c>
      <c r="R387" s="508"/>
      <c r="S387" s="534">
        <v>0</v>
      </c>
      <c r="T387" s="489"/>
      <c r="U387" s="489"/>
      <c r="V387" s="492"/>
      <c r="W387" s="489"/>
      <c r="X387" s="489"/>
      <c r="Y387" s="489"/>
      <c r="Z387" s="489"/>
      <c r="AA387" s="489"/>
      <c r="AB387" s="489"/>
      <c r="AC387" s="489"/>
      <c r="AD387" s="489"/>
      <c r="AE387" s="489"/>
      <c r="AF387" s="489"/>
      <c r="AG387" s="489"/>
      <c r="AH387" s="489"/>
      <c r="AI387" s="489"/>
      <c r="AJ387" s="489"/>
      <c r="AK387" s="489"/>
      <c r="AL387" s="489"/>
      <c r="AM387" s="489"/>
      <c r="AN387" s="489"/>
    </row>
    <row r="388" spans="1:40" ht="20.25" hidden="1" customHeight="1">
      <c r="A388" s="477" t="s">
        <v>465</v>
      </c>
      <c r="B388" s="492" t="s">
        <v>119</v>
      </c>
      <c r="C388" s="576" t="s">
        <v>60</v>
      </c>
      <c r="D388" s="561"/>
      <c r="E388" s="492"/>
      <c r="F388" s="509">
        <v>0</v>
      </c>
      <c r="G388" s="562"/>
      <c r="H388" s="492"/>
      <c r="I388" s="509"/>
      <c r="J388" s="508"/>
      <c r="K388" s="492"/>
      <c r="L388" s="511">
        <v>0</v>
      </c>
      <c r="M388" s="508"/>
      <c r="N388" s="534"/>
      <c r="O388" s="508"/>
      <c r="P388" s="492"/>
      <c r="Q388" s="511">
        <v>0</v>
      </c>
      <c r="R388" s="508"/>
      <c r="S388" s="534">
        <v>0</v>
      </c>
      <c r="T388" s="489"/>
      <c r="U388" s="489"/>
      <c r="V388" s="492"/>
      <c r="W388" s="489"/>
      <c r="X388" s="489"/>
      <c r="Y388" s="489"/>
      <c r="Z388" s="489"/>
      <c r="AA388" s="489"/>
      <c r="AB388" s="489"/>
      <c r="AC388" s="489"/>
      <c r="AD388" s="489"/>
      <c r="AE388" s="489"/>
      <c r="AF388" s="489"/>
      <c r="AG388" s="489"/>
      <c r="AH388" s="489"/>
      <c r="AI388" s="489"/>
      <c r="AJ388" s="489"/>
      <c r="AK388" s="489"/>
      <c r="AL388" s="489"/>
      <c r="AM388" s="489"/>
      <c r="AN388" s="489"/>
    </row>
    <row r="389" spans="1:40" ht="20.25" hidden="1" customHeight="1">
      <c r="A389" s="477" t="s">
        <v>466</v>
      </c>
      <c r="B389" s="492" t="s">
        <v>119</v>
      </c>
      <c r="C389" s="576" t="s">
        <v>61</v>
      </c>
      <c r="D389" s="561"/>
      <c r="E389" s="492"/>
      <c r="F389" s="509">
        <v>0</v>
      </c>
      <c r="G389" s="562"/>
      <c r="H389" s="492"/>
      <c r="I389" s="509"/>
      <c r="J389" s="508"/>
      <c r="K389" s="492"/>
      <c r="L389" s="511">
        <v>0</v>
      </c>
      <c r="M389" s="508"/>
      <c r="N389" s="534"/>
      <c r="O389" s="508"/>
      <c r="P389" s="492"/>
      <c r="Q389" s="511">
        <v>0</v>
      </c>
      <c r="R389" s="508"/>
      <c r="S389" s="534">
        <v>0</v>
      </c>
      <c r="T389" s="489"/>
      <c r="U389" s="489"/>
      <c r="V389" s="492"/>
      <c r="W389" s="489"/>
      <c r="X389" s="489"/>
      <c r="Y389" s="489"/>
      <c r="Z389" s="489"/>
      <c r="AA389" s="489"/>
      <c r="AB389" s="489"/>
      <c r="AC389" s="489"/>
      <c r="AD389" s="489"/>
      <c r="AE389" s="489"/>
      <c r="AF389" s="489"/>
      <c r="AG389" s="489"/>
      <c r="AH389" s="489"/>
      <c r="AI389" s="489"/>
      <c r="AJ389" s="489"/>
      <c r="AK389" s="489"/>
      <c r="AL389" s="489"/>
      <c r="AM389" s="489"/>
      <c r="AN389" s="489"/>
    </row>
    <row r="390" spans="1:40" ht="20.25" hidden="1" customHeight="1">
      <c r="A390" s="477" t="s">
        <v>467</v>
      </c>
      <c r="B390" s="492" t="s">
        <v>119</v>
      </c>
      <c r="C390" s="576" t="s">
        <v>62</v>
      </c>
      <c r="D390" s="561"/>
      <c r="E390" s="492"/>
      <c r="F390" s="509">
        <v>0</v>
      </c>
      <c r="G390" s="562"/>
      <c r="H390" s="492"/>
      <c r="I390" s="509"/>
      <c r="J390" s="508"/>
      <c r="K390" s="492"/>
      <c r="L390" s="511">
        <v>0</v>
      </c>
      <c r="M390" s="508"/>
      <c r="N390" s="534"/>
      <c r="O390" s="508"/>
      <c r="P390" s="492"/>
      <c r="Q390" s="511">
        <v>0</v>
      </c>
      <c r="R390" s="508"/>
      <c r="S390" s="534">
        <v>0</v>
      </c>
      <c r="T390" s="489"/>
      <c r="U390" s="489"/>
      <c r="V390" s="492"/>
      <c r="W390" s="489"/>
      <c r="X390" s="489"/>
      <c r="Y390" s="489"/>
      <c r="Z390" s="489"/>
      <c r="AA390" s="489"/>
      <c r="AB390" s="489"/>
      <c r="AC390" s="489"/>
      <c r="AD390" s="489"/>
      <c r="AE390" s="489"/>
      <c r="AF390" s="489"/>
      <c r="AG390" s="489"/>
      <c r="AH390" s="489"/>
      <c r="AI390" s="489"/>
      <c r="AJ390" s="489"/>
      <c r="AK390" s="489"/>
      <c r="AL390" s="489"/>
      <c r="AM390" s="489"/>
      <c r="AN390" s="489"/>
    </row>
    <row r="391" spans="1:40" ht="20.25" hidden="1" customHeight="1">
      <c r="A391" s="477" t="s">
        <v>468</v>
      </c>
      <c r="B391" s="492" t="s">
        <v>119</v>
      </c>
      <c r="C391" s="576" t="s">
        <v>63</v>
      </c>
      <c r="D391" s="561"/>
      <c r="E391" s="492"/>
      <c r="F391" s="509">
        <v>0</v>
      </c>
      <c r="G391" s="562"/>
      <c r="H391" s="492"/>
      <c r="I391" s="509"/>
      <c r="J391" s="508"/>
      <c r="K391" s="492"/>
      <c r="L391" s="511">
        <v>0</v>
      </c>
      <c r="M391" s="508"/>
      <c r="N391" s="534"/>
      <c r="O391" s="508"/>
      <c r="P391" s="492"/>
      <c r="Q391" s="511">
        <v>0</v>
      </c>
      <c r="R391" s="508"/>
      <c r="S391" s="534">
        <v>0</v>
      </c>
      <c r="T391" s="489"/>
      <c r="U391" s="489"/>
      <c r="V391" s="492"/>
      <c r="W391" s="489"/>
      <c r="X391" s="489"/>
      <c r="Y391" s="489"/>
      <c r="Z391" s="489"/>
      <c r="AA391" s="489"/>
      <c r="AB391" s="489"/>
      <c r="AC391" s="489"/>
      <c r="AD391" s="489"/>
      <c r="AE391" s="489"/>
      <c r="AF391" s="489"/>
      <c r="AG391" s="489"/>
      <c r="AH391" s="489"/>
      <c r="AI391" s="489"/>
      <c r="AJ391" s="489"/>
      <c r="AK391" s="489"/>
      <c r="AL391" s="489"/>
      <c r="AM391" s="489"/>
      <c r="AN391" s="489"/>
    </row>
    <row r="392" spans="1:40" ht="15.75" hidden="1" customHeight="1">
      <c r="A392" s="477" t="s">
        <v>449</v>
      </c>
      <c r="B392" s="492" t="s">
        <v>119</v>
      </c>
      <c r="C392" s="576" t="s">
        <v>20</v>
      </c>
      <c r="D392" s="561"/>
      <c r="E392" s="492"/>
      <c r="F392" s="509">
        <v>0</v>
      </c>
      <c r="G392" s="562"/>
      <c r="H392" s="492"/>
      <c r="I392" s="509"/>
      <c r="J392" s="508"/>
      <c r="K392" s="492"/>
      <c r="L392" s="511">
        <v>0</v>
      </c>
      <c r="M392" s="508"/>
      <c r="N392" s="534"/>
      <c r="O392" s="508"/>
      <c r="P392" s="492"/>
      <c r="Q392" s="511">
        <v>0</v>
      </c>
      <c r="R392" s="508"/>
      <c r="S392" s="534">
        <v>0</v>
      </c>
      <c r="T392" s="489"/>
      <c r="U392" s="489"/>
      <c r="V392" s="492"/>
      <c r="W392" s="489"/>
      <c r="X392" s="489"/>
      <c r="Y392" s="489"/>
      <c r="Z392" s="489"/>
      <c r="AA392" s="489"/>
      <c r="AB392" s="489"/>
      <c r="AC392" s="489"/>
      <c r="AD392" s="489"/>
      <c r="AE392" s="489"/>
      <c r="AF392" s="489"/>
      <c r="AG392" s="489"/>
      <c r="AH392" s="489"/>
      <c r="AI392" s="489"/>
      <c r="AJ392" s="489"/>
      <c r="AK392" s="489"/>
      <c r="AL392" s="489"/>
      <c r="AM392" s="489"/>
      <c r="AN392" s="489"/>
    </row>
    <row r="393" spans="1:40" ht="15.75" hidden="1" customHeight="1">
      <c r="A393" s="477" t="s">
        <v>449</v>
      </c>
      <c r="B393" s="492" t="s">
        <v>119</v>
      </c>
      <c r="C393" s="576" t="s">
        <v>20</v>
      </c>
      <c r="D393" s="561"/>
      <c r="E393" s="492"/>
      <c r="F393" s="509">
        <v>0</v>
      </c>
      <c r="G393" s="562"/>
      <c r="H393" s="492"/>
      <c r="I393" s="509"/>
      <c r="J393" s="508"/>
      <c r="K393" s="492"/>
      <c r="L393" s="511">
        <v>0</v>
      </c>
      <c r="M393" s="508"/>
      <c r="N393" s="534"/>
      <c r="O393" s="508"/>
      <c r="P393" s="492"/>
      <c r="Q393" s="511">
        <v>0</v>
      </c>
      <c r="R393" s="508"/>
      <c r="S393" s="534">
        <v>0</v>
      </c>
      <c r="T393" s="489"/>
      <c r="U393" s="489"/>
      <c r="V393" s="492"/>
      <c r="W393" s="489"/>
      <c r="X393" s="489"/>
      <c r="Y393" s="489"/>
      <c r="Z393" s="489"/>
      <c r="AA393" s="489"/>
      <c r="AB393" s="489"/>
      <c r="AC393" s="489"/>
      <c r="AD393" s="489"/>
      <c r="AE393" s="489"/>
      <c r="AF393" s="489"/>
      <c r="AG393" s="489"/>
      <c r="AH393" s="489"/>
      <c r="AI393" s="489"/>
      <c r="AJ393" s="489"/>
      <c r="AK393" s="489"/>
      <c r="AL393" s="489"/>
      <c r="AM393" s="489"/>
      <c r="AN393" s="489"/>
    </row>
    <row r="394" spans="1:40" ht="15.75" hidden="1" customHeight="1">
      <c r="A394" s="477" t="s">
        <v>449</v>
      </c>
      <c r="B394" s="492" t="s">
        <v>119</v>
      </c>
      <c r="C394" s="576" t="s">
        <v>20</v>
      </c>
      <c r="D394" s="563"/>
      <c r="E394" s="583"/>
      <c r="F394" s="509">
        <v>0</v>
      </c>
      <c r="G394" s="564"/>
      <c r="H394" s="583"/>
      <c r="I394" s="509"/>
      <c r="J394" s="501"/>
      <c r="K394" s="583"/>
      <c r="L394" s="511">
        <v>0</v>
      </c>
      <c r="M394" s="501"/>
      <c r="N394" s="559"/>
      <c r="O394" s="501"/>
      <c r="P394" s="583"/>
      <c r="Q394" s="511">
        <v>0</v>
      </c>
      <c r="R394" s="501"/>
      <c r="S394" s="559">
        <v>0</v>
      </c>
      <c r="T394" s="489"/>
      <c r="U394" s="489"/>
      <c r="V394" s="492"/>
      <c r="W394" s="489"/>
      <c r="X394" s="489"/>
      <c r="Y394" s="489"/>
      <c r="Z394" s="489"/>
      <c r="AA394" s="489"/>
      <c r="AB394" s="489"/>
      <c r="AC394" s="489"/>
      <c r="AD394" s="489"/>
      <c r="AE394" s="489"/>
      <c r="AF394" s="489"/>
      <c r="AG394" s="489"/>
      <c r="AH394" s="489"/>
      <c r="AI394" s="489"/>
      <c r="AJ394" s="489"/>
      <c r="AK394" s="489"/>
      <c r="AL394" s="489"/>
      <c r="AM394" s="489"/>
      <c r="AN394" s="489"/>
    </row>
    <row r="395" spans="1:40" ht="15.75" hidden="1" customHeight="1">
      <c r="B395" s="486"/>
      <c r="C395" s="568" t="s">
        <v>64</v>
      </c>
      <c r="D395" s="569" t="s">
        <v>39</v>
      </c>
      <c r="E395" s="570">
        <v>0</v>
      </c>
      <c r="F395" s="571">
        <v>0</v>
      </c>
      <c r="G395" s="572"/>
      <c r="H395" s="570"/>
      <c r="I395" s="571"/>
      <c r="J395" s="572" t="s">
        <v>39</v>
      </c>
      <c r="K395" s="570">
        <v>0</v>
      </c>
      <c r="L395" s="571">
        <v>0</v>
      </c>
      <c r="M395" s="625"/>
      <c r="N395" s="571"/>
      <c r="O395" s="572" t="s">
        <v>39</v>
      </c>
      <c r="P395" s="570">
        <v>0</v>
      </c>
      <c r="Q395" s="571">
        <v>0</v>
      </c>
      <c r="R395" s="625"/>
      <c r="S395" s="585">
        <v>0</v>
      </c>
      <c r="T395" s="489"/>
      <c r="U395" s="489"/>
      <c r="V395" s="492"/>
      <c r="W395" s="489"/>
      <c r="X395" s="489"/>
      <c r="Y395" s="489"/>
      <c r="Z395" s="489"/>
      <c r="AA395" s="489"/>
      <c r="AB395" s="489"/>
      <c r="AC395" s="489"/>
      <c r="AD395" s="489"/>
      <c r="AE395" s="489"/>
      <c r="AF395" s="489"/>
      <c r="AG395" s="489"/>
      <c r="AH395" s="489"/>
      <c r="AI395" s="489"/>
      <c r="AJ395" s="489"/>
      <c r="AK395" s="489"/>
      <c r="AL395" s="489"/>
      <c r="AM395" s="489"/>
      <c r="AN395" s="489"/>
    </row>
    <row r="396" spans="1:40" ht="15.75" hidden="1" customHeight="1">
      <c r="B396" s="486"/>
      <c r="C396" s="508"/>
      <c r="D396" s="492"/>
      <c r="E396" s="492"/>
      <c r="F396" s="518"/>
      <c r="G396" s="508"/>
      <c r="H396" s="492"/>
      <c r="I396" s="518"/>
      <c r="J396" s="508"/>
      <c r="K396" s="492"/>
      <c r="L396" s="518"/>
      <c r="M396" s="527"/>
      <c r="N396" s="549"/>
      <c r="O396" s="508"/>
      <c r="P396" s="492"/>
      <c r="Q396" s="518"/>
      <c r="R396" s="508"/>
      <c r="S396" s="549"/>
      <c r="T396" s="489"/>
      <c r="U396" s="489"/>
      <c r="V396" s="492"/>
      <c r="W396" s="489"/>
      <c r="X396" s="489"/>
      <c r="Y396" s="489"/>
      <c r="Z396" s="489"/>
      <c r="AA396" s="489"/>
      <c r="AB396" s="489"/>
      <c r="AC396" s="489"/>
      <c r="AD396" s="489"/>
      <c r="AE396" s="489"/>
      <c r="AF396" s="489"/>
      <c r="AG396" s="489"/>
      <c r="AH396" s="489"/>
      <c r="AI396" s="489"/>
      <c r="AJ396" s="489"/>
      <c r="AK396" s="489"/>
      <c r="AL396" s="489"/>
      <c r="AM396" s="489"/>
      <c r="AN396" s="489"/>
    </row>
    <row r="397" spans="1:40" ht="15.75" hidden="1" customHeight="1">
      <c r="B397" s="486"/>
      <c r="C397" s="568" t="s">
        <v>65</v>
      </c>
      <c r="D397" s="569" t="s">
        <v>39</v>
      </c>
      <c r="E397" s="570">
        <v>0</v>
      </c>
      <c r="F397" s="571">
        <v>0</v>
      </c>
      <c r="G397" s="572"/>
      <c r="H397" s="570"/>
      <c r="I397" s="571"/>
      <c r="J397" s="572" t="s">
        <v>39</v>
      </c>
      <c r="K397" s="570">
        <v>0</v>
      </c>
      <c r="L397" s="571">
        <v>0</v>
      </c>
      <c r="M397" s="568"/>
      <c r="N397" s="571"/>
      <c r="O397" s="572" t="s">
        <v>39</v>
      </c>
      <c r="P397" s="570">
        <v>0</v>
      </c>
      <c r="Q397" s="571">
        <v>0</v>
      </c>
      <c r="R397" s="575"/>
      <c r="S397" s="571">
        <v>0</v>
      </c>
      <c r="T397" s="489"/>
      <c r="U397" s="489"/>
      <c r="V397" s="492"/>
      <c r="W397" s="489"/>
      <c r="X397" s="489"/>
      <c r="Y397" s="489"/>
      <c r="Z397" s="489"/>
      <c r="AA397" s="489"/>
      <c r="AB397" s="489"/>
      <c r="AC397" s="489"/>
      <c r="AD397" s="489"/>
      <c r="AE397" s="489"/>
      <c r="AF397" s="489"/>
      <c r="AG397" s="489"/>
      <c r="AH397" s="489"/>
      <c r="AI397" s="489"/>
      <c r="AJ397" s="489"/>
      <c r="AK397" s="489"/>
      <c r="AL397" s="489"/>
      <c r="AM397" s="489"/>
      <c r="AN397" s="489"/>
    </row>
    <row r="398" spans="1:40" ht="15.75" hidden="1" customHeight="1">
      <c r="B398" s="486"/>
      <c r="C398" s="508"/>
      <c r="D398" s="492"/>
      <c r="E398" s="492"/>
      <c r="F398" s="534"/>
      <c r="G398" s="508"/>
      <c r="H398" s="492"/>
      <c r="I398" s="534"/>
      <c r="J398" s="508"/>
      <c r="K398" s="492"/>
      <c r="L398" s="534"/>
      <c r="M398" s="527"/>
      <c r="N398" s="549"/>
      <c r="O398" s="508"/>
      <c r="P398" s="492"/>
      <c r="Q398" s="534"/>
      <c r="R398" s="508"/>
      <c r="S398" s="549"/>
      <c r="T398" s="489"/>
      <c r="U398" s="489"/>
      <c r="V398" s="492"/>
      <c r="W398" s="489"/>
      <c r="X398" s="489"/>
      <c r="Y398" s="489"/>
      <c r="Z398" s="489"/>
      <c r="AA398" s="489"/>
      <c r="AB398" s="489"/>
      <c r="AC398" s="489"/>
      <c r="AD398" s="489"/>
      <c r="AE398" s="489"/>
      <c r="AF398" s="489"/>
      <c r="AG398" s="489"/>
      <c r="AH398" s="489"/>
      <c r="AI398" s="489"/>
      <c r="AJ398" s="489"/>
      <c r="AK398" s="489"/>
      <c r="AL398" s="489"/>
      <c r="AM398" s="489"/>
      <c r="AN398" s="489"/>
    </row>
    <row r="399" spans="1:40" ht="15.75" hidden="1" customHeight="1">
      <c r="B399" s="486"/>
      <c r="C399" s="707" t="s">
        <v>72</v>
      </c>
      <c r="D399" s="708"/>
      <c r="E399" s="708"/>
      <c r="F399" s="709">
        <v>0</v>
      </c>
      <c r="G399" s="707"/>
      <c r="H399" s="708"/>
      <c r="I399" s="709"/>
      <c r="J399" s="710"/>
      <c r="K399" s="711"/>
      <c r="L399" s="709">
        <v>0</v>
      </c>
      <c r="M399" s="707"/>
      <c r="N399" s="709"/>
      <c r="O399" s="710"/>
      <c r="P399" s="711"/>
      <c r="Q399" s="709">
        <v>0</v>
      </c>
      <c r="R399" s="710"/>
      <c r="S399" s="709">
        <v>0</v>
      </c>
      <c r="T399" s="489"/>
      <c r="U399" s="489"/>
      <c r="V399" s="492"/>
      <c r="W399" s="489"/>
      <c r="X399" s="489"/>
      <c r="Y399" s="489"/>
      <c r="Z399" s="489"/>
      <c r="AA399" s="489"/>
      <c r="AB399" s="489"/>
      <c r="AC399" s="489"/>
      <c r="AD399" s="489"/>
      <c r="AE399" s="489"/>
      <c r="AF399" s="489"/>
      <c r="AG399" s="489"/>
      <c r="AH399" s="489"/>
      <c r="AI399" s="489"/>
      <c r="AJ399" s="489"/>
      <c r="AK399" s="489"/>
      <c r="AL399" s="489"/>
      <c r="AM399" s="489"/>
      <c r="AN399" s="489"/>
    </row>
    <row r="400" spans="1:40" ht="15.75" customHeight="1">
      <c r="B400" s="486"/>
      <c r="C400" s="548"/>
      <c r="D400" s="712"/>
      <c r="E400" s="492"/>
      <c r="F400" s="584">
        <v>85684.819957104482</v>
      </c>
      <c r="G400" s="561"/>
      <c r="H400" s="492"/>
      <c r="I400" s="584"/>
      <c r="J400" s="712"/>
      <c r="K400" s="548"/>
      <c r="L400" s="584">
        <v>125469.90999999999</v>
      </c>
      <c r="M400" s="548"/>
      <c r="N400" s="584"/>
      <c r="O400" s="548"/>
      <c r="P400" s="548"/>
      <c r="Q400" s="584"/>
      <c r="R400" s="548"/>
      <c r="S400" s="584"/>
      <c r="T400" s="492"/>
      <c r="U400" s="492"/>
      <c r="V400" s="492"/>
      <c r="W400" s="492"/>
      <c r="X400" s="492"/>
      <c r="Y400" s="492"/>
      <c r="Z400" s="492"/>
      <c r="AA400" s="492"/>
      <c r="AB400" s="492"/>
      <c r="AC400" s="492"/>
      <c r="AD400" s="492"/>
      <c r="AE400" s="492"/>
      <c r="AF400" s="492"/>
      <c r="AG400" s="492"/>
      <c r="AH400" s="492"/>
      <c r="AI400" s="492"/>
      <c r="AJ400" s="492"/>
      <c r="AK400" s="492"/>
      <c r="AL400" s="492"/>
      <c r="AM400" s="492"/>
      <c r="AN400" s="492"/>
    </row>
    <row r="401" spans="1:61" ht="15.75" customHeight="1">
      <c r="B401" s="486"/>
      <c r="F401" s="713">
        <v>85304.582327584096</v>
      </c>
      <c r="L401" s="713">
        <v>126799.50999999998</v>
      </c>
      <c r="V401" s="492"/>
      <c r="W401" s="489"/>
      <c r="X401" s="489"/>
      <c r="Y401" s="489"/>
      <c r="Z401" s="489"/>
      <c r="AA401" s="489"/>
      <c r="AB401" s="489"/>
      <c r="AC401" s="489"/>
      <c r="AD401" s="489"/>
      <c r="AE401" s="489"/>
      <c r="AF401" s="489"/>
      <c r="AG401" s="489"/>
      <c r="AH401" s="489"/>
      <c r="AI401" s="489"/>
      <c r="AJ401" s="489"/>
      <c r="AK401" s="489"/>
      <c r="AL401" s="489"/>
      <c r="AM401" s="489"/>
      <c r="AN401" s="489"/>
    </row>
    <row r="402" spans="1:61" ht="35.25">
      <c r="B402" s="486"/>
      <c r="C402" s="714" t="s">
        <v>227</v>
      </c>
      <c r="F402" s="713"/>
      <c r="L402" s="713"/>
      <c r="V402" s="715" t="s">
        <v>478</v>
      </c>
      <c r="W402" s="478"/>
      <c r="X402" s="478"/>
      <c r="Y402" s="478"/>
      <c r="Z402" s="478"/>
      <c r="AA402" s="478"/>
      <c r="AB402" s="478"/>
      <c r="AC402" s="478"/>
      <c r="AD402" s="478"/>
      <c r="AE402" s="480" t="s">
        <v>477</v>
      </c>
      <c r="AF402" s="478"/>
      <c r="AG402" s="478"/>
      <c r="AH402" s="478"/>
      <c r="AI402" s="478"/>
      <c r="AJ402" s="716"/>
      <c r="AK402" s="480"/>
      <c r="AL402" s="478"/>
      <c r="AM402" s="478"/>
      <c r="AN402" s="478"/>
      <c r="AO402" s="716" t="s">
        <v>480</v>
      </c>
      <c r="AP402" s="489"/>
      <c r="AQ402" s="489"/>
      <c r="AR402" s="489"/>
      <c r="AS402" s="489"/>
      <c r="AT402" s="489"/>
      <c r="AU402" s="489"/>
      <c r="AV402" s="489"/>
      <c r="AW402" s="489"/>
      <c r="AX402" s="489"/>
      <c r="AY402" s="489"/>
      <c r="AZ402" s="489"/>
      <c r="BA402" s="489"/>
      <c r="BB402" s="489"/>
      <c r="BC402" s="489"/>
      <c r="BD402" s="489"/>
      <c r="BE402" s="489"/>
      <c r="BF402" s="489"/>
      <c r="BG402" s="489"/>
      <c r="BH402" s="489"/>
      <c r="BI402" s="489"/>
    </row>
    <row r="403" spans="1:61" ht="15.75" customHeight="1" thickBot="1">
      <c r="B403" s="486"/>
      <c r="C403" s="714" t="s">
        <v>227</v>
      </c>
      <c r="V403" s="717"/>
      <c r="W403" s="488"/>
      <c r="X403" s="488"/>
      <c r="Y403" s="488"/>
      <c r="Z403" s="488"/>
      <c r="AA403" s="488"/>
      <c r="AB403" s="488"/>
      <c r="AC403" s="488"/>
      <c r="AD403" s="488"/>
      <c r="AE403" s="488"/>
      <c r="AF403" s="488"/>
      <c r="AG403" s="488"/>
      <c r="AH403" s="488"/>
      <c r="AI403" s="488"/>
      <c r="AJ403" s="488"/>
      <c r="AK403" s="488"/>
      <c r="AL403" s="489"/>
      <c r="AM403" s="489"/>
      <c r="AN403" s="489"/>
      <c r="AO403" s="489"/>
      <c r="AP403" s="489"/>
      <c r="AQ403" s="489"/>
      <c r="AR403" s="489"/>
      <c r="AS403" s="489"/>
      <c r="AT403" s="489"/>
      <c r="AU403" s="489"/>
      <c r="AV403" s="489"/>
      <c r="AW403" s="489"/>
      <c r="AX403" s="489"/>
      <c r="AY403" s="489"/>
      <c r="AZ403" s="489"/>
      <c r="BA403" s="489"/>
      <c r="BB403" s="489"/>
      <c r="BC403" s="489"/>
      <c r="BD403" s="489"/>
      <c r="BE403" s="489"/>
      <c r="BF403" s="489"/>
      <c r="BG403" s="489"/>
      <c r="BH403" s="489"/>
      <c r="BI403" s="489"/>
    </row>
    <row r="404" spans="1:61" ht="15.75" customHeight="1" thickTop="1" thickBot="1">
      <c r="A404" s="477" t="s">
        <v>469</v>
      </c>
      <c r="B404" s="486"/>
      <c r="C404" s="714" t="s">
        <v>227</v>
      </c>
      <c r="V404" s="718"/>
      <c r="W404" s="719"/>
      <c r="X404" s="874" t="s">
        <v>122</v>
      </c>
      <c r="Y404" s="875"/>
      <c r="Z404" s="876"/>
      <c r="AA404" s="877"/>
      <c r="AB404" s="875"/>
      <c r="AC404" s="876"/>
      <c r="AD404" s="877" t="s">
        <v>7</v>
      </c>
      <c r="AE404" s="875"/>
      <c r="AF404" s="876"/>
      <c r="AG404" s="877" t="s">
        <v>220</v>
      </c>
      <c r="AH404" s="875"/>
      <c r="AI404" s="876"/>
      <c r="AJ404" s="877" t="s">
        <v>123</v>
      </c>
      <c r="AK404" s="875"/>
      <c r="AL404" s="875"/>
      <c r="AM404" s="877" t="s">
        <v>124</v>
      </c>
      <c r="AN404" s="875"/>
      <c r="AO404" s="878"/>
      <c r="AP404" s="489"/>
      <c r="AQ404" s="489"/>
      <c r="AR404" s="489"/>
      <c r="AS404" s="489"/>
      <c r="AT404" s="489"/>
      <c r="AU404" s="489"/>
      <c r="AV404" s="489"/>
      <c r="AW404" s="489"/>
      <c r="AX404" s="489"/>
      <c r="AY404" s="489"/>
      <c r="AZ404" s="489"/>
      <c r="BA404" s="489"/>
      <c r="BB404" s="489"/>
      <c r="BC404" s="489"/>
      <c r="BD404" s="489"/>
      <c r="BE404" s="489"/>
      <c r="BF404" s="489"/>
      <c r="BG404" s="489"/>
      <c r="BH404" s="489"/>
      <c r="BI404" s="489"/>
    </row>
    <row r="405" spans="1:61" ht="15.75" customHeight="1">
      <c r="A405" s="477" t="s">
        <v>469</v>
      </c>
      <c r="B405" s="486"/>
      <c r="C405" s="714" t="s">
        <v>227</v>
      </c>
      <c r="V405" s="501"/>
      <c r="W405" s="676" t="s">
        <v>125</v>
      </c>
      <c r="X405" s="676" t="s">
        <v>126</v>
      </c>
      <c r="Y405" s="676" t="s">
        <v>127</v>
      </c>
      <c r="Z405" s="720" t="s">
        <v>128</v>
      </c>
      <c r="AA405" s="676"/>
      <c r="AB405" s="676"/>
      <c r="AC405" s="720"/>
      <c r="AD405" s="721" t="s">
        <v>126</v>
      </c>
      <c r="AE405" s="676" t="s">
        <v>127</v>
      </c>
      <c r="AF405" s="676" t="s">
        <v>128</v>
      </c>
      <c r="AG405" s="721" t="s">
        <v>129</v>
      </c>
      <c r="AH405" s="676" t="s">
        <v>130</v>
      </c>
      <c r="AI405" s="676" t="s">
        <v>131</v>
      </c>
      <c r="AJ405" s="721" t="s">
        <v>126</v>
      </c>
      <c r="AK405" s="676" t="s">
        <v>127</v>
      </c>
      <c r="AL405" s="676" t="s">
        <v>128</v>
      </c>
      <c r="AM405" s="722" t="s">
        <v>129</v>
      </c>
      <c r="AN405" s="676" t="s">
        <v>130</v>
      </c>
      <c r="AO405" s="613" t="s">
        <v>131</v>
      </c>
      <c r="AP405" s="489"/>
      <c r="AQ405" s="489"/>
      <c r="AR405" s="489"/>
      <c r="AS405" s="489"/>
      <c r="AT405" s="489"/>
      <c r="AU405" s="489"/>
      <c r="AV405" s="489"/>
      <c r="AW405" s="489"/>
      <c r="AX405" s="489"/>
      <c r="AY405" s="489"/>
      <c r="AZ405" s="489"/>
      <c r="BA405" s="489"/>
      <c r="BB405" s="489"/>
      <c r="BC405" s="489"/>
      <c r="BD405" s="489"/>
      <c r="BE405" s="489"/>
      <c r="BF405" s="489"/>
      <c r="BG405" s="489"/>
      <c r="BH405" s="489"/>
      <c r="BI405" s="489"/>
    </row>
    <row r="406" spans="1:61" ht="15.75" customHeight="1">
      <c r="A406" s="477" t="s">
        <v>15</v>
      </c>
      <c r="B406" s="486"/>
      <c r="C406" s="714" t="s">
        <v>227</v>
      </c>
      <c r="V406" s="578" t="s">
        <v>15</v>
      </c>
      <c r="W406" s="723"/>
      <c r="X406" s="723"/>
      <c r="Y406" s="723"/>
      <c r="Z406" s="724">
        <v>6284852.3733866792</v>
      </c>
      <c r="AA406" s="723"/>
      <c r="AB406" s="723"/>
      <c r="AC406" s="724"/>
      <c r="AD406" s="725"/>
      <c r="AE406" s="726"/>
      <c r="AF406" s="726">
        <v>6749179.2500000009</v>
      </c>
      <c r="AG406" s="725"/>
      <c r="AH406" s="726"/>
      <c r="AI406" s="727"/>
      <c r="AJ406" s="725"/>
      <c r="AK406" s="726"/>
      <c r="AL406" s="726">
        <v>6651956.52999999</v>
      </c>
      <c r="AM406" s="728"/>
      <c r="AN406" s="726"/>
      <c r="AO406" s="729"/>
      <c r="AP406" s="489"/>
      <c r="AQ406" s="489"/>
      <c r="AR406" s="489"/>
      <c r="AS406" s="489"/>
      <c r="AT406" s="489"/>
      <c r="AU406" s="489"/>
      <c r="AV406" s="489"/>
      <c r="AW406" s="489"/>
      <c r="AX406" s="489"/>
      <c r="AY406" s="489"/>
      <c r="AZ406" s="489"/>
      <c r="BA406" s="489"/>
      <c r="BB406" s="489"/>
      <c r="BC406" s="489"/>
      <c r="BD406" s="489"/>
      <c r="BE406" s="489"/>
      <c r="BF406" s="489"/>
      <c r="BG406" s="489"/>
      <c r="BH406" s="489"/>
      <c r="BI406" s="489"/>
    </row>
    <row r="407" spans="1:61" ht="15.75" customHeight="1">
      <c r="A407" s="477" t="s">
        <v>132</v>
      </c>
      <c r="B407" s="486"/>
      <c r="C407" s="714" t="s">
        <v>227</v>
      </c>
      <c r="V407" s="730" t="s">
        <v>132</v>
      </c>
      <c r="W407" s="731"/>
      <c r="X407" s="732">
        <v>0.11414958528676429</v>
      </c>
      <c r="Y407" s="731"/>
      <c r="Z407" s="733">
        <v>717413.29201062571</v>
      </c>
      <c r="AA407" s="731"/>
      <c r="AB407" s="731"/>
      <c r="AC407" s="733"/>
      <c r="AD407" s="732">
        <v>0.11520614599175152</v>
      </c>
      <c r="AE407" s="734"/>
      <c r="AF407" s="733">
        <v>777546.93000000017</v>
      </c>
      <c r="AG407" s="735"/>
      <c r="AH407" s="734">
        <v>60133.63798937446</v>
      </c>
      <c r="AI407" s="736">
        <v>8.382007785337188E-2</v>
      </c>
      <c r="AJ407" s="732">
        <v>0.10025882715742875</v>
      </c>
      <c r="AK407" s="734"/>
      <c r="AL407" s="734">
        <v>666917.35999999847</v>
      </c>
      <c r="AM407" s="737"/>
      <c r="AN407" s="734">
        <v>110629.5700000017</v>
      </c>
      <c r="AO407" s="738">
        <v>0.16588197674146907</v>
      </c>
      <c r="AP407" s="489"/>
      <c r="AQ407" s="489"/>
      <c r="AR407" s="489"/>
      <c r="AS407" s="489"/>
      <c r="AT407" s="489"/>
      <c r="AU407" s="489"/>
      <c r="AV407" s="489"/>
      <c r="AW407" s="489"/>
      <c r="AX407" s="489"/>
      <c r="AY407" s="489"/>
      <c r="AZ407" s="489"/>
      <c r="BA407" s="489"/>
      <c r="BB407" s="489"/>
      <c r="BC407" s="489"/>
      <c r="BD407" s="489"/>
      <c r="BE407" s="489"/>
      <c r="BF407" s="489"/>
      <c r="BG407" s="489"/>
      <c r="BH407" s="489"/>
      <c r="BI407" s="489"/>
    </row>
    <row r="408" spans="1:61" ht="15.75" customHeight="1">
      <c r="A408" s="477" t="s">
        <v>133</v>
      </c>
      <c r="B408" s="486"/>
      <c r="C408" s="714" t="s">
        <v>227</v>
      </c>
      <c r="V408" s="739" t="s">
        <v>133</v>
      </c>
      <c r="W408" s="740"/>
      <c r="X408" s="740"/>
      <c r="Y408" s="740"/>
      <c r="Z408" s="741"/>
      <c r="AA408" s="740"/>
      <c r="AB408" s="740"/>
      <c r="AC408" s="741"/>
      <c r="AD408" s="742"/>
      <c r="AE408" s="740"/>
      <c r="AF408" s="743"/>
      <c r="AG408" s="742"/>
      <c r="AH408" s="743"/>
      <c r="AI408" s="744"/>
      <c r="AJ408" s="742"/>
      <c r="AK408" s="740"/>
      <c r="AL408" s="743"/>
      <c r="AM408" s="745"/>
      <c r="AN408" s="743"/>
      <c r="AO408" s="746"/>
      <c r="AP408" s="489"/>
      <c r="AQ408" s="489"/>
      <c r="AR408" s="489"/>
      <c r="AS408" s="489"/>
      <c r="AT408" s="489"/>
      <c r="AU408" s="489"/>
      <c r="AV408" s="489"/>
      <c r="AW408" s="489"/>
      <c r="AX408" s="489"/>
      <c r="AY408" s="489"/>
      <c r="AZ408" s="489"/>
      <c r="BA408" s="489"/>
      <c r="BB408" s="489"/>
      <c r="BC408" s="489"/>
      <c r="BD408" s="489"/>
      <c r="BE408" s="489"/>
      <c r="BF408" s="489"/>
      <c r="BG408" s="489"/>
      <c r="BH408" s="489"/>
      <c r="BI408" s="489"/>
    </row>
    <row r="409" spans="1:61" ht="15.75" customHeight="1">
      <c r="A409" s="477" t="s">
        <v>31</v>
      </c>
      <c r="B409" s="486"/>
      <c r="C409" s="714" t="s">
        <v>227</v>
      </c>
      <c r="V409" s="576" t="s">
        <v>31</v>
      </c>
      <c r="W409" s="747" t="s">
        <v>134</v>
      </c>
      <c r="X409" s="740"/>
      <c r="Y409" s="748">
        <v>682.58990525002469</v>
      </c>
      <c r="Z409" s="741">
        <v>70306.760240752541</v>
      </c>
      <c r="AA409" s="740"/>
      <c r="AB409" s="748"/>
      <c r="AC409" s="741"/>
      <c r="AD409" s="749"/>
      <c r="AE409" s="748">
        <v>618.21115384615393</v>
      </c>
      <c r="AF409" s="741">
        <v>64293.960000000006</v>
      </c>
      <c r="AG409" s="742">
        <v>-64.378751403870751</v>
      </c>
      <c r="AH409" s="743">
        <v>-6012.8002407525346</v>
      </c>
      <c r="AI409" s="744">
        <v>-8.552236257456336E-2</v>
      </c>
      <c r="AJ409" s="750">
        <v>0.10799411489303586</v>
      </c>
      <c r="AK409" s="743">
        <v>673.11355140186913</v>
      </c>
      <c r="AL409" s="741">
        <v>72023.149999999994</v>
      </c>
      <c r="AM409" s="745">
        <v>-64.378751403870751</v>
      </c>
      <c r="AN409" s="743">
        <v>-7729.1899999999878</v>
      </c>
      <c r="AO409" s="751">
        <v>-0.10731535624309668</v>
      </c>
      <c r="AP409" s="489"/>
      <c r="AQ409" s="489"/>
      <c r="AR409" s="486"/>
      <c r="AS409" s="489"/>
      <c r="AT409" s="489"/>
      <c r="AU409" s="489"/>
      <c r="AV409" s="489"/>
      <c r="AW409" s="489"/>
      <c r="AX409" s="489"/>
      <c r="AY409" s="489"/>
      <c r="AZ409" s="489"/>
      <c r="BA409" s="489"/>
      <c r="BB409" s="489"/>
      <c r="BC409" s="489"/>
      <c r="BD409" s="489"/>
      <c r="BE409" s="489"/>
      <c r="BF409" s="489"/>
      <c r="BG409" s="489"/>
      <c r="BH409" s="489"/>
      <c r="BI409" s="489"/>
    </row>
    <row r="410" spans="1:61" ht="15.75" customHeight="1">
      <c r="A410" s="477" t="s">
        <v>32</v>
      </c>
      <c r="B410" s="486"/>
      <c r="C410" s="714" t="s">
        <v>227</v>
      </c>
      <c r="V410" s="578" t="s">
        <v>32</v>
      </c>
      <c r="W410" s="752" t="s">
        <v>135</v>
      </c>
      <c r="X410" s="723"/>
      <c r="Y410" s="753">
        <v>386.60194174757282</v>
      </c>
      <c r="Z410" s="724">
        <v>39820</v>
      </c>
      <c r="AA410" s="723"/>
      <c r="AB410" s="753"/>
      <c r="AC410" s="724"/>
      <c r="AD410" s="754"/>
      <c r="AE410" s="753">
        <v>387.65269230769235</v>
      </c>
      <c r="AF410" s="724">
        <v>40315.880000000005</v>
      </c>
      <c r="AG410" s="725">
        <v>1.0507505601195248</v>
      </c>
      <c r="AH410" s="726">
        <v>495.88000000000466</v>
      </c>
      <c r="AI410" s="755">
        <v>1.2453038674033266E-2</v>
      </c>
      <c r="AJ410" s="756">
        <v>5.0671180609243825E-2</v>
      </c>
      <c r="AK410" s="726">
        <v>315.82700934579447</v>
      </c>
      <c r="AL410" s="724">
        <v>33793.490000000005</v>
      </c>
      <c r="AM410" s="728">
        <v>1.0507505601195248</v>
      </c>
      <c r="AN410" s="726">
        <v>6522.3899999999994</v>
      </c>
      <c r="AO410" s="729">
        <v>0.19300729223291227</v>
      </c>
      <c r="AP410" s="489"/>
      <c r="AQ410" s="489"/>
      <c r="AR410" s="492"/>
      <c r="AS410" s="489"/>
      <c r="AT410" s="489"/>
      <c r="AU410" s="489"/>
      <c r="AV410" s="489"/>
      <c r="AW410" s="489"/>
      <c r="AX410" s="489"/>
      <c r="AY410" s="489"/>
      <c r="AZ410" s="489"/>
      <c r="BA410" s="489"/>
      <c r="BB410" s="489"/>
      <c r="BC410" s="489"/>
      <c r="BD410" s="489"/>
      <c r="BE410" s="489"/>
      <c r="BF410" s="489"/>
      <c r="BG410" s="489"/>
      <c r="BH410" s="489"/>
      <c r="BI410" s="489"/>
    </row>
    <row r="411" spans="1:61" ht="15.75" customHeight="1">
      <c r="A411" s="477" t="s">
        <v>33</v>
      </c>
      <c r="B411" s="486"/>
      <c r="C411" s="714" t="s">
        <v>227</v>
      </c>
      <c r="V411" s="576" t="s">
        <v>33</v>
      </c>
      <c r="W411" s="747" t="s">
        <v>136</v>
      </c>
      <c r="X411" s="740"/>
      <c r="Y411" s="748">
        <v>84.145631067961162</v>
      </c>
      <c r="Z411" s="741">
        <v>8667</v>
      </c>
      <c r="AA411" s="740"/>
      <c r="AB411" s="748"/>
      <c r="AC411" s="741"/>
      <c r="AD411" s="749"/>
      <c r="AE411" s="748">
        <v>70.834134615384613</v>
      </c>
      <c r="AF411" s="741">
        <v>7366.75</v>
      </c>
      <c r="AG411" s="742">
        <v>-13.311496452576549</v>
      </c>
      <c r="AH411" s="743">
        <v>-1300.25</v>
      </c>
      <c r="AI411" s="744">
        <v>-0.15002307603553711</v>
      </c>
      <c r="AJ411" s="750">
        <v>9.4756117909421556E-3</v>
      </c>
      <c r="AK411" s="743">
        <v>59.060280373831773</v>
      </c>
      <c r="AL411" s="741">
        <v>6319.45</v>
      </c>
      <c r="AM411" s="745">
        <v>-13.311496452576549</v>
      </c>
      <c r="AN411" s="743">
        <v>1047.3000000000002</v>
      </c>
      <c r="AO411" s="751">
        <v>0.16572644771301304</v>
      </c>
      <c r="AP411" s="489"/>
      <c r="AQ411" s="489"/>
      <c r="AR411" s="492"/>
      <c r="AS411" s="489"/>
      <c r="AT411" s="489"/>
      <c r="AU411" s="489"/>
      <c r="AV411" s="489"/>
      <c r="AW411" s="489"/>
      <c r="AX411" s="489"/>
      <c r="AY411" s="489"/>
      <c r="AZ411" s="489"/>
      <c r="BA411" s="489"/>
      <c r="BB411" s="489"/>
      <c r="BC411" s="489"/>
      <c r="BD411" s="489"/>
      <c r="BE411" s="489"/>
      <c r="BF411" s="489"/>
      <c r="BG411" s="489"/>
      <c r="BH411" s="489"/>
      <c r="BI411" s="489"/>
    </row>
    <row r="412" spans="1:61" ht="15.75" customHeight="1">
      <c r="A412" s="477" t="s">
        <v>34</v>
      </c>
      <c r="B412" s="486"/>
      <c r="C412" s="714" t="s">
        <v>227</v>
      </c>
      <c r="V412" s="576" t="s">
        <v>34</v>
      </c>
      <c r="W412" s="747" t="s">
        <v>137</v>
      </c>
      <c r="X412" s="740"/>
      <c r="Y412" s="748">
        <v>21.941747572815533</v>
      </c>
      <c r="Z412" s="741">
        <v>2260</v>
      </c>
      <c r="AA412" s="740"/>
      <c r="AB412" s="748"/>
      <c r="AC412" s="741"/>
      <c r="AD412" s="749"/>
      <c r="AE412" s="748">
        <v>47.918942307692305</v>
      </c>
      <c r="AF412" s="741">
        <v>4983.57</v>
      </c>
      <c r="AG412" s="742">
        <v>25.977194734876772</v>
      </c>
      <c r="AH412" s="743">
        <v>2723.5699999999997</v>
      </c>
      <c r="AI412" s="744">
        <v>1.2051194690265485</v>
      </c>
      <c r="AJ412" s="750">
        <v>7.944552530466463E-3</v>
      </c>
      <c r="AK412" s="743">
        <v>49.517383177570096</v>
      </c>
      <c r="AL412" s="741">
        <v>5298.3600000000006</v>
      </c>
      <c r="AM412" s="745">
        <v>25.977194734876772</v>
      </c>
      <c r="AN412" s="743">
        <v>-314.79000000000087</v>
      </c>
      <c r="AO412" s="751">
        <v>-5.941272393721847E-2</v>
      </c>
      <c r="AP412" s="489"/>
      <c r="AQ412" s="489"/>
      <c r="AR412" s="492"/>
      <c r="AS412" s="489"/>
      <c r="AT412" s="489"/>
      <c r="AU412" s="489"/>
      <c r="AV412" s="489"/>
      <c r="AW412" s="489"/>
      <c r="AX412" s="489"/>
      <c r="AY412" s="489"/>
      <c r="AZ412" s="489"/>
      <c r="BA412" s="489"/>
      <c r="BB412" s="489"/>
      <c r="BC412" s="489"/>
      <c r="BD412" s="489"/>
      <c r="BE412" s="489"/>
      <c r="BF412" s="489"/>
      <c r="BG412" s="489"/>
      <c r="BH412" s="489"/>
      <c r="BI412" s="489"/>
    </row>
    <row r="413" spans="1:61" ht="15.75" customHeight="1">
      <c r="A413" s="477" t="s">
        <v>35</v>
      </c>
      <c r="B413" s="486"/>
      <c r="C413" s="714" t="s">
        <v>227</v>
      </c>
      <c r="V413" s="578" t="s">
        <v>35</v>
      </c>
      <c r="W413" s="752"/>
      <c r="X413" s="723"/>
      <c r="Y413" s="753">
        <v>138.39563106796118</v>
      </c>
      <c r="Z413" s="724">
        <v>14254.75</v>
      </c>
      <c r="AA413" s="723"/>
      <c r="AB413" s="753"/>
      <c r="AC413" s="724"/>
      <c r="AD413" s="754"/>
      <c r="AE413" s="753">
        <v>70.472980769230773</v>
      </c>
      <c r="AF413" s="724">
        <v>7329.1900000000005</v>
      </c>
      <c r="AG413" s="725">
        <v>-67.922650298730403</v>
      </c>
      <c r="AH413" s="726">
        <v>-6925.5599999999995</v>
      </c>
      <c r="AI413" s="755">
        <v>-0.48584226310528067</v>
      </c>
      <c r="AJ413" s="756">
        <v>1.6722611629123019E-2</v>
      </c>
      <c r="AK413" s="726">
        <v>104.22990654205606</v>
      </c>
      <c r="AL413" s="724">
        <v>11152.599999999999</v>
      </c>
      <c r="AM413" s="728">
        <v>-67.922650298730403</v>
      </c>
      <c r="AN413" s="726">
        <v>-3823.409999999998</v>
      </c>
      <c r="AO413" s="729">
        <v>-0.34282678478561041</v>
      </c>
      <c r="AP413" s="489"/>
      <c r="AQ413" s="489"/>
      <c r="AR413" s="492"/>
      <c r="AS413" s="489"/>
      <c r="AT413" s="489"/>
      <c r="AU413" s="489"/>
      <c r="AV413" s="489"/>
      <c r="AW413" s="489"/>
      <c r="AX413" s="489"/>
      <c r="AY413" s="489"/>
      <c r="AZ413" s="489"/>
      <c r="BA413" s="489"/>
      <c r="BB413" s="489"/>
      <c r="BC413" s="489"/>
      <c r="BD413" s="489"/>
      <c r="BE413" s="489"/>
      <c r="BF413" s="489"/>
      <c r="BG413" s="489"/>
      <c r="BH413" s="489"/>
      <c r="BI413" s="489"/>
    </row>
    <row r="414" spans="1:61" ht="15.75" customHeight="1">
      <c r="A414" s="477" t="s">
        <v>36</v>
      </c>
      <c r="B414" s="486"/>
      <c r="C414" s="714" t="s">
        <v>227</v>
      </c>
      <c r="V414" s="576" t="s">
        <v>36</v>
      </c>
      <c r="W414" s="747" t="s">
        <v>138</v>
      </c>
      <c r="X414" s="744"/>
      <c r="Y414" s="748">
        <v>155.76699029126215</v>
      </c>
      <c r="Z414" s="741">
        <v>16044</v>
      </c>
      <c r="AA414" s="744"/>
      <c r="AB414" s="748"/>
      <c r="AC414" s="741"/>
      <c r="AD414" s="749"/>
      <c r="AE414" s="748">
        <v>123.73134615384616</v>
      </c>
      <c r="AF414" s="741">
        <v>12868.060000000001</v>
      </c>
      <c r="AG414" s="742">
        <v>-32.035644137415986</v>
      </c>
      <c r="AH414" s="743">
        <v>-3175.9399999999987</v>
      </c>
      <c r="AI414" s="744">
        <v>-0.19795188232361</v>
      </c>
      <c r="AJ414" s="750">
        <v>2.3571751078724411E-2</v>
      </c>
      <c r="AK414" s="743">
        <v>146.91971962616822</v>
      </c>
      <c r="AL414" s="741">
        <v>15720.41</v>
      </c>
      <c r="AM414" s="745">
        <v>-32.035644137415986</v>
      </c>
      <c r="AN414" s="743">
        <v>-2852.3499999999985</v>
      </c>
      <c r="AO414" s="751">
        <v>-0.18144246873968289</v>
      </c>
      <c r="AP414" s="489"/>
      <c r="AQ414" s="489"/>
      <c r="AR414" s="492"/>
      <c r="AS414" s="489"/>
      <c r="AT414" s="489"/>
      <c r="AU414" s="489"/>
      <c r="AV414" s="489"/>
      <c r="AW414" s="489"/>
      <c r="AX414" s="489"/>
      <c r="AY414" s="489"/>
      <c r="AZ414" s="489"/>
      <c r="BA414" s="489"/>
      <c r="BB414" s="489"/>
      <c r="BC414" s="489"/>
      <c r="BD414" s="489"/>
      <c r="BE414" s="489"/>
      <c r="BF414" s="489"/>
      <c r="BG414" s="489"/>
      <c r="BH414" s="489"/>
      <c r="BI414" s="489"/>
    </row>
    <row r="415" spans="1:61" ht="15.75" customHeight="1">
      <c r="A415" s="477" t="s">
        <v>37</v>
      </c>
      <c r="B415" s="486"/>
      <c r="C415" s="714" t="s">
        <v>227</v>
      </c>
      <c r="V415" s="576" t="s">
        <v>37</v>
      </c>
      <c r="W415" s="747" t="s">
        <v>139</v>
      </c>
      <c r="X415" s="740"/>
      <c r="Y415" s="748">
        <v>467.21290012432121</v>
      </c>
      <c r="Z415" s="741">
        <v>48122.928712805086</v>
      </c>
      <c r="AA415" s="740"/>
      <c r="AB415" s="748"/>
      <c r="AC415" s="741"/>
      <c r="AD415" s="749"/>
      <c r="AE415" s="748">
        <v>172.42861842105265</v>
      </c>
      <c r="AF415" s="741">
        <v>26209.15</v>
      </c>
      <c r="AG415" s="742">
        <v>-294.78428170326856</v>
      </c>
      <c r="AH415" s="743">
        <v>-21913.778712805084</v>
      </c>
      <c r="AI415" s="744">
        <v>-0.45537084502037012</v>
      </c>
      <c r="AJ415" s="750">
        <v>7.3520053519074854E-2</v>
      </c>
      <c r="AK415" s="743">
        <v>458.24112149532704</v>
      </c>
      <c r="AL415" s="741">
        <v>49031.799999999996</v>
      </c>
      <c r="AM415" s="745">
        <v>-294.78428170326856</v>
      </c>
      <c r="AN415" s="743">
        <v>-22822.649999999994</v>
      </c>
      <c r="AO415" s="751">
        <v>-0.46546628922454397</v>
      </c>
      <c r="AP415" s="489"/>
      <c r="AQ415" s="489"/>
      <c r="AR415" s="492"/>
      <c r="AS415" s="489"/>
      <c r="AT415" s="489"/>
      <c r="AU415" s="489"/>
      <c r="AV415" s="489"/>
      <c r="AW415" s="489"/>
      <c r="AX415" s="489"/>
      <c r="AY415" s="489"/>
      <c r="AZ415" s="489"/>
      <c r="BA415" s="489"/>
      <c r="BB415" s="489"/>
      <c r="BC415" s="489"/>
      <c r="BD415" s="489"/>
      <c r="BE415" s="489"/>
      <c r="BF415" s="489"/>
      <c r="BG415" s="489"/>
      <c r="BH415" s="489"/>
      <c r="BI415" s="489"/>
    </row>
    <row r="416" spans="1:61" ht="15.75" hidden="1" customHeight="1">
      <c r="A416" s="477" t="s">
        <v>20</v>
      </c>
      <c r="B416" s="486"/>
      <c r="C416" s="714" t="s">
        <v>227</v>
      </c>
      <c r="V416" s="576" t="s">
        <v>20</v>
      </c>
      <c r="W416" s="747"/>
      <c r="X416" s="744"/>
      <c r="Y416" s="748">
        <v>0</v>
      </c>
      <c r="Z416" s="741">
        <v>0</v>
      </c>
      <c r="AA416" s="740"/>
      <c r="AB416" s="748"/>
      <c r="AC416" s="741"/>
      <c r="AD416" s="749"/>
      <c r="AE416" s="748">
        <v>0</v>
      </c>
      <c r="AF416" s="741">
        <v>0</v>
      </c>
      <c r="AG416" s="742">
        <v>0</v>
      </c>
      <c r="AH416" s="743">
        <v>0</v>
      </c>
      <c r="AI416" s="744">
        <v>0</v>
      </c>
      <c r="AJ416" s="749"/>
      <c r="AK416" s="743">
        <v>0</v>
      </c>
      <c r="AL416" s="741">
        <v>0</v>
      </c>
      <c r="AM416" s="745">
        <v>0</v>
      </c>
      <c r="AN416" s="743">
        <v>0</v>
      </c>
      <c r="AO416" s="751">
        <v>0</v>
      </c>
      <c r="AP416" s="489"/>
      <c r="AQ416" s="489"/>
      <c r="AR416" s="492"/>
      <c r="AS416" s="489"/>
      <c r="AT416" s="489"/>
      <c r="AU416" s="489"/>
      <c r="AV416" s="489"/>
      <c r="AW416" s="489"/>
      <c r="AX416" s="489"/>
      <c r="AY416" s="489"/>
      <c r="AZ416" s="489"/>
      <c r="BA416" s="489"/>
      <c r="BB416" s="489"/>
      <c r="BC416" s="489"/>
      <c r="BD416" s="489"/>
      <c r="BE416" s="489"/>
      <c r="BF416" s="489"/>
      <c r="BG416" s="489"/>
      <c r="BH416" s="489"/>
      <c r="BI416" s="489"/>
    </row>
    <row r="417" spans="1:61" ht="15.75" hidden="1" customHeight="1">
      <c r="A417" s="477" t="s">
        <v>20</v>
      </c>
      <c r="B417" s="486"/>
      <c r="C417" s="714" t="s">
        <v>227</v>
      </c>
      <c r="V417" s="576" t="s">
        <v>20</v>
      </c>
      <c r="W417" s="747"/>
      <c r="X417" s="744"/>
      <c r="Y417" s="748">
        <v>0</v>
      </c>
      <c r="Z417" s="741">
        <v>0</v>
      </c>
      <c r="AA417" s="740"/>
      <c r="AB417" s="748"/>
      <c r="AC417" s="741"/>
      <c r="AD417" s="749"/>
      <c r="AE417" s="748">
        <v>0</v>
      </c>
      <c r="AF417" s="741">
        <v>0</v>
      </c>
      <c r="AG417" s="742">
        <v>0</v>
      </c>
      <c r="AH417" s="743">
        <v>0</v>
      </c>
      <c r="AI417" s="744">
        <v>0</v>
      </c>
      <c r="AJ417" s="749"/>
      <c r="AK417" s="743">
        <v>0</v>
      </c>
      <c r="AL417" s="741">
        <v>0</v>
      </c>
      <c r="AM417" s="745">
        <v>0</v>
      </c>
      <c r="AN417" s="743">
        <v>0</v>
      </c>
      <c r="AO417" s="751">
        <v>0</v>
      </c>
      <c r="AP417" s="489"/>
      <c r="AQ417" s="489"/>
      <c r="AR417" s="492"/>
      <c r="AS417" s="489"/>
      <c r="AT417" s="489"/>
      <c r="AU417" s="489"/>
      <c r="AV417" s="489"/>
      <c r="AW417" s="489"/>
      <c r="AX417" s="489"/>
      <c r="AY417" s="489"/>
      <c r="AZ417" s="489"/>
      <c r="BA417" s="489"/>
      <c r="BB417" s="489"/>
      <c r="BC417" s="489"/>
      <c r="BD417" s="489"/>
      <c r="BE417" s="489"/>
      <c r="BF417" s="489"/>
      <c r="BG417" s="489"/>
      <c r="BH417" s="489"/>
      <c r="BI417" s="489"/>
    </row>
    <row r="418" spans="1:61" ht="15.75" hidden="1" customHeight="1">
      <c r="A418" s="477" t="s">
        <v>20</v>
      </c>
      <c r="B418" s="486"/>
      <c r="C418" s="714" t="s">
        <v>227</v>
      </c>
      <c r="V418" s="576" t="s">
        <v>20</v>
      </c>
      <c r="W418" s="747" t="s">
        <v>139</v>
      </c>
      <c r="X418" s="740"/>
      <c r="Y418" s="748">
        <v>0</v>
      </c>
      <c r="Z418" s="741">
        <v>0</v>
      </c>
      <c r="AA418" s="740"/>
      <c r="AB418" s="748"/>
      <c r="AC418" s="741"/>
      <c r="AD418" s="749"/>
      <c r="AE418" s="748">
        <v>0</v>
      </c>
      <c r="AF418" s="741">
        <v>0</v>
      </c>
      <c r="AG418" s="742">
        <v>0</v>
      </c>
      <c r="AH418" s="743">
        <v>0</v>
      </c>
      <c r="AI418" s="744">
        <v>0</v>
      </c>
      <c r="AJ418" s="749"/>
      <c r="AK418" s="743">
        <v>0</v>
      </c>
      <c r="AL418" s="741">
        <v>0</v>
      </c>
      <c r="AM418" s="745">
        <v>0</v>
      </c>
      <c r="AN418" s="743">
        <v>0</v>
      </c>
      <c r="AO418" s="751">
        <v>0</v>
      </c>
      <c r="AP418" s="489"/>
      <c r="AQ418" s="489"/>
      <c r="AR418" s="492"/>
      <c r="AS418" s="489"/>
      <c r="AT418" s="489"/>
      <c r="AU418" s="489"/>
      <c r="AV418" s="489"/>
      <c r="AW418" s="489"/>
      <c r="AX418" s="489"/>
      <c r="AY418" s="489"/>
      <c r="AZ418" s="489"/>
      <c r="BA418" s="489"/>
      <c r="BB418" s="489"/>
      <c r="BC418" s="489"/>
      <c r="BD418" s="489"/>
      <c r="BE418" s="489"/>
      <c r="BF418" s="489"/>
      <c r="BG418" s="489"/>
      <c r="BH418" s="489"/>
      <c r="BI418" s="489"/>
    </row>
    <row r="419" spans="1:61" ht="15.75" customHeight="1">
      <c r="A419" s="477" t="s">
        <v>38</v>
      </c>
      <c r="B419" s="486"/>
      <c r="C419" s="714" t="s">
        <v>227</v>
      </c>
      <c r="V419" s="757" t="s">
        <v>38</v>
      </c>
      <c r="W419" s="758"/>
      <c r="X419" s="759">
        <v>0.27804815045244963</v>
      </c>
      <c r="Y419" s="758"/>
      <c r="Z419" s="760">
        <v>199475.43895355763</v>
      </c>
      <c r="AA419" s="759"/>
      <c r="AB419" s="758"/>
      <c r="AC419" s="760"/>
      <c r="AD419" s="761">
        <v>0.21010508008822049</v>
      </c>
      <c r="AE419" s="758"/>
      <c r="AF419" s="760">
        <v>163366.56</v>
      </c>
      <c r="AG419" s="762"/>
      <c r="AH419" s="763">
        <v>-36108.878953557636</v>
      </c>
      <c r="AI419" s="759">
        <v>-0.18101917280134219</v>
      </c>
      <c r="AJ419" s="761">
        <v>0.28989987605061057</v>
      </c>
      <c r="AK419" s="758"/>
      <c r="AL419" s="760">
        <v>193339.25999999998</v>
      </c>
      <c r="AM419" s="764"/>
      <c r="AN419" s="763">
        <v>-29972.699999999983</v>
      </c>
      <c r="AO419" s="738">
        <v>-0.15502645453385921</v>
      </c>
      <c r="AP419" s="489"/>
      <c r="AQ419" s="489"/>
      <c r="AR419" s="492"/>
      <c r="AS419" s="489"/>
      <c r="AT419" s="489"/>
      <c r="AU419" s="489"/>
      <c r="AV419" s="489"/>
      <c r="AW419" s="489"/>
      <c r="AX419" s="489"/>
      <c r="AY419" s="489"/>
      <c r="AZ419" s="489"/>
      <c r="BA419" s="489"/>
      <c r="BB419" s="489"/>
      <c r="BC419" s="489"/>
      <c r="BD419" s="489"/>
      <c r="BE419" s="489"/>
      <c r="BF419" s="489"/>
      <c r="BG419" s="489"/>
      <c r="BH419" s="489"/>
      <c r="BI419" s="489"/>
    </row>
    <row r="420" spans="1:61" ht="15.75" customHeight="1">
      <c r="A420" s="477" t="s">
        <v>140</v>
      </c>
      <c r="B420" s="486"/>
      <c r="C420" s="714" t="s">
        <v>227</v>
      </c>
      <c r="V420" s="576" t="s">
        <v>140</v>
      </c>
      <c r="W420" s="747" t="s">
        <v>141</v>
      </c>
      <c r="X420" s="740"/>
      <c r="Y420" s="740"/>
      <c r="Z420" s="741">
        <v>14451.14423076923</v>
      </c>
      <c r="AA420" s="740"/>
      <c r="AB420" s="740"/>
      <c r="AC420" s="741"/>
      <c r="AD420" s="749"/>
      <c r="AE420" s="748"/>
      <c r="AF420" s="741">
        <v>12528.259999999998</v>
      </c>
      <c r="AG420" s="742"/>
      <c r="AH420" s="743">
        <v>-1922.8842307692321</v>
      </c>
      <c r="AI420" s="744">
        <v>-0.13306103655619508</v>
      </c>
      <c r="AJ420" s="749"/>
      <c r="AK420" s="740"/>
      <c r="AL420" s="741">
        <v>15663.77</v>
      </c>
      <c r="AM420" s="745"/>
      <c r="AN420" s="743">
        <v>-3135.510000000002</v>
      </c>
      <c r="AO420" s="751">
        <v>-0.200175947425173</v>
      </c>
      <c r="AP420" s="489"/>
      <c r="AQ420" s="489"/>
      <c r="AR420" s="489"/>
      <c r="AS420" s="489"/>
      <c r="AT420" s="489"/>
      <c r="AU420" s="489"/>
      <c r="AV420" s="489"/>
      <c r="AW420" s="489"/>
      <c r="AX420" s="489"/>
      <c r="AY420" s="489"/>
      <c r="AZ420" s="489"/>
      <c r="BA420" s="489"/>
      <c r="BB420" s="489"/>
      <c r="BC420" s="489"/>
      <c r="BD420" s="489"/>
      <c r="BE420" s="489"/>
      <c r="BF420" s="489"/>
      <c r="BG420" s="489"/>
      <c r="BH420" s="489"/>
      <c r="BI420" s="489"/>
    </row>
    <row r="421" spans="1:61" ht="15.75" customHeight="1">
      <c r="A421" s="477" t="s">
        <v>41</v>
      </c>
      <c r="B421" s="486"/>
      <c r="C421" s="714" t="s">
        <v>227</v>
      </c>
      <c r="V421" s="576" t="s">
        <v>41</v>
      </c>
      <c r="W421" s="747" t="s">
        <v>142</v>
      </c>
      <c r="X421" s="740"/>
      <c r="Y421" s="740"/>
      <c r="Z421" s="741">
        <v>56603.570512820515</v>
      </c>
      <c r="AA421" s="740"/>
      <c r="AB421" s="740"/>
      <c r="AC421" s="741"/>
      <c r="AD421" s="749"/>
      <c r="AE421" s="748"/>
      <c r="AF421" s="741">
        <v>56644.17</v>
      </c>
      <c r="AG421" s="742"/>
      <c r="AH421" s="743">
        <v>40.599487179482821</v>
      </c>
      <c r="AI421" s="744">
        <v>7.1726018008505619E-4</v>
      </c>
      <c r="AJ421" s="749"/>
      <c r="AK421" s="740"/>
      <c r="AL421" s="741">
        <v>49132.22</v>
      </c>
      <c r="AM421" s="745"/>
      <c r="AN421" s="743">
        <v>7511.9499999999971</v>
      </c>
      <c r="AO421" s="751">
        <v>0.15289254179843689</v>
      </c>
      <c r="AP421" s="489"/>
      <c r="AQ421" s="489"/>
      <c r="AR421" s="489"/>
      <c r="AS421" s="489"/>
      <c r="AT421" s="489"/>
      <c r="AU421" s="489"/>
      <c r="AV421" s="489"/>
      <c r="AW421" s="489"/>
      <c r="AX421" s="489"/>
      <c r="AY421" s="489"/>
      <c r="AZ421" s="489"/>
      <c r="BA421" s="489"/>
      <c r="BB421" s="489"/>
      <c r="BC421" s="489"/>
      <c r="BD421" s="489"/>
      <c r="BE421" s="489"/>
      <c r="BF421" s="489"/>
      <c r="BG421" s="489"/>
      <c r="BH421" s="489"/>
      <c r="BI421" s="489"/>
    </row>
    <row r="422" spans="1:61" ht="15.75" customHeight="1">
      <c r="A422" s="477" t="s">
        <v>42</v>
      </c>
      <c r="B422" s="486"/>
      <c r="C422" s="714" t="s">
        <v>227</v>
      </c>
      <c r="V422" s="578" t="s">
        <v>42</v>
      </c>
      <c r="W422" s="752" t="s">
        <v>143</v>
      </c>
      <c r="X422" s="723"/>
      <c r="Y422" s="723"/>
      <c r="Z422" s="724">
        <v>62004.212615384618</v>
      </c>
      <c r="AA422" s="723"/>
      <c r="AB422" s="723"/>
      <c r="AC422" s="724"/>
      <c r="AD422" s="754"/>
      <c r="AE422" s="753"/>
      <c r="AF422" s="724">
        <v>46191.1</v>
      </c>
      <c r="AG422" s="725"/>
      <c r="AH422" s="726">
        <v>-15813.11261538462</v>
      </c>
      <c r="AI422" s="755">
        <v>-0.25503287516082473</v>
      </c>
      <c r="AJ422" s="754"/>
      <c r="AK422" s="723"/>
      <c r="AL422" s="724">
        <v>43942.53</v>
      </c>
      <c r="AM422" s="728"/>
      <c r="AN422" s="726">
        <v>2248.5699999999997</v>
      </c>
      <c r="AO422" s="729">
        <v>5.1170699547795719E-2</v>
      </c>
      <c r="AP422" s="489"/>
      <c r="AQ422" s="489"/>
      <c r="AR422" s="489"/>
      <c r="AS422" s="489"/>
      <c r="AT422" s="489"/>
      <c r="AU422" s="489"/>
      <c r="AV422" s="489"/>
      <c r="AW422" s="489"/>
      <c r="AX422" s="489"/>
      <c r="AY422" s="489"/>
      <c r="AZ422" s="489"/>
      <c r="BA422" s="489"/>
      <c r="BB422" s="489"/>
      <c r="BC422" s="489"/>
      <c r="BD422" s="489"/>
      <c r="BE422" s="489"/>
      <c r="BF422" s="489"/>
      <c r="BG422" s="489"/>
      <c r="BH422" s="489"/>
      <c r="BI422" s="489"/>
    </row>
    <row r="423" spans="1:61" ht="15.75" customHeight="1">
      <c r="A423" s="477" t="s">
        <v>43</v>
      </c>
      <c r="B423" s="486"/>
      <c r="C423" s="714" t="s">
        <v>227</v>
      </c>
      <c r="V423" s="576" t="s">
        <v>43</v>
      </c>
      <c r="W423" s="747" t="s">
        <v>144</v>
      </c>
      <c r="X423" s="740"/>
      <c r="Y423" s="740"/>
      <c r="Z423" s="741">
        <v>19486</v>
      </c>
      <c r="AA423" s="740"/>
      <c r="AB423" s="740"/>
      <c r="AC423" s="741"/>
      <c r="AD423" s="749"/>
      <c r="AE423" s="748"/>
      <c r="AF423" s="741">
        <v>21825.15</v>
      </c>
      <c r="AG423" s="742"/>
      <c r="AH423" s="743">
        <v>2339.1500000000015</v>
      </c>
      <c r="AI423" s="744">
        <v>0.12004259468336249</v>
      </c>
      <c r="AJ423" s="749"/>
      <c r="AK423" s="740"/>
      <c r="AL423" s="741">
        <v>21717.47</v>
      </c>
      <c r="AM423" s="745"/>
      <c r="AN423" s="743">
        <v>107.68000000000029</v>
      </c>
      <c r="AO423" s="751">
        <v>4.9582202715141447E-3</v>
      </c>
      <c r="AP423" s="489"/>
      <c r="AQ423" s="489"/>
      <c r="AR423" s="489"/>
      <c r="AS423" s="489"/>
      <c r="AT423" s="489"/>
      <c r="AU423" s="489"/>
      <c r="AV423" s="489"/>
      <c r="AW423" s="489"/>
      <c r="AX423" s="489"/>
      <c r="AY423" s="489"/>
      <c r="AZ423" s="489"/>
      <c r="BA423" s="489"/>
      <c r="BB423" s="489"/>
      <c r="BC423" s="489"/>
      <c r="BD423" s="489"/>
      <c r="BE423" s="489"/>
      <c r="BF423" s="489"/>
      <c r="BG423" s="489"/>
      <c r="BH423" s="489"/>
      <c r="BI423" s="489"/>
    </row>
    <row r="424" spans="1:61" ht="15.75" customHeight="1">
      <c r="A424" s="477" t="s">
        <v>44</v>
      </c>
      <c r="B424" s="486"/>
      <c r="C424" s="714" t="s">
        <v>227</v>
      </c>
      <c r="V424" s="576" t="s">
        <v>44</v>
      </c>
      <c r="W424" s="747" t="s">
        <v>145</v>
      </c>
      <c r="X424" s="740"/>
      <c r="Y424" s="740"/>
      <c r="Z424" s="741">
        <v>26685.668886153846</v>
      </c>
      <c r="AA424" s="740"/>
      <c r="AB424" s="740"/>
      <c r="AC424" s="741"/>
      <c r="AD424" s="749"/>
      <c r="AE424" s="748"/>
      <c r="AF424" s="741">
        <v>23437.83</v>
      </c>
      <c r="AG424" s="742"/>
      <c r="AH424" s="743">
        <v>-3247.8388861538442</v>
      </c>
      <c r="AI424" s="744">
        <v>-0.12170723169839753</v>
      </c>
      <c r="AJ424" s="749"/>
      <c r="AK424" s="740"/>
      <c r="AL424" s="741">
        <v>25122.77</v>
      </c>
      <c r="AM424" s="745"/>
      <c r="AN424" s="743">
        <v>-1684.9399999999987</v>
      </c>
      <c r="AO424" s="751">
        <v>-6.7068241280718588E-2</v>
      </c>
      <c r="AP424" s="489"/>
      <c r="AQ424" s="489"/>
      <c r="AR424" s="489"/>
      <c r="AS424" s="489"/>
      <c r="AT424" s="489"/>
      <c r="AU424" s="489"/>
      <c r="AV424" s="489"/>
      <c r="AW424" s="489"/>
      <c r="AX424" s="489"/>
      <c r="AY424" s="489"/>
      <c r="AZ424" s="489"/>
      <c r="BA424" s="489"/>
      <c r="BB424" s="489"/>
      <c r="BC424" s="489"/>
      <c r="BD424" s="489"/>
      <c r="BE424" s="489"/>
      <c r="BF424" s="489"/>
      <c r="BG424" s="489"/>
      <c r="BH424" s="489"/>
      <c r="BI424" s="489"/>
    </row>
    <row r="425" spans="1:61" ht="15.75" hidden="1" customHeight="1">
      <c r="A425" s="477" t="s">
        <v>20</v>
      </c>
      <c r="B425" s="486"/>
      <c r="C425" s="714" t="s">
        <v>227</v>
      </c>
      <c r="V425" s="576" t="s">
        <v>20</v>
      </c>
      <c r="W425" s="747"/>
      <c r="X425" s="740"/>
      <c r="Y425" s="740"/>
      <c r="Z425" s="741">
        <v>0</v>
      </c>
      <c r="AA425" s="740"/>
      <c r="AB425" s="740"/>
      <c r="AC425" s="741"/>
      <c r="AD425" s="749"/>
      <c r="AE425" s="748"/>
      <c r="AF425" s="741">
        <v>0</v>
      </c>
      <c r="AG425" s="742"/>
      <c r="AH425" s="743">
        <v>0</v>
      </c>
      <c r="AI425" s="744">
        <v>0</v>
      </c>
      <c r="AJ425" s="749"/>
      <c r="AK425" s="740"/>
      <c r="AL425" s="741">
        <v>0</v>
      </c>
      <c r="AM425" s="745"/>
      <c r="AN425" s="743">
        <v>0</v>
      </c>
      <c r="AO425" s="751">
        <v>0</v>
      </c>
      <c r="AP425" s="489"/>
      <c r="AQ425" s="489"/>
      <c r="AR425" s="489"/>
      <c r="AS425" s="489"/>
      <c r="AT425" s="489"/>
      <c r="AU425" s="489"/>
      <c r="AV425" s="489"/>
      <c r="AW425" s="489"/>
      <c r="AX425" s="489"/>
      <c r="AY425" s="489"/>
      <c r="AZ425" s="489"/>
      <c r="BA425" s="489"/>
      <c r="BB425" s="489"/>
      <c r="BC425" s="489"/>
      <c r="BD425" s="489"/>
      <c r="BE425" s="489"/>
      <c r="BF425" s="489"/>
      <c r="BG425" s="489"/>
      <c r="BH425" s="489"/>
      <c r="BI425" s="489"/>
    </row>
    <row r="426" spans="1:61" ht="15.75" hidden="1" customHeight="1">
      <c r="A426" s="477" t="s">
        <v>20</v>
      </c>
      <c r="B426" s="486"/>
      <c r="C426" s="714" t="s">
        <v>227</v>
      </c>
      <c r="V426" s="576" t="s">
        <v>20</v>
      </c>
      <c r="W426" s="747"/>
      <c r="X426" s="740"/>
      <c r="Y426" s="740"/>
      <c r="Z426" s="741">
        <v>0</v>
      </c>
      <c r="AA426" s="740"/>
      <c r="AB426" s="740"/>
      <c r="AC426" s="741"/>
      <c r="AD426" s="749"/>
      <c r="AE426" s="748"/>
      <c r="AF426" s="741">
        <v>0</v>
      </c>
      <c r="AG426" s="742"/>
      <c r="AH426" s="743">
        <v>0</v>
      </c>
      <c r="AI426" s="744">
        <v>0</v>
      </c>
      <c r="AJ426" s="749"/>
      <c r="AK426" s="740"/>
      <c r="AL426" s="741">
        <v>0</v>
      </c>
      <c r="AM426" s="745"/>
      <c r="AN426" s="743">
        <v>0</v>
      </c>
      <c r="AO426" s="751">
        <v>0</v>
      </c>
      <c r="AP426" s="489"/>
      <c r="AQ426" s="489"/>
      <c r="AR426" s="489"/>
      <c r="AS426" s="489"/>
      <c r="AT426" s="489"/>
      <c r="AU426" s="489"/>
      <c r="AV426" s="489"/>
      <c r="AW426" s="489"/>
      <c r="AX426" s="489"/>
      <c r="AY426" s="489"/>
      <c r="AZ426" s="489"/>
      <c r="BA426" s="489"/>
      <c r="BB426" s="489"/>
      <c r="BC426" s="489"/>
      <c r="BD426" s="489"/>
      <c r="BE426" s="489"/>
      <c r="BF426" s="489"/>
      <c r="BG426" s="489"/>
      <c r="BH426" s="489"/>
      <c r="BI426" s="489"/>
    </row>
    <row r="427" spans="1:61" ht="15.75" hidden="1" customHeight="1">
      <c r="A427" s="477" t="s">
        <v>20</v>
      </c>
      <c r="B427" s="486"/>
      <c r="C427" s="714" t="s">
        <v>227</v>
      </c>
      <c r="V427" s="576" t="s">
        <v>20</v>
      </c>
      <c r="W427" s="747"/>
      <c r="X427" s="740"/>
      <c r="Y427" s="740"/>
      <c r="Z427" s="741">
        <v>0</v>
      </c>
      <c r="AA427" s="740"/>
      <c r="AB427" s="740"/>
      <c r="AC427" s="741"/>
      <c r="AD427" s="749"/>
      <c r="AE427" s="748"/>
      <c r="AF427" s="741">
        <v>0</v>
      </c>
      <c r="AG427" s="742"/>
      <c r="AH427" s="743">
        <v>0</v>
      </c>
      <c r="AI427" s="744">
        <v>0</v>
      </c>
      <c r="AJ427" s="749"/>
      <c r="AK427" s="740"/>
      <c r="AL427" s="741">
        <v>0</v>
      </c>
      <c r="AM427" s="745"/>
      <c r="AN427" s="743">
        <v>0</v>
      </c>
      <c r="AO427" s="751">
        <v>0</v>
      </c>
      <c r="AP427" s="489"/>
      <c r="AQ427" s="489"/>
      <c r="AR427" s="489"/>
      <c r="AS427" s="489"/>
      <c r="AT427" s="489"/>
      <c r="AU427" s="489"/>
      <c r="AV427" s="489"/>
      <c r="AW427" s="489"/>
      <c r="AX427" s="489"/>
      <c r="AY427" s="489"/>
      <c r="AZ427" s="489"/>
      <c r="BA427" s="489"/>
      <c r="BB427" s="489"/>
      <c r="BC427" s="489"/>
      <c r="BD427" s="489"/>
      <c r="BE427" s="489"/>
      <c r="BF427" s="489"/>
      <c r="BG427" s="489"/>
      <c r="BH427" s="489"/>
      <c r="BI427" s="489"/>
    </row>
    <row r="428" spans="1:61" ht="15.75" customHeight="1">
      <c r="A428" s="477" t="s">
        <v>45</v>
      </c>
      <c r="B428" s="486"/>
      <c r="C428" s="714" t="s">
        <v>227</v>
      </c>
      <c r="V428" s="578" t="s">
        <v>45</v>
      </c>
      <c r="W428" s="752" t="s">
        <v>146</v>
      </c>
      <c r="X428" s="723"/>
      <c r="Y428" s="765">
        <v>0.10593139520165165</v>
      </c>
      <c r="Z428" s="724">
        <v>40379.47450759507</v>
      </c>
      <c r="AA428" s="723"/>
      <c r="AB428" s="723"/>
      <c r="AC428" s="724"/>
      <c r="AD428" s="754"/>
      <c r="AE428" s="753"/>
      <c r="AF428" s="724">
        <v>38586.630000000005</v>
      </c>
      <c r="AG428" s="725"/>
      <c r="AH428" s="726">
        <v>-1792.8445075950658</v>
      </c>
      <c r="AI428" s="755">
        <v>-4.4399896963935113E-2</v>
      </c>
      <c r="AJ428" s="754"/>
      <c r="AK428" s="723"/>
      <c r="AL428" s="724">
        <v>37441.89</v>
      </c>
      <c r="AM428" s="728"/>
      <c r="AN428" s="726">
        <v>1144.7400000000052</v>
      </c>
      <c r="AO428" s="729">
        <v>3.0573777125033091E-2</v>
      </c>
      <c r="AP428" s="489"/>
      <c r="AQ428" s="489"/>
      <c r="AR428" s="489"/>
      <c r="AS428" s="489"/>
      <c r="AT428" s="489"/>
      <c r="AU428" s="489"/>
      <c r="AV428" s="489"/>
      <c r="AW428" s="489"/>
      <c r="AX428" s="489"/>
      <c r="AY428" s="489"/>
      <c r="AZ428" s="489"/>
      <c r="BA428" s="489"/>
      <c r="BB428" s="489"/>
      <c r="BC428" s="489"/>
      <c r="BD428" s="489"/>
      <c r="BE428" s="489"/>
      <c r="BF428" s="489"/>
      <c r="BG428" s="489"/>
      <c r="BH428" s="489"/>
      <c r="BI428" s="489"/>
    </row>
    <row r="429" spans="1:61" ht="15.75" customHeight="1">
      <c r="A429" s="477" t="s">
        <v>46</v>
      </c>
      <c r="B429" s="486"/>
      <c r="C429" s="714" t="s">
        <v>227</v>
      </c>
      <c r="V429" s="576" t="s">
        <v>46</v>
      </c>
      <c r="W429" s="747" t="s">
        <v>147</v>
      </c>
      <c r="X429" s="740"/>
      <c r="Y429" s="766">
        <v>0.12879764350509187</v>
      </c>
      <c r="Z429" s="741">
        <v>49095.74874051207</v>
      </c>
      <c r="AA429" s="740"/>
      <c r="AB429" s="740"/>
      <c r="AC429" s="741"/>
      <c r="AD429" s="749"/>
      <c r="AE429" s="748"/>
      <c r="AF429" s="741">
        <v>49865.349999999991</v>
      </c>
      <c r="AG429" s="742"/>
      <c r="AH429" s="743">
        <v>769.6012594879212</v>
      </c>
      <c r="AI429" s="744">
        <v>1.5675517315267534E-2</v>
      </c>
      <c r="AJ429" s="749"/>
      <c r="AK429" s="740"/>
      <c r="AL429" s="741">
        <v>45241.369999999995</v>
      </c>
      <c r="AM429" s="745"/>
      <c r="AN429" s="743">
        <v>4623.9799999999959</v>
      </c>
      <c r="AO429" s="751">
        <v>0.10220689603343126</v>
      </c>
      <c r="AP429" s="489"/>
      <c r="AQ429" s="489"/>
      <c r="AR429" s="489"/>
      <c r="AS429" s="489"/>
      <c r="AT429" s="489"/>
      <c r="AU429" s="489"/>
      <c r="AV429" s="489"/>
      <c r="AW429" s="489"/>
      <c r="AX429" s="489"/>
      <c r="AY429" s="489"/>
      <c r="AZ429" s="489"/>
      <c r="BA429" s="489"/>
      <c r="BB429" s="489"/>
      <c r="BC429" s="489"/>
      <c r="BD429" s="489"/>
      <c r="BE429" s="489"/>
      <c r="BF429" s="489"/>
      <c r="BG429" s="489"/>
      <c r="BH429" s="489"/>
      <c r="BI429" s="489"/>
    </row>
    <row r="430" spans="1:61" ht="15.75" customHeight="1">
      <c r="A430" s="477" t="s">
        <v>47</v>
      </c>
      <c r="B430" s="486"/>
      <c r="C430" s="714" t="s">
        <v>227</v>
      </c>
      <c r="V430" s="576" t="s">
        <v>47</v>
      </c>
      <c r="W430" s="747" t="s">
        <v>148</v>
      </c>
      <c r="X430" s="740"/>
      <c r="Y430" s="766">
        <v>6.6358785892840819E-2</v>
      </c>
      <c r="Z430" s="741">
        <v>25294.983590220349</v>
      </c>
      <c r="AA430" s="740"/>
      <c r="AB430" s="740"/>
      <c r="AC430" s="741"/>
      <c r="AD430" s="749"/>
      <c r="AE430" s="748"/>
      <c r="AF430" s="741">
        <v>21157.86</v>
      </c>
      <c r="AG430" s="742"/>
      <c r="AH430" s="743">
        <v>-4137.123590220348</v>
      </c>
      <c r="AI430" s="744">
        <v>-0.16355510077578622</v>
      </c>
      <c r="AJ430" s="749"/>
      <c r="AK430" s="740"/>
      <c r="AL430" s="741">
        <v>20772.920000000002</v>
      </c>
      <c r="AM430" s="745"/>
      <c r="AN430" s="743">
        <v>384.93999999999869</v>
      </c>
      <c r="AO430" s="751">
        <v>1.8530856518967898E-2</v>
      </c>
      <c r="AP430" s="489"/>
      <c r="AQ430" s="489"/>
      <c r="AR430" s="489"/>
      <c r="AS430" s="489"/>
      <c r="AT430" s="489"/>
      <c r="AU430" s="489"/>
      <c r="AV430" s="489"/>
      <c r="AW430" s="489"/>
      <c r="AX430" s="489"/>
      <c r="AY430" s="489"/>
      <c r="AZ430" s="489"/>
      <c r="BA430" s="489"/>
      <c r="BB430" s="489"/>
      <c r="BC430" s="489"/>
      <c r="BD430" s="489"/>
      <c r="BE430" s="489"/>
      <c r="BF430" s="489"/>
      <c r="BG430" s="489"/>
      <c r="BH430" s="489"/>
      <c r="BI430" s="489"/>
    </row>
    <row r="431" spans="1:61" ht="15.75" customHeight="1">
      <c r="A431" s="477" t="s">
        <v>48</v>
      </c>
      <c r="B431" s="486"/>
      <c r="C431" s="714" t="s">
        <v>227</v>
      </c>
      <c r="V431" s="576" t="s">
        <v>48</v>
      </c>
      <c r="W431" s="747"/>
      <c r="X431" s="740"/>
      <c r="Y431" s="740"/>
      <c r="Z431" s="741">
        <v>11028.755151854159</v>
      </c>
      <c r="AA431" s="740"/>
      <c r="AB431" s="740"/>
      <c r="AC431" s="741"/>
      <c r="AD431" s="749"/>
      <c r="AE431" s="748"/>
      <c r="AF431" s="741">
        <v>10128.049999999999</v>
      </c>
      <c r="AG431" s="742"/>
      <c r="AH431" s="743">
        <v>-900.70515185415934</v>
      </c>
      <c r="AI431" s="767">
        <v>-8.1668795748242942E-2</v>
      </c>
      <c r="AJ431" s="749"/>
      <c r="AK431" s="740"/>
      <c r="AL431" s="741">
        <v>7524.12</v>
      </c>
      <c r="AM431" s="745"/>
      <c r="AN431" s="743">
        <v>2603.9299999999994</v>
      </c>
      <c r="AO431" s="751">
        <v>0.34607768084506885</v>
      </c>
      <c r="AP431" s="489"/>
      <c r="AQ431" s="489"/>
      <c r="AR431" s="489"/>
      <c r="AS431" s="489"/>
      <c r="AT431" s="489"/>
      <c r="AU431" s="489"/>
      <c r="AV431" s="489"/>
      <c r="AW431" s="489"/>
      <c r="AX431" s="489"/>
      <c r="AY431" s="489"/>
      <c r="AZ431" s="489"/>
      <c r="BA431" s="489"/>
      <c r="BB431" s="489"/>
      <c r="BC431" s="489"/>
      <c r="BD431" s="489"/>
      <c r="BE431" s="489"/>
      <c r="BF431" s="489"/>
      <c r="BG431" s="489"/>
      <c r="BH431" s="489"/>
      <c r="BI431" s="489"/>
    </row>
    <row r="432" spans="1:61" ht="15.75" hidden="1" customHeight="1">
      <c r="A432" s="477" t="s">
        <v>20</v>
      </c>
      <c r="B432" s="486"/>
      <c r="C432" s="714" t="s">
        <v>227</v>
      </c>
      <c r="V432" s="508" t="s">
        <v>20</v>
      </c>
      <c r="W432" s="747"/>
      <c r="X432" s="740"/>
      <c r="Y432" s="748"/>
      <c r="Z432" s="741">
        <v>0</v>
      </c>
      <c r="AA432" s="740"/>
      <c r="AB432" s="740"/>
      <c r="AC432" s="741"/>
      <c r="AD432" s="749"/>
      <c r="AE432" s="748"/>
      <c r="AF432" s="741">
        <v>0</v>
      </c>
      <c r="AG432" s="742"/>
      <c r="AH432" s="743">
        <v>0</v>
      </c>
      <c r="AI432" s="744">
        <v>0</v>
      </c>
      <c r="AJ432" s="749"/>
      <c r="AK432" s="740"/>
      <c r="AL432" s="741">
        <v>0</v>
      </c>
      <c r="AM432" s="745"/>
      <c r="AN432" s="743"/>
      <c r="AO432" s="729"/>
      <c r="AP432" s="489"/>
      <c r="AQ432" s="489"/>
      <c r="AR432" s="489"/>
      <c r="AS432" s="489"/>
      <c r="AT432" s="489"/>
      <c r="AU432" s="489"/>
      <c r="AV432" s="489"/>
      <c r="AW432" s="489"/>
      <c r="AX432" s="489"/>
      <c r="AY432" s="489"/>
      <c r="AZ432" s="489"/>
      <c r="BA432" s="489"/>
      <c r="BB432" s="489"/>
      <c r="BC432" s="489"/>
      <c r="BD432" s="489"/>
      <c r="BE432" s="489"/>
      <c r="BF432" s="489"/>
      <c r="BG432" s="489"/>
      <c r="BH432" s="489"/>
      <c r="BI432" s="489"/>
    </row>
    <row r="433" spans="1:62" ht="15.75" customHeight="1">
      <c r="A433" s="477" t="s">
        <v>49</v>
      </c>
      <c r="B433" s="486"/>
      <c r="C433" s="714" t="s">
        <v>227</v>
      </c>
      <c r="V433" s="757" t="s">
        <v>49</v>
      </c>
      <c r="W433" s="758"/>
      <c r="X433" s="759">
        <v>0.42517968600837125</v>
      </c>
      <c r="Y433" s="758"/>
      <c r="Z433" s="760">
        <v>305029.55823530979</v>
      </c>
      <c r="AA433" s="759"/>
      <c r="AB433" s="758"/>
      <c r="AC433" s="760"/>
      <c r="AD433" s="761">
        <v>0.36057553464972192</v>
      </c>
      <c r="AE433" s="768"/>
      <c r="AF433" s="760">
        <v>280364.39999999997</v>
      </c>
      <c r="AG433" s="762"/>
      <c r="AH433" s="763">
        <v>-24665.15823530982</v>
      </c>
      <c r="AI433" s="759">
        <v>-8.0861534790285169E-2</v>
      </c>
      <c r="AJ433" s="761">
        <v>0.39968829121497251</v>
      </c>
      <c r="AK433" s="758"/>
      <c r="AL433" s="760">
        <v>266559.06000000006</v>
      </c>
      <c r="AM433" s="769"/>
      <c r="AN433" s="763">
        <v>13805.339999999909</v>
      </c>
      <c r="AO433" s="738">
        <v>5.1790923932579544E-2</v>
      </c>
      <c r="AP433" s="489"/>
      <c r="AQ433" s="489"/>
      <c r="AR433" s="489"/>
      <c r="AS433" s="489"/>
      <c r="AT433" s="489"/>
      <c r="AU433" s="489"/>
      <c r="AV433" s="489"/>
      <c r="AW433" s="489"/>
      <c r="AX433" s="489"/>
      <c r="AY433" s="489"/>
      <c r="AZ433" s="489"/>
      <c r="BA433" s="489"/>
      <c r="BB433" s="489"/>
      <c r="BC433" s="489"/>
      <c r="BD433" s="489"/>
      <c r="BE433" s="489"/>
      <c r="BF433" s="489"/>
      <c r="BG433" s="489"/>
      <c r="BH433" s="489"/>
      <c r="BI433" s="489"/>
    </row>
    <row r="434" spans="1:62" ht="15.75" customHeight="1">
      <c r="A434" s="477" t="s">
        <v>50</v>
      </c>
      <c r="B434" s="486"/>
      <c r="C434" s="714" t="s">
        <v>227</v>
      </c>
      <c r="V434" s="681" t="s">
        <v>50</v>
      </c>
      <c r="W434" s="770" t="s">
        <v>138</v>
      </c>
      <c r="X434" s="771"/>
      <c r="Y434" s="771"/>
      <c r="Z434" s="772">
        <v>12192.953081014641</v>
      </c>
      <c r="AA434" s="771"/>
      <c r="AB434" s="771"/>
      <c r="AC434" s="772"/>
      <c r="AD434" s="773"/>
      <c r="AE434" s="774"/>
      <c r="AF434" s="772">
        <v>14038.38</v>
      </c>
      <c r="AG434" s="773"/>
      <c r="AH434" s="775">
        <v>1845.4269189853585</v>
      </c>
      <c r="AI434" s="776">
        <v>0.15135192489658877</v>
      </c>
      <c r="AJ434" s="773"/>
      <c r="AK434" s="771"/>
      <c r="AL434" s="772">
        <v>13920.66</v>
      </c>
      <c r="AM434" s="777"/>
      <c r="AN434" s="775">
        <v>117.71999999999935</v>
      </c>
      <c r="AO434" s="746">
        <v>8.4564955971914661E-3</v>
      </c>
      <c r="AP434" s="489"/>
      <c r="AQ434" s="489"/>
      <c r="AR434" s="489"/>
      <c r="AS434" s="489"/>
      <c r="AT434" s="489"/>
      <c r="AU434" s="489"/>
      <c r="AV434" s="489"/>
      <c r="AW434" s="489"/>
      <c r="AX434" s="489"/>
      <c r="AY434" s="489"/>
      <c r="AZ434" s="489"/>
      <c r="BA434" s="489"/>
      <c r="BB434" s="489"/>
      <c r="BC434" s="489"/>
      <c r="BD434" s="489"/>
      <c r="BE434" s="489"/>
      <c r="BF434" s="489"/>
      <c r="BG434" s="489"/>
      <c r="BH434" s="489"/>
      <c r="BI434" s="489"/>
    </row>
    <row r="435" spans="1:62" ht="15.75" customHeight="1">
      <c r="A435" s="477" t="s">
        <v>51</v>
      </c>
      <c r="B435" s="486"/>
      <c r="C435" s="714" t="s">
        <v>227</v>
      </c>
      <c r="V435" s="576" t="s">
        <v>51</v>
      </c>
      <c r="W435" s="747" t="s">
        <v>149</v>
      </c>
      <c r="X435" s="740"/>
      <c r="Y435" s="740"/>
      <c r="Z435" s="741">
        <v>4545.3811628057083</v>
      </c>
      <c r="AA435" s="740"/>
      <c r="AB435" s="740"/>
      <c r="AC435" s="741"/>
      <c r="AD435" s="749"/>
      <c r="AE435" s="748"/>
      <c r="AF435" s="741">
        <v>1819.6599999999999</v>
      </c>
      <c r="AG435" s="742"/>
      <c r="AH435" s="743">
        <v>-2725.7211628057084</v>
      </c>
      <c r="AI435" s="744">
        <v>-0.59966833697247379</v>
      </c>
      <c r="AJ435" s="749"/>
      <c r="AK435" s="740"/>
      <c r="AL435" s="741">
        <v>6479.70999999999</v>
      </c>
      <c r="AM435" s="745"/>
      <c r="AN435" s="743">
        <v>-4660.0499999999902</v>
      </c>
      <c r="AO435" s="751">
        <v>-0.71917570385094354</v>
      </c>
      <c r="AP435" s="489"/>
      <c r="AQ435" s="489"/>
      <c r="AR435" s="489"/>
      <c r="AS435" s="489"/>
      <c r="AT435" s="489"/>
      <c r="AU435" s="489"/>
      <c r="AV435" s="489"/>
      <c r="AW435" s="489"/>
      <c r="AX435" s="489"/>
      <c r="AY435" s="489"/>
      <c r="AZ435" s="489"/>
      <c r="BA435" s="489"/>
      <c r="BB435" s="489"/>
      <c r="BC435" s="489"/>
      <c r="BD435" s="489"/>
      <c r="BE435" s="489"/>
      <c r="BF435" s="489"/>
      <c r="BG435" s="489"/>
      <c r="BH435" s="489"/>
      <c r="BI435" s="489"/>
    </row>
    <row r="436" spans="1:62" ht="15.75" customHeight="1">
      <c r="A436" s="477" t="s">
        <v>52</v>
      </c>
      <c r="B436" s="486"/>
      <c r="C436" s="714" t="s">
        <v>227</v>
      </c>
      <c r="U436" s="778"/>
      <c r="V436" s="578" t="s">
        <v>52</v>
      </c>
      <c r="W436" s="752" t="s">
        <v>150</v>
      </c>
      <c r="X436" s="723"/>
      <c r="Y436" s="723"/>
      <c r="Z436" s="724">
        <v>22709.26466666667</v>
      </c>
      <c r="AA436" s="723"/>
      <c r="AB436" s="723"/>
      <c r="AC436" s="724"/>
      <c r="AD436" s="754"/>
      <c r="AE436" s="753"/>
      <c r="AF436" s="724">
        <v>23078.729999999996</v>
      </c>
      <c r="AG436" s="725"/>
      <c r="AH436" s="726">
        <v>369.46533333332627</v>
      </c>
      <c r="AI436" s="755">
        <v>1.6269365774561534E-2</v>
      </c>
      <c r="AJ436" s="754"/>
      <c r="AK436" s="723"/>
      <c r="AL436" s="724">
        <v>26599.97</v>
      </c>
      <c r="AM436" s="728"/>
      <c r="AN436" s="726">
        <v>-3521.2400000000052</v>
      </c>
      <c r="AO436" s="729">
        <v>-0.13237759290705986</v>
      </c>
      <c r="AP436" s="489"/>
      <c r="AQ436" s="489"/>
      <c r="AR436" s="489"/>
      <c r="AS436" s="489"/>
      <c r="AT436" s="489"/>
      <c r="AU436" s="489"/>
      <c r="AV436" s="489"/>
      <c r="AW436" s="489"/>
      <c r="AX436" s="489"/>
      <c r="AY436" s="489"/>
      <c r="AZ436" s="489"/>
      <c r="BA436" s="489"/>
      <c r="BB436" s="489"/>
      <c r="BC436" s="489"/>
      <c r="BD436" s="489"/>
      <c r="BE436" s="489"/>
      <c r="BF436" s="489"/>
      <c r="BG436" s="489"/>
      <c r="BH436" s="489"/>
      <c r="BI436" s="489"/>
    </row>
    <row r="437" spans="1:62" ht="15.75" customHeight="1">
      <c r="A437" s="477" t="s">
        <v>53</v>
      </c>
      <c r="B437" s="486"/>
      <c r="C437" s="714" t="s">
        <v>227</v>
      </c>
      <c r="U437" s="778"/>
      <c r="V437" s="576" t="s">
        <v>53</v>
      </c>
      <c r="W437" s="747" t="s">
        <v>151</v>
      </c>
      <c r="X437" s="740"/>
      <c r="Y437" s="740"/>
      <c r="Z437" s="741">
        <v>22402.080143777777</v>
      </c>
      <c r="AA437" s="740"/>
      <c r="AB437" s="740"/>
      <c r="AC437" s="741"/>
      <c r="AD437" s="749"/>
      <c r="AE437" s="748"/>
      <c r="AF437" s="741">
        <v>24085.59</v>
      </c>
      <c r="AG437" s="742"/>
      <c r="AH437" s="779">
        <v>1683.5098562222229</v>
      </c>
      <c r="AI437" s="744">
        <v>7.5149711340079334E-2</v>
      </c>
      <c r="AJ437" s="749"/>
      <c r="AK437" s="740"/>
      <c r="AL437" s="741">
        <v>17673.09</v>
      </c>
      <c r="AM437" s="745"/>
      <c r="AN437" s="743">
        <v>6412.5</v>
      </c>
      <c r="AO437" s="751">
        <v>0.36283977504782694</v>
      </c>
      <c r="AP437" s="489"/>
      <c r="AQ437" s="489"/>
      <c r="AR437" s="489"/>
      <c r="AS437" s="489"/>
      <c r="AT437" s="489"/>
      <c r="AU437" s="489"/>
      <c r="AV437" s="489"/>
      <c r="AW437" s="489"/>
      <c r="AX437" s="489"/>
      <c r="AY437" s="489"/>
      <c r="AZ437" s="489"/>
      <c r="BA437" s="489"/>
      <c r="BB437" s="489"/>
      <c r="BC437" s="489"/>
      <c r="BD437" s="489"/>
      <c r="BE437" s="489"/>
      <c r="BF437" s="489"/>
      <c r="BG437" s="489"/>
      <c r="BH437" s="489"/>
      <c r="BI437" s="489"/>
    </row>
    <row r="438" spans="1:62" ht="15.75" customHeight="1">
      <c r="A438" s="477" t="s">
        <v>54</v>
      </c>
      <c r="B438" s="486"/>
      <c r="C438" s="714" t="s">
        <v>227</v>
      </c>
      <c r="U438" s="778"/>
      <c r="V438" s="576" t="s">
        <v>54</v>
      </c>
      <c r="W438" s="747" t="s">
        <v>152</v>
      </c>
      <c r="X438" s="740"/>
      <c r="Y438" s="740"/>
      <c r="Z438" s="741">
        <v>3905.5576324861113</v>
      </c>
      <c r="AA438" s="740"/>
      <c r="AB438" s="740"/>
      <c r="AC438" s="741"/>
      <c r="AD438" s="749"/>
      <c r="AE438" s="748"/>
      <c r="AF438" s="741">
        <v>3092.1</v>
      </c>
      <c r="AG438" s="742"/>
      <c r="AH438" s="743">
        <v>-813.45763248611138</v>
      </c>
      <c r="AI438" s="744">
        <v>-0.20828207109782143</v>
      </c>
      <c r="AJ438" s="749"/>
      <c r="AK438" s="740"/>
      <c r="AL438" s="741">
        <v>5104.3599999999997</v>
      </c>
      <c r="AM438" s="745"/>
      <c r="AN438" s="743">
        <v>-2012.2599999999998</v>
      </c>
      <c r="AO438" s="751">
        <v>-0.39422376164690576</v>
      </c>
      <c r="AP438" s="489"/>
      <c r="AQ438" s="489"/>
      <c r="AR438" s="489"/>
      <c r="AS438" s="489"/>
      <c r="AT438" s="489"/>
      <c r="AU438" s="489"/>
      <c r="AV438" s="489"/>
      <c r="AW438" s="489"/>
      <c r="AX438" s="489"/>
      <c r="AY438" s="489"/>
      <c r="AZ438" s="489"/>
      <c r="BA438" s="489"/>
      <c r="BB438" s="489"/>
      <c r="BC438" s="489"/>
      <c r="BD438" s="489"/>
      <c r="BE438" s="489"/>
      <c r="BF438" s="489"/>
      <c r="BG438" s="489"/>
      <c r="BH438" s="489"/>
      <c r="BI438" s="489"/>
    </row>
    <row r="439" spans="1:62" ht="15.75" customHeight="1">
      <c r="A439" s="477" t="s">
        <v>55</v>
      </c>
      <c r="B439" s="486"/>
      <c r="C439" s="714" t="s">
        <v>227</v>
      </c>
      <c r="V439" s="576" t="s">
        <v>55</v>
      </c>
      <c r="W439" s="747" t="s">
        <v>153</v>
      </c>
      <c r="X439" s="740"/>
      <c r="Y439" s="740"/>
      <c r="Z439" s="741">
        <v>32918.054597609284</v>
      </c>
      <c r="AA439" s="740"/>
      <c r="AB439" s="740"/>
      <c r="AC439" s="741"/>
      <c r="AD439" s="749"/>
      <c r="AE439" s="748"/>
      <c r="AF439" s="741">
        <v>44790.42</v>
      </c>
      <c r="AG439" s="742"/>
      <c r="AH439" s="743">
        <v>11872.365402390715</v>
      </c>
      <c r="AI439" s="744">
        <v>0.36066424785785978</v>
      </c>
      <c r="AJ439" s="749"/>
      <c r="AK439" s="740"/>
      <c r="AL439" s="741">
        <v>31737.460000000003</v>
      </c>
      <c r="AM439" s="745"/>
      <c r="AN439" s="743">
        <v>13052.959999999995</v>
      </c>
      <c r="AO439" s="751">
        <v>0.41127928952096338</v>
      </c>
      <c r="AP439" s="489"/>
      <c r="AQ439" s="489"/>
      <c r="AR439" s="489"/>
      <c r="AS439" s="489"/>
      <c r="AT439" s="489"/>
      <c r="AU439" s="489"/>
      <c r="AV439" s="489"/>
      <c r="AW439" s="489"/>
      <c r="AX439" s="489"/>
      <c r="AY439" s="489"/>
      <c r="AZ439" s="489"/>
      <c r="BA439" s="489"/>
      <c r="BB439" s="489"/>
      <c r="BC439" s="489"/>
      <c r="BD439" s="489"/>
      <c r="BE439" s="489"/>
      <c r="BF439" s="489"/>
      <c r="BG439" s="489"/>
      <c r="BH439" s="489"/>
      <c r="BI439" s="489"/>
    </row>
    <row r="440" spans="1:62" ht="15.75" customHeight="1">
      <c r="B440" s="486"/>
      <c r="C440" s="714" t="s">
        <v>227</v>
      </c>
      <c r="V440" s="681" t="s">
        <v>98</v>
      </c>
      <c r="W440" s="770"/>
      <c r="X440" s="771"/>
      <c r="Y440" s="771"/>
      <c r="Z440" s="772">
        <v>0</v>
      </c>
      <c r="AA440" s="771"/>
      <c r="AB440" s="771"/>
      <c r="AC440" s="772"/>
      <c r="AD440" s="773"/>
      <c r="AE440" s="774"/>
      <c r="AF440" s="772">
        <v>0</v>
      </c>
      <c r="AG440" s="780"/>
      <c r="AH440" s="775">
        <v>0</v>
      </c>
      <c r="AI440" s="776">
        <v>0</v>
      </c>
      <c r="AJ440" s="773"/>
      <c r="AK440" s="771"/>
      <c r="AL440" s="772">
        <v>0</v>
      </c>
      <c r="AM440" s="777"/>
      <c r="AN440" s="775">
        <v>0</v>
      </c>
      <c r="AO440" s="746">
        <v>0</v>
      </c>
      <c r="AP440" s="489"/>
      <c r="AQ440" s="489"/>
      <c r="AR440" s="489"/>
      <c r="AS440" s="489"/>
      <c r="AT440" s="489"/>
      <c r="AU440" s="489"/>
      <c r="AV440" s="489"/>
      <c r="AW440" s="489"/>
      <c r="AX440" s="489"/>
      <c r="AY440" s="489"/>
      <c r="AZ440" s="489"/>
      <c r="BA440" s="489"/>
      <c r="BB440" s="489"/>
      <c r="BC440" s="489"/>
      <c r="BD440" s="489"/>
      <c r="BE440" s="489"/>
      <c r="BF440" s="489"/>
      <c r="BG440" s="489"/>
      <c r="BH440" s="489"/>
      <c r="BI440" s="489"/>
    </row>
    <row r="441" spans="1:62" ht="15.75" customHeight="1">
      <c r="A441" s="477" t="s">
        <v>56</v>
      </c>
      <c r="B441" s="486"/>
      <c r="C441" s="714" t="s">
        <v>227</v>
      </c>
      <c r="V441" s="576" t="s">
        <v>56</v>
      </c>
      <c r="W441" s="747" t="s">
        <v>154</v>
      </c>
      <c r="X441" s="740"/>
      <c r="Y441" s="748"/>
      <c r="Z441" s="741">
        <v>5252.6901555555569</v>
      </c>
      <c r="AA441" s="740"/>
      <c r="AB441" s="748"/>
      <c r="AC441" s="741"/>
      <c r="AD441" s="749"/>
      <c r="AE441" s="748"/>
      <c r="AF441" s="741">
        <v>3095.58</v>
      </c>
      <c r="AG441" s="742"/>
      <c r="AH441" s="743">
        <v>-2157.110155555557</v>
      </c>
      <c r="AI441" s="744">
        <v>-0.41066769439542694</v>
      </c>
      <c r="AJ441" s="749"/>
      <c r="AK441" s="740"/>
      <c r="AL441" s="741">
        <v>3621.82</v>
      </c>
      <c r="AM441" s="745"/>
      <c r="AN441" s="743">
        <v>-526.24000000000024</v>
      </c>
      <c r="AO441" s="751">
        <v>-0.14529711581470095</v>
      </c>
      <c r="AP441" s="489"/>
      <c r="AQ441" s="489"/>
      <c r="AR441" s="489"/>
      <c r="AS441" s="489"/>
      <c r="AT441" s="489"/>
      <c r="AU441" s="489"/>
      <c r="AV441" s="489"/>
      <c r="AW441" s="489"/>
      <c r="AX441" s="489"/>
      <c r="AY441" s="489"/>
      <c r="AZ441" s="489"/>
      <c r="BA441" s="489"/>
      <c r="BB441" s="489"/>
      <c r="BC441" s="489"/>
      <c r="BD441" s="489"/>
      <c r="BE441" s="489"/>
      <c r="BF441" s="489"/>
      <c r="BG441" s="489"/>
      <c r="BH441" s="489"/>
      <c r="BI441" s="489"/>
      <c r="BJ441" s="489"/>
    </row>
    <row r="442" spans="1:62" ht="15.75" customHeight="1">
      <c r="A442" s="477" t="s">
        <v>57</v>
      </c>
      <c r="B442" s="486"/>
      <c r="C442" s="714" t="s">
        <v>227</v>
      </c>
      <c r="U442" s="489"/>
      <c r="V442" s="576" t="s">
        <v>57</v>
      </c>
      <c r="W442" s="747" t="s">
        <v>155</v>
      </c>
      <c r="X442" s="740"/>
      <c r="Y442" s="740"/>
      <c r="Z442" s="741">
        <v>1333.7987401197504</v>
      </c>
      <c r="AA442" s="740"/>
      <c r="AB442" s="740"/>
      <c r="AC442" s="741"/>
      <c r="AD442" s="749"/>
      <c r="AE442" s="748"/>
      <c r="AF442" s="741">
        <v>699.73</v>
      </c>
      <c r="AG442" s="742"/>
      <c r="AH442" s="743">
        <v>-634.06874011975037</v>
      </c>
      <c r="AI442" s="767">
        <v>-0.47538561931976542</v>
      </c>
      <c r="AJ442" s="749"/>
      <c r="AK442" s="740"/>
      <c r="AL442" s="741">
        <v>1654</v>
      </c>
      <c r="AM442" s="745"/>
      <c r="AN442" s="743">
        <v>-954.27</v>
      </c>
      <c r="AO442" s="751">
        <v>-0.57694679564691653</v>
      </c>
      <c r="AP442" s="489"/>
      <c r="AQ442" s="489"/>
      <c r="AR442" s="489"/>
      <c r="AS442" s="489"/>
      <c r="AT442" s="489"/>
      <c r="AU442" s="489"/>
      <c r="AV442" s="489"/>
      <c r="AW442" s="489"/>
      <c r="AX442" s="489"/>
      <c r="AY442" s="489"/>
      <c r="AZ442" s="489"/>
      <c r="BA442" s="489"/>
      <c r="BB442" s="489"/>
      <c r="BC442" s="489"/>
      <c r="BD442" s="489"/>
      <c r="BE442" s="489"/>
      <c r="BF442" s="489"/>
      <c r="BG442" s="489"/>
      <c r="BH442" s="489"/>
      <c r="BI442" s="489"/>
      <c r="BJ442" s="489"/>
    </row>
    <row r="443" spans="1:62" ht="15.75" customHeight="1">
      <c r="A443" s="477" t="s">
        <v>58</v>
      </c>
      <c r="B443" s="486"/>
      <c r="C443" s="714" t="s">
        <v>227</v>
      </c>
      <c r="T443" s="489"/>
      <c r="U443" s="489"/>
      <c r="V443" s="576" t="s">
        <v>58</v>
      </c>
      <c r="W443" s="747" t="s">
        <v>156</v>
      </c>
      <c r="X443" s="740"/>
      <c r="Y443" s="740"/>
      <c r="Z443" s="741">
        <v>2760.7503854659999</v>
      </c>
      <c r="AA443" s="740"/>
      <c r="AB443" s="740"/>
      <c r="AC443" s="741"/>
      <c r="AD443" s="749"/>
      <c r="AE443" s="748"/>
      <c r="AF443" s="741">
        <v>4141.9799999999996</v>
      </c>
      <c r="AG443" s="742"/>
      <c r="AH443" s="743">
        <v>1381.2296145339997</v>
      </c>
      <c r="AI443" s="744">
        <v>0.50030948897281613</v>
      </c>
      <c r="AJ443" s="749"/>
      <c r="AK443" s="740"/>
      <c r="AL443" s="741">
        <v>1541.9599999999998</v>
      </c>
      <c r="AM443" s="745"/>
      <c r="AN443" s="743">
        <v>2600.0199999999995</v>
      </c>
      <c r="AO443" s="751">
        <v>1.6861786297958441</v>
      </c>
      <c r="AP443" s="489"/>
      <c r="AQ443" s="489"/>
      <c r="AR443" s="489"/>
      <c r="AS443" s="489"/>
      <c r="AT443" s="489"/>
      <c r="AU443" s="489"/>
      <c r="AV443" s="489"/>
      <c r="AW443" s="489"/>
      <c r="AX443" s="489"/>
      <c r="AY443" s="489"/>
      <c r="AZ443" s="489"/>
      <c r="BA443" s="489"/>
      <c r="BB443" s="489"/>
      <c r="BC443" s="489"/>
      <c r="BD443" s="489"/>
      <c r="BE443" s="489"/>
      <c r="BF443" s="489"/>
      <c r="BG443" s="489"/>
      <c r="BH443" s="489"/>
      <c r="BI443" s="489"/>
      <c r="BJ443" s="489"/>
    </row>
    <row r="444" spans="1:62" ht="15.75" customHeight="1">
      <c r="A444" s="477" t="s">
        <v>59</v>
      </c>
      <c r="B444" s="486"/>
      <c r="C444" s="714" t="s">
        <v>227</v>
      </c>
      <c r="T444" s="489"/>
      <c r="U444" s="489"/>
      <c r="V444" s="576" t="s">
        <v>59</v>
      </c>
      <c r="W444" s="747" t="s">
        <v>157</v>
      </c>
      <c r="X444" s="740"/>
      <c r="Y444" s="740"/>
      <c r="Z444" s="741">
        <v>734.68076036869445</v>
      </c>
      <c r="AA444" s="740"/>
      <c r="AB444" s="740"/>
      <c r="AC444" s="741"/>
      <c r="AD444" s="749"/>
      <c r="AE444" s="748"/>
      <c r="AF444" s="741">
        <v>662.9</v>
      </c>
      <c r="AG444" s="742"/>
      <c r="AH444" s="743">
        <v>-71.780760368694473</v>
      </c>
      <c r="AI444" s="767">
        <v>-9.7703334891568142E-2</v>
      </c>
      <c r="AJ444" s="749"/>
      <c r="AK444" s="740"/>
      <c r="AL444" s="741">
        <v>623.20000000000005</v>
      </c>
      <c r="AM444" s="745"/>
      <c r="AN444" s="743">
        <v>39.699999999999932</v>
      </c>
      <c r="AO444" s="751">
        <v>6.3703465982028126E-2</v>
      </c>
      <c r="AP444" s="489"/>
      <c r="AQ444" s="489"/>
      <c r="AR444" s="489"/>
      <c r="AS444" s="489"/>
      <c r="AT444" s="489"/>
      <c r="AU444" s="489"/>
      <c r="AV444" s="489"/>
      <c r="AW444" s="489"/>
      <c r="AX444" s="489"/>
      <c r="AY444" s="489"/>
      <c r="AZ444" s="489"/>
      <c r="BA444" s="489"/>
      <c r="BB444" s="489"/>
      <c r="BC444" s="489"/>
      <c r="BD444" s="489"/>
      <c r="BE444" s="489"/>
      <c r="BF444" s="489"/>
      <c r="BG444" s="489"/>
      <c r="BH444" s="489"/>
      <c r="BI444" s="489"/>
      <c r="BJ444" s="489"/>
    </row>
    <row r="445" spans="1:62" ht="15.75" customHeight="1">
      <c r="A445" s="477" t="s">
        <v>60</v>
      </c>
      <c r="B445" s="486"/>
      <c r="C445" s="714" t="s">
        <v>227</v>
      </c>
      <c r="T445" s="489"/>
      <c r="U445" s="489"/>
      <c r="V445" s="576" t="s">
        <v>60</v>
      </c>
      <c r="W445" s="747" t="s">
        <v>158</v>
      </c>
      <c r="X445" s="740"/>
      <c r="Y445" s="740"/>
      <c r="Z445" s="741">
        <v>235.21156215130546</v>
      </c>
      <c r="AA445" s="740"/>
      <c r="AB445" s="740"/>
      <c r="AC445" s="741"/>
      <c r="AD445" s="749"/>
      <c r="AE445" s="748"/>
      <c r="AF445" s="741">
        <v>-207.98999999999998</v>
      </c>
      <c r="AG445" s="742"/>
      <c r="AH445" s="743">
        <v>-443.20156215130544</v>
      </c>
      <c r="AI445" s="744">
        <v>-1.8842677549422737</v>
      </c>
      <c r="AJ445" s="749"/>
      <c r="AK445" s="740"/>
      <c r="AL445" s="741">
        <v>102.99999999999999</v>
      </c>
      <c r="AM445" s="745"/>
      <c r="AN445" s="743">
        <v>-310.98999999999995</v>
      </c>
      <c r="AO445" s="751">
        <v>-3.0193203883495143</v>
      </c>
      <c r="AP445" s="489"/>
      <c r="AQ445" s="489"/>
      <c r="AR445" s="489"/>
      <c r="AS445" s="489"/>
      <c r="AT445" s="489"/>
      <c r="AU445" s="489"/>
      <c r="AV445" s="489"/>
      <c r="AW445" s="489"/>
      <c r="AX445" s="489"/>
      <c r="AY445" s="489"/>
      <c r="AZ445" s="489"/>
      <c r="BA445" s="489"/>
      <c r="BB445" s="489"/>
      <c r="BC445" s="489"/>
      <c r="BD445" s="489"/>
      <c r="BE445" s="489"/>
      <c r="BF445" s="489"/>
      <c r="BG445" s="489"/>
      <c r="BH445" s="489"/>
      <c r="BI445" s="489"/>
      <c r="BJ445" s="489"/>
    </row>
    <row r="446" spans="1:62" ht="15.75" customHeight="1">
      <c r="A446" s="477" t="s">
        <v>61</v>
      </c>
      <c r="B446" s="486"/>
      <c r="C446" s="714" t="s">
        <v>227</v>
      </c>
      <c r="T446" s="489"/>
      <c r="U446" s="489"/>
      <c r="V446" s="576" t="s">
        <v>61</v>
      </c>
      <c r="W446" s="747" t="s">
        <v>159</v>
      </c>
      <c r="X446" s="740"/>
      <c r="Y446" s="748"/>
      <c r="Z446" s="741">
        <v>720.38919864980562</v>
      </c>
      <c r="AA446" s="740"/>
      <c r="AB446" s="748"/>
      <c r="AC446" s="741"/>
      <c r="AD446" s="749"/>
      <c r="AE446" s="748"/>
      <c r="AF446" s="741">
        <v>196</v>
      </c>
      <c r="AG446" s="742"/>
      <c r="AH446" s="743">
        <v>-524.38919864980562</v>
      </c>
      <c r="AI446" s="767">
        <v>-0.72792484900196397</v>
      </c>
      <c r="AJ446" s="749"/>
      <c r="AK446" s="740"/>
      <c r="AL446" s="741">
        <v>589.04</v>
      </c>
      <c r="AM446" s="745"/>
      <c r="AN446" s="743">
        <v>-393.03999999999996</v>
      </c>
      <c r="AO446" s="751">
        <v>-0.66725519489338581</v>
      </c>
      <c r="AP446" s="489"/>
      <c r="AQ446" s="489"/>
      <c r="AR446" s="489"/>
      <c r="AS446" s="489"/>
      <c r="AT446" s="489"/>
      <c r="AU446" s="489"/>
      <c r="AV446" s="489"/>
      <c r="AW446" s="489"/>
      <c r="AX446" s="489"/>
      <c r="AY446" s="489"/>
      <c r="AZ446" s="489"/>
      <c r="BA446" s="489"/>
      <c r="BB446" s="489"/>
      <c r="BC446" s="489"/>
      <c r="BD446" s="489"/>
      <c r="BE446" s="489"/>
      <c r="BF446" s="489"/>
      <c r="BG446" s="489"/>
      <c r="BH446" s="489"/>
      <c r="BI446" s="489"/>
      <c r="BJ446" s="489"/>
    </row>
    <row r="447" spans="1:62" ht="15.75" customHeight="1">
      <c r="A447" s="477" t="s">
        <v>62</v>
      </c>
      <c r="B447" s="486"/>
      <c r="C447" s="714" t="s">
        <v>227</v>
      </c>
      <c r="T447" s="489"/>
      <c r="U447" s="489"/>
      <c r="V447" s="576" t="s">
        <v>62</v>
      </c>
      <c r="W447" s="747" t="s">
        <v>160</v>
      </c>
      <c r="X447" s="740"/>
      <c r="Y447" s="748"/>
      <c r="Z447" s="741">
        <v>5774.1370435507661</v>
      </c>
      <c r="AA447" s="740"/>
      <c r="AB447" s="748"/>
      <c r="AC447" s="741"/>
      <c r="AD447" s="749"/>
      <c r="AE447" s="748"/>
      <c r="AF447" s="741">
        <v>5885.7999999999993</v>
      </c>
      <c r="AG447" s="742"/>
      <c r="AH447" s="743">
        <v>111.66295644923321</v>
      </c>
      <c r="AI447" s="744">
        <v>1.9338466615362291E-2</v>
      </c>
      <c r="AJ447" s="749"/>
      <c r="AK447" s="740"/>
      <c r="AL447" s="741">
        <v>6583.58</v>
      </c>
      <c r="AM447" s="745"/>
      <c r="AN447" s="743">
        <v>-697.78000000000065</v>
      </c>
      <c r="AO447" s="751">
        <v>-0.10598792754094287</v>
      </c>
      <c r="AQ447" s="489"/>
      <c r="AR447" s="489"/>
      <c r="AS447" s="489"/>
      <c r="AT447" s="489"/>
      <c r="AU447" s="489"/>
      <c r="AV447" s="489"/>
      <c r="AW447" s="489"/>
      <c r="AX447" s="489"/>
      <c r="AY447" s="489"/>
      <c r="AZ447" s="489"/>
      <c r="BA447" s="489"/>
      <c r="BB447" s="489"/>
      <c r="BC447" s="489"/>
      <c r="BD447" s="489"/>
      <c r="BE447" s="489"/>
      <c r="BF447" s="489"/>
      <c r="BG447" s="489"/>
      <c r="BH447" s="489"/>
      <c r="BI447" s="489"/>
      <c r="BJ447" s="489"/>
    </row>
    <row r="448" spans="1:62" ht="15.75" customHeight="1">
      <c r="A448" s="477" t="s">
        <v>63</v>
      </c>
      <c r="B448" s="486"/>
      <c r="C448" s="714" t="s">
        <v>227</v>
      </c>
      <c r="T448" s="489"/>
      <c r="U448" s="489"/>
      <c r="V448" s="576" t="s">
        <v>63</v>
      </c>
      <c r="W448" s="747" t="s">
        <v>161</v>
      </c>
      <c r="X448" s="740"/>
      <c r="Y448" s="766">
        <v>1.292983894054131E-3</v>
      </c>
      <c r="Z448" s="741">
        <v>8126.212895296856</v>
      </c>
      <c r="AA448" s="740"/>
      <c r="AB448" s="748"/>
      <c r="AC448" s="741"/>
      <c r="AD448" s="749"/>
      <c r="AE448" s="748"/>
      <c r="AF448" s="741">
        <v>8670.7100000000009</v>
      </c>
      <c r="AG448" s="742"/>
      <c r="AH448" s="743">
        <v>544.49710470314494</v>
      </c>
      <c r="AI448" s="744">
        <v>6.7005025799690685E-2</v>
      </c>
      <c r="AJ448" s="749"/>
      <c r="AK448" s="740"/>
      <c r="AL448" s="741">
        <v>8293.56</v>
      </c>
      <c r="AM448" s="745"/>
      <c r="AN448" s="743">
        <v>377.15000000000146</v>
      </c>
      <c r="AO448" s="751">
        <v>4.5475043286598453E-2</v>
      </c>
      <c r="AQ448" s="489"/>
      <c r="AR448" s="489"/>
      <c r="AS448" s="489"/>
      <c r="AT448" s="489"/>
      <c r="AU448" s="489"/>
      <c r="AV448" s="489"/>
      <c r="AW448" s="489"/>
      <c r="AX448" s="489"/>
      <c r="AY448" s="489"/>
      <c r="AZ448" s="489"/>
      <c r="BA448" s="489"/>
      <c r="BB448" s="489"/>
      <c r="BC448" s="489"/>
      <c r="BD448" s="489"/>
      <c r="BE448" s="489"/>
      <c r="BF448" s="489"/>
      <c r="BG448" s="489"/>
      <c r="BH448" s="489"/>
      <c r="BI448" s="489"/>
      <c r="BJ448" s="489"/>
    </row>
    <row r="449" spans="1:62" ht="15.75" hidden="1" customHeight="1">
      <c r="A449" s="477" t="s">
        <v>20</v>
      </c>
      <c r="B449" s="486"/>
      <c r="C449" s="714" t="s">
        <v>227</v>
      </c>
      <c r="T449" s="489"/>
      <c r="U449" s="489"/>
      <c r="V449" s="576" t="s">
        <v>20</v>
      </c>
      <c r="W449" s="747"/>
      <c r="X449" s="740"/>
      <c r="Y449" s="748"/>
      <c r="Z449" s="741">
        <v>0</v>
      </c>
      <c r="AA449" s="740"/>
      <c r="AB449" s="740"/>
      <c r="AC449" s="741"/>
      <c r="AD449" s="749"/>
      <c r="AE449" s="748"/>
      <c r="AF449" s="741">
        <v>0</v>
      </c>
      <c r="AG449" s="742"/>
      <c r="AH449" s="743">
        <v>0</v>
      </c>
      <c r="AI449" s="744">
        <v>0</v>
      </c>
      <c r="AJ449" s="749"/>
      <c r="AK449" s="740"/>
      <c r="AL449" s="741">
        <v>0</v>
      </c>
      <c r="AM449" s="745"/>
      <c r="AN449" s="743">
        <v>0</v>
      </c>
      <c r="AO449" s="751">
        <v>0</v>
      </c>
      <c r="AP449" s="489"/>
      <c r="AQ449" s="489"/>
      <c r="AR449" s="489"/>
      <c r="AS449" s="489"/>
      <c r="AT449" s="489"/>
      <c r="AU449" s="489"/>
      <c r="AV449" s="489"/>
      <c r="AW449" s="489"/>
      <c r="AX449" s="489"/>
      <c r="AY449" s="489"/>
      <c r="AZ449" s="489"/>
      <c r="BA449" s="489"/>
      <c r="BB449" s="489"/>
      <c r="BC449" s="489"/>
      <c r="BD449" s="489"/>
      <c r="BE449" s="489"/>
      <c r="BF449" s="489"/>
      <c r="BG449" s="489"/>
      <c r="BH449" s="489"/>
      <c r="BI449" s="489"/>
      <c r="BJ449" s="489"/>
    </row>
    <row r="450" spans="1:62" ht="15.75" hidden="1" customHeight="1">
      <c r="A450" s="477" t="s">
        <v>20</v>
      </c>
      <c r="B450" s="486"/>
      <c r="C450" s="714" t="s">
        <v>227</v>
      </c>
      <c r="T450" s="489"/>
      <c r="U450" s="489"/>
      <c r="V450" s="576" t="s">
        <v>20</v>
      </c>
      <c r="W450" s="747"/>
      <c r="X450" s="740"/>
      <c r="Y450" s="748"/>
      <c r="Z450" s="741">
        <v>0</v>
      </c>
      <c r="AA450" s="740"/>
      <c r="AB450" s="740"/>
      <c r="AC450" s="741"/>
      <c r="AD450" s="749"/>
      <c r="AE450" s="748"/>
      <c r="AF450" s="741">
        <v>0</v>
      </c>
      <c r="AG450" s="742"/>
      <c r="AH450" s="743">
        <v>0</v>
      </c>
      <c r="AI450" s="744">
        <v>0</v>
      </c>
      <c r="AJ450" s="749"/>
      <c r="AK450" s="740"/>
      <c r="AL450" s="741">
        <v>0</v>
      </c>
      <c r="AM450" s="745"/>
      <c r="AN450" s="743">
        <v>0</v>
      </c>
      <c r="AO450" s="751">
        <v>0</v>
      </c>
      <c r="AP450" s="489"/>
      <c r="AQ450" s="489"/>
      <c r="AR450" s="489"/>
      <c r="AS450" s="489"/>
      <c r="AT450" s="489"/>
      <c r="AU450" s="489"/>
      <c r="AV450" s="489"/>
      <c r="AW450" s="489"/>
      <c r="AX450" s="489"/>
      <c r="AY450" s="489"/>
      <c r="AZ450" s="489"/>
      <c r="BA450" s="489"/>
      <c r="BB450" s="489"/>
      <c r="BC450" s="489"/>
      <c r="BD450" s="489"/>
      <c r="BE450" s="489"/>
      <c r="BF450" s="489"/>
      <c r="BG450" s="489"/>
      <c r="BH450" s="489"/>
      <c r="BI450" s="489"/>
      <c r="BJ450" s="489"/>
    </row>
    <row r="451" spans="1:62" ht="15.75" hidden="1" customHeight="1">
      <c r="A451" s="477" t="s">
        <v>20</v>
      </c>
      <c r="B451" s="486"/>
      <c r="C451" s="714" t="s">
        <v>227</v>
      </c>
      <c r="T451" s="489"/>
      <c r="U451" s="489"/>
      <c r="V451" s="576" t="s">
        <v>20</v>
      </c>
      <c r="W451" s="747"/>
      <c r="X451" s="740"/>
      <c r="Y451" s="748"/>
      <c r="Z451" s="741">
        <v>0</v>
      </c>
      <c r="AA451" s="740"/>
      <c r="AB451" s="740"/>
      <c r="AC451" s="741"/>
      <c r="AD451" s="749"/>
      <c r="AE451" s="748"/>
      <c r="AF451" s="741">
        <v>0</v>
      </c>
      <c r="AG451" s="742"/>
      <c r="AH451" s="743">
        <v>0</v>
      </c>
      <c r="AI451" s="744">
        <v>0</v>
      </c>
      <c r="AJ451" s="749"/>
      <c r="AK451" s="740"/>
      <c r="AL451" s="741">
        <v>0</v>
      </c>
      <c r="AM451" s="745"/>
      <c r="AN451" s="743">
        <v>0</v>
      </c>
      <c r="AO451" s="751">
        <v>0</v>
      </c>
      <c r="AP451" s="489"/>
      <c r="AQ451" s="489"/>
      <c r="AR451" s="489"/>
      <c r="AS451" s="489"/>
      <c r="AT451" s="489"/>
      <c r="AU451" s="489"/>
      <c r="AV451" s="489"/>
      <c r="AW451" s="489"/>
      <c r="AX451" s="489"/>
      <c r="AY451" s="489"/>
      <c r="AZ451" s="489"/>
      <c r="BA451" s="489"/>
      <c r="BB451" s="489"/>
      <c r="BC451" s="489"/>
      <c r="BD451" s="489"/>
      <c r="BE451" s="489"/>
      <c r="BF451" s="489"/>
      <c r="BG451" s="489"/>
      <c r="BH451" s="489"/>
      <c r="BI451" s="489"/>
      <c r="BJ451" s="489"/>
    </row>
    <row r="452" spans="1:62" ht="15.75" customHeight="1">
      <c r="A452" s="477" t="s">
        <v>64</v>
      </c>
      <c r="B452" s="486"/>
      <c r="C452" s="714" t="s">
        <v>227</v>
      </c>
      <c r="T452" s="489"/>
      <c r="U452" s="489"/>
      <c r="V452" s="757" t="s">
        <v>64</v>
      </c>
      <c r="W452" s="781"/>
      <c r="X452" s="759">
        <v>0.17230118733803457</v>
      </c>
      <c r="Y452" s="758"/>
      <c r="Z452" s="760">
        <v>123611.16202551892</v>
      </c>
      <c r="AA452" s="759"/>
      <c r="AB452" s="758"/>
      <c r="AC452" s="760"/>
      <c r="AD452" s="761">
        <v>0.17240064210657993</v>
      </c>
      <c r="AE452" s="758"/>
      <c r="AF452" s="760">
        <v>134049.59</v>
      </c>
      <c r="AG452" s="782"/>
      <c r="AH452" s="783">
        <v>10438.427974481068</v>
      </c>
      <c r="AI452" s="759">
        <v>8.4445674673991875E-2</v>
      </c>
      <c r="AJ452" s="761">
        <v>0.18671790160028268</v>
      </c>
      <c r="AK452" s="759"/>
      <c r="AL452" s="760">
        <v>124525.41</v>
      </c>
      <c r="AM452" s="769"/>
      <c r="AN452" s="763">
        <v>9524.1800000000021</v>
      </c>
      <c r="AO452" s="784">
        <v>7.6483827678222482E-2</v>
      </c>
      <c r="AP452" s="489"/>
      <c r="AQ452" s="489"/>
      <c r="AR452" s="489"/>
      <c r="AS452" s="489"/>
      <c r="AT452" s="489"/>
      <c r="AU452" s="489"/>
      <c r="AV452" s="489"/>
      <c r="AW452" s="489"/>
      <c r="AX452" s="489"/>
      <c r="AY452" s="489"/>
      <c r="AZ452" s="489"/>
      <c r="BA452" s="489"/>
      <c r="BB452" s="489"/>
      <c r="BC452" s="489"/>
      <c r="BD452" s="489"/>
      <c r="BE452" s="489"/>
      <c r="BF452" s="489"/>
      <c r="BG452" s="489"/>
      <c r="BH452" s="489"/>
      <c r="BI452" s="489"/>
      <c r="BJ452" s="489"/>
    </row>
    <row r="453" spans="1:62" ht="15.75" customHeight="1">
      <c r="A453" s="477" t="s">
        <v>162</v>
      </c>
      <c r="B453" s="486"/>
      <c r="C453" s="714" t="s">
        <v>227</v>
      </c>
      <c r="D453" s="489"/>
      <c r="E453" s="489"/>
      <c r="F453" s="489"/>
      <c r="G453" s="489"/>
      <c r="H453" s="489"/>
      <c r="I453" s="489"/>
      <c r="J453" s="489"/>
      <c r="K453" s="489"/>
      <c r="L453" s="489"/>
      <c r="M453" s="489"/>
      <c r="N453" s="489"/>
      <c r="O453" s="489"/>
      <c r="P453" s="489"/>
      <c r="Q453" s="489"/>
      <c r="R453" s="489"/>
      <c r="S453" s="489"/>
      <c r="T453" s="489"/>
      <c r="U453" s="489"/>
      <c r="V453" s="576" t="s">
        <v>162</v>
      </c>
      <c r="W453" s="747" t="s">
        <v>163</v>
      </c>
      <c r="X453" s="740"/>
      <c r="Y453" s="748"/>
      <c r="Z453" s="741">
        <v>36000</v>
      </c>
      <c r="AA453" s="740"/>
      <c r="AB453" s="748"/>
      <c r="AC453" s="741"/>
      <c r="AD453" s="749"/>
      <c r="AE453" s="748"/>
      <c r="AF453" s="741">
        <v>36000</v>
      </c>
      <c r="AG453" s="742"/>
      <c r="AH453" s="743">
        <v>0</v>
      </c>
      <c r="AI453" s="744">
        <v>0</v>
      </c>
      <c r="AJ453" s="749"/>
      <c r="AK453" s="740"/>
      <c r="AL453" s="741">
        <v>36000</v>
      </c>
      <c r="AM453" s="745"/>
      <c r="AN453" s="743">
        <v>0</v>
      </c>
      <c r="AO453" s="751">
        <v>0</v>
      </c>
      <c r="AP453" s="489"/>
      <c r="AQ453" s="489"/>
      <c r="AR453" s="489"/>
      <c r="AS453" s="489"/>
      <c r="AT453" s="489"/>
      <c r="AU453" s="489"/>
      <c r="AV453" s="489"/>
      <c r="AW453" s="489"/>
      <c r="AX453" s="489"/>
      <c r="AY453" s="489"/>
      <c r="AZ453" s="489"/>
      <c r="BA453" s="489"/>
      <c r="BB453" s="489"/>
      <c r="BC453" s="489"/>
      <c r="BD453" s="489"/>
      <c r="BE453" s="489"/>
      <c r="BF453" s="489"/>
      <c r="BG453" s="489"/>
      <c r="BH453" s="489"/>
      <c r="BI453" s="489"/>
      <c r="BJ453" s="489"/>
    </row>
    <row r="454" spans="1:62" ht="15.75" customHeight="1">
      <c r="A454" s="477" t="s">
        <v>164</v>
      </c>
      <c r="B454" s="486"/>
      <c r="C454" s="714" t="s">
        <v>227</v>
      </c>
      <c r="D454" s="489"/>
      <c r="E454" s="489"/>
      <c r="F454" s="489"/>
      <c r="G454" s="489"/>
      <c r="H454" s="489"/>
      <c r="I454" s="489"/>
      <c r="J454" s="489"/>
      <c r="K454" s="489"/>
      <c r="L454" s="489"/>
      <c r="M454" s="489"/>
      <c r="N454" s="489"/>
      <c r="O454" s="489"/>
      <c r="P454" s="489"/>
      <c r="Q454" s="489"/>
      <c r="R454" s="489"/>
      <c r="S454" s="489"/>
      <c r="T454" s="489"/>
      <c r="U454" s="489"/>
      <c r="V454" s="576" t="s">
        <v>164</v>
      </c>
      <c r="W454" s="747" t="s">
        <v>165</v>
      </c>
      <c r="X454" s="740"/>
      <c r="Y454" s="748"/>
      <c r="Z454" s="741">
        <v>5423.4400000000005</v>
      </c>
      <c r="AA454" s="740"/>
      <c r="AB454" s="748"/>
      <c r="AC454" s="741"/>
      <c r="AD454" s="749"/>
      <c r="AE454" s="748"/>
      <c r="AF454" s="741">
        <v>5423</v>
      </c>
      <c r="AG454" s="742"/>
      <c r="AH454" s="743">
        <v>-0.44000000000050932</v>
      </c>
      <c r="AI454" s="744">
        <v>-8.1129320136391167E-5</v>
      </c>
      <c r="AJ454" s="749"/>
      <c r="AK454" s="740"/>
      <c r="AL454" s="741">
        <v>5177</v>
      </c>
      <c r="AM454" s="745"/>
      <c r="AN454" s="743">
        <v>246</v>
      </c>
      <c r="AO454" s="751">
        <v>4.7517867490824803E-2</v>
      </c>
      <c r="AP454" s="489"/>
      <c r="AQ454" s="489"/>
      <c r="AR454" s="489"/>
      <c r="AS454" s="489"/>
      <c r="AT454" s="489"/>
      <c r="AU454" s="489"/>
      <c r="AV454" s="489"/>
      <c r="AW454" s="489"/>
      <c r="AX454" s="489"/>
      <c r="AY454" s="489"/>
      <c r="AZ454" s="489"/>
      <c r="BA454" s="489"/>
      <c r="BB454" s="489"/>
      <c r="BC454" s="489"/>
      <c r="BD454" s="489"/>
      <c r="BE454" s="489"/>
      <c r="BF454" s="489"/>
      <c r="BG454" s="489"/>
      <c r="BH454" s="489"/>
      <c r="BI454" s="489"/>
      <c r="BJ454" s="489"/>
    </row>
    <row r="455" spans="1:62" ht="15.75" customHeight="1">
      <c r="A455" s="477" t="s">
        <v>166</v>
      </c>
      <c r="B455" s="486"/>
      <c r="C455" s="714" t="s">
        <v>227</v>
      </c>
      <c r="D455" s="489"/>
      <c r="E455" s="489"/>
      <c r="F455" s="489"/>
      <c r="G455" s="489"/>
      <c r="H455" s="489"/>
      <c r="I455" s="489"/>
      <c r="J455" s="489"/>
      <c r="K455" s="489"/>
      <c r="L455" s="489"/>
      <c r="M455" s="489"/>
      <c r="N455" s="489"/>
      <c r="O455" s="489"/>
      <c r="P455" s="489"/>
      <c r="Q455" s="489"/>
      <c r="R455" s="489"/>
      <c r="S455" s="489"/>
      <c r="T455" s="489"/>
      <c r="U455" s="489"/>
      <c r="V455" s="578" t="s">
        <v>166</v>
      </c>
      <c r="W455" s="752" t="s">
        <v>167</v>
      </c>
      <c r="X455" s="723"/>
      <c r="Y455" s="753"/>
      <c r="Z455" s="724">
        <v>3608.8800000000006</v>
      </c>
      <c r="AA455" s="723"/>
      <c r="AB455" s="753"/>
      <c r="AC455" s="724"/>
      <c r="AD455" s="754"/>
      <c r="AE455" s="753"/>
      <c r="AF455" s="724">
        <v>3609</v>
      </c>
      <c r="AG455" s="725"/>
      <c r="AH455" s="726">
        <v>0.11999999999943611</v>
      </c>
      <c r="AI455" s="755">
        <v>3.3251313426724106E-5</v>
      </c>
      <c r="AJ455" s="754"/>
      <c r="AK455" s="723"/>
      <c r="AL455" s="724">
        <v>3726.28</v>
      </c>
      <c r="AM455" s="728"/>
      <c r="AN455" s="726">
        <v>-117.2800000000002</v>
      </c>
      <c r="AO455" s="729">
        <v>-3.1473748617924631E-2</v>
      </c>
      <c r="AP455" s="489"/>
      <c r="AQ455" s="489"/>
      <c r="AR455" s="489"/>
      <c r="AS455" s="489"/>
      <c r="AT455" s="489"/>
      <c r="AU455" s="489"/>
      <c r="AV455" s="489"/>
      <c r="AW455" s="489"/>
      <c r="AX455" s="489"/>
      <c r="AY455" s="489"/>
      <c r="AZ455" s="489"/>
      <c r="BA455" s="489"/>
      <c r="BB455" s="489"/>
      <c r="BC455" s="489"/>
      <c r="BD455" s="489"/>
      <c r="BE455" s="489"/>
      <c r="BF455" s="489"/>
      <c r="BG455" s="489"/>
      <c r="BH455" s="489"/>
      <c r="BI455" s="489"/>
      <c r="BJ455" s="489"/>
    </row>
    <row r="456" spans="1:62" ht="15.75" customHeight="1">
      <c r="A456" s="477" t="s">
        <v>168</v>
      </c>
      <c r="B456" s="486"/>
      <c r="C456" s="714" t="s">
        <v>227</v>
      </c>
      <c r="D456" s="489"/>
      <c r="E456" s="489"/>
      <c r="F456" s="489"/>
      <c r="G456" s="489"/>
      <c r="H456" s="489"/>
      <c r="I456" s="489"/>
      <c r="J456" s="489"/>
      <c r="K456" s="489"/>
      <c r="L456" s="489"/>
      <c r="M456" s="489"/>
      <c r="N456" s="489"/>
      <c r="O456" s="489"/>
      <c r="P456" s="489"/>
      <c r="Q456" s="489"/>
      <c r="R456" s="489"/>
      <c r="S456" s="489"/>
      <c r="T456" s="489"/>
      <c r="U456" s="489"/>
      <c r="V456" s="576" t="s">
        <v>168</v>
      </c>
      <c r="W456" s="747"/>
      <c r="X456" s="740"/>
      <c r="Y456" s="748"/>
      <c r="Z456" s="741">
        <v>0</v>
      </c>
      <c r="AA456" s="740"/>
      <c r="AB456" s="748"/>
      <c r="AC456" s="741"/>
      <c r="AD456" s="749"/>
      <c r="AE456" s="748"/>
      <c r="AF456" s="741">
        <v>0</v>
      </c>
      <c r="AG456" s="742"/>
      <c r="AH456" s="743">
        <v>0</v>
      </c>
      <c r="AI456" s="744">
        <v>0</v>
      </c>
      <c r="AJ456" s="749"/>
      <c r="AK456" s="740"/>
      <c r="AL456" s="741">
        <v>0</v>
      </c>
      <c r="AM456" s="745"/>
      <c r="AN456" s="743">
        <v>0</v>
      </c>
      <c r="AO456" s="751">
        <v>0</v>
      </c>
      <c r="AP456" s="489"/>
      <c r="AQ456" s="489"/>
      <c r="AR456" s="489"/>
      <c r="AS456" s="489"/>
      <c r="AT456" s="489"/>
      <c r="AU456" s="489"/>
      <c r="AV456" s="489"/>
      <c r="AW456" s="489"/>
      <c r="AX456" s="489"/>
      <c r="AY456" s="489"/>
      <c r="AZ456" s="489"/>
      <c r="BA456" s="489"/>
      <c r="BB456" s="489"/>
      <c r="BC456" s="489"/>
      <c r="BD456" s="489"/>
      <c r="BE456" s="489"/>
      <c r="BF456" s="489"/>
      <c r="BG456" s="489"/>
      <c r="BH456" s="489"/>
      <c r="BI456" s="489"/>
      <c r="BJ456" s="489"/>
    </row>
    <row r="457" spans="1:62" ht="15.75" customHeight="1">
      <c r="A457" s="477" t="s">
        <v>169</v>
      </c>
      <c r="B457" s="486"/>
      <c r="C457" s="714" t="s">
        <v>227</v>
      </c>
      <c r="D457" s="489"/>
      <c r="E457" s="489"/>
      <c r="F457" s="489"/>
      <c r="G457" s="489"/>
      <c r="H457" s="489"/>
      <c r="I457" s="489"/>
      <c r="J457" s="489"/>
      <c r="K457" s="489"/>
      <c r="L457" s="489"/>
      <c r="M457" s="489"/>
      <c r="N457" s="489"/>
      <c r="O457" s="489"/>
      <c r="P457" s="489"/>
      <c r="Q457" s="489"/>
      <c r="R457" s="489"/>
      <c r="S457" s="489"/>
      <c r="T457" s="489"/>
      <c r="U457" s="489"/>
      <c r="V457" s="578" t="s">
        <v>169</v>
      </c>
      <c r="W457" s="752" t="s">
        <v>170</v>
      </c>
      <c r="X457" s="723"/>
      <c r="Y457" s="753"/>
      <c r="Z457" s="724">
        <v>4344.25</v>
      </c>
      <c r="AA457" s="723"/>
      <c r="AB457" s="753"/>
      <c r="AC457" s="724"/>
      <c r="AD457" s="754"/>
      <c r="AE457" s="753"/>
      <c r="AF457" s="724">
        <v>4344.25</v>
      </c>
      <c r="AG457" s="725"/>
      <c r="AH457" s="726">
        <v>0</v>
      </c>
      <c r="AI457" s="755">
        <v>0</v>
      </c>
      <c r="AJ457" s="754"/>
      <c r="AK457" s="723"/>
      <c r="AL457" s="724">
        <v>3893.08</v>
      </c>
      <c r="AM457" s="728"/>
      <c r="AN457" s="726">
        <v>451.17000000000007</v>
      </c>
      <c r="AO457" s="729">
        <v>0.11589024628314858</v>
      </c>
      <c r="AP457" s="489"/>
      <c r="AQ457" s="489"/>
      <c r="AR457" s="489"/>
      <c r="AS457" s="489"/>
      <c r="AT457" s="489"/>
      <c r="AU457" s="489"/>
      <c r="AV457" s="489"/>
      <c r="AW457" s="489"/>
      <c r="AX457" s="489"/>
      <c r="AY457" s="489"/>
      <c r="AZ457" s="489"/>
      <c r="BA457" s="489"/>
      <c r="BB457" s="489"/>
      <c r="BC457" s="489"/>
      <c r="BD457" s="489"/>
      <c r="BE457" s="489"/>
      <c r="BF457" s="489"/>
      <c r="BG457" s="489"/>
      <c r="BH457" s="489"/>
      <c r="BI457" s="489"/>
      <c r="BJ457" s="489"/>
    </row>
    <row r="458" spans="1:62" ht="15.75" customHeight="1">
      <c r="A458" s="477" t="s">
        <v>171</v>
      </c>
      <c r="B458" s="486"/>
      <c r="C458" s="714" t="s">
        <v>227</v>
      </c>
      <c r="D458" s="489"/>
      <c r="E458" s="489"/>
      <c r="F458" s="489"/>
      <c r="G458" s="489"/>
      <c r="H458" s="489"/>
      <c r="I458" s="489"/>
      <c r="J458" s="489"/>
      <c r="K458" s="489"/>
      <c r="L458" s="489"/>
      <c r="M458" s="489"/>
      <c r="N458" s="489"/>
      <c r="O458" s="489"/>
      <c r="P458" s="489"/>
      <c r="Q458" s="489"/>
      <c r="R458" s="489"/>
      <c r="S458" s="489"/>
      <c r="T458" s="489"/>
      <c r="U458" s="489"/>
      <c r="V458" s="576" t="s">
        <v>171</v>
      </c>
      <c r="W458" s="747" t="s">
        <v>172</v>
      </c>
      <c r="X458" s="785"/>
      <c r="Y458" s="786"/>
      <c r="Z458" s="741">
        <v>3700</v>
      </c>
      <c r="AA458" s="785"/>
      <c r="AB458" s="786"/>
      <c r="AC458" s="741"/>
      <c r="AD458" s="749"/>
      <c r="AE458" s="748"/>
      <c r="AF458" s="787">
        <v>4921.3999999999996</v>
      </c>
      <c r="AG458" s="742"/>
      <c r="AH458" s="743">
        <v>1221.3999999999996</v>
      </c>
      <c r="AI458" s="744">
        <v>0.33010810810810803</v>
      </c>
      <c r="AJ458" s="749"/>
      <c r="AK458" s="740"/>
      <c r="AL458" s="741">
        <v>4087.0299999999902</v>
      </c>
      <c r="AM458" s="745"/>
      <c r="AN458" s="743">
        <v>834.37000000000944</v>
      </c>
      <c r="AO458" s="751">
        <v>0.2041506913333182</v>
      </c>
      <c r="AP458" s="489"/>
      <c r="AQ458" s="489"/>
      <c r="AR458" s="489"/>
      <c r="AS458" s="489"/>
      <c r="AT458" s="489"/>
      <c r="AU458" s="489"/>
      <c r="AV458" s="489"/>
      <c r="AW458" s="489"/>
      <c r="AX458" s="489"/>
      <c r="AY458" s="489"/>
      <c r="AZ458" s="489"/>
      <c r="BA458" s="489"/>
      <c r="BB458" s="489"/>
      <c r="BC458" s="489"/>
      <c r="BD458" s="489"/>
      <c r="BE458" s="489"/>
      <c r="BF458" s="489"/>
      <c r="BG458" s="489"/>
      <c r="BH458" s="489"/>
      <c r="BI458" s="489"/>
      <c r="BJ458" s="489"/>
    </row>
    <row r="459" spans="1:62" ht="15.75" customHeight="1">
      <c r="A459" s="477" t="s">
        <v>173</v>
      </c>
      <c r="B459" s="486"/>
      <c r="C459" s="714" t="s">
        <v>227</v>
      </c>
      <c r="D459" s="489"/>
      <c r="E459" s="489"/>
      <c r="F459" s="489"/>
      <c r="G459" s="489"/>
      <c r="H459" s="489"/>
      <c r="I459" s="489"/>
      <c r="J459" s="489"/>
      <c r="K459" s="489"/>
      <c r="L459" s="489"/>
      <c r="M459" s="489"/>
      <c r="N459" s="489"/>
      <c r="O459" s="489"/>
      <c r="P459" s="489"/>
      <c r="Q459" s="489"/>
      <c r="R459" s="489"/>
      <c r="S459" s="489"/>
      <c r="T459" s="489"/>
      <c r="U459" s="489"/>
      <c r="V459" s="576" t="s">
        <v>173</v>
      </c>
      <c r="W459" s="747" t="s">
        <v>174</v>
      </c>
      <c r="X459" s="740"/>
      <c r="Y459" s="748"/>
      <c r="Z459" s="741">
        <v>6784.05</v>
      </c>
      <c r="AA459" s="740"/>
      <c r="AB459" s="748"/>
      <c r="AC459" s="741"/>
      <c r="AD459" s="749"/>
      <c r="AE459" s="748"/>
      <c r="AF459" s="741">
        <v>10733.28</v>
      </c>
      <c r="AG459" s="742"/>
      <c r="AH459" s="743">
        <v>3949.2300000000005</v>
      </c>
      <c r="AI459" s="744">
        <v>0.58213456563557175</v>
      </c>
      <c r="AJ459" s="749"/>
      <c r="AK459" s="740"/>
      <c r="AL459" s="741">
        <v>7623.3299999999899</v>
      </c>
      <c r="AM459" s="745"/>
      <c r="AN459" s="743">
        <v>3109.9500000000107</v>
      </c>
      <c r="AO459" s="751">
        <v>0.40795164317955734</v>
      </c>
      <c r="AP459" s="489"/>
      <c r="AQ459" s="489"/>
      <c r="AR459" s="489"/>
      <c r="AS459" s="489"/>
      <c r="AT459" s="489"/>
      <c r="AU459" s="489"/>
      <c r="AV459" s="489"/>
      <c r="AW459" s="489"/>
      <c r="AX459" s="489"/>
      <c r="AY459" s="489"/>
      <c r="AZ459" s="489"/>
      <c r="BA459" s="489"/>
      <c r="BB459" s="489"/>
      <c r="BC459" s="489"/>
      <c r="BD459" s="489"/>
      <c r="BE459" s="489"/>
      <c r="BF459" s="489"/>
      <c r="BG459" s="489"/>
      <c r="BH459" s="489"/>
      <c r="BI459" s="489"/>
      <c r="BJ459" s="489"/>
    </row>
    <row r="460" spans="1:62" ht="15.75" customHeight="1">
      <c r="A460" s="477" t="s">
        <v>175</v>
      </c>
      <c r="B460" s="486"/>
      <c r="C460" s="714" t="s">
        <v>227</v>
      </c>
      <c r="D460" s="489"/>
      <c r="E460" s="489"/>
      <c r="F460" s="489"/>
      <c r="G460" s="489"/>
      <c r="H460" s="489"/>
      <c r="I460" s="489"/>
      <c r="J460" s="489"/>
      <c r="K460" s="489"/>
      <c r="L460" s="489"/>
      <c r="M460" s="489"/>
      <c r="N460" s="489"/>
      <c r="O460" s="489"/>
      <c r="P460" s="489"/>
      <c r="Q460" s="489"/>
      <c r="R460" s="489"/>
      <c r="S460" s="489"/>
      <c r="T460" s="489"/>
      <c r="U460" s="489"/>
      <c r="V460" s="578" t="s">
        <v>175</v>
      </c>
      <c r="W460" s="752" t="s">
        <v>176</v>
      </c>
      <c r="X460" s="723"/>
      <c r="Y460" s="753"/>
      <c r="Z460" s="724">
        <v>1364.5623407645369</v>
      </c>
      <c r="AA460" s="723"/>
      <c r="AB460" s="753"/>
      <c r="AC460" s="724"/>
      <c r="AD460" s="754"/>
      <c r="AE460" s="753"/>
      <c r="AF460" s="724">
        <v>764.9</v>
      </c>
      <c r="AG460" s="725"/>
      <c r="AH460" s="726">
        <v>-599.66234076453691</v>
      </c>
      <c r="AI460" s="755">
        <v>-0.43945397205418857</v>
      </c>
      <c r="AJ460" s="754"/>
      <c r="AK460" s="723"/>
      <c r="AL460" s="724">
        <v>274.05</v>
      </c>
      <c r="AM460" s="728"/>
      <c r="AN460" s="726">
        <v>490.84999999999997</v>
      </c>
      <c r="AO460" s="729">
        <v>1.791096515234446</v>
      </c>
      <c r="AP460" s="489"/>
      <c r="AQ460" s="489"/>
      <c r="AR460" s="489"/>
      <c r="AS460" s="489"/>
      <c r="AT460" s="489"/>
      <c r="AU460" s="489"/>
      <c r="AV460" s="489"/>
      <c r="AW460" s="489"/>
      <c r="AX460" s="489"/>
      <c r="AY460" s="489"/>
      <c r="AZ460" s="489"/>
      <c r="BA460" s="489"/>
      <c r="BB460" s="489"/>
      <c r="BC460" s="489"/>
      <c r="BD460" s="489"/>
      <c r="BE460" s="489"/>
      <c r="BF460" s="489"/>
      <c r="BG460" s="489"/>
      <c r="BH460" s="489"/>
      <c r="BI460" s="489"/>
      <c r="BJ460" s="489"/>
    </row>
    <row r="461" spans="1:62" ht="15.75" customHeight="1">
      <c r="A461" s="477" t="s">
        <v>177</v>
      </c>
      <c r="B461" s="486"/>
      <c r="C461" s="714" t="s">
        <v>227</v>
      </c>
      <c r="D461" s="489"/>
      <c r="E461" s="489"/>
      <c r="F461" s="489"/>
      <c r="G461" s="489"/>
      <c r="H461" s="489"/>
      <c r="I461" s="489"/>
      <c r="J461" s="489"/>
      <c r="K461" s="489"/>
      <c r="L461" s="489"/>
      <c r="M461" s="489"/>
      <c r="N461" s="489"/>
      <c r="O461" s="489"/>
      <c r="P461" s="489"/>
      <c r="Q461" s="489"/>
      <c r="R461" s="489"/>
      <c r="S461" s="489"/>
      <c r="T461" s="489"/>
      <c r="U461" s="788"/>
      <c r="V461" s="576" t="s">
        <v>177</v>
      </c>
      <c r="W461" s="747" t="s">
        <v>178</v>
      </c>
      <c r="X461" s="740"/>
      <c r="Y461" s="748"/>
      <c r="Z461" s="741">
        <v>1000</v>
      </c>
      <c r="AA461" s="740"/>
      <c r="AB461" s="748"/>
      <c r="AC461" s="741"/>
      <c r="AD461" s="749"/>
      <c r="AE461" s="748"/>
      <c r="AF461" s="741">
        <v>1794.64</v>
      </c>
      <c r="AG461" s="742"/>
      <c r="AH461" s="743">
        <v>794.6400000000001</v>
      </c>
      <c r="AI461" s="789">
        <v>0.79464000000000012</v>
      </c>
      <c r="AJ461" s="740"/>
      <c r="AK461" s="740"/>
      <c r="AL461" s="741">
        <v>897.64</v>
      </c>
      <c r="AM461" s="745"/>
      <c r="AN461" s="743">
        <v>897.00000000000011</v>
      </c>
      <c r="AO461" s="751">
        <v>0.99928701929504049</v>
      </c>
      <c r="AP461" s="489"/>
      <c r="AQ461" s="489"/>
      <c r="AR461" s="489"/>
      <c r="AS461" s="489"/>
      <c r="AT461" s="489"/>
      <c r="AU461" s="489"/>
      <c r="AV461" s="489"/>
      <c r="AW461" s="489"/>
      <c r="AX461" s="489"/>
      <c r="AY461" s="489"/>
      <c r="AZ461" s="489"/>
      <c r="BA461" s="489"/>
      <c r="BB461" s="489"/>
      <c r="BC461" s="489"/>
      <c r="BD461" s="489"/>
      <c r="BE461" s="489"/>
      <c r="BF461" s="489"/>
      <c r="BG461" s="489"/>
      <c r="BH461" s="489"/>
      <c r="BI461" s="489"/>
      <c r="BJ461" s="489"/>
    </row>
    <row r="462" spans="1:62" ht="15.75" customHeight="1">
      <c r="A462" s="477" t="s">
        <v>179</v>
      </c>
      <c r="B462" s="486"/>
      <c r="C462" s="714" t="s">
        <v>227</v>
      </c>
      <c r="D462" s="489"/>
      <c r="E462" s="489"/>
      <c r="F462" s="489"/>
      <c r="G462" s="489"/>
      <c r="H462" s="489"/>
      <c r="I462" s="489"/>
      <c r="J462" s="489"/>
      <c r="K462" s="489"/>
      <c r="L462" s="489"/>
      <c r="M462" s="489"/>
      <c r="N462" s="489"/>
      <c r="O462" s="489"/>
      <c r="P462" s="489"/>
      <c r="Q462" s="489"/>
      <c r="R462" s="489"/>
      <c r="S462" s="489"/>
      <c r="T462" s="489"/>
      <c r="U462" s="788"/>
      <c r="V462" s="576" t="s">
        <v>179</v>
      </c>
      <c r="W462" s="747" t="s">
        <v>180</v>
      </c>
      <c r="X462" s="740"/>
      <c r="Y462" s="748"/>
      <c r="Z462" s="741">
        <v>0</v>
      </c>
      <c r="AA462" s="740"/>
      <c r="AB462" s="748"/>
      <c r="AC462" s="741"/>
      <c r="AD462" s="749"/>
      <c r="AE462" s="748"/>
      <c r="AF462" s="741">
        <v>0</v>
      </c>
      <c r="AG462" s="742"/>
      <c r="AH462" s="743">
        <v>0</v>
      </c>
      <c r="AI462" s="767">
        <v>0</v>
      </c>
      <c r="AJ462" s="740"/>
      <c r="AK462" s="740"/>
      <c r="AL462" s="741">
        <v>0</v>
      </c>
      <c r="AM462" s="745"/>
      <c r="AN462" s="743">
        <v>0</v>
      </c>
      <c r="AO462" s="751">
        <v>0</v>
      </c>
      <c r="AP462" s="489"/>
      <c r="AQ462" s="489"/>
      <c r="AR462" s="489"/>
      <c r="AS462" s="489"/>
      <c r="AT462" s="489"/>
      <c r="AU462" s="489"/>
      <c r="AV462" s="489"/>
      <c r="AW462" s="489"/>
      <c r="AX462" s="489"/>
      <c r="AY462" s="489"/>
      <c r="AZ462" s="489"/>
      <c r="BA462" s="489"/>
      <c r="BB462" s="489"/>
      <c r="BC462" s="489"/>
      <c r="BD462" s="489"/>
      <c r="BE462" s="489"/>
      <c r="BF462" s="489"/>
      <c r="BG462" s="489"/>
      <c r="BH462" s="489"/>
      <c r="BI462" s="489"/>
      <c r="BJ462" s="489"/>
    </row>
    <row r="463" spans="1:62" ht="15.75" hidden="1" customHeight="1">
      <c r="A463" s="477" t="s">
        <v>20</v>
      </c>
      <c r="B463" s="486"/>
      <c r="C463" s="714" t="s">
        <v>227</v>
      </c>
      <c r="D463" s="489"/>
      <c r="E463" s="489"/>
      <c r="F463" s="489"/>
      <c r="G463" s="489"/>
      <c r="H463" s="489"/>
      <c r="I463" s="489"/>
      <c r="J463" s="489"/>
      <c r="K463" s="489"/>
      <c r="L463" s="489"/>
      <c r="M463" s="489"/>
      <c r="N463" s="489"/>
      <c r="O463" s="489"/>
      <c r="P463" s="489"/>
      <c r="Q463" s="489"/>
      <c r="R463" s="489"/>
      <c r="S463" s="489"/>
      <c r="T463" s="489"/>
      <c r="U463" s="788"/>
      <c r="V463" s="576" t="s">
        <v>20</v>
      </c>
      <c r="W463" s="747"/>
      <c r="X463" s="740"/>
      <c r="Y463" s="748"/>
      <c r="Z463" s="741">
        <v>0</v>
      </c>
      <c r="AA463" s="740"/>
      <c r="AB463" s="740"/>
      <c r="AC463" s="741"/>
      <c r="AD463" s="749"/>
      <c r="AE463" s="748"/>
      <c r="AF463" s="741">
        <v>0</v>
      </c>
      <c r="AG463" s="742"/>
      <c r="AH463" s="743">
        <v>0</v>
      </c>
      <c r="AI463" s="744">
        <v>0</v>
      </c>
      <c r="AJ463" s="749"/>
      <c r="AK463" s="740"/>
      <c r="AL463" s="741">
        <v>0</v>
      </c>
      <c r="AM463" s="745"/>
      <c r="AN463" s="743">
        <v>0</v>
      </c>
      <c r="AO463" s="751">
        <v>1</v>
      </c>
      <c r="AP463" s="489"/>
      <c r="AQ463" s="489"/>
      <c r="AR463" s="489"/>
      <c r="AS463" s="489"/>
      <c r="AT463" s="489"/>
      <c r="AU463" s="489"/>
      <c r="AV463" s="489"/>
      <c r="AW463" s="489"/>
      <c r="AX463" s="489"/>
      <c r="AY463" s="489"/>
      <c r="AZ463" s="489"/>
      <c r="BA463" s="489"/>
      <c r="BB463" s="489"/>
      <c r="BC463" s="489"/>
      <c r="BD463" s="489"/>
      <c r="BE463" s="489"/>
      <c r="BF463" s="489"/>
      <c r="BG463" s="489"/>
      <c r="BH463" s="489"/>
      <c r="BI463" s="489"/>
      <c r="BJ463" s="489"/>
    </row>
    <row r="464" spans="1:62" ht="15.75" hidden="1" customHeight="1">
      <c r="A464" s="477" t="s">
        <v>20</v>
      </c>
      <c r="B464" s="486"/>
      <c r="C464" s="714" t="s">
        <v>227</v>
      </c>
      <c r="D464" s="489"/>
      <c r="E464" s="489"/>
      <c r="F464" s="489"/>
      <c r="G464" s="489"/>
      <c r="H464" s="489"/>
      <c r="I464" s="489"/>
      <c r="J464" s="489"/>
      <c r="K464" s="489"/>
      <c r="L464" s="489"/>
      <c r="M464" s="489"/>
      <c r="N464" s="489"/>
      <c r="O464" s="489"/>
      <c r="P464" s="489"/>
      <c r="Q464" s="489"/>
      <c r="R464" s="489"/>
      <c r="S464" s="489"/>
      <c r="T464" s="489"/>
      <c r="U464" s="788"/>
      <c r="V464" s="576" t="s">
        <v>20</v>
      </c>
      <c r="W464" s="747"/>
      <c r="X464" s="740"/>
      <c r="Y464" s="748"/>
      <c r="Z464" s="741">
        <v>0</v>
      </c>
      <c r="AA464" s="740"/>
      <c r="AB464" s="740"/>
      <c r="AC464" s="741"/>
      <c r="AD464" s="749"/>
      <c r="AE464" s="748"/>
      <c r="AF464" s="741">
        <v>0</v>
      </c>
      <c r="AG464" s="742"/>
      <c r="AH464" s="743">
        <v>0</v>
      </c>
      <c r="AI464" s="744">
        <v>0</v>
      </c>
      <c r="AJ464" s="749"/>
      <c r="AK464" s="740"/>
      <c r="AL464" s="741">
        <v>0</v>
      </c>
      <c r="AM464" s="745"/>
      <c r="AN464" s="743">
        <v>0</v>
      </c>
      <c r="AO464" s="751">
        <v>2</v>
      </c>
      <c r="AP464" s="489"/>
      <c r="AQ464" s="489"/>
      <c r="AR464" s="489"/>
      <c r="AS464" s="489"/>
      <c r="AT464" s="489"/>
      <c r="AU464" s="489"/>
      <c r="AV464" s="489"/>
      <c r="AW464" s="489"/>
      <c r="AX464" s="489"/>
      <c r="AY464" s="489"/>
      <c r="AZ464" s="489"/>
      <c r="BA464" s="489"/>
      <c r="BB464" s="489"/>
      <c r="BC464" s="489"/>
      <c r="BD464" s="489"/>
      <c r="BE464" s="489"/>
      <c r="BF464" s="489"/>
      <c r="BG464" s="489"/>
      <c r="BH464" s="489"/>
      <c r="BI464" s="489"/>
      <c r="BJ464" s="489"/>
    </row>
    <row r="465" spans="1:62" ht="15.75" hidden="1" customHeight="1">
      <c r="A465" s="477" t="s">
        <v>20</v>
      </c>
      <c r="B465" s="486"/>
      <c r="C465" s="714" t="s">
        <v>227</v>
      </c>
      <c r="D465" s="489"/>
      <c r="E465" s="489"/>
      <c r="F465" s="489"/>
      <c r="G465" s="489"/>
      <c r="H465" s="489"/>
      <c r="I465" s="489"/>
      <c r="J465" s="489"/>
      <c r="K465" s="489"/>
      <c r="L465" s="489"/>
      <c r="M465" s="489"/>
      <c r="N465" s="489"/>
      <c r="O465" s="489"/>
      <c r="P465" s="489"/>
      <c r="Q465" s="489"/>
      <c r="R465" s="489"/>
      <c r="S465" s="489"/>
      <c r="T465" s="489"/>
      <c r="U465" s="489"/>
      <c r="V465" s="576" t="s">
        <v>20</v>
      </c>
      <c r="W465" s="747"/>
      <c r="X465" s="740"/>
      <c r="Y465" s="748"/>
      <c r="Z465" s="741">
        <v>0</v>
      </c>
      <c r="AA465" s="740"/>
      <c r="AB465" s="740"/>
      <c r="AC465" s="741"/>
      <c r="AD465" s="749"/>
      <c r="AE465" s="748"/>
      <c r="AF465" s="741">
        <v>0</v>
      </c>
      <c r="AG465" s="742"/>
      <c r="AH465" s="743">
        <v>0</v>
      </c>
      <c r="AI465" s="744">
        <v>0</v>
      </c>
      <c r="AJ465" s="749"/>
      <c r="AK465" s="740"/>
      <c r="AL465" s="741">
        <v>0</v>
      </c>
      <c r="AM465" s="745"/>
      <c r="AN465" s="743">
        <v>0</v>
      </c>
      <c r="AO465" s="751">
        <v>3</v>
      </c>
      <c r="AP465" s="489"/>
      <c r="AQ465" s="489"/>
      <c r="AR465" s="489"/>
      <c r="AS465" s="489"/>
      <c r="AT465" s="489"/>
      <c r="AU465" s="489"/>
      <c r="AV465" s="489"/>
      <c r="AW465" s="489"/>
      <c r="AX465" s="489"/>
      <c r="AY465" s="489"/>
      <c r="AZ465" s="489"/>
      <c r="BA465" s="489"/>
      <c r="BB465" s="489"/>
      <c r="BC465" s="489"/>
      <c r="BD465" s="489"/>
      <c r="BE465" s="489"/>
      <c r="BF465" s="489"/>
      <c r="BG465" s="489"/>
      <c r="BH465" s="489"/>
      <c r="BI465" s="489"/>
      <c r="BJ465" s="489"/>
    </row>
    <row r="466" spans="1:62" ht="15.75" customHeight="1">
      <c r="A466" s="477" t="s">
        <v>181</v>
      </c>
      <c r="B466" s="486"/>
      <c r="C466" s="714" t="s">
        <v>227</v>
      </c>
      <c r="D466" s="489"/>
      <c r="E466" s="489"/>
      <c r="F466" s="489"/>
      <c r="G466" s="489"/>
      <c r="H466" s="489"/>
      <c r="I466" s="489"/>
      <c r="J466" s="489"/>
      <c r="K466" s="489"/>
      <c r="L466" s="489"/>
      <c r="M466" s="489"/>
      <c r="N466" s="489"/>
      <c r="O466" s="489"/>
      <c r="P466" s="489"/>
      <c r="Q466" s="489"/>
      <c r="R466" s="489"/>
      <c r="S466" s="489"/>
      <c r="T466" s="489"/>
      <c r="U466" s="489"/>
      <c r="V466" s="757" t="s">
        <v>181</v>
      </c>
      <c r="W466" s="758"/>
      <c r="X466" s="759">
        <v>8.6735474563583798E-2</v>
      </c>
      <c r="Y466" s="758"/>
      <c r="Z466" s="760">
        <v>62225.182340764542</v>
      </c>
      <c r="AA466" s="759"/>
      <c r="AB466" s="758"/>
      <c r="AC466" s="760"/>
      <c r="AD466" s="761">
        <v>8.6927833410646971E-2</v>
      </c>
      <c r="AE466" s="758"/>
      <c r="AF466" s="760">
        <v>67590.47</v>
      </c>
      <c r="AG466" s="782"/>
      <c r="AH466" s="783">
        <v>5365.2876592354633</v>
      </c>
      <c r="AI466" s="759">
        <v>8.6223735430030105E-2</v>
      </c>
      <c r="AJ466" s="761">
        <v>9.2482837753691288E-2</v>
      </c>
      <c r="AK466" s="759"/>
      <c r="AL466" s="760">
        <v>61678.409999999982</v>
      </c>
      <c r="AM466" s="769"/>
      <c r="AN466" s="763">
        <v>5912.0600000000204</v>
      </c>
      <c r="AO466" s="784">
        <v>9.5852989725254301E-2</v>
      </c>
      <c r="AP466" s="489"/>
      <c r="AQ466" s="489"/>
      <c r="AR466" s="489"/>
      <c r="AS466" s="489"/>
      <c r="AT466" s="489"/>
      <c r="AU466" s="489"/>
      <c r="AV466" s="489"/>
      <c r="AW466" s="489"/>
      <c r="AX466" s="489"/>
      <c r="AY466" s="489"/>
      <c r="AZ466" s="489"/>
      <c r="BA466" s="489"/>
      <c r="BB466" s="489"/>
      <c r="BC466" s="489"/>
      <c r="BD466" s="489"/>
      <c r="BE466" s="489"/>
      <c r="BF466" s="489"/>
      <c r="BG466" s="489"/>
      <c r="BH466" s="489"/>
      <c r="BI466" s="489"/>
      <c r="BJ466" s="489"/>
    </row>
    <row r="467" spans="1:62" ht="15.75" customHeight="1">
      <c r="A467" s="477" t="s">
        <v>469</v>
      </c>
      <c r="B467" s="486"/>
      <c r="C467" s="714" t="s">
        <v>227</v>
      </c>
      <c r="D467" s="489"/>
      <c r="E467" s="489"/>
      <c r="F467" s="489"/>
      <c r="G467" s="489"/>
      <c r="H467" s="489"/>
      <c r="I467" s="489"/>
      <c r="J467" s="489"/>
      <c r="K467" s="489"/>
      <c r="L467" s="489"/>
      <c r="M467" s="489"/>
      <c r="N467" s="489"/>
      <c r="O467" s="489"/>
      <c r="P467" s="489"/>
      <c r="Q467" s="489"/>
      <c r="R467" s="489"/>
      <c r="S467" s="489"/>
      <c r="T467" s="489"/>
      <c r="U467" s="489"/>
      <c r="V467" s="576"/>
      <c r="W467" s="740"/>
      <c r="X467" s="740"/>
      <c r="Y467" s="740"/>
      <c r="Z467" s="790"/>
      <c r="AA467" s="740"/>
      <c r="AB467" s="740"/>
      <c r="AC467" s="790"/>
      <c r="AD467" s="749"/>
      <c r="AE467" s="740"/>
      <c r="AF467" s="790"/>
      <c r="AG467" s="749"/>
      <c r="AH467" s="743">
        <v>0</v>
      </c>
      <c r="AI467" s="744"/>
      <c r="AJ467" s="749"/>
      <c r="AK467" s="740"/>
      <c r="AL467" s="790"/>
      <c r="AM467" s="791"/>
      <c r="AN467" s="743">
        <v>0</v>
      </c>
      <c r="AO467" s="792">
        <v>0</v>
      </c>
      <c r="AP467" s="489"/>
      <c r="AQ467" s="489"/>
      <c r="AR467" s="489"/>
      <c r="AS467" s="489"/>
      <c r="AT467" s="489"/>
      <c r="AU467" s="489"/>
      <c r="AV467" s="489"/>
      <c r="AW467" s="489"/>
      <c r="AX467" s="489"/>
      <c r="AY467" s="489"/>
      <c r="AZ467" s="489"/>
      <c r="BA467" s="489"/>
      <c r="BB467" s="489"/>
      <c r="BC467" s="489"/>
      <c r="BD467" s="489"/>
      <c r="BE467" s="489"/>
      <c r="BF467" s="489"/>
      <c r="BG467" s="489"/>
      <c r="BH467" s="489"/>
      <c r="BI467" s="489"/>
      <c r="BJ467" s="489"/>
    </row>
    <row r="468" spans="1:62" ht="15.75" customHeight="1">
      <c r="A468" s="477" t="s">
        <v>65</v>
      </c>
      <c r="B468" s="486"/>
      <c r="C468" s="714" t="s">
        <v>227</v>
      </c>
      <c r="D468" s="489"/>
      <c r="E468" s="489"/>
      <c r="F468" s="489"/>
      <c r="G468" s="489"/>
      <c r="H468" s="489"/>
      <c r="I468" s="489"/>
      <c r="J468" s="489"/>
      <c r="K468" s="489"/>
      <c r="L468" s="489"/>
      <c r="M468" s="489"/>
      <c r="N468" s="489"/>
      <c r="O468" s="489"/>
      <c r="P468" s="489"/>
      <c r="Q468" s="489"/>
      <c r="R468" s="489"/>
      <c r="S468" s="489"/>
      <c r="T468" s="489"/>
      <c r="U468" s="489"/>
      <c r="V468" s="757" t="s">
        <v>65</v>
      </c>
      <c r="W468" s="758"/>
      <c r="X468" s="759">
        <v>0.96226449836243932</v>
      </c>
      <c r="Y468" s="758"/>
      <c r="Z468" s="760">
        <v>690341.34155515092</v>
      </c>
      <c r="AA468" s="759"/>
      <c r="AB468" s="758"/>
      <c r="AC468" s="760"/>
      <c r="AD468" s="761">
        <v>0.83000909025516922</v>
      </c>
      <c r="AE468" s="758"/>
      <c r="AF468" s="760">
        <v>645371.0199999999</v>
      </c>
      <c r="AG468" s="782"/>
      <c r="AH468" s="783">
        <v>-44970.321555151022</v>
      </c>
      <c r="AI468" s="759">
        <v>-6.514215337856652E-2</v>
      </c>
      <c r="AJ468" s="761">
        <v>0.96878890661955719</v>
      </c>
      <c r="AK468" s="759"/>
      <c r="AL468" s="760">
        <v>646102.14000000013</v>
      </c>
      <c r="AM468" s="769"/>
      <c r="AN468" s="763">
        <v>-731.12000000022817</v>
      </c>
      <c r="AO468" s="738">
        <v>-1.1315857892069945E-3</v>
      </c>
      <c r="AP468" s="489"/>
      <c r="AQ468" s="489"/>
      <c r="AR468" s="489"/>
      <c r="AS468" s="489"/>
      <c r="AT468" s="489"/>
      <c r="AU468" s="489"/>
      <c r="AV468" s="489"/>
      <c r="AW468" s="489"/>
      <c r="AX468" s="489"/>
      <c r="AY468" s="489"/>
      <c r="AZ468" s="489"/>
      <c r="BA468" s="489"/>
      <c r="BB468" s="489"/>
      <c r="BC468" s="489"/>
      <c r="BD468" s="489"/>
      <c r="BE468" s="489"/>
      <c r="BF468" s="489"/>
      <c r="BG468" s="489"/>
      <c r="BH468" s="489"/>
      <c r="BI468" s="489"/>
      <c r="BJ468" s="489"/>
    </row>
    <row r="469" spans="1:62" ht="15.75" customHeight="1">
      <c r="A469" s="477" t="s">
        <v>182</v>
      </c>
      <c r="B469" s="486"/>
      <c r="C469" s="714" t="s">
        <v>227</v>
      </c>
      <c r="D469" s="489"/>
      <c r="E469" s="489"/>
      <c r="F469" s="489"/>
      <c r="G469" s="489"/>
      <c r="H469" s="489"/>
      <c r="I469" s="489"/>
      <c r="J469" s="489"/>
      <c r="K469" s="489"/>
      <c r="L469" s="489"/>
      <c r="M469" s="489"/>
      <c r="N469" s="489"/>
      <c r="O469" s="489"/>
      <c r="P469" s="489"/>
      <c r="Q469" s="489"/>
      <c r="R469" s="489"/>
      <c r="S469" s="489"/>
      <c r="T469" s="489"/>
      <c r="U469" s="489"/>
      <c r="V469" s="576" t="s">
        <v>182</v>
      </c>
      <c r="W469" s="786"/>
      <c r="X469" s="786"/>
      <c r="Y469" s="740"/>
      <c r="Z469" s="772">
        <v>0</v>
      </c>
      <c r="AA469" s="793"/>
      <c r="AB469" s="794"/>
      <c r="AC469" s="772"/>
      <c r="AD469" s="795"/>
      <c r="AE469" s="794"/>
      <c r="AF469" s="741">
        <v>67.010000000000005</v>
      </c>
      <c r="AG469" s="796"/>
      <c r="AH469" s="743">
        <v>67.010000000000005</v>
      </c>
      <c r="AI469" s="789" t="e">
        <v>#DIV/0!</v>
      </c>
      <c r="AJ469" s="795"/>
      <c r="AK469" s="793"/>
      <c r="AL469" s="797">
        <v>7191.32</v>
      </c>
      <c r="AM469" s="798"/>
      <c r="AN469" s="743">
        <v>-7124.3099999999995</v>
      </c>
      <c r="AO469" s="751">
        <v>-0.99068182197426891</v>
      </c>
      <c r="AP469" s="489"/>
      <c r="AQ469" s="489"/>
      <c r="AR469" s="489"/>
      <c r="AS469" s="489"/>
      <c r="AT469" s="489"/>
      <c r="AU469" s="489"/>
      <c r="AV469" s="489"/>
      <c r="AW469" s="489"/>
      <c r="AX469" s="489"/>
      <c r="AY469" s="489"/>
      <c r="AZ469" s="489"/>
      <c r="BA469" s="489"/>
      <c r="BB469" s="489"/>
      <c r="BC469" s="489"/>
      <c r="BD469" s="489"/>
      <c r="BE469" s="489"/>
      <c r="BF469" s="489"/>
      <c r="BG469" s="489"/>
      <c r="BH469" s="489"/>
      <c r="BI469" s="489"/>
      <c r="BJ469" s="489"/>
    </row>
    <row r="470" spans="1:62" ht="15.75" customHeight="1">
      <c r="A470" s="477" t="s">
        <v>69</v>
      </c>
      <c r="B470" s="486"/>
      <c r="C470" s="714" t="s">
        <v>227</v>
      </c>
      <c r="D470" s="489"/>
      <c r="E470" s="489"/>
      <c r="F470" s="489"/>
      <c r="G470" s="489"/>
      <c r="H470" s="489"/>
      <c r="I470" s="489"/>
      <c r="J470" s="489"/>
      <c r="K470" s="489"/>
      <c r="L470" s="489"/>
      <c r="M470" s="489"/>
      <c r="N470" s="489"/>
      <c r="O470" s="489"/>
      <c r="P470" s="489"/>
      <c r="Q470" s="489"/>
      <c r="R470" s="489"/>
      <c r="S470" s="489"/>
      <c r="T470" s="489"/>
      <c r="U470" s="489"/>
      <c r="V470" s="576" t="s">
        <v>69</v>
      </c>
      <c r="W470" s="740"/>
      <c r="X470" s="740"/>
      <c r="Y470" s="740"/>
      <c r="Z470" s="741">
        <v>105543.44363841046</v>
      </c>
      <c r="AA470" s="785"/>
      <c r="AB470" s="743"/>
      <c r="AC470" s="741"/>
      <c r="AD470" s="799"/>
      <c r="AE470" s="800"/>
      <c r="AF470" s="741">
        <v>94826.85</v>
      </c>
      <c r="AG470" s="801"/>
      <c r="AH470" s="743">
        <v>-10716.593638410457</v>
      </c>
      <c r="AI470" s="767">
        <v>-0.1015372747844506</v>
      </c>
      <c r="AJ470" s="802"/>
      <c r="AK470" s="785"/>
      <c r="AL470" s="803">
        <v>127510</v>
      </c>
      <c r="AM470" s="799"/>
      <c r="AN470" s="743">
        <v>-32683.149999999994</v>
      </c>
      <c r="AO470" s="751">
        <v>-0.25631832797427651</v>
      </c>
      <c r="AP470" s="489"/>
      <c r="AQ470" s="489"/>
      <c r="AR470" s="489"/>
      <c r="AS470" s="489"/>
      <c r="AT470" s="489"/>
      <c r="AU470" s="489"/>
      <c r="AV470" s="489"/>
      <c r="AW470" s="489"/>
      <c r="AX470" s="489"/>
      <c r="AY470" s="489"/>
      <c r="AZ470" s="489"/>
      <c r="BA470" s="489"/>
      <c r="BB470" s="489"/>
      <c r="BC470" s="489"/>
      <c r="BD470" s="489"/>
      <c r="BE470" s="489"/>
      <c r="BF470" s="489"/>
      <c r="BG470" s="489"/>
      <c r="BH470" s="489"/>
      <c r="BI470" s="489"/>
      <c r="BJ470" s="489"/>
    </row>
    <row r="471" spans="1:62" ht="15.75" customHeight="1">
      <c r="A471" s="477" t="s">
        <v>197</v>
      </c>
      <c r="B471" s="486"/>
      <c r="C471" s="714" t="s">
        <v>227</v>
      </c>
      <c r="D471" s="489"/>
      <c r="E471" s="489"/>
      <c r="F471" s="489"/>
      <c r="G471" s="489"/>
      <c r="H471" s="489"/>
      <c r="I471" s="489"/>
      <c r="J471" s="489"/>
      <c r="K471" s="489"/>
      <c r="L471" s="489"/>
      <c r="M471" s="489"/>
      <c r="N471" s="489"/>
      <c r="O471" s="489"/>
      <c r="P471" s="489"/>
      <c r="Q471" s="489"/>
      <c r="R471" s="489"/>
      <c r="S471" s="489"/>
      <c r="T471" s="489"/>
      <c r="U471" s="489"/>
      <c r="V471" s="576" t="s">
        <v>197</v>
      </c>
      <c r="W471" s="740"/>
      <c r="X471" s="740"/>
      <c r="Y471" s="740"/>
      <c r="Z471" s="741">
        <v>0</v>
      </c>
      <c r="AA471" s="785"/>
      <c r="AB471" s="786"/>
      <c r="AC471" s="741"/>
      <c r="AD471" s="802"/>
      <c r="AF471" s="741">
        <v>0</v>
      </c>
      <c r="AG471" s="801"/>
      <c r="AH471" s="743">
        <v>0</v>
      </c>
      <c r="AI471" s="767">
        <v>0</v>
      </c>
      <c r="AJ471" s="802"/>
      <c r="AK471" s="785"/>
      <c r="AL471" s="803">
        <v>18100</v>
      </c>
      <c r="AM471" s="799"/>
      <c r="AN471" s="743">
        <v>-18100</v>
      </c>
      <c r="AO471" s="751">
        <v>-1</v>
      </c>
      <c r="AP471" s="489"/>
      <c r="AQ471" s="489"/>
      <c r="AR471" s="489"/>
      <c r="AS471" s="489"/>
      <c r="AT471" s="489"/>
      <c r="AU471" s="489"/>
      <c r="AV471" s="489"/>
      <c r="AW471" s="489"/>
      <c r="AX471" s="489"/>
      <c r="AY471" s="489"/>
      <c r="AZ471" s="489"/>
      <c r="BA471" s="489"/>
      <c r="BB471" s="489"/>
      <c r="BC471" s="489"/>
      <c r="BD471" s="489"/>
      <c r="BE471" s="489"/>
      <c r="BF471" s="489"/>
      <c r="BG471" s="489"/>
      <c r="BH471" s="489"/>
      <c r="BI471" s="489"/>
      <c r="BJ471" s="489"/>
    </row>
    <row r="472" spans="1:62" ht="15.75" customHeight="1">
      <c r="A472" s="477" t="s">
        <v>194</v>
      </c>
      <c r="B472" s="486"/>
      <c r="C472" s="714" t="s">
        <v>227</v>
      </c>
      <c r="D472" s="489"/>
      <c r="E472" s="489"/>
      <c r="F472" s="489"/>
      <c r="G472" s="489"/>
      <c r="H472" s="489"/>
      <c r="I472" s="489"/>
      <c r="J472" s="489"/>
      <c r="K472" s="489"/>
      <c r="L472" s="489"/>
      <c r="M472" s="489"/>
      <c r="N472" s="489"/>
      <c r="O472" s="489"/>
      <c r="P472" s="489"/>
      <c r="Q472" s="489"/>
      <c r="R472" s="489"/>
      <c r="S472" s="489"/>
      <c r="T472" s="489"/>
      <c r="U472" s="489"/>
      <c r="V472" s="576" t="s">
        <v>194</v>
      </c>
      <c r="W472" s="740"/>
      <c r="X472" s="740"/>
      <c r="Y472" s="740"/>
      <c r="Z472" s="741">
        <v>0</v>
      </c>
      <c r="AA472" s="785"/>
      <c r="AB472" s="786"/>
      <c r="AC472" s="741"/>
      <c r="AD472" s="802"/>
      <c r="AE472" s="786"/>
      <c r="AF472" s="741">
        <v>0</v>
      </c>
      <c r="AG472" s="801"/>
      <c r="AH472" s="743">
        <v>0</v>
      </c>
      <c r="AI472" s="767">
        <v>0</v>
      </c>
      <c r="AJ472" s="802"/>
      <c r="AK472" s="785"/>
      <c r="AL472" s="803">
        <v>0</v>
      </c>
      <c r="AM472" s="799"/>
      <c r="AN472" s="743">
        <v>0</v>
      </c>
      <c r="AO472" s="751">
        <v>0</v>
      </c>
      <c r="AP472" s="489"/>
      <c r="AQ472" s="489"/>
      <c r="AR472" s="489"/>
      <c r="AS472" s="489"/>
      <c r="AT472" s="489"/>
      <c r="AU472" s="489"/>
      <c r="AV472" s="489"/>
      <c r="AW472" s="489"/>
      <c r="AX472" s="489"/>
      <c r="AY472" s="489"/>
      <c r="AZ472" s="489"/>
      <c r="BA472" s="489"/>
      <c r="BB472" s="489"/>
      <c r="BC472" s="489"/>
      <c r="BD472" s="489"/>
      <c r="BE472" s="489"/>
      <c r="BF472" s="489"/>
      <c r="BG472" s="489"/>
      <c r="BH472" s="489"/>
      <c r="BI472" s="489"/>
      <c r="BJ472" s="489"/>
    </row>
    <row r="473" spans="1:62" ht="15.75" customHeight="1">
      <c r="A473" s="477" t="s">
        <v>68</v>
      </c>
      <c r="B473" s="486"/>
      <c r="C473" s="714" t="s">
        <v>227</v>
      </c>
      <c r="D473" s="489"/>
      <c r="E473" s="489"/>
      <c r="F473" s="489"/>
      <c r="G473" s="489"/>
      <c r="H473" s="489"/>
      <c r="I473" s="489"/>
      <c r="J473" s="489"/>
      <c r="K473" s="489"/>
      <c r="L473" s="489"/>
      <c r="M473" s="489"/>
      <c r="N473" s="489"/>
      <c r="O473" s="489"/>
      <c r="P473" s="489"/>
      <c r="Q473" s="489"/>
      <c r="R473" s="489"/>
      <c r="S473" s="489"/>
      <c r="T473" s="489"/>
      <c r="U473" s="489"/>
      <c r="V473" s="576" t="s">
        <v>68</v>
      </c>
      <c r="W473" s="740"/>
      <c r="X473" s="740"/>
      <c r="Y473" s="740"/>
      <c r="Z473" s="741">
        <v>0</v>
      </c>
      <c r="AA473" s="785"/>
      <c r="AB473" s="786"/>
      <c r="AC473" s="741"/>
      <c r="AD473" s="802"/>
      <c r="AE473" s="786"/>
      <c r="AF473" s="741">
        <v>0</v>
      </c>
      <c r="AG473" s="801"/>
      <c r="AH473" s="743">
        <v>0</v>
      </c>
      <c r="AI473" s="767">
        <v>0</v>
      </c>
      <c r="AJ473" s="802"/>
      <c r="AK473" s="785"/>
      <c r="AL473" s="803">
        <v>0</v>
      </c>
      <c r="AM473" s="799"/>
      <c r="AN473" s="743">
        <v>0</v>
      </c>
      <c r="AO473" s="751">
        <v>0</v>
      </c>
      <c r="AP473" s="489"/>
      <c r="AQ473" s="489"/>
      <c r="AR473" s="489"/>
      <c r="AS473" s="489"/>
      <c r="AT473" s="489"/>
      <c r="AU473" s="489"/>
      <c r="AV473" s="489"/>
      <c r="AW473" s="489"/>
      <c r="AX473" s="489"/>
      <c r="AY473" s="489"/>
      <c r="AZ473" s="489"/>
      <c r="BA473" s="489"/>
      <c r="BB473" s="489"/>
      <c r="BC473" s="489"/>
      <c r="BD473" s="489"/>
      <c r="BE473" s="489"/>
      <c r="BF473" s="489"/>
      <c r="BG473" s="489"/>
      <c r="BH473" s="489"/>
      <c r="BI473" s="489"/>
      <c r="BJ473" s="489"/>
    </row>
    <row r="474" spans="1:62" ht="15.75" customHeight="1">
      <c r="A474" s="477" t="s">
        <v>225</v>
      </c>
      <c r="B474" s="486"/>
      <c r="C474" s="714" t="s">
        <v>227</v>
      </c>
      <c r="D474" s="489"/>
      <c r="E474" s="489"/>
      <c r="F474" s="489"/>
      <c r="G474" s="489"/>
      <c r="H474" s="489"/>
      <c r="I474" s="489"/>
      <c r="J474" s="489"/>
      <c r="K474" s="489"/>
      <c r="L474" s="489"/>
      <c r="M474" s="489"/>
      <c r="N474" s="489"/>
      <c r="O474" s="489"/>
      <c r="P474" s="489"/>
      <c r="Q474" s="489"/>
      <c r="R474" s="489"/>
      <c r="S474" s="489"/>
      <c r="T474" s="489"/>
      <c r="U474" s="489"/>
      <c r="V474" s="576" t="s">
        <v>225</v>
      </c>
      <c r="W474" s="740"/>
      <c r="X474" s="740"/>
      <c r="Y474" s="740"/>
      <c r="Z474" s="741">
        <v>0</v>
      </c>
      <c r="AA474" s="785"/>
      <c r="AB474" s="786"/>
      <c r="AC474" s="741"/>
      <c r="AD474" s="802"/>
      <c r="AE474" s="786"/>
      <c r="AF474" s="741">
        <v>0</v>
      </c>
      <c r="AG474" s="801"/>
      <c r="AH474" s="743">
        <v>0</v>
      </c>
      <c r="AI474" s="767">
        <v>0</v>
      </c>
      <c r="AJ474" s="802"/>
      <c r="AK474" s="785"/>
      <c r="AL474" s="803">
        <v>0</v>
      </c>
      <c r="AM474" s="799"/>
      <c r="AN474" s="743">
        <v>0</v>
      </c>
      <c r="AO474" s="751">
        <v>0</v>
      </c>
      <c r="AP474" s="489"/>
      <c r="AQ474" s="489"/>
      <c r="AR474" s="489"/>
      <c r="AS474" s="489"/>
      <c r="AT474" s="489"/>
      <c r="AU474" s="489"/>
      <c r="AV474" s="489"/>
      <c r="AW474" s="489"/>
      <c r="AX474" s="489"/>
      <c r="AY474" s="489"/>
      <c r="AZ474" s="489"/>
      <c r="BA474" s="489"/>
      <c r="BB474" s="489"/>
      <c r="BC474" s="489"/>
      <c r="BD474" s="489"/>
      <c r="BE474" s="489"/>
      <c r="BF474" s="489"/>
      <c r="BG474" s="489"/>
      <c r="BH474" s="489"/>
      <c r="BI474" s="489"/>
      <c r="BJ474" s="489"/>
    </row>
    <row r="475" spans="1:62" ht="15.75" customHeight="1">
      <c r="A475" s="477" t="s">
        <v>81</v>
      </c>
      <c r="B475" s="486"/>
      <c r="C475" s="714" t="s">
        <v>227</v>
      </c>
      <c r="D475" s="489"/>
      <c r="E475" s="489"/>
      <c r="F475" s="489"/>
      <c r="G475" s="489"/>
      <c r="H475" s="489"/>
      <c r="I475" s="489"/>
      <c r="J475" s="489"/>
      <c r="K475" s="489"/>
      <c r="L475" s="489"/>
      <c r="M475" s="489"/>
      <c r="N475" s="489"/>
      <c r="O475" s="489"/>
      <c r="P475" s="489"/>
      <c r="Q475" s="489"/>
      <c r="R475" s="489"/>
      <c r="S475" s="489"/>
      <c r="T475" s="489"/>
      <c r="U475" s="489"/>
      <c r="V475" s="576" t="s">
        <v>81</v>
      </c>
      <c r="W475" s="740"/>
      <c r="X475" s="740"/>
      <c r="Y475" s="740"/>
      <c r="Z475" s="741">
        <v>0</v>
      </c>
      <c r="AA475" s="785"/>
      <c r="AB475" s="786"/>
      <c r="AC475" s="741"/>
      <c r="AD475" s="802"/>
      <c r="AE475" s="786"/>
      <c r="AF475" s="741">
        <v>0</v>
      </c>
      <c r="AG475" s="801"/>
      <c r="AH475" s="743">
        <v>0</v>
      </c>
      <c r="AI475" s="767">
        <v>0</v>
      </c>
      <c r="AJ475" s="802"/>
      <c r="AK475" s="785"/>
      <c r="AL475" s="803">
        <v>0</v>
      </c>
      <c r="AM475" s="799"/>
      <c r="AN475" s="743">
        <v>0</v>
      </c>
      <c r="AO475" s="751">
        <v>0</v>
      </c>
      <c r="AP475" s="489"/>
      <c r="AQ475" s="489"/>
      <c r="AR475" s="489"/>
      <c r="AS475" s="489"/>
      <c r="AT475" s="489"/>
      <c r="AU475" s="489"/>
      <c r="AV475" s="489"/>
      <c r="AW475" s="489"/>
      <c r="AX475" s="489"/>
      <c r="AY475" s="489"/>
      <c r="AZ475" s="489"/>
      <c r="BA475" s="489"/>
      <c r="BB475" s="489"/>
      <c r="BC475" s="489"/>
      <c r="BD475" s="489"/>
      <c r="BE475" s="489"/>
      <c r="BF475" s="489"/>
      <c r="BG475" s="489"/>
      <c r="BH475" s="489"/>
      <c r="BI475" s="489"/>
      <c r="BJ475" s="489"/>
    </row>
    <row r="476" spans="1:62" ht="15.75" customHeight="1">
      <c r="A476" s="477" t="s">
        <v>82</v>
      </c>
      <c r="B476" s="486"/>
      <c r="C476" s="714" t="s">
        <v>227</v>
      </c>
      <c r="D476" s="489"/>
      <c r="E476" s="489"/>
      <c r="F476" s="489"/>
      <c r="G476" s="489"/>
      <c r="H476" s="489"/>
      <c r="I476" s="489"/>
      <c r="J476" s="489"/>
      <c r="K476" s="489"/>
      <c r="L476" s="489"/>
      <c r="M476" s="489"/>
      <c r="N476" s="489"/>
      <c r="O476" s="489"/>
      <c r="P476" s="489"/>
      <c r="Q476" s="489"/>
      <c r="R476" s="489"/>
      <c r="S476" s="489"/>
      <c r="T476" s="489"/>
      <c r="U476" s="489"/>
      <c r="V476" s="576" t="s">
        <v>82</v>
      </c>
      <c r="W476" s="740"/>
      <c r="X476" s="740"/>
      <c r="Y476" s="740"/>
      <c r="Z476" s="741">
        <v>0</v>
      </c>
      <c r="AA476" s="785"/>
      <c r="AB476" s="786"/>
      <c r="AC476" s="741"/>
      <c r="AD476" s="802"/>
      <c r="AE476" s="786"/>
      <c r="AF476" s="741">
        <v>0</v>
      </c>
      <c r="AG476" s="801"/>
      <c r="AH476" s="743">
        <v>0</v>
      </c>
      <c r="AI476" s="767">
        <v>0</v>
      </c>
      <c r="AJ476" s="802"/>
      <c r="AK476" s="785"/>
      <c r="AL476" s="803">
        <v>0</v>
      </c>
      <c r="AM476" s="799"/>
      <c r="AN476" s="743">
        <v>0</v>
      </c>
      <c r="AO476" s="751">
        <v>0</v>
      </c>
      <c r="AP476" s="489"/>
      <c r="AQ476" s="489"/>
      <c r="AR476" s="489"/>
      <c r="AS476" s="489"/>
      <c r="AT476" s="489"/>
      <c r="AU476" s="489"/>
      <c r="AV476" s="489"/>
      <c r="AW476" s="489"/>
      <c r="AX476" s="489"/>
      <c r="AY476" s="489"/>
      <c r="AZ476" s="489"/>
      <c r="BA476" s="489"/>
      <c r="BB476" s="489"/>
      <c r="BC476" s="489"/>
      <c r="BD476" s="489"/>
      <c r="BE476" s="489"/>
      <c r="BF476" s="489"/>
      <c r="BG476" s="489"/>
      <c r="BH476" s="489"/>
      <c r="BI476" s="489"/>
      <c r="BJ476" s="489"/>
    </row>
    <row r="477" spans="1:62" ht="15.75" hidden="1" customHeight="1">
      <c r="A477" s="477" t="s">
        <v>20</v>
      </c>
      <c r="B477" s="486"/>
      <c r="C477" s="714" t="s">
        <v>227</v>
      </c>
      <c r="D477" s="489"/>
      <c r="E477" s="489"/>
      <c r="F477" s="489"/>
      <c r="G477" s="489"/>
      <c r="H477" s="489"/>
      <c r="I477" s="489"/>
      <c r="J477" s="489"/>
      <c r="K477" s="489"/>
      <c r="L477" s="489"/>
      <c r="M477" s="489"/>
      <c r="N477" s="489"/>
      <c r="O477" s="489"/>
      <c r="P477" s="489"/>
      <c r="Q477" s="489"/>
      <c r="R477" s="489"/>
      <c r="S477" s="489"/>
      <c r="T477" s="489"/>
      <c r="U477" s="489"/>
      <c r="V477" s="576" t="s">
        <v>20</v>
      </c>
      <c r="W477" s="740"/>
      <c r="X477" s="740"/>
      <c r="Y477" s="740"/>
      <c r="Z477" s="741">
        <v>0</v>
      </c>
      <c r="AA477" s="740"/>
      <c r="AB477" s="740"/>
      <c r="AC477" s="741"/>
      <c r="AD477" s="749"/>
      <c r="AE477" s="748"/>
      <c r="AF477" s="741">
        <v>0</v>
      </c>
      <c r="AG477" s="742"/>
      <c r="AH477" s="743">
        <v>0</v>
      </c>
      <c r="AI477" s="744">
        <v>0</v>
      </c>
      <c r="AJ477" s="749"/>
      <c r="AK477" s="740"/>
      <c r="AL477" s="741">
        <v>0</v>
      </c>
      <c r="AM477" s="799"/>
      <c r="AN477" s="743">
        <v>0</v>
      </c>
      <c r="AO477" s="751">
        <v>0</v>
      </c>
      <c r="AP477" s="489"/>
      <c r="AQ477" s="489"/>
      <c r="AR477" s="489"/>
      <c r="AS477" s="489"/>
      <c r="AT477" s="489"/>
      <c r="AU477" s="489"/>
      <c r="AV477" s="489"/>
      <c r="AW477" s="489"/>
      <c r="AX477" s="489"/>
      <c r="AY477" s="489"/>
      <c r="AZ477" s="489"/>
      <c r="BA477" s="489"/>
      <c r="BB477" s="489"/>
      <c r="BC477" s="489"/>
      <c r="BD477" s="489"/>
      <c r="BE477" s="489"/>
      <c r="BF477" s="489"/>
      <c r="BG477" s="489"/>
      <c r="BH477" s="489"/>
      <c r="BI477" s="489"/>
      <c r="BJ477" s="489"/>
    </row>
    <row r="478" spans="1:62" ht="15.75" hidden="1" customHeight="1">
      <c r="A478" s="477" t="s">
        <v>20</v>
      </c>
      <c r="B478" s="486"/>
      <c r="C478" s="714" t="s">
        <v>227</v>
      </c>
      <c r="D478" s="489"/>
      <c r="E478" s="489"/>
      <c r="F478" s="489"/>
      <c r="G478" s="489"/>
      <c r="H478" s="489"/>
      <c r="I478" s="489"/>
      <c r="J478" s="489"/>
      <c r="K478" s="489"/>
      <c r="L478" s="489"/>
      <c r="M478" s="489"/>
      <c r="N478" s="489"/>
      <c r="O478" s="489"/>
      <c r="P478" s="489"/>
      <c r="Q478" s="489"/>
      <c r="R478" s="489"/>
      <c r="S478" s="489"/>
      <c r="T478" s="489"/>
      <c r="U478" s="489"/>
      <c r="V478" s="576" t="s">
        <v>20</v>
      </c>
      <c r="W478" s="740"/>
      <c r="X478" s="740"/>
      <c r="Y478" s="740"/>
      <c r="Z478" s="741">
        <v>0</v>
      </c>
      <c r="AA478" s="740"/>
      <c r="AB478" s="740"/>
      <c r="AC478" s="741"/>
      <c r="AD478" s="749"/>
      <c r="AE478" s="748"/>
      <c r="AF478" s="741">
        <v>0</v>
      </c>
      <c r="AG478" s="742"/>
      <c r="AH478" s="743">
        <v>0</v>
      </c>
      <c r="AI478" s="744">
        <v>0</v>
      </c>
      <c r="AJ478" s="749"/>
      <c r="AK478" s="740"/>
      <c r="AL478" s="741">
        <v>0</v>
      </c>
      <c r="AM478" s="799"/>
      <c r="AN478" s="743">
        <v>0</v>
      </c>
      <c r="AO478" s="751">
        <v>0</v>
      </c>
      <c r="AP478" s="489"/>
      <c r="AQ478" s="489"/>
      <c r="AR478" s="489"/>
      <c r="AS478" s="489"/>
      <c r="AT478" s="489"/>
      <c r="AU478" s="489"/>
      <c r="AV478" s="489"/>
      <c r="AW478" s="489"/>
      <c r="AX478" s="489"/>
      <c r="AY478" s="489"/>
      <c r="AZ478" s="489"/>
      <c r="BA478" s="489"/>
      <c r="BB478" s="489"/>
      <c r="BC478" s="489"/>
      <c r="BD478" s="489"/>
      <c r="BE478" s="489"/>
      <c r="BF478" s="489"/>
      <c r="BG478" s="489"/>
      <c r="BH478" s="489"/>
      <c r="BI478" s="489"/>
      <c r="BJ478" s="489"/>
    </row>
    <row r="479" spans="1:62" ht="15.75" hidden="1" customHeight="1">
      <c r="A479" s="477" t="s">
        <v>20</v>
      </c>
      <c r="B479" s="486"/>
      <c r="C479" s="714" t="s">
        <v>227</v>
      </c>
      <c r="D479" s="489"/>
      <c r="E479" s="489"/>
      <c r="F479" s="489"/>
      <c r="G479" s="489"/>
      <c r="H479" s="489"/>
      <c r="I479" s="489"/>
      <c r="J479" s="489"/>
      <c r="K479" s="489"/>
      <c r="L479" s="489"/>
      <c r="M479" s="489"/>
      <c r="N479" s="489"/>
      <c r="O479" s="489"/>
      <c r="P479" s="489"/>
      <c r="Q479" s="489"/>
      <c r="R479" s="489"/>
      <c r="S479" s="489"/>
      <c r="T479" s="489"/>
      <c r="U479" s="489"/>
      <c r="V479" s="576" t="s">
        <v>20</v>
      </c>
      <c r="W479" s="740"/>
      <c r="X479" s="740"/>
      <c r="Y479" s="740"/>
      <c r="Z479" s="741">
        <v>0</v>
      </c>
      <c r="AA479" s="740"/>
      <c r="AB479" s="740"/>
      <c r="AC479" s="741"/>
      <c r="AD479" s="749"/>
      <c r="AE479" s="748"/>
      <c r="AF479" s="741">
        <v>0</v>
      </c>
      <c r="AG479" s="742"/>
      <c r="AH479" s="743">
        <v>0</v>
      </c>
      <c r="AI479" s="744">
        <v>0</v>
      </c>
      <c r="AJ479" s="749"/>
      <c r="AK479" s="740"/>
      <c r="AL479" s="741">
        <v>0</v>
      </c>
      <c r="AM479" s="799"/>
      <c r="AN479" s="743">
        <v>0</v>
      </c>
      <c r="AO479" s="751">
        <v>0</v>
      </c>
      <c r="AP479" s="489"/>
      <c r="AQ479" s="489"/>
      <c r="AR479" s="489"/>
      <c r="AS479" s="489"/>
      <c r="AT479" s="489"/>
      <c r="AU479" s="489"/>
      <c r="AV479" s="489"/>
      <c r="AW479" s="489"/>
      <c r="AX479" s="489"/>
      <c r="AY479" s="489"/>
      <c r="AZ479" s="489"/>
      <c r="BA479" s="489"/>
      <c r="BB479" s="489"/>
      <c r="BC479" s="489"/>
      <c r="BD479" s="489"/>
      <c r="BE479" s="489"/>
      <c r="BF479" s="489"/>
      <c r="BG479" s="489"/>
      <c r="BH479" s="489"/>
      <c r="BI479" s="489"/>
      <c r="BJ479" s="489"/>
    </row>
    <row r="480" spans="1:62" ht="15.75" customHeight="1">
      <c r="A480" s="477" t="s">
        <v>70</v>
      </c>
      <c r="B480" s="486"/>
      <c r="C480" s="714" t="s">
        <v>227</v>
      </c>
      <c r="D480" s="489"/>
      <c r="E480" s="489"/>
      <c r="F480" s="489"/>
      <c r="G480" s="489"/>
      <c r="H480" s="489"/>
      <c r="I480" s="489"/>
      <c r="J480" s="489"/>
      <c r="K480" s="489"/>
      <c r="L480" s="489"/>
      <c r="M480" s="489"/>
      <c r="N480" s="489"/>
      <c r="O480" s="489"/>
      <c r="P480" s="489"/>
      <c r="Q480" s="489"/>
      <c r="R480" s="489"/>
      <c r="S480" s="489"/>
      <c r="T480" s="489"/>
      <c r="U480" s="489"/>
      <c r="V480" s="578" t="s">
        <v>70</v>
      </c>
      <c r="W480" s="740"/>
      <c r="X480" s="740"/>
      <c r="Y480" s="740"/>
      <c r="Z480" s="741">
        <v>47493.349999999991</v>
      </c>
      <c r="AA480" s="785"/>
      <c r="AB480" s="786"/>
      <c r="AC480" s="741"/>
      <c r="AD480" s="804">
        <v>104.51302605210421</v>
      </c>
      <c r="AE480" s="785">
        <v>1.1991446506173691</v>
      </c>
      <c r="AF480" s="741">
        <v>52152</v>
      </c>
      <c r="AG480" s="801"/>
      <c r="AH480" s="743">
        <v>4658.6500000000087</v>
      </c>
      <c r="AI480" s="767">
        <v>9.8090574785733367E-2</v>
      </c>
      <c r="AJ480" s="802"/>
      <c r="AK480" s="785"/>
      <c r="AL480" s="803">
        <v>48184</v>
      </c>
      <c r="AM480" s="799"/>
      <c r="AN480" s="743">
        <v>3968</v>
      </c>
      <c r="AO480" s="751">
        <v>8.2350987879794127E-2</v>
      </c>
      <c r="AP480" s="489"/>
      <c r="AQ480" s="489"/>
      <c r="AR480" s="489"/>
      <c r="AS480" s="489"/>
      <c r="AT480" s="489"/>
      <c r="AU480" s="489"/>
      <c r="AV480" s="489"/>
      <c r="AW480" s="489"/>
      <c r="AX480" s="489"/>
      <c r="AY480" s="489"/>
      <c r="AZ480" s="489"/>
      <c r="BA480" s="489"/>
      <c r="BB480" s="489"/>
      <c r="BC480" s="489"/>
      <c r="BD480" s="489"/>
      <c r="BE480" s="489"/>
      <c r="BF480" s="489"/>
      <c r="BG480" s="489"/>
      <c r="BH480" s="489"/>
      <c r="BI480" s="489"/>
      <c r="BJ480" s="489"/>
    </row>
    <row r="481" spans="1:62" ht="15.75" customHeight="1">
      <c r="A481" s="477" t="s">
        <v>183</v>
      </c>
      <c r="B481" s="486"/>
      <c r="C481" s="714" t="s">
        <v>227</v>
      </c>
      <c r="D481" s="489"/>
      <c r="E481" s="489"/>
      <c r="F481" s="489"/>
      <c r="G481" s="489"/>
      <c r="H481" s="489"/>
      <c r="I481" s="489"/>
      <c r="J481" s="489"/>
      <c r="K481" s="489"/>
      <c r="L481" s="489"/>
      <c r="M481" s="489"/>
      <c r="N481" s="489"/>
      <c r="O481" s="489"/>
      <c r="P481" s="489"/>
      <c r="Q481" s="489"/>
      <c r="R481" s="489"/>
      <c r="S481" s="489"/>
      <c r="T481" s="489"/>
      <c r="U481" s="489"/>
      <c r="V481" s="757" t="s">
        <v>183</v>
      </c>
      <c r="W481" s="758"/>
      <c r="X481" s="759">
        <v>0.21331747730726991</v>
      </c>
      <c r="Y481" s="781"/>
      <c r="Z481" s="760">
        <v>153036.79363841045</v>
      </c>
      <c r="AA481" s="759"/>
      <c r="AB481" s="781"/>
      <c r="AC481" s="760"/>
      <c r="AD481" s="759">
        <v>0.18911509302724655</v>
      </c>
      <c r="AE481" s="781"/>
      <c r="AF481" s="760">
        <v>147045.85999999999</v>
      </c>
      <c r="AG481" s="782"/>
      <c r="AH481" s="763">
        <v>-5990.9336384104681</v>
      </c>
      <c r="AI481" s="759">
        <v>-3.9147014884313505E-2</v>
      </c>
      <c r="AJ481" s="805"/>
      <c r="AK481" s="806"/>
      <c r="AL481" s="760">
        <v>200985.32</v>
      </c>
      <c r="AM481" s="807"/>
      <c r="AN481" s="763">
        <v>-53939.460000000021</v>
      </c>
      <c r="AO481" s="784">
        <v>-0.26837512311844475</v>
      </c>
      <c r="AP481" s="489"/>
      <c r="AQ481" s="489"/>
      <c r="AR481" s="489"/>
      <c r="AS481" s="489"/>
      <c r="AT481" s="489"/>
      <c r="AU481" s="489"/>
      <c r="AV481" s="489"/>
      <c r="AW481" s="489"/>
      <c r="AX481" s="489"/>
      <c r="AY481" s="489"/>
      <c r="AZ481" s="489"/>
      <c r="BA481" s="489"/>
      <c r="BB481" s="489"/>
      <c r="BC481" s="489"/>
      <c r="BD481" s="489"/>
      <c r="BE481" s="489"/>
      <c r="BF481" s="489"/>
      <c r="BG481" s="489"/>
      <c r="BH481" s="489"/>
      <c r="BI481" s="489"/>
      <c r="BJ481" s="489"/>
    </row>
    <row r="482" spans="1:62" ht="6" customHeight="1" thickBot="1">
      <c r="A482" s="477" t="s">
        <v>469</v>
      </c>
      <c r="B482" s="486"/>
      <c r="C482" s="714" t="s">
        <v>227</v>
      </c>
      <c r="D482" s="489"/>
      <c r="E482" s="489"/>
      <c r="F482" s="489"/>
      <c r="G482" s="489"/>
      <c r="H482" s="489"/>
      <c r="I482" s="489"/>
      <c r="J482" s="489"/>
      <c r="K482" s="489"/>
      <c r="L482" s="489"/>
      <c r="M482" s="489"/>
      <c r="N482" s="489"/>
      <c r="O482" s="489"/>
      <c r="P482" s="489"/>
      <c r="Q482" s="489"/>
      <c r="R482" s="489"/>
      <c r="S482" s="489"/>
      <c r="T482" s="489"/>
      <c r="U482" s="489"/>
      <c r="V482" s="808"/>
      <c r="W482" s="809"/>
      <c r="X482" s="809"/>
      <c r="Y482" s="810"/>
      <c r="Z482" s="811"/>
      <c r="AA482" s="809"/>
      <c r="AB482" s="812"/>
      <c r="AC482" s="811"/>
      <c r="AD482" s="809"/>
      <c r="AE482" s="812"/>
      <c r="AF482" s="813"/>
      <c r="AG482" s="814"/>
      <c r="AH482" s="815"/>
      <c r="AI482" s="816"/>
      <c r="AJ482" s="817"/>
      <c r="AK482" s="818"/>
      <c r="AL482" s="813"/>
      <c r="AM482" s="819"/>
      <c r="AN482" s="815">
        <v>0</v>
      </c>
      <c r="AO482" s="820">
        <v>0</v>
      </c>
      <c r="AP482" s="489"/>
      <c r="AQ482" s="489"/>
      <c r="AR482" s="489"/>
      <c r="AS482" s="489"/>
      <c r="AT482" s="489"/>
      <c r="AU482" s="489"/>
      <c r="AV482" s="489"/>
      <c r="AW482" s="489"/>
      <c r="AX482" s="489"/>
      <c r="AY482" s="489"/>
      <c r="AZ482" s="489"/>
      <c r="BA482" s="489"/>
      <c r="BB482" s="489"/>
      <c r="BC482" s="489"/>
      <c r="BD482" s="489"/>
      <c r="BE482" s="489"/>
      <c r="BF482" s="489"/>
      <c r="BG482" s="489"/>
      <c r="BH482" s="489"/>
      <c r="BI482" s="489"/>
      <c r="BJ482" s="489"/>
    </row>
    <row r="483" spans="1:62" ht="15.75" customHeight="1" thickTop="1" thickBot="1">
      <c r="A483" s="477" t="s">
        <v>184</v>
      </c>
      <c r="B483" s="486"/>
      <c r="C483" s="714" t="s">
        <v>227</v>
      </c>
      <c r="D483" s="489"/>
      <c r="E483" s="489"/>
      <c r="F483" s="489"/>
      <c r="G483" s="489"/>
      <c r="H483" s="489"/>
      <c r="I483" s="489"/>
      <c r="J483" s="489"/>
      <c r="K483" s="489"/>
      <c r="L483" s="489"/>
      <c r="M483" s="489"/>
      <c r="N483" s="489"/>
      <c r="O483" s="489"/>
      <c r="P483" s="489"/>
      <c r="Q483" s="489"/>
      <c r="R483" s="489"/>
      <c r="S483" s="489"/>
      <c r="T483" s="489"/>
      <c r="U483" s="489"/>
      <c r="V483" s="821" t="s">
        <v>184</v>
      </c>
      <c r="W483" s="822"/>
      <c r="X483" s="823" t="s">
        <v>185</v>
      </c>
      <c r="Y483" s="824">
        <v>2.8657593431559183E-2</v>
      </c>
      <c r="Z483" s="825">
        <v>180108.74409388524</v>
      </c>
      <c r="AA483" s="823"/>
      <c r="AB483" s="824"/>
      <c r="AC483" s="825"/>
      <c r="AD483" s="823" t="s">
        <v>185</v>
      </c>
      <c r="AE483" s="824">
        <v>4.1371218581874265E-2</v>
      </c>
      <c r="AF483" s="826">
        <v>279221.77000000025</v>
      </c>
      <c r="AG483" s="827"/>
      <c r="AH483" s="827">
        <v>99113.025906115014</v>
      </c>
      <c r="AI483" s="828">
        <v>0.55029546957725939</v>
      </c>
      <c r="AJ483" s="829" t="s">
        <v>185</v>
      </c>
      <c r="AK483" s="824">
        <v>3.334365445710432E-2</v>
      </c>
      <c r="AL483" s="826">
        <v>221800.53999999835</v>
      </c>
      <c r="AM483" s="830"/>
      <c r="AN483" s="826">
        <v>57421.230000001902</v>
      </c>
      <c r="AO483" s="831">
        <v>0.25888679080764332</v>
      </c>
      <c r="AP483" s="489"/>
      <c r="AQ483" s="489"/>
      <c r="AR483" s="489"/>
      <c r="AS483" s="489"/>
      <c r="AT483" s="489"/>
      <c r="AU483" s="489"/>
      <c r="AV483" s="489"/>
      <c r="AW483" s="489"/>
      <c r="AX483" s="489"/>
      <c r="AY483" s="489"/>
      <c r="AZ483" s="489"/>
      <c r="BA483" s="489"/>
      <c r="BB483" s="489"/>
      <c r="BC483" s="489"/>
      <c r="BD483" s="489"/>
      <c r="BE483" s="489"/>
      <c r="BF483" s="489"/>
      <c r="BG483" s="489"/>
      <c r="BH483" s="489"/>
      <c r="BI483" s="489"/>
      <c r="BJ483" s="489"/>
    </row>
    <row r="484" spans="1:62" ht="8.25" customHeight="1" thickTop="1">
      <c r="A484" s="477" t="s">
        <v>469</v>
      </c>
      <c r="B484" s="486"/>
      <c r="C484" s="714" t="s">
        <v>227</v>
      </c>
      <c r="D484" s="489"/>
      <c r="E484" s="489"/>
      <c r="F484" s="489"/>
      <c r="G484" s="489"/>
      <c r="H484" s="489"/>
      <c r="I484" s="489"/>
      <c r="J484" s="489"/>
      <c r="K484" s="489"/>
      <c r="L484" s="489"/>
      <c r="M484" s="489"/>
      <c r="N484" s="489"/>
      <c r="O484" s="489"/>
      <c r="P484" s="489"/>
      <c r="Q484" s="489"/>
      <c r="R484" s="489"/>
      <c r="S484" s="489"/>
      <c r="T484" s="489"/>
      <c r="U484" s="489"/>
      <c r="V484" s="478"/>
      <c r="W484" s="478"/>
      <c r="X484" s="478"/>
      <c r="Y484" s="478"/>
      <c r="Z484" s="550"/>
      <c r="AA484" s="492"/>
      <c r="AB484" s="492"/>
      <c r="AC484" s="550"/>
      <c r="AD484" s="492"/>
      <c r="AE484" s="492"/>
      <c r="AF484" s="832"/>
      <c r="AG484" s="492"/>
      <c r="AH484" s="492"/>
      <c r="AI484" s="492"/>
      <c r="AJ484" s="492"/>
      <c r="AK484" s="492"/>
      <c r="AL484" s="550"/>
      <c r="AM484" s="492"/>
      <c r="AN484" s="492"/>
      <c r="AO484" s="492"/>
      <c r="AP484" s="489"/>
      <c r="AQ484" s="489"/>
      <c r="AR484" s="489"/>
      <c r="AS484" s="489"/>
      <c r="AT484" s="489"/>
      <c r="AU484" s="489"/>
      <c r="AV484" s="489"/>
      <c r="AW484" s="489"/>
      <c r="AX484" s="489"/>
      <c r="AY484" s="489"/>
      <c r="AZ484" s="489"/>
      <c r="BA484" s="489"/>
      <c r="BB484" s="489"/>
      <c r="BC484" s="489"/>
      <c r="BD484" s="489"/>
      <c r="BE484" s="489"/>
      <c r="BF484" s="489"/>
      <c r="BG484" s="489"/>
      <c r="BH484" s="489"/>
      <c r="BI484" s="489"/>
      <c r="BJ484" s="489"/>
    </row>
    <row r="485" spans="1:62" ht="18" customHeight="1">
      <c r="A485" s="477" t="s">
        <v>478</v>
      </c>
      <c r="B485" s="486"/>
      <c r="C485" s="714" t="s">
        <v>227</v>
      </c>
      <c r="D485" s="489"/>
      <c r="E485" s="489"/>
      <c r="F485" s="489"/>
      <c r="G485" s="489"/>
      <c r="H485" s="489"/>
      <c r="I485" s="489"/>
      <c r="J485" s="489"/>
      <c r="K485" s="489"/>
      <c r="L485" s="489"/>
      <c r="M485" s="489"/>
      <c r="N485" s="489"/>
      <c r="O485" s="489"/>
      <c r="P485" s="489"/>
      <c r="Q485" s="489"/>
      <c r="R485" s="489"/>
      <c r="S485" s="489"/>
      <c r="T485" s="489"/>
      <c r="U485" s="489"/>
      <c r="V485" s="833" t="s">
        <v>478</v>
      </c>
      <c r="W485" s="833"/>
      <c r="X485" s="833"/>
      <c r="Y485" s="833"/>
      <c r="Z485" s="833"/>
      <c r="AA485" s="833"/>
      <c r="AB485" s="833"/>
      <c r="AC485" s="833"/>
      <c r="AD485" s="833"/>
      <c r="AE485" s="834" t="s">
        <v>186</v>
      </c>
      <c r="AF485" s="833"/>
      <c r="AG485" s="833"/>
      <c r="AH485" s="833"/>
      <c r="AI485" s="833"/>
      <c r="AJ485" s="835"/>
      <c r="AK485" s="836"/>
      <c r="AL485" s="833"/>
      <c r="AM485" s="833"/>
      <c r="AN485" s="833"/>
      <c r="AO485" s="837" t="s">
        <v>480</v>
      </c>
      <c r="AP485" s="489"/>
      <c r="AQ485" s="489"/>
      <c r="AR485" s="489"/>
      <c r="AS485" s="489"/>
      <c r="AT485" s="489"/>
      <c r="AU485" s="489"/>
      <c r="AV485" s="489"/>
      <c r="AW485" s="489"/>
      <c r="AX485" s="489"/>
      <c r="AY485" s="489"/>
      <c r="AZ485" s="489"/>
      <c r="BA485" s="489"/>
      <c r="BB485" s="489"/>
      <c r="BC485" s="489"/>
      <c r="BD485" s="489"/>
      <c r="BE485" s="489"/>
      <c r="BF485" s="489"/>
      <c r="BG485" s="489"/>
      <c r="BH485" s="489"/>
      <c r="BI485" s="489"/>
      <c r="BJ485" s="489"/>
    </row>
    <row r="486" spans="1:62" ht="19.5" customHeight="1">
      <c r="A486" s="477" t="s">
        <v>469</v>
      </c>
      <c r="B486" s="486"/>
      <c r="C486" s="714" t="s">
        <v>227</v>
      </c>
      <c r="D486" s="489"/>
      <c r="E486" s="489"/>
      <c r="F486" s="489"/>
      <c r="G486" s="489"/>
      <c r="H486" s="489"/>
      <c r="I486" s="489"/>
      <c r="J486" s="489"/>
      <c r="K486" s="489"/>
      <c r="L486" s="489"/>
      <c r="M486" s="489"/>
      <c r="N486" s="489"/>
      <c r="O486" s="489"/>
      <c r="P486" s="489"/>
      <c r="Q486" s="489"/>
      <c r="R486" s="489"/>
      <c r="S486" s="489"/>
      <c r="T486" s="489"/>
      <c r="U486" s="489"/>
      <c r="V486" s="478"/>
      <c r="W486" s="478"/>
      <c r="X486" s="478"/>
      <c r="Y486" s="478"/>
      <c r="Z486" s="550"/>
      <c r="AA486" s="492"/>
      <c r="AB486" s="492"/>
      <c r="AC486" s="550"/>
      <c r="AD486" s="492"/>
      <c r="AE486" s="492"/>
      <c r="AF486" s="832"/>
      <c r="AG486" s="492"/>
      <c r="AH486" s="492"/>
      <c r="AI486" s="492"/>
      <c r="AJ486" s="492"/>
      <c r="AK486" s="492"/>
      <c r="AL486" s="550"/>
      <c r="AM486" s="492"/>
      <c r="AN486" s="492"/>
      <c r="AO486" s="492"/>
      <c r="AP486" s="489"/>
      <c r="AQ486" s="489"/>
      <c r="AR486" s="489"/>
      <c r="AS486" s="489"/>
      <c r="AT486" s="489"/>
      <c r="AU486" s="489"/>
      <c r="AV486" s="489"/>
      <c r="AW486" s="489"/>
      <c r="AX486" s="489"/>
      <c r="AY486" s="489"/>
      <c r="AZ486" s="489"/>
      <c r="BA486" s="489"/>
      <c r="BB486" s="489"/>
      <c r="BC486" s="489"/>
      <c r="BD486" s="489"/>
      <c r="BE486" s="489"/>
      <c r="BF486" s="489"/>
      <c r="BG486" s="489"/>
      <c r="BH486" s="489"/>
      <c r="BI486" s="489"/>
      <c r="BJ486" s="489"/>
    </row>
    <row r="487" spans="1:62" ht="19.5" customHeight="1" thickBot="1">
      <c r="A487" s="477" t="s">
        <v>469</v>
      </c>
      <c r="B487" s="486"/>
      <c r="C487" s="714" t="s">
        <v>227</v>
      </c>
      <c r="D487" s="489"/>
      <c r="E487" s="489"/>
      <c r="F487" s="489"/>
      <c r="G487" s="489"/>
      <c r="H487" s="489"/>
      <c r="I487" s="489"/>
      <c r="J487" s="489"/>
      <c r="K487" s="489"/>
      <c r="L487" s="489"/>
      <c r="M487" s="489"/>
      <c r="N487" s="489"/>
      <c r="O487" s="489"/>
      <c r="P487" s="489"/>
      <c r="Q487" s="489"/>
      <c r="R487" s="489"/>
      <c r="S487" s="489"/>
      <c r="T487" s="489"/>
      <c r="U487" s="489"/>
      <c r="V487" s="478"/>
      <c r="W487" s="478"/>
      <c r="X487" s="478"/>
      <c r="Y487" s="478"/>
      <c r="Z487" s="550"/>
      <c r="AA487" s="492"/>
      <c r="AB487" s="492"/>
      <c r="AC487" s="550"/>
      <c r="AD487" s="492"/>
      <c r="AE487" s="492"/>
      <c r="AF487" s="832"/>
      <c r="AG487" s="492"/>
      <c r="AH487" s="492"/>
      <c r="AI487" s="492"/>
      <c r="AJ487" s="492"/>
      <c r="AK487" s="492"/>
      <c r="AL487" s="550"/>
      <c r="AM487" s="492"/>
      <c r="AN487" s="492"/>
      <c r="AO487" s="492"/>
      <c r="AP487" s="489"/>
      <c r="AQ487" s="489"/>
      <c r="AR487" s="489"/>
      <c r="AS487" s="489"/>
      <c r="AT487" s="489"/>
      <c r="AU487" s="489"/>
      <c r="AV487" s="489"/>
      <c r="AW487" s="489"/>
      <c r="AX487" s="489"/>
      <c r="AY487" s="489"/>
      <c r="AZ487" s="489"/>
      <c r="BA487" s="489"/>
      <c r="BB487" s="489"/>
      <c r="BC487" s="489"/>
      <c r="BD487" s="489"/>
      <c r="BE487" s="489"/>
      <c r="BF487" s="489"/>
      <c r="BG487" s="489"/>
      <c r="BH487" s="489"/>
      <c r="BI487" s="489"/>
      <c r="BJ487" s="489"/>
    </row>
    <row r="488" spans="1:62" ht="19.5" customHeight="1" thickTop="1" thickBot="1">
      <c r="A488" s="477" t="s">
        <v>469</v>
      </c>
      <c r="B488" s="486"/>
      <c r="C488" s="714" t="s">
        <v>227</v>
      </c>
      <c r="D488" s="489"/>
      <c r="E488" s="489"/>
      <c r="F488" s="489"/>
      <c r="G488" s="489"/>
      <c r="H488" s="489"/>
      <c r="I488" s="489"/>
      <c r="J488" s="489"/>
      <c r="K488" s="489"/>
      <c r="L488" s="489"/>
      <c r="M488" s="489"/>
      <c r="N488" s="489"/>
      <c r="O488" s="489"/>
      <c r="P488" s="489"/>
      <c r="Q488" s="489"/>
      <c r="R488" s="489"/>
      <c r="S488" s="489"/>
      <c r="T488" s="489"/>
      <c r="U488" s="489"/>
      <c r="V488" s="821" t="s">
        <v>215</v>
      </c>
      <c r="W488" s="822"/>
      <c r="X488" s="823" t="s">
        <v>185</v>
      </c>
      <c r="Y488" s="824">
        <v>3.6314563850877619E-2</v>
      </c>
      <c r="Z488" s="826">
        <v>228231.67280669033</v>
      </c>
      <c r="AA488" s="823"/>
      <c r="AB488" s="824"/>
      <c r="AC488" s="825"/>
      <c r="AD488" s="823" t="s">
        <v>185</v>
      </c>
      <c r="AE488" s="824">
        <v>4.5254527800547041E-2</v>
      </c>
      <c r="AF488" s="826">
        <v>305430.92000000027</v>
      </c>
      <c r="AG488" s="827"/>
      <c r="AH488" s="827">
        <v>77199.247193309944</v>
      </c>
      <c r="AI488" s="828">
        <v>0.3382494911593486</v>
      </c>
      <c r="AJ488" s="823" t="s">
        <v>185</v>
      </c>
      <c r="AK488" s="824">
        <v>4.0714688795478154E-2</v>
      </c>
      <c r="AL488" s="826">
        <v>270832.33999999834</v>
      </c>
      <c r="AM488" s="830"/>
      <c r="AN488" s="826">
        <v>34598.580000001937</v>
      </c>
      <c r="AO488" s="838">
        <v>0.12774907162121832</v>
      </c>
      <c r="AP488" s="489"/>
      <c r="AQ488" s="489"/>
      <c r="AR488" s="489"/>
      <c r="AS488" s="489"/>
      <c r="AT488" s="489"/>
      <c r="AU488" s="489"/>
      <c r="AV488" s="489"/>
      <c r="AW488" s="489"/>
      <c r="AX488" s="489"/>
      <c r="AY488" s="489"/>
      <c r="AZ488" s="489"/>
      <c r="BA488" s="489"/>
      <c r="BB488" s="489"/>
      <c r="BC488" s="489"/>
      <c r="BD488" s="489"/>
      <c r="BE488" s="489"/>
      <c r="BF488" s="489"/>
      <c r="BG488" s="489"/>
      <c r="BH488" s="489"/>
      <c r="BI488" s="489"/>
      <c r="BJ488" s="489"/>
    </row>
    <row r="489" spans="1:62" ht="19.5" thickTop="1" thickBot="1">
      <c r="A489" s="477" t="s">
        <v>184</v>
      </c>
      <c r="B489" s="486"/>
      <c r="C489" s="714" t="s">
        <v>227</v>
      </c>
      <c r="D489" s="489"/>
      <c r="E489" s="489"/>
      <c r="F489" s="489"/>
      <c r="G489" s="489"/>
      <c r="H489" s="489"/>
      <c r="I489" s="489"/>
      <c r="J489" s="489"/>
      <c r="K489" s="489"/>
      <c r="L489" s="489"/>
      <c r="M489" s="489"/>
      <c r="N489" s="489"/>
      <c r="O489" s="489"/>
      <c r="P489" s="489"/>
      <c r="Q489" s="489"/>
      <c r="R489" s="489"/>
      <c r="S489" s="489"/>
      <c r="T489" s="489"/>
      <c r="U489" s="489"/>
      <c r="V489" s="821" t="s">
        <v>184</v>
      </c>
      <c r="W489" s="822"/>
      <c r="X489" s="823" t="s">
        <v>185</v>
      </c>
      <c r="Y489" s="824">
        <v>2.8657593431559183E-2</v>
      </c>
      <c r="Z489" s="825">
        <v>180108.74409388524</v>
      </c>
      <c r="AA489" s="823"/>
      <c r="AB489" s="824"/>
      <c r="AC489" s="825"/>
      <c r="AD489" s="823" t="s">
        <v>185</v>
      </c>
      <c r="AE489" s="824">
        <v>4.1371218581874265E-2</v>
      </c>
      <c r="AF489" s="825">
        <v>279221.77000000025</v>
      </c>
      <c r="AG489" s="826"/>
      <c r="AH489" s="827">
        <v>99113.025906115014</v>
      </c>
      <c r="AI489" s="828">
        <v>0.55029546957725939</v>
      </c>
      <c r="AJ489" s="823" t="s">
        <v>185</v>
      </c>
      <c r="AK489" s="824">
        <v>3.334365445710432E-2</v>
      </c>
      <c r="AL489" s="839">
        <v>221800.53999999835</v>
      </c>
      <c r="AM489" s="840"/>
      <c r="AN489" s="841">
        <v>57421.230000001902</v>
      </c>
      <c r="AO489" s="842">
        <v>0.25888679080764332</v>
      </c>
      <c r="AP489" s="489"/>
      <c r="AQ489" s="489"/>
      <c r="AR489" s="489"/>
      <c r="AS489" s="489"/>
      <c r="AT489" s="489"/>
      <c r="AU489" s="489"/>
      <c r="AV489" s="489"/>
      <c r="AW489" s="489"/>
      <c r="AX489" s="489"/>
      <c r="AY489" s="489"/>
      <c r="AZ489" s="489"/>
      <c r="BA489" s="489"/>
      <c r="BB489" s="489"/>
      <c r="BC489" s="489"/>
      <c r="BD489" s="489"/>
      <c r="BE489" s="489"/>
      <c r="BF489" s="489"/>
      <c r="BG489" s="489"/>
      <c r="BH489" s="489"/>
      <c r="BI489" s="489"/>
      <c r="BJ489" s="489"/>
    </row>
    <row r="490" spans="1:62" ht="15.75" customHeight="1" thickTop="1">
      <c r="A490" s="477" t="s">
        <v>469</v>
      </c>
      <c r="B490" s="486"/>
      <c r="C490" s="714" t="s">
        <v>227</v>
      </c>
      <c r="D490" s="489"/>
      <c r="E490" s="489"/>
      <c r="F490" s="632"/>
      <c r="G490" s="489"/>
      <c r="H490" s="489"/>
      <c r="I490" s="632"/>
      <c r="J490" s="489"/>
      <c r="K490" s="489"/>
      <c r="L490" s="489"/>
      <c r="M490" s="632"/>
      <c r="N490" s="489"/>
      <c r="O490" s="489"/>
      <c r="P490" s="489"/>
      <c r="Q490" s="632"/>
      <c r="R490" s="632"/>
      <c r="S490" s="632"/>
      <c r="T490" s="788"/>
      <c r="U490" s="788"/>
      <c r="V490" s="843"/>
      <c r="W490" s="489"/>
      <c r="X490" s="489"/>
      <c r="Y490" s="489"/>
      <c r="Z490" s="844"/>
      <c r="AA490" s="489"/>
      <c r="AB490" s="489"/>
      <c r="AC490" s="845"/>
      <c r="AD490" s="489"/>
      <c r="AE490" s="489"/>
      <c r="AF490" s="845"/>
      <c r="AG490" s="489"/>
      <c r="AH490" s="489"/>
      <c r="AI490" s="845"/>
      <c r="AJ490" s="489"/>
      <c r="AK490" s="489"/>
      <c r="AL490" s="846"/>
      <c r="AM490" s="847"/>
      <c r="AN490" s="489"/>
      <c r="AO490" s="848"/>
      <c r="AP490" s="489"/>
      <c r="AQ490" s="489"/>
      <c r="AR490" s="489"/>
      <c r="AS490" s="489"/>
      <c r="AT490" s="489"/>
      <c r="AU490" s="489"/>
      <c r="AV490" s="489"/>
      <c r="AW490" s="489"/>
      <c r="AX490" s="489"/>
      <c r="AY490" s="489"/>
      <c r="AZ490" s="489"/>
      <c r="BA490" s="489"/>
      <c r="BB490" s="489"/>
      <c r="BC490" s="489"/>
      <c r="BD490" s="489"/>
      <c r="BE490" s="489"/>
      <c r="BF490" s="489"/>
      <c r="BG490" s="489"/>
      <c r="BH490" s="489"/>
      <c r="BI490" s="489"/>
      <c r="BJ490" s="489"/>
    </row>
    <row r="491" spans="1:62" ht="15.75" customHeight="1">
      <c r="A491" s="477" t="s">
        <v>187</v>
      </c>
      <c r="B491" s="486"/>
      <c r="C491" s="714" t="s">
        <v>227</v>
      </c>
      <c r="D491" s="489"/>
      <c r="E491" s="489"/>
      <c r="F491" s="489"/>
      <c r="G491" s="489"/>
      <c r="H491" s="489"/>
      <c r="I491" s="489"/>
      <c r="J491" s="489"/>
      <c r="K491" s="489"/>
      <c r="L491" s="489"/>
      <c r="M491" s="489"/>
      <c r="N491" s="489"/>
      <c r="O491" s="489"/>
      <c r="P491" s="489"/>
      <c r="Q491" s="489"/>
      <c r="R491" s="489"/>
      <c r="S491" s="489"/>
      <c r="T491" s="489"/>
      <c r="U491" s="489"/>
      <c r="V491" s="576" t="s">
        <v>187</v>
      </c>
      <c r="W491" s="747"/>
      <c r="X491" s="740"/>
      <c r="Y491" s="748"/>
      <c r="Z491" s="741">
        <v>43648</v>
      </c>
      <c r="AA491" s="740"/>
      <c r="AB491" s="748"/>
      <c r="AC491" s="741"/>
      <c r="AD491" s="740"/>
      <c r="AE491" s="748"/>
      <c r="AF491" s="741">
        <v>42648</v>
      </c>
      <c r="AG491" s="740"/>
      <c r="AH491" s="743">
        <v>-1000</v>
      </c>
      <c r="AI491" s="767">
        <v>-2.2910557184750734E-2</v>
      </c>
      <c r="AJ491" s="740"/>
      <c r="AK491" s="740"/>
      <c r="AL491" s="741">
        <v>34648</v>
      </c>
      <c r="AM491" s="745"/>
      <c r="AN491" s="743">
        <v>8000</v>
      </c>
      <c r="AO491" s="751">
        <v>0.23089355806972986</v>
      </c>
      <c r="AP491" s="489"/>
      <c r="AQ491" s="489"/>
      <c r="AR491" s="489"/>
      <c r="AS491" s="489"/>
      <c r="AT491" s="489"/>
      <c r="AU491" s="489"/>
      <c r="AV491" s="489"/>
      <c r="AW491" s="489"/>
      <c r="AX491" s="489"/>
      <c r="AY491" s="489"/>
      <c r="AZ491" s="489"/>
      <c r="BA491" s="489"/>
      <c r="BB491" s="489"/>
      <c r="BC491" s="489"/>
      <c r="BD491" s="489"/>
      <c r="BE491" s="489"/>
      <c r="BF491" s="489"/>
      <c r="BG491" s="489"/>
      <c r="BH491" s="489"/>
      <c r="BI491" s="489"/>
      <c r="BJ491" s="489"/>
    </row>
    <row r="492" spans="1:62" ht="15.75" customHeight="1">
      <c r="A492" s="477" t="s">
        <v>188</v>
      </c>
      <c r="B492" s="486"/>
      <c r="C492" s="714" t="s">
        <v>227</v>
      </c>
      <c r="D492" s="489"/>
      <c r="E492" s="489"/>
      <c r="F492" s="632"/>
      <c r="G492" s="489"/>
      <c r="H492" s="489"/>
      <c r="I492" s="632"/>
      <c r="J492" s="489"/>
      <c r="K492" s="489"/>
      <c r="L492" s="489"/>
      <c r="M492" s="632"/>
      <c r="N492" s="489"/>
      <c r="O492" s="489"/>
      <c r="P492" s="489"/>
      <c r="Q492" s="632"/>
      <c r="R492" s="632"/>
      <c r="S492" s="632"/>
      <c r="T492" s="489"/>
      <c r="U492" s="489"/>
      <c r="V492" s="576" t="s">
        <v>188</v>
      </c>
      <c r="W492" s="489"/>
      <c r="X492" s="489"/>
      <c r="Y492" s="489"/>
      <c r="Z492" s="741">
        <v>0</v>
      </c>
      <c r="AA492" s="489"/>
      <c r="AB492" s="489"/>
      <c r="AC492" s="741"/>
      <c r="AD492" s="489"/>
      <c r="AE492" s="492"/>
      <c r="AF492" s="741">
        <v>0</v>
      </c>
      <c r="AG492" s="489"/>
      <c r="AH492" s="743">
        <v>0</v>
      </c>
      <c r="AI492" s="767">
        <v>0</v>
      </c>
      <c r="AJ492" s="489"/>
      <c r="AK492" s="489"/>
      <c r="AL492" s="741">
        <v>0</v>
      </c>
      <c r="AM492" s="847"/>
      <c r="AN492" s="743">
        <v>0</v>
      </c>
      <c r="AO492" s="751">
        <v>0</v>
      </c>
      <c r="AP492" s="489"/>
      <c r="AQ492" s="489"/>
      <c r="AR492" s="489"/>
      <c r="AS492" s="489"/>
      <c r="AT492" s="489"/>
      <c r="AU492" s="489"/>
      <c r="AV492" s="489"/>
      <c r="AW492" s="489"/>
      <c r="AX492" s="489"/>
      <c r="AY492" s="489"/>
      <c r="AZ492" s="489"/>
      <c r="BA492" s="489"/>
      <c r="BB492" s="489"/>
      <c r="BC492" s="489"/>
      <c r="BD492" s="489"/>
      <c r="BE492" s="489"/>
      <c r="BF492" s="489"/>
      <c r="BG492" s="489"/>
      <c r="BH492" s="489"/>
      <c r="BI492" s="489"/>
      <c r="BJ492" s="489"/>
    </row>
    <row r="493" spans="1:62" ht="15.75" customHeight="1">
      <c r="A493" s="477" t="s">
        <v>189</v>
      </c>
      <c r="B493" s="486"/>
      <c r="C493" s="714" t="s">
        <v>227</v>
      </c>
      <c r="D493" s="489"/>
      <c r="E493" s="489"/>
      <c r="F493" s="632"/>
      <c r="G493" s="489"/>
      <c r="H493" s="489"/>
      <c r="I493" s="632"/>
      <c r="J493" s="489"/>
      <c r="K493" s="489"/>
      <c r="L493" s="489"/>
      <c r="M493" s="632"/>
      <c r="N493" s="489"/>
      <c r="O493" s="489"/>
      <c r="P493" s="489"/>
      <c r="Q493" s="632"/>
      <c r="R493" s="632"/>
      <c r="S493" s="632"/>
      <c r="T493" s="489"/>
      <c r="U493" s="489"/>
      <c r="V493" s="576" t="s">
        <v>189</v>
      </c>
      <c r="W493" s="492"/>
      <c r="X493" s="492"/>
      <c r="Y493" s="492"/>
      <c r="Z493" s="741">
        <v>0</v>
      </c>
      <c r="AA493" s="489"/>
      <c r="AB493" s="489"/>
      <c r="AC493" s="741"/>
      <c r="AD493" s="489"/>
      <c r="AE493" s="492"/>
      <c r="AF493" s="741">
        <v>0</v>
      </c>
      <c r="AG493" s="489"/>
      <c r="AH493" s="743">
        <v>0</v>
      </c>
      <c r="AI493" s="767">
        <v>0</v>
      </c>
      <c r="AJ493" s="489"/>
      <c r="AK493" s="489"/>
      <c r="AL493" s="741">
        <v>-666.79</v>
      </c>
      <c r="AM493" s="847"/>
      <c r="AN493" s="743">
        <v>666.79</v>
      </c>
      <c r="AO493" s="751">
        <v>-1</v>
      </c>
      <c r="AP493" s="489"/>
      <c r="AQ493" s="489"/>
      <c r="AR493" s="489"/>
      <c r="AS493" s="489"/>
      <c r="AT493" s="489"/>
      <c r="AU493" s="489"/>
      <c r="AV493" s="489"/>
      <c r="AW493" s="489"/>
      <c r="AX493" s="489"/>
      <c r="AY493" s="489"/>
      <c r="AZ493" s="489"/>
      <c r="BA493" s="489"/>
      <c r="BB493" s="489"/>
      <c r="BC493" s="489"/>
      <c r="BD493" s="489"/>
      <c r="BE493" s="489"/>
      <c r="BF493" s="489"/>
      <c r="BG493" s="489"/>
      <c r="BH493" s="489"/>
      <c r="BI493" s="489"/>
      <c r="BJ493" s="489"/>
    </row>
    <row r="494" spans="1:62" ht="15.75" customHeight="1">
      <c r="A494" s="477" t="s">
        <v>190</v>
      </c>
      <c r="B494" s="486"/>
      <c r="C494" s="714" t="s">
        <v>227</v>
      </c>
      <c r="D494" s="489"/>
      <c r="E494" s="489"/>
      <c r="F494" s="632"/>
      <c r="G494" s="489"/>
      <c r="H494" s="489"/>
      <c r="I494" s="632"/>
      <c r="J494" s="489"/>
      <c r="K494" s="489"/>
      <c r="L494" s="489"/>
      <c r="M494" s="632"/>
      <c r="N494" s="489"/>
      <c r="O494" s="489"/>
      <c r="P494" s="489"/>
      <c r="Q494" s="632"/>
      <c r="R494" s="632"/>
      <c r="S494" s="632"/>
      <c r="T494" s="489"/>
      <c r="U494" s="489"/>
      <c r="V494" s="576" t="s">
        <v>190</v>
      </c>
      <c r="W494" s="492"/>
      <c r="X494" s="492"/>
      <c r="Y494" s="492"/>
      <c r="Z494" s="741">
        <v>0</v>
      </c>
      <c r="AA494" s="489"/>
      <c r="AB494" s="489"/>
      <c r="AC494" s="741"/>
      <c r="AD494" s="489"/>
      <c r="AE494" s="492"/>
      <c r="AF494" s="741">
        <v>0</v>
      </c>
      <c r="AG494" s="489"/>
      <c r="AH494" s="743">
        <v>0</v>
      </c>
      <c r="AI494" s="767">
        <v>0</v>
      </c>
      <c r="AJ494" s="489"/>
      <c r="AK494" s="489"/>
      <c r="AL494" s="741">
        <v>0</v>
      </c>
      <c r="AM494" s="847"/>
      <c r="AN494" s="743">
        <v>0</v>
      </c>
      <c r="AO494" s="751">
        <v>0</v>
      </c>
      <c r="AP494" s="489"/>
      <c r="AQ494" s="489"/>
      <c r="AR494" s="489"/>
      <c r="AS494" s="489"/>
      <c r="AT494" s="489"/>
      <c r="AU494" s="489"/>
      <c r="AV494" s="489"/>
      <c r="AW494" s="489"/>
      <c r="AX494" s="489"/>
      <c r="AY494" s="489"/>
      <c r="AZ494" s="489"/>
      <c r="BA494" s="489"/>
      <c r="BB494" s="489"/>
      <c r="BC494" s="489"/>
      <c r="BD494" s="489"/>
      <c r="BE494" s="489"/>
      <c r="BF494" s="489"/>
      <c r="BG494" s="489"/>
      <c r="BH494" s="489"/>
      <c r="BI494" s="489"/>
      <c r="BJ494" s="489"/>
    </row>
    <row r="495" spans="1:62" ht="15.75" customHeight="1">
      <c r="A495" s="477" t="s">
        <v>20</v>
      </c>
      <c r="B495" s="486"/>
      <c r="C495" s="714" t="s">
        <v>227</v>
      </c>
      <c r="D495" s="489"/>
      <c r="E495" s="489"/>
      <c r="F495" s="632"/>
      <c r="G495" s="489"/>
      <c r="H495" s="489"/>
      <c r="I495" s="632"/>
      <c r="J495" s="489"/>
      <c r="K495" s="489"/>
      <c r="L495" s="489"/>
      <c r="M495" s="632"/>
      <c r="N495" s="489"/>
      <c r="O495" s="489"/>
      <c r="P495" s="489"/>
      <c r="Q495" s="632"/>
      <c r="R495" s="632"/>
      <c r="S495" s="632"/>
      <c r="T495" s="489"/>
      <c r="U495" s="489"/>
      <c r="V495" s="576" t="s">
        <v>20</v>
      </c>
      <c r="W495" s="492"/>
      <c r="X495" s="492"/>
      <c r="Y495" s="492"/>
      <c r="Z495" s="741">
        <v>0</v>
      </c>
      <c r="AA495" s="740"/>
      <c r="AB495" s="740"/>
      <c r="AC495" s="741"/>
      <c r="AD495" s="749"/>
      <c r="AE495" s="748"/>
      <c r="AF495" s="741">
        <v>0</v>
      </c>
      <c r="AG495" s="742"/>
      <c r="AH495" s="743">
        <v>0</v>
      </c>
      <c r="AI495" s="744">
        <v>0</v>
      </c>
      <c r="AJ495" s="749"/>
      <c r="AK495" s="740"/>
      <c r="AL495" s="849">
        <v>0</v>
      </c>
      <c r="AM495" s="847"/>
      <c r="AN495" s="743">
        <v>0</v>
      </c>
      <c r="AO495" s="751">
        <v>0</v>
      </c>
      <c r="AP495" s="489"/>
      <c r="AQ495" s="489"/>
      <c r="AR495" s="489"/>
      <c r="AS495" s="489"/>
      <c r="AT495" s="489"/>
      <c r="AU495" s="489"/>
      <c r="AV495" s="489"/>
      <c r="AW495" s="489"/>
      <c r="AX495" s="489"/>
      <c r="AY495" s="489"/>
      <c r="AZ495" s="489"/>
      <c r="BA495" s="489"/>
      <c r="BB495" s="489"/>
      <c r="BC495" s="489"/>
      <c r="BD495" s="489"/>
      <c r="BE495" s="489"/>
      <c r="BF495" s="489"/>
      <c r="BG495" s="489"/>
      <c r="BH495" s="489"/>
      <c r="BI495" s="489"/>
      <c r="BJ495" s="489"/>
    </row>
    <row r="496" spans="1:62" ht="15.75" customHeight="1">
      <c r="A496" s="576" t="s">
        <v>470</v>
      </c>
      <c r="B496" s="486"/>
      <c r="C496" s="714" t="s">
        <v>227</v>
      </c>
      <c r="D496" s="489"/>
      <c r="E496" s="489"/>
      <c r="F496" s="632"/>
      <c r="G496" s="489"/>
      <c r="H496" s="489"/>
      <c r="I496" s="632"/>
      <c r="J496" s="489"/>
      <c r="K496" s="489"/>
      <c r="L496" s="489"/>
      <c r="M496" s="632"/>
      <c r="N496" s="489"/>
      <c r="O496" s="489"/>
      <c r="P496" s="489"/>
      <c r="Q496" s="632"/>
      <c r="R496" s="632"/>
      <c r="S496" s="632"/>
      <c r="T496" s="489"/>
      <c r="U496" s="489"/>
      <c r="V496" s="576" t="s">
        <v>470</v>
      </c>
      <c r="W496" s="492"/>
      <c r="X496" s="492"/>
      <c r="Y496" s="492"/>
      <c r="Z496" s="741">
        <v>-1079.1666666666667</v>
      </c>
      <c r="AA496" s="740"/>
      <c r="AB496" s="740"/>
      <c r="AC496" s="741"/>
      <c r="AD496" s="749"/>
      <c r="AE496" s="748"/>
      <c r="AF496" s="741">
        <v>-1079</v>
      </c>
      <c r="AG496" s="742"/>
      <c r="AH496" s="743">
        <v>0.16666666666674246</v>
      </c>
      <c r="AI496" s="744">
        <v>-1.5444015444022465E-4</v>
      </c>
      <c r="AJ496" s="749"/>
      <c r="AK496" s="740"/>
      <c r="AL496" s="741">
        <v>-2872.23</v>
      </c>
      <c r="AM496" s="847"/>
      <c r="AN496" s="743">
        <v>1793.23</v>
      </c>
      <c r="AO496" s="751">
        <v>-0.62433370586617365</v>
      </c>
      <c r="AP496" s="489"/>
      <c r="AQ496" s="489"/>
      <c r="AR496" s="489"/>
      <c r="AS496" s="489"/>
      <c r="AT496" s="489"/>
      <c r="AU496" s="489"/>
      <c r="AV496" s="489"/>
      <c r="AW496" s="489"/>
      <c r="AX496" s="489"/>
      <c r="AY496" s="489"/>
      <c r="AZ496" s="489"/>
      <c r="BA496" s="489"/>
      <c r="BB496" s="489"/>
      <c r="BC496" s="489"/>
      <c r="BD496" s="489"/>
      <c r="BE496" s="489"/>
      <c r="BF496" s="489"/>
      <c r="BG496" s="489"/>
      <c r="BH496" s="489"/>
      <c r="BI496" s="489"/>
      <c r="BJ496" s="489"/>
    </row>
    <row r="497" spans="1:62" ht="15.75" customHeight="1" thickBot="1">
      <c r="A497" s="477" t="s">
        <v>20</v>
      </c>
      <c r="B497" s="486"/>
      <c r="C497" s="714" t="s">
        <v>227</v>
      </c>
      <c r="D497" s="489"/>
      <c r="E497" s="489"/>
      <c r="F497" s="632"/>
      <c r="G497" s="489"/>
      <c r="H497" s="489"/>
      <c r="I497" s="632"/>
      <c r="J497" s="489"/>
      <c r="K497" s="489"/>
      <c r="L497" s="489"/>
      <c r="M497" s="632"/>
      <c r="N497" s="489"/>
      <c r="O497" s="489"/>
      <c r="P497" s="489"/>
      <c r="Q497" s="632"/>
      <c r="R497" s="632"/>
      <c r="S497" s="632"/>
      <c r="T497" s="489"/>
      <c r="U497" s="489"/>
      <c r="V497" s="576" t="s">
        <v>20</v>
      </c>
      <c r="W497" s="492"/>
      <c r="X497" s="489"/>
      <c r="Y497" s="492"/>
      <c r="Z497" s="741">
        <v>0</v>
      </c>
      <c r="AA497" s="740"/>
      <c r="AB497" s="740"/>
      <c r="AC497" s="741"/>
      <c r="AD497" s="749"/>
      <c r="AE497" s="748"/>
      <c r="AF497" s="741">
        <v>0</v>
      </c>
      <c r="AG497" s="742"/>
      <c r="AH497" s="743">
        <v>0</v>
      </c>
      <c r="AI497" s="744">
        <v>0</v>
      </c>
      <c r="AJ497" s="749"/>
      <c r="AK497" s="740"/>
      <c r="AL497" s="741">
        <v>0</v>
      </c>
      <c r="AM497" s="847"/>
      <c r="AN497" s="743">
        <v>0</v>
      </c>
      <c r="AO497" s="751">
        <v>0</v>
      </c>
      <c r="AP497" s="489"/>
      <c r="AQ497" s="489"/>
      <c r="AR497" s="489"/>
      <c r="AS497" s="489"/>
      <c r="AT497" s="489"/>
      <c r="AU497" s="489"/>
      <c r="AV497" s="489"/>
      <c r="AW497" s="489"/>
      <c r="AX497" s="489"/>
      <c r="AY497" s="489"/>
      <c r="AZ497" s="489"/>
      <c r="BA497" s="489"/>
      <c r="BB497" s="489"/>
      <c r="BC497" s="489"/>
      <c r="BD497" s="489"/>
      <c r="BE497" s="489"/>
      <c r="BF497" s="489"/>
      <c r="BG497" s="489"/>
      <c r="BH497" s="489"/>
      <c r="BI497" s="489"/>
      <c r="BJ497" s="489"/>
    </row>
    <row r="498" spans="1:62" ht="15.75" customHeight="1" thickTop="1" thickBot="1">
      <c r="A498" s="477" t="s">
        <v>191</v>
      </c>
      <c r="B498" s="486"/>
      <c r="C498" s="714" t="s">
        <v>227</v>
      </c>
      <c r="D498" s="489"/>
      <c r="E498" s="489"/>
      <c r="F498" s="632"/>
      <c r="G498" s="489"/>
      <c r="H498" s="489"/>
      <c r="I498" s="632"/>
      <c r="J498" s="489"/>
      <c r="K498" s="489"/>
      <c r="L498" s="489"/>
      <c r="M498" s="632"/>
      <c r="N498" s="489"/>
      <c r="O498" s="489"/>
      <c r="P498" s="489"/>
      <c r="Q498" s="632"/>
      <c r="R498" s="632"/>
      <c r="S498" s="632"/>
      <c r="T498" s="489"/>
      <c r="U498" s="489"/>
      <c r="V498" s="821" t="s">
        <v>191</v>
      </c>
      <c r="W498" s="822"/>
      <c r="X498" s="823" t="s">
        <v>185</v>
      </c>
      <c r="Y498" s="824">
        <v>2.1884350274155542E-2</v>
      </c>
      <c r="Z498" s="825">
        <v>137539.91076055189</v>
      </c>
      <c r="AA498" s="823"/>
      <c r="AB498" s="824"/>
      <c r="AC498" s="825"/>
      <c r="AD498" s="823" t="s">
        <v>185</v>
      </c>
      <c r="AE498" s="824">
        <v>3.5212099308223326E-2</v>
      </c>
      <c r="AF498" s="826">
        <v>237652.77000000025</v>
      </c>
      <c r="AG498" s="827"/>
      <c r="AH498" s="827">
        <v>100112.85923944836</v>
      </c>
      <c r="AI498" s="828">
        <v>0.72788224658469047</v>
      </c>
      <c r="AJ498" s="829" t="s">
        <v>185</v>
      </c>
      <c r="AK498" s="824">
        <v>2.8666988297351162E-2</v>
      </c>
      <c r="AL498" s="826">
        <v>190691.55999999837</v>
      </c>
      <c r="AM498" s="830"/>
      <c r="AN498" s="826">
        <v>46961.210000001884</v>
      </c>
      <c r="AO498" s="838">
        <v>0.2462678998483325</v>
      </c>
      <c r="AP498" s="489"/>
      <c r="AQ498" s="489"/>
      <c r="AR498" s="489"/>
      <c r="AS498" s="489"/>
      <c r="AT498" s="489"/>
      <c r="AU498" s="489"/>
      <c r="AV498" s="489"/>
      <c r="AW498" s="489"/>
      <c r="AX498" s="489"/>
      <c r="AY498" s="489"/>
      <c r="AZ498" s="489"/>
      <c r="BA498" s="489"/>
      <c r="BB498" s="489"/>
      <c r="BC498" s="489"/>
      <c r="BD498" s="489"/>
      <c r="BE498" s="489"/>
      <c r="BF498" s="489"/>
      <c r="BG498" s="489"/>
      <c r="BH498" s="489"/>
      <c r="BI498" s="489"/>
      <c r="BJ498" s="489"/>
    </row>
    <row r="499" spans="1:62" ht="15.75" customHeight="1" thickTop="1">
      <c r="A499" s="477" t="s">
        <v>469</v>
      </c>
      <c r="B499" s="486"/>
      <c r="C499" s="489"/>
      <c r="D499" s="489"/>
      <c r="E499" s="489"/>
      <c r="F499" s="632"/>
      <c r="G499" s="489"/>
      <c r="H499" s="489"/>
      <c r="I499" s="632"/>
      <c r="J499" s="489"/>
      <c r="K499" s="489"/>
      <c r="L499" s="489"/>
      <c r="M499" s="632"/>
      <c r="N499" s="489"/>
      <c r="O499" s="489"/>
      <c r="P499" s="489"/>
      <c r="Q499" s="632"/>
      <c r="R499" s="632"/>
      <c r="S499" s="632"/>
      <c r="T499" s="489"/>
      <c r="U499" s="489"/>
      <c r="AP499" s="489"/>
      <c r="AQ499" s="489"/>
      <c r="AR499" s="489"/>
      <c r="AS499" s="489"/>
      <c r="AT499" s="489"/>
      <c r="AU499" s="489"/>
      <c r="AV499" s="489"/>
      <c r="AW499" s="489"/>
      <c r="AX499" s="489"/>
      <c r="AY499" s="489"/>
      <c r="AZ499" s="489"/>
      <c r="BA499" s="489"/>
      <c r="BB499" s="489"/>
      <c r="BC499" s="489"/>
      <c r="BD499" s="489"/>
      <c r="BE499" s="489"/>
      <c r="BF499" s="489"/>
      <c r="BG499" s="489"/>
      <c r="BH499" s="489"/>
      <c r="BI499" s="489"/>
      <c r="BJ499" s="489"/>
    </row>
    <row r="500" spans="1:62" ht="15.75" customHeight="1">
      <c r="B500" s="486"/>
      <c r="T500" s="489"/>
      <c r="U500" s="489"/>
      <c r="V500" s="489"/>
      <c r="W500" s="489"/>
      <c r="X500" s="489"/>
      <c r="Y500" s="489"/>
      <c r="Z500" s="632"/>
      <c r="AA500" s="489"/>
      <c r="AB500" s="489"/>
      <c r="AC500" s="632"/>
      <c r="AE500" s="850" t="s">
        <v>479</v>
      </c>
      <c r="AF500" s="850">
        <v>171618</v>
      </c>
      <c r="AG500" s="489"/>
      <c r="AH500" s="489"/>
      <c r="AI500" s="489"/>
      <c r="AJ500" s="851"/>
      <c r="AK500" s="852"/>
      <c r="AL500" s="853"/>
      <c r="AM500" s="489"/>
      <c r="AN500" s="489"/>
      <c r="AO500" s="489"/>
      <c r="AP500" s="489"/>
      <c r="AQ500" s="489"/>
      <c r="AR500" s="489"/>
      <c r="AS500" s="489"/>
      <c r="AT500" s="489"/>
      <c r="AU500" s="489"/>
      <c r="AV500" s="489"/>
      <c r="AW500" s="489"/>
      <c r="AX500" s="489"/>
      <c r="AY500" s="489"/>
      <c r="AZ500" s="489"/>
      <c r="BA500" s="489"/>
      <c r="BB500" s="489"/>
      <c r="BC500" s="489"/>
      <c r="BD500" s="489"/>
      <c r="BE500" s="489"/>
      <c r="BF500" s="489"/>
      <c r="BG500" s="489"/>
      <c r="BH500" s="489"/>
      <c r="BI500" s="489"/>
      <c r="BJ500" s="489"/>
    </row>
    <row r="501" spans="1:62" ht="15.75" customHeight="1">
      <c r="B501" s="486"/>
      <c r="C501" s="489"/>
      <c r="S501" s="632"/>
      <c r="W501" s="489"/>
      <c r="X501" s="489"/>
      <c r="Y501" s="489"/>
      <c r="Z501" s="632"/>
      <c r="AA501" s="489"/>
      <c r="AB501" s="489"/>
      <c r="AC501" s="632"/>
      <c r="AD501" s="489"/>
      <c r="AE501" s="489"/>
      <c r="AF501" s="850"/>
      <c r="AG501" s="489"/>
      <c r="AH501" s="489"/>
      <c r="AI501" s="489"/>
      <c r="AJ501" s="489"/>
      <c r="AL501" s="853"/>
      <c r="AM501" s="489"/>
      <c r="AN501" s="489"/>
      <c r="AO501" s="489"/>
      <c r="AP501" s="489"/>
      <c r="AQ501" s="489"/>
      <c r="AR501" s="489"/>
      <c r="AS501" s="489"/>
      <c r="AT501" s="489"/>
      <c r="AU501" s="489"/>
      <c r="AV501" s="489"/>
      <c r="AW501" s="489"/>
      <c r="AX501" s="489"/>
      <c r="AY501" s="489"/>
      <c r="AZ501" s="489"/>
      <c r="BA501" s="489"/>
      <c r="BB501" s="489"/>
      <c r="BC501" s="489"/>
      <c r="BD501" s="489"/>
      <c r="BE501" s="489"/>
      <c r="BF501" s="489"/>
      <c r="BG501" s="489"/>
      <c r="BH501" s="489"/>
      <c r="BI501" s="489"/>
      <c r="BJ501" s="489"/>
    </row>
    <row r="502" spans="1:62" ht="15.75" customHeight="1">
      <c r="B502" s="486"/>
      <c r="C502" s="740"/>
      <c r="W502" s="489"/>
      <c r="X502" s="489"/>
      <c r="Y502" s="489"/>
      <c r="AE502" s="489"/>
      <c r="AF502" s="632"/>
      <c r="AG502" s="489"/>
      <c r="AH502" s="489"/>
      <c r="AM502" s="489"/>
      <c r="AN502" s="489"/>
      <c r="AO502" s="489"/>
      <c r="AP502" s="489"/>
      <c r="AQ502" s="489"/>
      <c r="AR502" s="489"/>
      <c r="AS502" s="489"/>
      <c r="AT502" s="489"/>
      <c r="AU502" s="489"/>
      <c r="AV502" s="489"/>
      <c r="AW502" s="489"/>
      <c r="AX502" s="489"/>
      <c r="AY502" s="489"/>
      <c r="AZ502" s="489"/>
      <c r="BA502" s="489"/>
      <c r="BB502" s="489"/>
      <c r="BC502" s="489"/>
      <c r="BD502" s="489"/>
      <c r="BE502" s="489"/>
      <c r="BF502" s="489"/>
      <c r="BG502" s="489"/>
      <c r="BH502" s="489"/>
      <c r="BI502" s="489"/>
      <c r="BJ502" s="489"/>
    </row>
    <row r="503" spans="1:62" ht="15.75" customHeight="1">
      <c r="B503" s="486"/>
      <c r="C503" s="740"/>
      <c r="W503" s="489"/>
      <c r="X503" s="489"/>
      <c r="Y503" s="489"/>
      <c r="Z503" s="489"/>
      <c r="AA503" s="489"/>
      <c r="AB503" s="489"/>
      <c r="AC503" s="489"/>
      <c r="AD503" s="489"/>
      <c r="AE503" s="489"/>
      <c r="AF503" s="489"/>
      <c r="AG503" s="489"/>
      <c r="AH503" s="489"/>
      <c r="AI503" s="489"/>
      <c r="AJ503" s="854"/>
      <c r="AK503" s="852"/>
      <c r="AL503" s="853"/>
      <c r="AM503" s="489"/>
      <c r="AN503" s="489"/>
      <c r="AO503" s="489"/>
      <c r="AP503" s="489"/>
      <c r="AQ503" s="489"/>
      <c r="AR503" s="489"/>
      <c r="AS503" s="489"/>
      <c r="AT503" s="489"/>
      <c r="AU503" s="489"/>
      <c r="AV503" s="489"/>
      <c r="AW503" s="489"/>
      <c r="AX503" s="489"/>
      <c r="AY503" s="489"/>
      <c r="AZ503" s="489"/>
      <c r="BA503" s="489"/>
      <c r="BB503" s="489"/>
      <c r="BC503" s="489"/>
      <c r="BD503" s="489"/>
      <c r="BE503" s="489"/>
      <c r="BF503" s="489"/>
      <c r="BG503" s="489"/>
      <c r="BH503" s="489"/>
      <c r="BI503" s="489"/>
      <c r="BJ503" s="489"/>
    </row>
    <row r="504" spans="1:62" ht="15.75" customHeight="1">
      <c r="B504" s="486"/>
      <c r="C504" s="740"/>
      <c r="W504" s="489"/>
      <c r="X504" s="489"/>
      <c r="Y504" s="489"/>
      <c r="Z504" s="489"/>
      <c r="AA504" s="489"/>
      <c r="AB504" s="489"/>
      <c r="AC504" s="489"/>
      <c r="AD504" s="489"/>
      <c r="AE504" s="489"/>
      <c r="AF504" s="489"/>
      <c r="AG504" s="489"/>
      <c r="AH504" s="489"/>
      <c r="AI504" s="489"/>
      <c r="AJ504" s="489"/>
      <c r="AK504" s="489"/>
      <c r="AL504" s="489"/>
      <c r="AM504" s="489"/>
      <c r="AN504" s="489"/>
      <c r="AO504" s="489"/>
      <c r="AP504" s="489"/>
      <c r="AQ504" s="489"/>
      <c r="AR504" s="489"/>
      <c r="AS504" s="489"/>
      <c r="AT504" s="489"/>
      <c r="AU504" s="489"/>
      <c r="AV504" s="489"/>
      <c r="AW504" s="489"/>
      <c r="AX504" s="489"/>
      <c r="AY504" s="489"/>
      <c r="AZ504" s="489"/>
      <c r="BA504" s="489"/>
      <c r="BB504" s="489"/>
      <c r="BC504" s="489"/>
      <c r="BD504" s="489"/>
      <c r="BE504" s="489"/>
      <c r="BF504" s="489"/>
      <c r="BG504" s="489"/>
      <c r="BH504" s="489"/>
      <c r="BI504" s="489"/>
      <c r="BJ504" s="489"/>
    </row>
    <row r="505" spans="1:62" ht="15.75" customHeight="1">
      <c r="B505" s="486"/>
      <c r="C505" s="740"/>
      <c r="W505" s="489"/>
      <c r="X505" s="489"/>
      <c r="Y505" s="489"/>
      <c r="Z505" s="489"/>
      <c r="AA505" s="489"/>
      <c r="AB505" s="489"/>
      <c r="AC505" s="489"/>
      <c r="AD505" s="489"/>
      <c r="AE505" s="489"/>
      <c r="AF505" s="489"/>
      <c r="AG505" s="489"/>
      <c r="AH505" s="489"/>
      <c r="AI505" s="489"/>
      <c r="AJ505" s="489"/>
      <c r="AK505" s="489"/>
      <c r="AL505" s="489"/>
      <c r="AM505" s="489"/>
      <c r="AN505" s="489"/>
      <c r="AO505" s="489"/>
      <c r="AP505" s="489"/>
      <c r="AQ505" s="489"/>
      <c r="AR505" s="489"/>
      <c r="AS505" s="489"/>
      <c r="AT505" s="489"/>
      <c r="AU505" s="489"/>
      <c r="AV505" s="489"/>
      <c r="AW505" s="489"/>
      <c r="AX505" s="489"/>
      <c r="AY505" s="489"/>
      <c r="AZ505" s="489"/>
      <c r="BA505" s="489"/>
      <c r="BB505" s="489"/>
      <c r="BC505" s="489"/>
      <c r="BD505" s="489"/>
      <c r="BE505" s="489"/>
      <c r="BF505" s="489"/>
      <c r="BG505" s="489"/>
      <c r="BH505" s="489"/>
      <c r="BI505" s="489"/>
      <c r="BJ505" s="489"/>
    </row>
    <row r="506" spans="1:62" ht="15.75" customHeight="1">
      <c r="B506" s="486"/>
      <c r="C506" s="740"/>
      <c r="W506" s="489"/>
      <c r="X506" s="489"/>
      <c r="Y506" s="489"/>
      <c r="Z506" s="489"/>
      <c r="AA506" s="489"/>
      <c r="AB506" s="489"/>
      <c r="AC506" s="489"/>
      <c r="AD506" s="489"/>
      <c r="AE506" s="489"/>
      <c r="AF506" s="489"/>
      <c r="AG506" s="489"/>
      <c r="AH506" s="489"/>
      <c r="AI506" s="489"/>
      <c r="AJ506" s="489"/>
      <c r="AK506" s="489"/>
      <c r="AL506" s="489"/>
      <c r="AM506" s="489"/>
      <c r="AN506" s="489"/>
      <c r="AO506" s="489"/>
      <c r="AP506" s="489"/>
      <c r="AQ506" s="489"/>
      <c r="AR506" s="489"/>
      <c r="AS506" s="489"/>
      <c r="AT506" s="489"/>
      <c r="AU506" s="489"/>
      <c r="AV506" s="489"/>
      <c r="AW506" s="489"/>
      <c r="AX506" s="489"/>
      <c r="AY506" s="489"/>
      <c r="AZ506" s="489"/>
      <c r="BA506" s="489"/>
      <c r="BB506" s="489"/>
      <c r="BC506" s="489"/>
      <c r="BD506" s="489"/>
      <c r="BE506" s="489"/>
      <c r="BF506" s="489"/>
      <c r="BG506" s="489"/>
      <c r="BH506" s="489"/>
      <c r="BI506" s="489"/>
      <c r="BJ506" s="489"/>
    </row>
    <row r="507" spans="1:62" ht="15.75" customHeight="1">
      <c r="B507" s="486"/>
      <c r="C507" s="740"/>
      <c r="W507" s="489"/>
      <c r="X507" s="489"/>
      <c r="Y507" s="489"/>
      <c r="Z507" s="489"/>
      <c r="AA507" s="489"/>
      <c r="AB507" s="489"/>
      <c r="AC507" s="489"/>
      <c r="AD507" s="489"/>
      <c r="AE507" s="489"/>
      <c r="AF507" s="489"/>
      <c r="AG507" s="489"/>
      <c r="AH507" s="489"/>
      <c r="AI507" s="489"/>
      <c r="AJ507" s="489"/>
      <c r="AK507" s="489"/>
      <c r="AL507" s="489"/>
      <c r="AM507" s="489"/>
      <c r="AN507" s="489"/>
      <c r="AO507" s="489"/>
      <c r="AP507" s="489"/>
      <c r="AQ507" s="489"/>
      <c r="AR507" s="489"/>
      <c r="AS507" s="489"/>
      <c r="AT507" s="489"/>
      <c r="AU507" s="489"/>
      <c r="AV507" s="489"/>
      <c r="AW507" s="489"/>
      <c r="AX507" s="489"/>
      <c r="AY507" s="489"/>
      <c r="AZ507" s="489"/>
      <c r="BA507" s="489"/>
      <c r="BB507" s="489"/>
      <c r="BC507" s="489"/>
      <c r="BD507" s="489"/>
      <c r="BE507" s="489"/>
      <c r="BF507" s="489"/>
      <c r="BG507" s="489"/>
      <c r="BH507" s="489"/>
      <c r="BI507" s="489"/>
      <c r="BJ507" s="489"/>
    </row>
    <row r="508" spans="1:62" ht="15.75" customHeight="1">
      <c r="B508" s="486"/>
      <c r="C508" s="740"/>
      <c r="W508" s="489"/>
      <c r="X508" s="489"/>
      <c r="Y508" s="489"/>
      <c r="Z508" s="489"/>
      <c r="AA508" s="489"/>
      <c r="AB508" s="489"/>
      <c r="AC508" s="489"/>
      <c r="AD508" s="489"/>
      <c r="AE508" s="489"/>
      <c r="AF508" s="489"/>
      <c r="AG508" s="489"/>
      <c r="AH508" s="489"/>
      <c r="AI508" s="489"/>
      <c r="AJ508" s="489"/>
      <c r="AK508" s="489"/>
      <c r="AL508" s="489"/>
      <c r="AM508" s="489"/>
      <c r="AN508" s="489"/>
      <c r="AO508" s="489"/>
      <c r="AP508" s="489"/>
      <c r="AQ508" s="489"/>
      <c r="AR508" s="489"/>
      <c r="AS508" s="489"/>
      <c r="AT508" s="489"/>
      <c r="AU508" s="489"/>
      <c r="AV508" s="489"/>
      <c r="AW508" s="489"/>
      <c r="AX508" s="489"/>
      <c r="AY508" s="489"/>
      <c r="AZ508" s="489"/>
      <c r="BA508" s="489"/>
      <c r="BB508" s="489"/>
      <c r="BC508" s="489"/>
      <c r="BD508" s="489"/>
      <c r="BE508" s="489"/>
      <c r="BF508" s="489"/>
      <c r="BG508" s="489"/>
      <c r="BH508" s="489"/>
      <c r="BI508" s="489"/>
      <c r="BJ508" s="489"/>
    </row>
    <row r="509" spans="1:62" ht="15.75" customHeight="1">
      <c r="B509" s="486"/>
      <c r="C509" s="740"/>
      <c r="W509" s="489"/>
      <c r="X509" s="489"/>
      <c r="Y509" s="489"/>
      <c r="Z509" s="489"/>
      <c r="AA509" s="489"/>
      <c r="AB509" s="489"/>
      <c r="AC509" s="489"/>
      <c r="AD509" s="489"/>
      <c r="AE509" s="489"/>
      <c r="AF509" s="489"/>
      <c r="AG509" s="489"/>
      <c r="AH509" s="489"/>
      <c r="AI509" s="489"/>
      <c r="AJ509" s="489"/>
      <c r="AK509" s="489"/>
      <c r="AL509" s="489"/>
      <c r="AM509" s="489"/>
      <c r="AN509" s="489"/>
      <c r="AO509" s="489"/>
      <c r="AP509" s="489"/>
      <c r="AQ509" s="489"/>
      <c r="AR509" s="489"/>
      <c r="AS509" s="489"/>
      <c r="AT509" s="489"/>
      <c r="AU509" s="489"/>
      <c r="AV509" s="489"/>
      <c r="AW509" s="489"/>
      <c r="AX509" s="489"/>
      <c r="AY509" s="489"/>
      <c r="AZ509" s="489"/>
      <c r="BA509" s="489"/>
      <c r="BB509" s="489"/>
      <c r="BC509" s="489"/>
      <c r="BD509" s="489"/>
      <c r="BE509" s="489"/>
      <c r="BF509" s="489"/>
      <c r="BG509" s="489"/>
      <c r="BH509" s="489"/>
      <c r="BI509" s="489"/>
      <c r="BJ509" s="489"/>
    </row>
    <row r="510" spans="1:62" ht="15.75" customHeight="1">
      <c r="B510" s="486"/>
      <c r="C510" s="740"/>
      <c r="W510" s="489"/>
      <c r="X510" s="489"/>
      <c r="Y510" s="489"/>
      <c r="Z510" s="489"/>
      <c r="AA510" s="489"/>
      <c r="AB510" s="489"/>
      <c r="AC510" s="489"/>
      <c r="AD510" s="489"/>
      <c r="AE510" s="489"/>
      <c r="AF510" s="489"/>
      <c r="AG510" s="489"/>
      <c r="AH510" s="489"/>
      <c r="AI510" s="489"/>
      <c r="AJ510" s="489"/>
      <c r="AK510" s="489"/>
      <c r="AL510" s="489"/>
      <c r="AM510" s="489"/>
      <c r="AN510" s="489"/>
      <c r="AO510" s="489"/>
      <c r="AP510" s="489"/>
      <c r="AQ510" s="489"/>
      <c r="AR510" s="489"/>
      <c r="AS510" s="489"/>
      <c r="AT510" s="489"/>
      <c r="AU510" s="489"/>
      <c r="AV510" s="489"/>
      <c r="AW510" s="489"/>
      <c r="AX510" s="489"/>
      <c r="AY510" s="489"/>
      <c r="AZ510" s="489"/>
      <c r="BA510" s="489"/>
      <c r="BB510" s="489"/>
      <c r="BC510" s="489"/>
      <c r="BD510" s="489"/>
      <c r="BE510" s="489"/>
      <c r="BF510" s="489"/>
      <c r="BG510" s="489"/>
      <c r="BH510" s="489"/>
      <c r="BI510" s="489"/>
      <c r="BJ510" s="489"/>
    </row>
    <row r="511" spans="1:62" ht="15.75" customHeight="1">
      <c r="B511" s="486"/>
      <c r="C511" s="740"/>
      <c r="W511" s="489"/>
      <c r="X511" s="489"/>
      <c r="Y511" s="489"/>
      <c r="Z511" s="489"/>
      <c r="AA511" s="489"/>
      <c r="AB511" s="489"/>
      <c r="AC511" s="489"/>
      <c r="AD511" s="489"/>
      <c r="AE511" s="489"/>
      <c r="AF511" s="850"/>
      <c r="AG511" s="489"/>
      <c r="AH511" s="489"/>
      <c r="AI511" s="489"/>
      <c r="AJ511" s="489"/>
      <c r="AK511" s="489"/>
      <c r="AL511" s="489"/>
      <c r="AM511" s="489"/>
      <c r="AN511" s="489"/>
      <c r="AO511" s="489"/>
      <c r="AP511" s="489"/>
      <c r="AQ511" s="489"/>
      <c r="AR511" s="489"/>
      <c r="AS511" s="489"/>
      <c r="AT511" s="489"/>
      <c r="AU511" s="489"/>
      <c r="AV511" s="489"/>
      <c r="AW511" s="489"/>
      <c r="AX511" s="489"/>
      <c r="AY511" s="489"/>
      <c r="AZ511" s="489"/>
      <c r="BA511" s="489"/>
      <c r="BB511" s="489"/>
      <c r="BC511" s="489"/>
      <c r="BD511" s="489"/>
      <c r="BE511" s="489"/>
      <c r="BF511" s="489"/>
      <c r="BG511" s="489"/>
      <c r="BH511" s="489"/>
      <c r="BI511" s="489"/>
      <c r="BJ511" s="489"/>
    </row>
    <row r="512" spans="1:62" ht="15.75" customHeight="1">
      <c r="B512" s="486"/>
      <c r="C512" s="740"/>
      <c r="W512" s="489"/>
      <c r="X512" s="489"/>
      <c r="Y512" s="489"/>
      <c r="Z512" s="489"/>
      <c r="AA512" s="489"/>
      <c r="AB512" s="489"/>
      <c r="AC512" s="489"/>
      <c r="AD512" s="489"/>
      <c r="AE512" s="489"/>
      <c r="AF512" s="855"/>
      <c r="AG512" s="489"/>
      <c r="AH512" s="489"/>
      <c r="AI512" s="489"/>
      <c r="AJ512" s="489"/>
      <c r="AK512" s="489"/>
      <c r="AL512" s="489"/>
      <c r="AM512" s="489"/>
      <c r="AN512" s="489"/>
      <c r="AO512" s="489"/>
      <c r="AP512" s="489"/>
      <c r="AQ512" s="489"/>
      <c r="AR512" s="489"/>
      <c r="AS512" s="489"/>
      <c r="AT512" s="489"/>
      <c r="AU512" s="489"/>
      <c r="AV512" s="489"/>
      <c r="AW512" s="489"/>
      <c r="AX512" s="489"/>
      <c r="AY512" s="489"/>
      <c r="AZ512" s="489"/>
      <c r="BA512" s="489"/>
      <c r="BB512" s="489"/>
      <c r="BC512" s="489"/>
      <c r="BD512" s="489"/>
      <c r="BE512" s="489"/>
      <c r="BF512" s="489"/>
      <c r="BG512" s="489"/>
      <c r="BH512" s="489"/>
      <c r="BI512" s="489"/>
      <c r="BJ512" s="489"/>
    </row>
    <row r="513" spans="2:62" ht="15.75" customHeight="1">
      <c r="B513" s="486"/>
      <c r="C513" s="740"/>
      <c r="W513" s="489"/>
      <c r="X513" s="489"/>
      <c r="Y513" s="489"/>
      <c r="Z513" s="489"/>
      <c r="AA513" s="489"/>
      <c r="AB513" s="489"/>
      <c r="AC513" s="489"/>
      <c r="AD513" s="489"/>
      <c r="AE513" s="489"/>
      <c r="AF513" s="855"/>
      <c r="AG513" s="489"/>
      <c r="AH513" s="489"/>
      <c r="AI513" s="489"/>
      <c r="AJ513" s="489"/>
      <c r="AK513" s="489"/>
      <c r="AL513" s="489"/>
      <c r="AM513" s="489"/>
      <c r="AN513" s="489"/>
      <c r="AO513" s="489"/>
      <c r="AP513" s="489"/>
      <c r="AQ513" s="489"/>
      <c r="AR513" s="489"/>
      <c r="AS513" s="489"/>
      <c r="AT513" s="489"/>
      <c r="AU513" s="489"/>
      <c r="AV513" s="489"/>
      <c r="AW513" s="489"/>
      <c r="AX513" s="489"/>
      <c r="AY513" s="489"/>
      <c r="AZ513" s="489"/>
      <c r="BA513" s="489"/>
      <c r="BB513" s="489"/>
      <c r="BC513" s="489"/>
      <c r="BD513" s="489"/>
      <c r="BE513" s="489"/>
      <c r="BF513" s="489"/>
      <c r="BG513" s="489"/>
      <c r="BH513" s="489"/>
      <c r="BI513" s="489"/>
      <c r="BJ513" s="489"/>
    </row>
    <row r="514" spans="2:62" ht="15.75" customHeight="1">
      <c r="B514" s="486"/>
      <c r="C514" s="740"/>
      <c r="W514" s="489"/>
      <c r="X514" s="489"/>
      <c r="Y514" s="489"/>
      <c r="Z514" s="489"/>
      <c r="AA514" s="489"/>
      <c r="AB514" s="489"/>
      <c r="AC514" s="489"/>
      <c r="AD514" s="489"/>
      <c r="AE514" s="489"/>
      <c r="AF514" s="855"/>
      <c r="AG514" s="489"/>
      <c r="AH514" s="489"/>
      <c r="AI514" s="489"/>
      <c r="AJ514" s="489"/>
      <c r="AK514" s="489"/>
      <c r="AL514" s="489"/>
      <c r="AM514" s="489"/>
      <c r="AN514" s="489"/>
      <c r="AO514" s="489"/>
      <c r="AP514" s="489"/>
      <c r="AQ514" s="489"/>
      <c r="AR514" s="489"/>
      <c r="AS514" s="489"/>
      <c r="AT514" s="489"/>
      <c r="AU514" s="489"/>
      <c r="AV514" s="489"/>
      <c r="AW514" s="489"/>
      <c r="AX514" s="489"/>
      <c r="AY514" s="489"/>
      <c r="AZ514" s="489"/>
      <c r="BA514" s="489"/>
      <c r="BB514" s="489"/>
      <c r="BC514" s="489"/>
      <c r="BD514" s="489"/>
      <c r="BE514" s="489"/>
      <c r="BF514" s="489"/>
      <c r="BG514" s="489"/>
      <c r="BH514" s="489"/>
      <c r="BI514" s="489"/>
      <c r="BJ514" s="489"/>
    </row>
    <row r="515" spans="2:62" ht="15.75" customHeight="1">
      <c r="B515" s="486"/>
      <c r="C515" s="740"/>
      <c r="W515" s="489"/>
      <c r="X515" s="489"/>
      <c r="Y515" s="489"/>
      <c r="Z515" s="489"/>
      <c r="AA515" s="489"/>
      <c r="AB515" s="489"/>
      <c r="AC515" s="489"/>
      <c r="AD515" s="489"/>
      <c r="AE515" s="489"/>
      <c r="AF515" s="489"/>
      <c r="AG515" s="489"/>
      <c r="AH515" s="489"/>
      <c r="AI515" s="489"/>
      <c r="AJ515" s="489"/>
      <c r="AK515" s="489"/>
      <c r="AL515" s="489"/>
      <c r="AM515" s="489"/>
      <c r="AN515" s="489"/>
      <c r="AO515" s="489"/>
      <c r="AP515" s="489"/>
      <c r="AQ515" s="489"/>
      <c r="AR515" s="489"/>
      <c r="AS515" s="489"/>
      <c r="AT515" s="489"/>
      <c r="AU515" s="489"/>
      <c r="AV515" s="489"/>
      <c r="AW515" s="489"/>
      <c r="AX515" s="489"/>
      <c r="AY515" s="489"/>
      <c r="AZ515" s="489"/>
      <c r="BA515" s="489"/>
      <c r="BB515" s="489"/>
      <c r="BC515" s="489"/>
      <c r="BD515" s="489"/>
      <c r="BE515" s="489"/>
      <c r="BF515" s="489"/>
      <c r="BG515" s="489"/>
      <c r="BH515" s="489"/>
      <c r="BI515" s="489"/>
      <c r="BJ515" s="489"/>
    </row>
    <row r="516" spans="2:62" ht="15.75" customHeight="1">
      <c r="B516" s="486"/>
      <c r="W516" s="489"/>
      <c r="X516" s="489"/>
      <c r="Y516" s="489"/>
      <c r="Z516" s="489"/>
      <c r="AA516" s="489"/>
      <c r="AB516" s="489"/>
      <c r="AC516" s="489"/>
      <c r="AD516" s="489"/>
      <c r="AE516" s="489"/>
      <c r="AF516" s="489"/>
      <c r="AG516" s="489"/>
      <c r="AH516" s="489"/>
      <c r="AI516" s="489"/>
      <c r="AJ516" s="489"/>
      <c r="AK516" s="489"/>
      <c r="AL516" s="489"/>
      <c r="AM516" s="489"/>
      <c r="AN516" s="489"/>
      <c r="AO516" s="489"/>
      <c r="AP516" s="489"/>
      <c r="AQ516" s="489"/>
      <c r="AR516" s="489"/>
      <c r="AS516" s="489"/>
      <c r="AT516" s="489"/>
      <c r="AU516" s="489"/>
      <c r="AV516" s="489"/>
      <c r="AW516" s="489"/>
      <c r="AX516" s="489"/>
      <c r="AY516" s="489"/>
      <c r="AZ516" s="489"/>
      <c r="BA516" s="489"/>
      <c r="BB516" s="489"/>
      <c r="BC516" s="489"/>
      <c r="BD516" s="489"/>
      <c r="BE516" s="489"/>
      <c r="BF516" s="489"/>
      <c r="BG516" s="489"/>
      <c r="BH516" s="489"/>
      <c r="BI516" s="489"/>
      <c r="BJ516" s="489"/>
    </row>
    <row r="517" spans="2:62" ht="15.75" customHeight="1">
      <c r="B517" s="486"/>
      <c r="W517" s="489"/>
      <c r="X517" s="489"/>
      <c r="Y517" s="489"/>
      <c r="Z517" s="489"/>
      <c r="AA517" s="489"/>
      <c r="AB517" s="489"/>
      <c r="AC517" s="489"/>
      <c r="AD517" s="489"/>
      <c r="AE517" s="489"/>
      <c r="AF517" s="489"/>
      <c r="AG517" s="489"/>
      <c r="AH517" s="489"/>
      <c r="AI517" s="489"/>
      <c r="AJ517" s="489"/>
      <c r="AK517" s="489"/>
      <c r="AL517" s="489"/>
      <c r="AM517" s="489"/>
      <c r="AN517" s="489"/>
      <c r="AO517" s="489"/>
      <c r="AP517" s="489"/>
      <c r="AQ517" s="489"/>
      <c r="AR517" s="489"/>
      <c r="AS517" s="489"/>
      <c r="AT517" s="489"/>
      <c r="AU517" s="489"/>
      <c r="AV517" s="489"/>
      <c r="AW517" s="489"/>
      <c r="AX517" s="489"/>
      <c r="AY517" s="489"/>
      <c r="AZ517" s="489"/>
      <c r="BA517" s="489"/>
      <c r="BB517" s="489"/>
      <c r="BC517" s="489"/>
      <c r="BD517" s="489"/>
      <c r="BE517" s="489"/>
      <c r="BF517" s="489"/>
      <c r="BG517" s="489"/>
      <c r="BH517" s="489"/>
      <c r="BI517" s="489"/>
      <c r="BJ517" s="489"/>
    </row>
    <row r="518" spans="2:62" ht="15.75" customHeight="1">
      <c r="B518" s="486"/>
      <c r="W518" s="489"/>
      <c r="X518" s="489"/>
      <c r="Y518" s="489"/>
      <c r="Z518" s="489"/>
      <c r="AA518" s="489"/>
      <c r="AB518" s="489"/>
      <c r="AC518" s="489"/>
      <c r="AD518" s="489"/>
      <c r="AE518" s="489"/>
      <c r="AF518" s="489"/>
      <c r="AG518" s="489"/>
      <c r="AH518" s="489"/>
      <c r="AI518" s="489"/>
      <c r="AJ518" s="489"/>
      <c r="AK518" s="489"/>
      <c r="AL518" s="489"/>
      <c r="AM518" s="489"/>
      <c r="AN518" s="489"/>
      <c r="AO518" s="489"/>
      <c r="AP518" s="489"/>
      <c r="AQ518" s="489"/>
      <c r="AR518" s="489"/>
      <c r="AS518" s="489"/>
      <c r="AT518" s="489"/>
      <c r="AU518" s="489"/>
      <c r="AV518" s="489"/>
      <c r="AW518" s="489"/>
      <c r="AX518" s="489"/>
      <c r="AY518" s="489"/>
      <c r="AZ518" s="489"/>
      <c r="BA518" s="489"/>
      <c r="BB518" s="489"/>
      <c r="BC518" s="489"/>
      <c r="BD518" s="489"/>
      <c r="BE518" s="489"/>
      <c r="BF518" s="489"/>
      <c r="BG518" s="489"/>
      <c r="BH518" s="489"/>
      <c r="BI518" s="489"/>
      <c r="BJ518" s="489"/>
    </row>
    <row r="519" spans="2:62" ht="15.75" customHeight="1">
      <c r="B519" s="486"/>
      <c r="W519" s="489"/>
      <c r="X519" s="489"/>
      <c r="Y519" s="489"/>
      <c r="Z519" s="489"/>
      <c r="AA519" s="489"/>
      <c r="AB519" s="489"/>
      <c r="AC519" s="489"/>
      <c r="AD519" s="489"/>
      <c r="AE519" s="489"/>
      <c r="AF519" s="489"/>
      <c r="AG519" s="489"/>
      <c r="AH519" s="489"/>
      <c r="AI519" s="489"/>
      <c r="AJ519" s="489"/>
      <c r="AK519" s="489"/>
      <c r="AL519" s="489"/>
      <c r="AM519" s="489"/>
      <c r="AN519" s="489"/>
      <c r="AO519" s="489"/>
      <c r="AP519" s="489"/>
      <c r="AQ519" s="489"/>
      <c r="AR519" s="489"/>
      <c r="AS519" s="489"/>
      <c r="AT519" s="489"/>
      <c r="AU519" s="489"/>
      <c r="AV519" s="489"/>
      <c r="AW519" s="489"/>
      <c r="AX519" s="489"/>
      <c r="AY519" s="489"/>
      <c r="AZ519" s="489"/>
      <c r="BA519" s="489"/>
      <c r="BB519" s="489"/>
      <c r="BC519" s="489"/>
      <c r="BD519" s="489"/>
      <c r="BE519" s="489"/>
      <c r="BF519" s="489"/>
      <c r="BG519" s="489"/>
      <c r="BH519" s="489"/>
      <c r="BI519" s="489"/>
      <c r="BJ519" s="489"/>
    </row>
    <row r="520" spans="2:62" ht="15.75" customHeight="1">
      <c r="B520" s="486"/>
      <c r="W520" s="489"/>
      <c r="X520" s="489"/>
      <c r="Y520" s="489"/>
      <c r="Z520" s="489"/>
      <c r="AA520" s="489"/>
      <c r="AB520" s="489"/>
      <c r="AC520" s="489"/>
      <c r="AD520" s="489"/>
      <c r="AE520" s="489"/>
      <c r="AF520" s="489"/>
      <c r="AG520" s="489"/>
      <c r="AH520" s="489"/>
      <c r="AI520" s="489"/>
      <c r="AJ520" s="489"/>
      <c r="AK520" s="489"/>
      <c r="AL520" s="489"/>
      <c r="AM520" s="489"/>
      <c r="AN520" s="489"/>
      <c r="AO520" s="489"/>
      <c r="AP520" s="489"/>
      <c r="AQ520" s="489"/>
      <c r="AR520" s="489"/>
      <c r="AS520" s="489"/>
      <c r="AT520" s="489"/>
      <c r="AU520" s="489"/>
      <c r="AV520" s="489"/>
      <c r="AW520" s="489"/>
      <c r="AX520" s="489"/>
      <c r="AY520" s="489"/>
      <c r="AZ520" s="489"/>
      <c r="BA520" s="489"/>
      <c r="BB520" s="489"/>
      <c r="BC520" s="489"/>
      <c r="BD520" s="489"/>
      <c r="BE520" s="489"/>
      <c r="BF520" s="489"/>
      <c r="BG520" s="489"/>
      <c r="BH520" s="489"/>
      <c r="BI520" s="489"/>
      <c r="BJ520" s="489"/>
    </row>
    <row r="521" spans="2:62" ht="15.75" customHeight="1">
      <c r="B521" s="486"/>
      <c r="W521" s="489"/>
      <c r="X521" s="489"/>
      <c r="Y521" s="489"/>
      <c r="Z521" s="489"/>
      <c r="AA521" s="489"/>
      <c r="AB521" s="489"/>
      <c r="AC521" s="489"/>
      <c r="AD521" s="489"/>
      <c r="AE521" s="489"/>
      <c r="AF521" s="489"/>
      <c r="AG521" s="489"/>
      <c r="AH521" s="489"/>
      <c r="AI521" s="489"/>
      <c r="AJ521" s="489"/>
      <c r="AK521" s="489"/>
      <c r="AL521" s="489"/>
      <c r="AM521" s="489"/>
      <c r="AN521" s="489"/>
      <c r="AO521" s="489"/>
      <c r="AP521" s="489"/>
      <c r="AQ521" s="489"/>
      <c r="AR521" s="489"/>
      <c r="AS521" s="489"/>
      <c r="AT521" s="489"/>
      <c r="AU521" s="489"/>
      <c r="AV521" s="489"/>
      <c r="AW521" s="489"/>
      <c r="AX521" s="489"/>
      <c r="AY521" s="489"/>
      <c r="AZ521" s="489"/>
      <c r="BA521" s="489"/>
      <c r="BB521" s="489"/>
      <c r="BC521" s="489"/>
      <c r="BD521" s="489"/>
      <c r="BE521" s="489"/>
      <c r="BF521" s="489"/>
      <c r="BG521" s="489"/>
      <c r="BH521" s="489"/>
      <c r="BI521" s="489"/>
      <c r="BJ521" s="489"/>
    </row>
    <row r="522" spans="2:62" ht="15.75" customHeight="1">
      <c r="B522" s="486"/>
      <c r="W522" s="489"/>
      <c r="X522" s="489"/>
      <c r="Y522" s="489"/>
      <c r="Z522" s="489"/>
      <c r="AA522" s="489"/>
      <c r="AB522" s="489"/>
      <c r="AC522" s="489"/>
      <c r="AD522" s="489"/>
      <c r="AE522" s="489"/>
      <c r="AF522" s="489"/>
      <c r="AG522" s="489"/>
      <c r="AH522" s="489"/>
      <c r="AI522" s="489"/>
      <c r="AJ522" s="489"/>
      <c r="AK522" s="489"/>
      <c r="AL522" s="489"/>
      <c r="AM522" s="489"/>
      <c r="AN522" s="489"/>
      <c r="AO522" s="489"/>
      <c r="AP522" s="489"/>
      <c r="AQ522" s="489"/>
      <c r="AR522" s="489"/>
      <c r="AS522" s="489"/>
      <c r="AT522" s="489"/>
      <c r="AU522" s="489"/>
      <c r="AV522" s="489"/>
      <c r="AW522" s="489"/>
      <c r="AX522" s="489"/>
      <c r="AY522" s="489"/>
      <c r="AZ522" s="489"/>
      <c r="BA522" s="489"/>
      <c r="BB522" s="489"/>
      <c r="BC522" s="489"/>
      <c r="BD522" s="489"/>
      <c r="BE522" s="489"/>
      <c r="BF522" s="489"/>
      <c r="BG522" s="489"/>
      <c r="BH522" s="489"/>
      <c r="BI522" s="489"/>
      <c r="BJ522" s="489"/>
    </row>
    <row r="523" spans="2:62" ht="15.75" customHeight="1">
      <c r="B523" s="486"/>
      <c r="W523" s="489"/>
      <c r="X523" s="489"/>
      <c r="Y523" s="489"/>
      <c r="Z523" s="489"/>
      <c r="AA523" s="489"/>
      <c r="AB523" s="489"/>
      <c r="AC523" s="489"/>
      <c r="AD523" s="489"/>
      <c r="AE523" s="489"/>
      <c r="AF523" s="489"/>
      <c r="AG523" s="489"/>
      <c r="AH523" s="489"/>
      <c r="AI523" s="489"/>
      <c r="AJ523" s="489"/>
      <c r="AK523" s="489"/>
      <c r="AL523" s="489"/>
      <c r="AM523" s="489"/>
      <c r="AN523" s="489"/>
      <c r="AO523" s="489"/>
      <c r="AP523" s="489"/>
      <c r="AQ523" s="489"/>
      <c r="AR523" s="489"/>
      <c r="AS523" s="489"/>
      <c r="AT523" s="489"/>
      <c r="AU523" s="489"/>
      <c r="AV523" s="489"/>
      <c r="AW523" s="489"/>
      <c r="AX523" s="489"/>
      <c r="AY523" s="489"/>
      <c r="AZ523" s="489"/>
      <c r="BA523" s="489"/>
      <c r="BB523" s="489"/>
      <c r="BC523" s="489"/>
      <c r="BD523" s="489"/>
      <c r="BE523" s="489"/>
      <c r="BF523" s="489"/>
      <c r="BG523" s="489"/>
      <c r="BH523" s="489"/>
      <c r="BI523" s="489"/>
      <c r="BJ523" s="489"/>
    </row>
    <row r="524" spans="2:62" ht="15.75" customHeight="1">
      <c r="B524" s="486"/>
      <c r="W524" s="489"/>
      <c r="X524" s="489"/>
      <c r="Y524" s="489"/>
      <c r="Z524" s="489"/>
      <c r="AA524" s="489"/>
      <c r="AB524" s="489"/>
      <c r="AC524" s="489"/>
      <c r="AD524" s="489"/>
      <c r="AE524" s="489"/>
      <c r="AF524" s="489"/>
      <c r="AG524" s="489"/>
      <c r="AH524" s="489"/>
      <c r="AI524" s="489"/>
      <c r="AJ524" s="489"/>
      <c r="AK524" s="489"/>
      <c r="AL524" s="489"/>
      <c r="AM524" s="489"/>
      <c r="AN524" s="489"/>
      <c r="AO524" s="489"/>
      <c r="AP524" s="489"/>
      <c r="AQ524" s="489"/>
      <c r="AR524" s="489"/>
      <c r="AS524" s="489"/>
      <c r="AT524" s="489"/>
      <c r="AU524" s="489"/>
      <c r="AV524" s="489"/>
      <c r="AW524" s="489"/>
      <c r="AX524" s="489"/>
      <c r="AY524" s="489"/>
      <c r="AZ524" s="489"/>
      <c r="BA524" s="489"/>
      <c r="BB524" s="489"/>
      <c r="BC524" s="489"/>
      <c r="BD524" s="489"/>
      <c r="BE524" s="489"/>
      <c r="BF524" s="489"/>
      <c r="BG524" s="489"/>
      <c r="BH524" s="489"/>
      <c r="BI524" s="489"/>
      <c r="BJ524" s="489"/>
    </row>
    <row r="525" spans="2:62" ht="15.75" customHeight="1">
      <c r="B525" s="486"/>
      <c r="C525" s="740"/>
      <c r="W525" s="489"/>
      <c r="X525" s="489"/>
      <c r="Y525" s="489"/>
      <c r="Z525" s="489"/>
      <c r="AA525" s="489"/>
      <c r="AB525" s="489"/>
      <c r="AC525" s="489"/>
      <c r="AD525" s="489"/>
      <c r="AE525" s="489"/>
      <c r="AF525" s="489"/>
      <c r="AG525" s="489"/>
      <c r="AH525" s="489"/>
      <c r="AI525" s="489"/>
      <c r="AJ525" s="489"/>
      <c r="AK525" s="489"/>
      <c r="AL525" s="489"/>
      <c r="AM525" s="489"/>
      <c r="AN525" s="489"/>
      <c r="AO525" s="489"/>
      <c r="AP525" s="489"/>
      <c r="AQ525" s="489"/>
      <c r="AR525" s="489"/>
      <c r="AS525" s="489"/>
      <c r="AT525" s="489"/>
      <c r="AU525" s="489"/>
      <c r="AV525" s="489"/>
      <c r="AW525" s="489"/>
      <c r="AX525" s="489"/>
      <c r="AY525" s="489"/>
      <c r="AZ525" s="489"/>
      <c r="BA525" s="489"/>
      <c r="BB525" s="489"/>
      <c r="BC525" s="489"/>
      <c r="BD525" s="489"/>
      <c r="BE525" s="489"/>
      <c r="BF525" s="489"/>
      <c r="BG525" s="489"/>
      <c r="BH525" s="489"/>
      <c r="BI525" s="489"/>
      <c r="BJ525" s="489"/>
    </row>
    <row r="526" spans="2:62" ht="15.75" customHeight="1">
      <c r="B526" s="486"/>
      <c r="C526" s="740"/>
      <c r="W526" s="489"/>
      <c r="X526" s="489"/>
      <c r="Y526" s="489"/>
      <c r="Z526" s="489"/>
      <c r="AA526" s="489"/>
      <c r="AB526" s="489"/>
      <c r="AC526" s="489"/>
      <c r="AD526" s="489"/>
      <c r="AE526" s="489"/>
      <c r="AF526" s="489"/>
      <c r="AG526" s="489"/>
      <c r="AH526" s="489"/>
      <c r="AI526" s="489"/>
      <c r="AJ526" s="489"/>
      <c r="AK526" s="489"/>
      <c r="AL526" s="489"/>
      <c r="AM526" s="489"/>
      <c r="AN526" s="489"/>
      <c r="AO526" s="489"/>
      <c r="AP526" s="489"/>
      <c r="AQ526" s="489"/>
      <c r="AR526" s="489"/>
      <c r="AS526" s="489"/>
      <c r="AT526" s="489"/>
      <c r="AU526" s="489"/>
      <c r="AV526" s="489"/>
      <c r="AW526" s="489"/>
      <c r="AX526" s="489"/>
      <c r="AY526" s="489"/>
      <c r="AZ526" s="489"/>
      <c r="BA526" s="489"/>
      <c r="BB526" s="489"/>
      <c r="BC526" s="489"/>
      <c r="BD526" s="489"/>
      <c r="BE526" s="489"/>
      <c r="BF526" s="489"/>
      <c r="BG526" s="489"/>
      <c r="BH526" s="489"/>
      <c r="BI526" s="489"/>
      <c r="BJ526" s="489"/>
    </row>
    <row r="527" spans="2:62" ht="15.75" customHeight="1">
      <c r="B527" s="486"/>
      <c r="C527" s="740"/>
      <c r="W527" s="489"/>
      <c r="X527" s="489"/>
      <c r="Y527" s="489"/>
      <c r="Z527" s="489"/>
      <c r="AA527" s="489"/>
      <c r="AB527" s="489"/>
      <c r="AC527" s="489"/>
      <c r="AD527" s="489"/>
      <c r="AE527" s="489"/>
      <c r="AF527" s="489"/>
      <c r="AG527" s="489"/>
      <c r="AH527" s="489"/>
      <c r="AI527" s="489"/>
      <c r="AJ527" s="489"/>
      <c r="AK527" s="489"/>
      <c r="AL527" s="489"/>
      <c r="AM527" s="489"/>
      <c r="AN527" s="489"/>
      <c r="AO527" s="489"/>
      <c r="AP527" s="489"/>
      <c r="AQ527" s="489"/>
      <c r="AR527" s="489"/>
      <c r="AS527" s="489"/>
      <c r="AT527" s="489"/>
      <c r="AU527" s="489"/>
      <c r="AV527" s="489"/>
      <c r="AW527" s="489"/>
      <c r="AX527" s="489"/>
      <c r="AY527" s="489"/>
      <c r="AZ527" s="489"/>
      <c r="BA527" s="489"/>
      <c r="BB527" s="489"/>
      <c r="BC527" s="489"/>
      <c r="BD527" s="489"/>
      <c r="BE527" s="489"/>
      <c r="BF527" s="489"/>
      <c r="BG527" s="489"/>
      <c r="BH527" s="489"/>
      <c r="BI527" s="489"/>
      <c r="BJ527" s="489"/>
    </row>
    <row r="528" spans="2:62" ht="15.75" customHeight="1">
      <c r="B528" s="486"/>
      <c r="C528" s="740"/>
      <c r="W528" s="489"/>
      <c r="X528" s="489"/>
      <c r="Y528" s="489"/>
      <c r="Z528" s="489"/>
      <c r="AA528" s="489"/>
      <c r="AB528" s="489"/>
      <c r="AC528" s="489"/>
      <c r="AD528" s="489"/>
      <c r="AE528" s="489"/>
      <c r="AF528" s="489"/>
      <c r="AG528" s="489"/>
      <c r="AH528" s="489"/>
      <c r="AI528" s="489"/>
      <c r="AJ528" s="489"/>
      <c r="AK528" s="489"/>
      <c r="AL528" s="489"/>
      <c r="AM528" s="489"/>
      <c r="AN528" s="489"/>
      <c r="AO528" s="489"/>
      <c r="AP528" s="489"/>
      <c r="AQ528" s="489"/>
      <c r="AR528" s="489"/>
      <c r="AS528" s="489"/>
      <c r="AT528" s="489"/>
      <c r="AU528" s="489"/>
      <c r="AV528" s="489"/>
      <c r="AW528" s="489"/>
      <c r="AX528" s="489"/>
      <c r="AY528" s="489"/>
      <c r="AZ528" s="489"/>
      <c r="BA528" s="489"/>
      <c r="BB528" s="489"/>
      <c r="BC528" s="489"/>
      <c r="BD528" s="489"/>
      <c r="BE528" s="489"/>
      <c r="BF528" s="489"/>
      <c r="BG528" s="489"/>
      <c r="BH528" s="489"/>
      <c r="BI528" s="489"/>
      <c r="BJ528" s="489"/>
    </row>
    <row r="529" spans="2:62" ht="15.75" customHeight="1">
      <c r="B529" s="486"/>
      <c r="C529" s="740"/>
      <c r="W529" s="489"/>
      <c r="X529" s="489"/>
      <c r="Y529" s="489"/>
      <c r="Z529" s="489"/>
      <c r="AA529" s="489"/>
      <c r="AB529" s="489"/>
      <c r="AC529" s="489"/>
      <c r="AD529" s="489"/>
      <c r="AE529" s="489"/>
      <c r="AF529" s="489"/>
      <c r="AG529" s="489"/>
      <c r="AH529" s="489"/>
      <c r="AI529" s="489"/>
      <c r="AJ529" s="489"/>
      <c r="AK529" s="489"/>
      <c r="AL529" s="489"/>
      <c r="AM529" s="489"/>
      <c r="AN529" s="489"/>
      <c r="AO529" s="489"/>
      <c r="AP529" s="489"/>
      <c r="AQ529" s="489"/>
      <c r="AR529" s="489"/>
      <c r="AS529" s="489"/>
      <c r="AT529" s="489"/>
      <c r="AU529" s="489"/>
      <c r="AV529" s="489"/>
      <c r="AW529" s="489"/>
      <c r="AX529" s="489"/>
      <c r="AY529" s="489"/>
      <c r="AZ529" s="489"/>
      <c r="BA529" s="489"/>
      <c r="BB529" s="489"/>
      <c r="BC529" s="489"/>
      <c r="BD529" s="489"/>
      <c r="BE529" s="489"/>
      <c r="BF529" s="489"/>
      <c r="BG529" s="489"/>
      <c r="BH529" s="489"/>
      <c r="BI529" s="489"/>
      <c r="BJ529" s="489"/>
    </row>
    <row r="530" spans="2:62" ht="15.75" customHeight="1">
      <c r="B530" s="486"/>
      <c r="C530" s="740"/>
      <c r="W530" s="489"/>
      <c r="X530" s="489"/>
      <c r="Y530" s="489"/>
      <c r="Z530" s="489"/>
      <c r="AA530" s="489"/>
      <c r="AB530" s="489"/>
      <c r="AC530" s="489"/>
      <c r="AD530" s="489"/>
      <c r="AE530" s="489"/>
      <c r="AF530" s="489"/>
      <c r="AG530" s="489"/>
      <c r="AH530" s="489"/>
      <c r="AI530" s="489"/>
      <c r="AJ530" s="489"/>
      <c r="AK530" s="489"/>
      <c r="AL530" s="489"/>
      <c r="AM530" s="489"/>
      <c r="AN530" s="489"/>
      <c r="AO530" s="489"/>
      <c r="AP530" s="489"/>
      <c r="AQ530" s="489"/>
      <c r="AR530" s="489"/>
      <c r="AS530" s="489"/>
      <c r="AT530" s="489"/>
      <c r="AU530" s="489"/>
      <c r="AV530" s="489"/>
      <c r="AW530" s="489"/>
      <c r="AX530" s="489"/>
      <c r="AY530" s="489"/>
      <c r="AZ530" s="489"/>
      <c r="BA530" s="489"/>
      <c r="BB530" s="489"/>
      <c r="BC530" s="489"/>
      <c r="BD530" s="489"/>
      <c r="BE530" s="489"/>
      <c r="BF530" s="489"/>
      <c r="BG530" s="489"/>
      <c r="BH530" s="489"/>
      <c r="BI530" s="489"/>
      <c r="BJ530" s="489"/>
    </row>
    <row r="531" spans="2:62" ht="15.75" customHeight="1">
      <c r="B531" s="486"/>
      <c r="C531" s="740"/>
      <c r="W531" s="489"/>
      <c r="X531" s="489"/>
      <c r="Y531" s="489"/>
      <c r="Z531" s="489"/>
      <c r="AA531" s="489"/>
      <c r="AB531" s="489"/>
      <c r="AC531" s="489"/>
      <c r="AD531" s="489"/>
      <c r="AE531" s="489"/>
      <c r="AF531" s="489"/>
      <c r="AG531" s="489"/>
      <c r="AH531" s="489"/>
      <c r="AI531" s="489"/>
      <c r="AJ531" s="489"/>
      <c r="AK531" s="489"/>
      <c r="AL531" s="489"/>
      <c r="AM531" s="489"/>
      <c r="AN531" s="489"/>
      <c r="AO531" s="489"/>
      <c r="AP531" s="489"/>
      <c r="AQ531" s="489"/>
      <c r="AR531" s="489"/>
      <c r="AS531" s="489"/>
      <c r="AT531" s="489"/>
      <c r="AU531" s="489"/>
      <c r="AV531" s="489"/>
      <c r="AW531" s="489"/>
      <c r="AX531" s="489"/>
      <c r="AY531" s="489"/>
      <c r="AZ531" s="489"/>
      <c r="BA531" s="489"/>
      <c r="BB531" s="489"/>
      <c r="BC531" s="489"/>
      <c r="BD531" s="489"/>
      <c r="BE531" s="489"/>
      <c r="BF531" s="489"/>
      <c r="BG531" s="489"/>
      <c r="BH531" s="489"/>
      <c r="BI531" s="489"/>
      <c r="BJ531" s="489"/>
    </row>
    <row r="532" spans="2:62" ht="15.75" customHeight="1">
      <c r="B532" s="486"/>
      <c r="C532" s="740"/>
      <c r="W532" s="489"/>
      <c r="X532" s="489"/>
      <c r="Y532" s="489"/>
      <c r="Z532" s="489"/>
      <c r="AA532" s="489"/>
      <c r="AB532" s="489"/>
      <c r="AC532" s="489"/>
      <c r="AD532" s="489"/>
      <c r="AE532" s="489"/>
      <c r="AF532" s="489"/>
      <c r="AG532" s="489"/>
      <c r="AH532" s="489"/>
      <c r="AI532" s="489"/>
      <c r="AJ532" s="489"/>
      <c r="AK532" s="489"/>
      <c r="AL532" s="489"/>
      <c r="AM532" s="489"/>
      <c r="AN532" s="489"/>
      <c r="AO532" s="489"/>
      <c r="AP532" s="489"/>
      <c r="AQ532" s="489"/>
      <c r="AR532" s="489"/>
      <c r="AS532" s="489"/>
      <c r="AT532" s="489"/>
      <c r="AU532" s="489"/>
      <c r="AV532" s="489"/>
      <c r="AW532" s="489"/>
      <c r="AX532" s="489"/>
      <c r="AY532" s="489"/>
      <c r="AZ532" s="489"/>
      <c r="BA532" s="489"/>
      <c r="BB532" s="489"/>
      <c r="BC532" s="489"/>
      <c r="BD532" s="489"/>
      <c r="BE532" s="489"/>
      <c r="BF532" s="489"/>
      <c r="BG532" s="489"/>
      <c r="BH532" s="489"/>
      <c r="BI532" s="489"/>
      <c r="BJ532" s="489"/>
    </row>
    <row r="533" spans="2:62" ht="15.75" customHeight="1">
      <c r="B533" s="486"/>
      <c r="C533" s="740"/>
      <c r="W533" s="489"/>
      <c r="X533" s="489"/>
      <c r="Y533" s="489"/>
      <c r="Z533" s="489"/>
      <c r="AA533" s="489"/>
      <c r="AB533" s="489"/>
      <c r="AC533" s="489"/>
      <c r="AD533" s="489"/>
      <c r="AE533" s="489"/>
      <c r="AF533" s="489"/>
      <c r="AG533" s="489"/>
      <c r="AH533" s="489"/>
      <c r="AI533" s="489"/>
      <c r="AJ533" s="489"/>
      <c r="AK533" s="489"/>
      <c r="AL533" s="489"/>
      <c r="AM533" s="489"/>
      <c r="AN533" s="489"/>
      <c r="AO533" s="489"/>
      <c r="AP533" s="489"/>
      <c r="AQ533" s="489"/>
      <c r="AR533" s="489"/>
      <c r="AS533" s="489"/>
      <c r="AT533" s="489"/>
      <c r="AU533" s="489"/>
      <c r="AV533" s="489"/>
      <c r="AW533" s="489"/>
      <c r="AX533" s="489"/>
      <c r="AY533" s="489"/>
      <c r="AZ533" s="489"/>
      <c r="BA533" s="489"/>
      <c r="BB533" s="489"/>
      <c r="BC533" s="489"/>
      <c r="BD533" s="489"/>
      <c r="BE533" s="489"/>
      <c r="BF533" s="489"/>
      <c r="BG533" s="489"/>
      <c r="BH533" s="489"/>
      <c r="BI533" s="489"/>
      <c r="BJ533" s="489"/>
    </row>
    <row r="534" spans="2:62" ht="15.75" customHeight="1">
      <c r="B534" s="486"/>
      <c r="C534" s="740"/>
      <c r="W534" s="489"/>
      <c r="X534" s="489"/>
      <c r="Y534" s="489"/>
      <c r="Z534" s="489"/>
      <c r="AA534" s="489"/>
      <c r="AB534" s="489"/>
      <c r="AC534" s="489"/>
      <c r="AD534" s="489"/>
      <c r="AE534" s="489"/>
      <c r="AF534" s="489"/>
      <c r="AG534" s="489"/>
      <c r="AH534" s="489"/>
      <c r="AI534" s="489"/>
      <c r="AJ534" s="489"/>
      <c r="AK534" s="489"/>
      <c r="AL534" s="489"/>
      <c r="AM534" s="489"/>
      <c r="AN534" s="489"/>
      <c r="AO534" s="489"/>
      <c r="AP534" s="489"/>
      <c r="AQ534" s="489"/>
      <c r="AR534" s="489"/>
      <c r="AS534" s="489"/>
      <c r="AT534" s="489"/>
      <c r="AU534" s="489"/>
      <c r="AV534" s="489"/>
      <c r="AW534" s="489"/>
      <c r="AX534" s="489"/>
      <c r="AY534" s="489"/>
      <c r="AZ534" s="489"/>
      <c r="BA534" s="489"/>
      <c r="BB534" s="489"/>
      <c r="BC534" s="489"/>
      <c r="BD534" s="489"/>
      <c r="BE534" s="489"/>
      <c r="BF534" s="489"/>
      <c r="BG534" s="489"/>
      <c r="BH534" s="489"/>
      <c r="BI534" s="489"/>
      <c r="BJ534" s="489"/>
    </row>
    <row r="535" spans="2:62" ht="15.75" customHeight="1">
      <c r="B535" s="486"/>
      <c r="W535" s="489"/>
      <c r="X535" s="489"/>
      <c r="Y535" s="489"/>
      <c r="Z535" s="489"/>
      <c r="AA535" s="489"/>
      <c r="AB535" s="489"/>
      <c r="AC535" s="489"/>
      <c r="AD535" s="489"/>
      <c r="AE535" s="489"/>
      <c r="AF535" s="489"/>
      <c r="AG535" s="489"/>
      <c r="AH535" s="489"/>
      <c r="AI535" s="489"/>
      <c r="AJ535" s="489"/>
      <c r="AK535" s="489"/>
      <c r="AL535" s="489"/>
      <c r="AM535" s="489"/>
      <c r="AN535" s="489"/>
      <c r="AO535" s="489"/>
      <c r="AP535" s="489"/>
      <c r="AQ535" s="489"/>
      <c r="AR535" s="489"/>
      <c r="AS535" s="489"/>
      <c r="AT535" s="489"/>
      <c r="AU535" s="489"/>
      <c r="AV535" s="489"/>
      <c r="AW535" s="489"/>
      <c r="AX535" s="489"/>
      <c r="AY535" s="489"/>
      <c r="AZ535" s="489"/>
      <c r="BA535" s="489"/>
      <c r="BB535" s="489"/>
      <c r="BC535" s="489"/>
      <c r="BD535" s="489"/>
      <c r="BE535" s="489"/>
      <c r="BF535" s="489"/>
      <c r="BG535" s="489"/>
      <c r="BH535" s="489"/>
      <c r="BI535" s="489"/>
      <c r="BJ535" s="489"/>
    </row>
    <row r="536" spans="2:62" ht="15.75" customHeight="1">
      <c r="B536" s="486"/>
      <c r="W536" s="489"/>
      <c r="X536" s="489"/>
      <c r="Y536" s="489"/>
      <c r="Z536" s="489"/>
      <c r="AA536" s="489"/>
      <c r="AB536" s="489"/>
      <c r="AC536" s="489"/>
      <c r="AD536" s="489"/>
      <c r="AE536" s="489"/>
      <c r="AF536" s="489"/>
      <c r="AG536" s="489"/>
      <c r="AH536" s="489"/>
      <c r="AI536" s="489"/>
      <c r="AJ536" s="489"/>
      <c r="AK536" s="489"/>
      <c r="AL536" s="489"/>
      <c r="AM536" s="489"/>
      <c r="AN536" s="489"/>
      <c r="AO536" s="489"/>
      <c r="AP536" s="489"/>
      <c r="AQ536" s="489"/>
      <c r="AR536" s="489"/>
      <c r="AS536" s="489"/>
      <c r="AT536" s="489"/>
      <c r="AU536" s="489"/>
      <c r="AV536" s="489"/>
      <c r="AW536" s="489"/>
      <c r="AX536" s="489"/>
      <c r="AY536" s="489"/>
      <c r="AZ536" s="489"/>
      <c r="BA536" s="489"/>
      <c r="BB536" s="489"/>
      <c r="BC536" s="489"/>
      <c r="BD536" s="489"/>
      <c r="BE536" s="489"/>
      <c r="BF536" s="489"/>
      <c r="BG536" s="489"/>
      <c r="BH536" s="489"/>
      <c r="BI536" s="489"/>
      <c r="BJ536" s="489"/>
    </row>
    <row r="537" spans="2:62" ht="15.75" customHeight="1">
      <c r="B537" s="486"/>
      <c r="W537" s="489"/>
      <c r="X537" s="489"/>
      <c r="Y537" s="489"/>
      <c r="Z537" s="489"/>
      <c r="AA537" s="489"/>
      <c r="AB537" s="489"/>
      <c r="AC537" s="489"/>
      <c r="AD537" s="489"/>
      <c r="AE537" s="489"/>
      <c r="AF537" s="489"/>
      <c r="AG537" s="489"/>
      <c r="AH537" s="489"/>
      <c r="AI537" s="489"/>
      <c r="AJ537" s="489"/>
      <c r="AK537" s="489"/>
      <c r="AL537" s="489"/>
      <c r="AM537" s="489"/>
      <c r="AN537" s="489"/>
      <c r="AO537" s="489"/>
      <c r="AP537" s="489"/>
      <c r="AQ537" s="489"/>
      <c r="AR537" s="489"/>
      <c r="AS537" s="489"/>
      <c r="AT537" s="489"/>
      <c r="AU537" s="489"/>
      <c r="AV537" s="489"/>
      <c r="AW537" s="489"/>
      <c r="AX537" s="489"/>
      <c r="AY537" s="489"/>
      <c r="AZ537" s="489"/>
      <c r="BA537" s="489"/>
      <c r="BB537" s="489"/>
      <c r="BC537" s="489"/>
      <c r="BD537" s="489"/>
      <c r="BE537" s="489"/>
      <c r="BF537" s="489"/>
      <c r="BG537" s="489"/>
      <c r="BH537" s="489"/>
      <c r="BI537" s="489"/>
      <c r="BJ537" s="489"/>
    </row>
    <row r="538" spans="2:62" ht="15.75" customHeight="1">
      <c r="B538" s="486"/>
      <c r="W538" s="489"/>
      <c r="X538" s="489"/>
      <c r="Y538" s="489"/>
      <c r="Z538" s="489"/>
      <c r="AA538" s="489"/>
      <c r="AB538" s="489"/>
      <c r="AC538" s="489"/>
      <c r="AD538" s="489"/>
      <c r="AE538" s="489"/>
      <c r="AF538" s="489"/>
      <c r="AG538" s="489"/>
      <c r="AH538" s="489"/>
      <c r="AI538" s="489"/>
      <c r="AJ538" s="489"/>
      <c r="AK538" s="489"/>
      <c r="AL538" s="489"/>
      <c r="AM538" s="489"/>
      <c r="AN538" s="489"/>
      <c r="AO538" s="489"/>
      <c r="AP538" s="489"/>
      <c r="AQ538" s="489"/>
      <c r="AR538" s="489"/>
      <c r="AS538" s="489"/>
      <c r="AT538" s="489"/>
      <c r="AU538" s="489"/>
      <c r="AV538" s="489"/>
      <c r="AW538" s="489"/>
      <c r="AX538" s="489"/>
      <c r="AY538" s="489"/>
      <c r="AZ538" s="489"/>
      <c r="BA538" s="489"/>
      <c r="BB538" s="489"/>
      <c r="BC538" s="489"/>
      <c r="BD538" s="489"/>
      <c r="BE538" s="489"/>
      <c r="BF538" s="489"/>
      <c r="BG538" s="489"/>
      <c r="BH538" s="489"/>
      <c r="BI538" s="489"/>
      <c r="BJ538" s="489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191" priority="4" stopIfTrue="1">
      <formula>"esterreur(reference)"</formula>
    </cfRule>
  </conditionalFormatting>
  <conditionalFormatting sqref="D172:D181">
    <cfRule type="expression" dxfId="190" priority="62" stopIfTrue="1">
      <formula>"esterreur(reference)"</formula>
    </cfRule>
  </conditionalFormatting>
  <conditionalFormatting sqref="D400">
    <cfRule type="expression" dxfId="189" priority="7" stopIfTrue="1">
      <formula>"esterreur(reference)"</formula>
    </cfRule>
  </conditionalFormatting>
  <conditionalFormatting sqref="E186">
    <cfRule type="expression" dxfId="188" priority="63" stopIfTrue="1">
      <formula>"esterreur(reference)"</formula>
    </cfRule>
  </conditionalFormatting>
  <conditionalFormatting sqref="F5">
    <cfRule type="expression" dxfId="187" priority="60" stopIfTrue="1">
      <formula>"esterreur(reference)"</formula>
    </cfRule>
  </conditionalFormatting>
  <conditionalFormatting sqref="F83:F85">
    <cfRule type="expression" dxfId="186" priority="59" stopIfTrue="1">
      <formula>"esterreur(reference)"</formula>
    </cfRule>
  </conditionalFormatting>
  <conditionalFormatting sqref="F101">
    <cfRule type="expression" dxfId="185" priority="64" stopIfTrue="1">
      <formula>"esterreur(reference)"</formula>
    </cfRule>
  </conditionalFormatting>
  <conditionalFormatting sqref="F184">
    <cfRule type="expression" dxfId="184" priority="28" stopIfTrue="1">
      <formula>"esterreur(reference)"</formula>
    </cfRule>
  </conditionalFormatting>
  <conditionalFormatting sqref="G31:G32">
    <cfRule type="expression" dxfId="183" priority="57" stopIfTrue="1">
      <formula>"esterreur(reference)"</formula>
    </cfRule>
  </conditionalFormatting>
  <conditionalFormatting sqref="G112:G113">
    <cfRule type="expression" dxfId="182" priority="54" stopIfTrue="1">
      <formula>"esterreur(reference)"</formula>
    </cfRule>
  </conditionalFormatting>
  <conditionalFormatting sqref="G172:G181">
    <cfRule type="expression" dxfId="181" priority="61" stopIfTrue="1">
      <formula>"esterreur(reference)"</formula>
    </cfRule>
  </conditionalFormatting>
  <conditionalFormatting sqref="H25:H26 H28:H72">
    <cfRule type="expression" dxfId="180" priority="56" stopIfTrue="1">
      <formula>"esterreur(reference)"</formula>
    </cfRule>
  </conditionalFormatting>
  <conditionalFormatting sqref="H360 J360:L360">
    <cfRule type="expression" dxfId="179" priority="16" stopIfTrue="1">
      <formula>"esterreur(reference)"</formula>
    </cfRule>
  </conditionalFormatting>
  <conditionalFormatting sqref="H197:L197">
    <cfRule type="expression" dxfId="178" priority="18" stopIfTrue="1">
      <formula>"esterreur(reference)"</formula>
    </cfRule>
  </conditionalFormatting>
  <conditionalFormatting sqref="H313:L313 H314:J314 L314 H315:L317">
    <cfRule type="expression" dxfId="177" priority="2" stopIfTrue="1">
      <formula>"esterreur(reference)"</formula>
    </cfRule>
  </conditionalFormatting>
  <conditionalFormatting sqref="H396:L399">
    <cfRule type="expression" dxfId="176" priority="14" stopIfTrue="1">
      <formula>"esterreur(reference)"</formula>
    </cfRule>
  </conditionalFormatting>
  <conditionalFormatting sqref="I16:I18 I20 I24:I30">
    <cfRule type="expression" dxfId="175" priority="58" stopIfTrue="1">
      <formula>"esterreur(reference)"</formula>
    </cfRule>
  </conditionalFormatting>
  <conditionalFormatting sqref="I377:L377 J378:L394 H378:H395">
    <cfRule type="expression" dxfId="174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34 H135:L135 H136:H152 J136:L152 H153:L153 H156:H157 J156:K157 H164:L164 H165 J165:K165 H166:K167 L167:L169 H169:I169 K169 J169:J176 H171:I171 K171:L173 H173:I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1 H243:L243 H252:L253 H254:H284 J254:K284 L267:L285 H285:J285 H288:L288 H289 J289:K289 H290:K290 L290:L292 H292:I292 K292 J292:J293 H294:L294 J295:K303 H304:L306 J307:K308 H309:L311 J312:M312 L318:L329 H318:H348 J318:K348 H349:L349 H352:L352 H353:H355 J353:K355 H361:L364 H365:H376 J365:L376 H400 J400:K400">
    <cfRule type="expression" dxfId="173" priority="8" stopIfTrue="1">
      <formula>"esterreur(reference)"</formula>
    </cfRule>
  </conditionalFormatting>
  <conditionalFormatting sqref="K395">
    <cfRule type="expression" dxfId="172" priority="17" stopIfTrue="1">
      <formula>"esterreur(reference)"</formula>
    </cfRule>
  </conditionalFormatting>
  <conditionalFormatting sqref="K5:L5">
    <cfRule type="expression" dxfId="171" priority="27" stopIfTrue="1">
      <formula>"esterreur(reference)"</formula>
    </cfRule>
  </conditionalFormatting>
  <conditionalFormatting sqref="K244:L244">
    <cfRule type="expression" dxfId="170" priority="24" stopIfTrue="1">
      <formula>"esterreur(reference)"</formula>
    </cfRule>
  </conditionalFormatting>
  <conditionalFormatting sqref="K247:L247">
    <cfRule type="expression" dxfId="169" priority="25" stopIfTrue="1">
      <formula>"esterreur(reference)"</formula>
    </cfRule>
  </conditionalFormatting>
  <conditionalFormatting sqref="L42:L48">
    <cfRule type="expression" dxfId="168" priority="20" stopIfTrue="1">
      <formula>"esterreur(reference)"</formula>
    </cfRule>
  </conditionalFormatting>
  <conditionalFormatting sqref="L75:L82">
    <cfRule type="expression" dxfId="167" priority="1" stopIfTrue="1">
      <formula>"esterreur(reference)"</formula>
    </cfRule>
  </conditionalFormatting>
  <conditionalFormatting sqref="L156:L162">
    <cfRule type="expression" dxfId="166" priority="23" stopIfTrue="1">
      <formula>"esterreur(reference)"</formula>
    </cfRule>
  </conditionalFormatting>
  <conditionalFormatting sqref="L198:L209">
    <cfRule type="expression" dxfId="165" priority="21" stopIfTrue="1">
      <formula>"esterreur(reference)"</formula>
    </cfRule>
  </conditionalFormatting>
  <conditionalFormatting sqref="L211:L228">
    <cfRule type="expression" dxfId="164" priority="22" stopIfTrue="1">
      <formula>"esterreur(reference)"</formula>
    </cfRule>
  </conditionalFormatting>
  <conditionalFormatting sqref="L254:L265">
    <cfRule type="expression" dxfId="163" priority="26" stopIfTrue="1">
      <formula>"esterreur(reference)"</formula>
    </cfRule>
  </conditionalFormatting>
  <conditionalFormatting sqref="L331:L348">
    <cfRule type="expression" dxfId="162" priority="19" stopIfTrue="1">
      <formula>"esterreur(reference)"</formula>
    </cfRule>
  </conditionalFormatting>
  <conditionalFormatting sqref="L356:L357 H357:I357 K357 J357:J358 H359:L359">
    <cfRule type="expression" dxfId="161" priority="13" stopIfTrue="1">
      <formula>"esterreur(reference)"</formula>
    </cfRule>
  </conditionalFormatting>
  <conditionalFormatting sqref="M95:M97">
    <cfRule type="expression" dxfId="160" priority="9" stopIfTrue="1">
      <formula>"esterreur(reference)"</formula>
    </cfRule>
  </conditionalFormatting>
  <conditionalFormatting sqref="N197:N209">
    <cfRule type="expression" dxfId="159" priority="3" stopIfTrue="1">
      <formula>"esterreur(reference)"</formula>
    </cfRule>
  </conditionalFormatting>
  <conditionalFormatting sqref="N318:N328">
    <cfRule type="expression" dxfId="158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157" priority="49" stopIfTrue="1">
      <formula>"esterreur(reference)"</formula>
    </cfRule>
  </conditionalFormatting>
  <conditionalFormatting sqref="O197:Q197">
    <cfRule type="expression" dxfId="156" priority="38" stopIfTrue="1">
      <formula>"esterreur(reference)"</formula>
    </cfRule>
  </conditionalFormatting>
  <conditionalFormatting sqref="O243:Q243 O252:Q253 O254:P284 Q282:Q285 O285 O288:Q288 O289:P289">
    <cfRule type="expression" dxfId="155" priority="44" stopIfTrue="1">
      <formula>"esterreur(reference)"</formula>
    </cfRule>
  </conditionalFormatting>
  <conditionalFormatting sqref="O359:Q394">
    <cfRule type="expression" dxfId="154" priority="51" stopIfTrue="1">
      <formula>"esterreur(reference)"</formula>
    </cfRule>
  </conditionalFormatting>
  <conditionalFormatting sqref="O396:Q399">
    <cfRule type="expression" dxfId="153" priority="52" stopIfTrue="1">
      <formula>"esterreur(reference)"</formula>
    </cfRule>
  </conditionalFormatting>
  <conditionalFormatting sqref="P5">
    <cfRule type="expression" dxfId="152" priority="32" stopIfTrue="1">
      <formula>"esterreur(reference)"</formula>
    </cfRule>
  </conditionalFormatting>
  <conditionalFormatting sqref="P175">
    <cfRule type="expression" dxfId="151" priority="41" stopIfTrue="1">
      <formula>"esterreur(reference)"</formula>
    </cfRule>
  </conditionalFormatting>
  <conditionalFormatting sqref="P178">
    <cfRule type="expression" dxfId="150" priority="42" stopIfTrue="1">
      <formula>"esterreur(reference)"</formula>
    </cfRule>
  </conditionalFormatting>
  <conditionalFormatting sqref="P181">
    <cfRule type="expression" dxfId="149" priority="43" stopIfTrue="1">
      <formula>"esterreur(reference)"</formula>
    </cfRule>
  </conditionalFormatting>
  <conditionalFormatting sqref="P395">
    <cfRule type="expression" dxfId="148" priority="53" stopIfTrue="1">
      <formula>"esterreur(reference)"</formula>
    </cfRule>
  </conditionalFormatting>
  <conditionalFormatting sqref="P93:Q96 O97:Q98 O156:P157 O164:Q164 O165:P165">
    <cfRule type="expression" dxfId="147" priority="35" stopIfTrue="1">
      <formula>"esterreur(reference)"</formula>
    </cfRule>
  </conditionalFormatting>
  <conditionalFormatting sqref="P99:Q100">
    <cfRule type="expression" dxfId="146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45" priority="37" stopIfTrue="1">
      <formula>"esterreur(reference)"</formula>
    </cfRule>
  </conditionalFormatting>
  <conditionalFormatting sqref="P182:Q196">
    <cfRule type="expression" dxfId="144" priority="5" stopIfTrue="1">
      <formula>"esterreur(reference)"</formula>
    </cfRule>
  </conditionalFormatting>
  <conditionalFormatting sqref="P241:Q241">
    <cfRule type="expression" dxfId="143" priority="48" stopIfTrue="1">
      <formula>"esterreur(reference)"</formula>
    </cfRule>
  </conditionalFormatting>
  <conditionalFormatting sqref="P244:Q244">
    <cfRule type="expression" dxfId="142" priority="45" stopIfTrue="1">
      <formula>"esterreur(reference)"</formula>
    </cfRule>
  </conditionalFormatting>
  <conditionalFormatting sqref="P247:Q247">
    <cfRule type="expression" dxfId="141" priority="46" stopIfTrue="1">
      <formula>"esterreur(reference)"</formula>
    </cfRule>
  </conditionalFormatting>
  <conditionalFormatting sqref="Q5:Q14 O13:O14 O16 Q16:Q24 O18:O24 O25:Q26 O27 Q27 O28:Q72 O83:Q85">
    <cfRule type="expression" dxfId="140" priority="31" stopIfTrue="1">
      <formula>"esterreur(reference)"</formula>
    </cfRule>
  </conditionalFormatting>
  <conditionalFormatting sqref="Q75:Q82">
    <cfRule type="expression" dxfId="139" priority="33" stopIfTrue="1">
      <formula>"esterreur(reference)"</formula>
    </cfRule>
  </conditionalFormatting>
  <conditionalFormatting sqref="Q156:Q162">
    <cfRule type="expression" dxfId="138" priority="36" stopIfTrue="1">
      <formula>"esterreur(reference)"</formula>
    </cfRule>
  </conditionalFormatting>
  <conditionalFormatting sqref="Q198:Q209">
    <cfRule type="expression" dxfId="137" priority="39" stopIfTrue="1">
      <formula>"esterreur(reference)"</formula>
    </cfRule>
  </conditionalFormatting>
  <conditionalFormatting sqref="Q211:Q228">
    <cfRule type="expression" dxfId="136" priority="40" stopIfTrue="1">
      <formula>"esterreur(reference)"</formula>
    </cfRule>
  </conditionalFormatting>
  <conditionalFormatting sqref="Q254:Q265">
    <cfRule type="expression" dxfId="135" priority="47" stopIfTrue="1">
      <formula>"esterreur(reference)"</formula>
    </cfRule>
  </conditionalFormatting>
  <conditionalFormatting sqref="Q331:Q348">
    <cfRule type="expression" dxfId="134" priority="50" stopIfTrue="1">
      <formula>"esterreur(reference)"</formula>
    </cfRule>
  </conditionalFormatting>
  <conditionalFormatting sqref="R312">
    <cfRule type="expression" dxfId="133" priority="10" stopIfTrue="1">
      <formula>"esterreur(reference)"</formula>
    </cfRule>
  </conditionalFormatting>
  <conditionalFormatting sqref="S186">
    <cfRule type="expression" dxfId="132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131" priority="11" operator="greaterThan">
      <formula>0</formula>
    </cfRule>
  </conditionalFormatting>
  <conditionalFormatting sqref="AH469:AI476 AH480:AI480">
    <cfRule type="cellIs" dxfId="130" priority="12" operator="lessThan">
      <formula>0</formula>
    </cfRule>
  </conditionalFormatting>
  <conditionalFormatting sqref="AH477:AI479">
    <cfRule type="cellIs" dxfId="129" priority="55" operator="greaterThan">
      <formula>0</formula>
    </cfRule>
  </conditionalFormatting>
  <conditionalFormatting sqref="AO409:AO418">
    <cfRule type="cellIs" dxfId="128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580A-5D5B-46EC-A53C-4E2971FB5F19}">
  <sheetPr>
    <tabColor rgb="FFFFC000"/>
  </sheetPr>
  <dimension ref="A1:BJ693"/>
  <sheetViews>
    <sheetView topLeftCell="S455" zoomScale="80" zoomScaleNormal="80" workbookViewId="0">
      <selection activeCell="W499" sqref="A1:XFD1048576"/>
    </sheetView>
  </sheetViews>
  <sheetFormatPr baseColWidth="10" defaultColWidth="12.625" defaultRowHeight="15" customHeight="1"/>
  <cols>
    <col min="1" max="1" width="10.375" style="477" hidden="1" customWidth="1"/>
    <col min="2" max="2" width="21.875" style="477" hidden="1" customWidth="1"/>
    <col min="3" max="3" width="31.25" style="477" customWidth="1"/>
    <col min="4" max="4" width="16.5" style="477" customWidth="1"/>
    <col min="5" max="5" width="14.625" style="477" customWidth="1"/>
    <col min="6" max="6" width="14" style="477" customWidth="1"/>
    <col min="7" max="7" width="17.75" style="477" hidden="1" customWidth="1"/>
    <col min="8" max="8" width="15.125" style="477" hidden="1" customWidth="1"/>
    <col min="9" max="9" width="14" style="477" hidden="1" customWidth="1"/>
    <col min="10" max="10" width="15.625" style="477" customWidth="1"/>
    <col min="11" max="11" width="15.5" style="477" customWidth="1"/>
    <col min="12" max="12" width="14.875" style="477" customWidth="1"/>
    <col min="13" max="14" width="16.25" style="477" customWidth="1"/>
    <col min="15" max="15" width="15.5" style="477" customWidth="1"/>
    <col min="16" max="16" width="14.625" style="477" customWidth="1"/>
    <col min="17" max="17" width="14.875" style="477" bestFit="1" customWidth="1"/>
    <col min="18" max="18" width="14.75" style="477" customWidth="1"/>
    <col min="19" max="19" width="19" style="477" customWidth="1"/>
    <col min="20" max="20" width="4.625" style="477" customWidth="1"/>
    <col min="21" max="21" width="31.75" style="477" customWidth="1"/>
    <col min="22" max="22" width="34" style="477" customWidth="1"/>
    <col min="23" max="23" width="12.25" style="477" customWidth="1"/>
    <col min="24" max="24" width="13.75" style="477" customWidth="1"/>
    <col min="25" max="25" width="15.125" style="477" customWidth="1"/>
    <col min="26" max="26" width="15" style="477" customWidth="1"/>
    <col min="27" max="27" width="11.125" style="477" hidden="1" customWidth="1"/>
    <col min="28" max="28" width="9.375" style="477" hidden="1" customWidth="1"/>
    <col min="29" max="29" width="14.5" style="477" hidden="1" customWidth="1"/>
    <col min="30" max="30" width="13.5" style="477" customWidth="1"/>
    <col min="31" max="31" width="14.25" style="477" customWidth="1"/>
    <col min="32" max="32" width="14.125" style="477" customWidth="1"/>
    <col min="33" max="33" width="9" style="477" customWidth="1"/>
    <col min="34" max="34" width="13.5" style="477" customWidth="1"/>
    <col min="35" max="35" width="11.5" style="477" bestFit="1" customWidth="1"/>
    <col min="36" max="36" width="10.875" style="477" customWidth="1"/>
    <col min="37" max="37" width="11.375" style="477" customWidth="1"/>
    <col min="38" max="38" width="12.75" style="477" customWidth="1"/>
    <col min="39" max="39" width="9" style="477" customWidth="1"/>
    <col min="40" max="40" width="11.5" style="477" bestFit="1" customWidth="1"/>
    <col min="41" max="41" width="14.75" style="477" customWidth="1"/>
    <col min="42" max="42" width="11" style="477" customWidth="1"/>
    <col min="43" max="43" width="48.375" style="477" customWidth="1"/>
    <col min="44" max="62" width="11" style="477" customWidth="1"/>
    <col min="63" max="16384" width="12.625" style="477"/>
  </cols>
  <sheetData>
    <row r="1" spans="1:40" ht="36" thickBot="1">
      <c r="B1" s="478"/>
      <c r="C1" s="479" t="s">
        <v>478</v>
      </c>
      <c r="D1" s="480"/>
      <c r="E1" s="481"/>
      <c r="F1" s="480"/>
      <c r="G1" s="480"/>
      <c r="H1" s="478"/>
      <c r="I1" s="480"/>
      <c r="J1" s="478"/>
      <c r="K1" s="482" t="s">
        <v>0</v>
      </c>
      <c r="L1" s="480"/>
      <c r="M1" s="480"/>
      <c r="N1" s="483"/>
      <c r="O1" s="479"/>
      <c r="P1" s="484"/>
      <c r="Q1" s="479"/>
      <c r="R1" s="484"/>
      <c r="S1" s="485" t="s">
        <v>481</v>
      </c>
      <c r="T1" s="480" t="s">
        <v>1</v>
      </c>
      <c r="U1" s="478"/>
      <c r="V1" s="478"/>
      <c r="W1" s="478"/>
      <c r="X1" s="478"/>
      <c r="Y1" s="478"/>
      <c r="Z1" s="478"/>
      <c r="AA1" s="478"/>
      <c r="AB1" s="478"/>
      <c r="AC1" s="478"/>
      <c r="AD1" s="478"/>
      <c r="AE1" s="478"/>
      <c r="AF1" s="478"/>
      <c r="AG1" s="478"/>
      <c r="AH1" s="478"/>
      <c r="AI1" s="478"/>
      <c r="AJ1" s="478"/>
      <c r="AK1" s="478"/>
      <c r="AL1" s="478"/>
      <c r="AM1" s="478"/>
      <c r="AN1" s="478"/>
    </row>
    <row r="2" spans="1:40" ht="15" customHeight="1" thickTop="1" thickBot="1">
      <c r="B2" s="486"/>
      <c r="C2" s="487"/>
      <c r="D2" s="488" t="s">
        <v>2</v>
      </c>
      <c r="E2" s="488" t="s">
        <v>3</v>
      </c>
      <c r="F2" s="488" t="s">
        <v>4</v>
      </c>
      <c r="G2" s="488"/>
      <c r="H2" s="488"/>
      <c r="I2" s="488"/>
      <c r="J2" s="488" t="s">
        <v>218</v>
      </c>
      <c r="K2" s="488"/>
      <c r="L2" s="488" t="s">
        <v>219</v>
      </c>
      <c r="M2" s="489"/>
      <c r="N2" s="489"/>
      <c r="O2" s="488" t="s">
        <v>2</v>
      </c>
      <c r="P2" s="488" t="s">
        <v>3</v>
      </c>
      <c r="Q2" s="488" t="s">
        <v>4</v>
      </c>
      <c r="R2" s="489"/>
      <c r="S2" s="489"/>
      <c r="T2" s="489"/>
      <c r="U2" s="489"/>
      <c r="V2" s="490" t="s">
        <v>471</v>
      </c>
      <c r="W2" s="491"/>
    </row>
    <row r="3" spans="1:40" ht="21" thickTop="1">
      <c r="B3" s="492"/>
      <c r="C3" s="493"/>
      <c r="D3" s="879" t="s">
        <v>5</v>
      </c>
      <c r="E3" s="880"/>
      <c r="F3" s="881"/>
      <c r="G3" s="882"/>
      <c r="H3" s="880"/>
      <c r="I3" s="881"/>
      <c r="J3" s="882" t="s">
        <v>7</v>
      </c>
      <c r="K3" s="880"/>
      <c r="L3" s="881"/>
      <c r="M3" s="882" t="s">
        <v>220</v>
      </c>
      <c r="N3" s="881"/>
      <c r="O3" s="879" t="s">
        <v>8</v>
      </c>
      <c r="P3" s="880"/>
      <c r="Q3" s="881"/>
      <c r="R3" s="882" t="s">
        <v>221</v>
      </c>
      <c r="S3" s="881"/>
      <c r="T3" s="492"/>
      <c r="U3" s="492"/>
      <c r="V3" s="494" t="s">
        <v>472</v>
      </c>
      <c r="W3" s="495">
        <v>0.45</v>
      </c>
      <c r="X3" s="492"/>
      <c r="Y3" s="492"/>
      <c r="Z3" s="492"/>
      <c r="AA3" s="492"/>
      <c r="AB3" s="492"/>
      <c r="AC3" s="492"/>
      <c r="AD3" s="492"/>
      <c r="AE3" s="492"/>
      <c r="AF3" s="492"/>
      <c r="AG3" s="492"/>
      <c r="AH3" s="492"/>
      <c r="AI3" s="492"/>
      <c r="AJ3" s="492"/>
      <c r="AK3" s="492"/>
      <c r="AL3" s="492"/>
      <c r="AM3" s="492"/>
      <c r="AN3" s="492"/>
    </row>
    <row r="4" spans="1:40" ht="20.25">
      <c r="B4" s="492"/>
      <c r="C4" s="496"/>
      <c r="D4" s="497" t="s">
        <v>10</v>
      </c>
      <c r="E4" s="498" t="s">
        <v>11</v>
      </c>
      <c r="F4" s="499" t="s">
        <v>12</v>
      </c>
      <c r="G4" s="500"/>
      <c r="H4" s="498"/>
      <c r="I4" s="499"/>
      <c r="J4" s="500" t="s">
        <v>473</v>
      </c>
      <c r="K4" s="498" t="s">
        <v>13</v>
      </c>
      <c r="L4" s="499" t="s">
        <v>12</v>
      </c>
      <c r="M4" s="500" t="s">
        <v>473</v>
      </c>
      <c r="N4" s="499" t="s">
        <v>12</v>
      </c>
      <c r="O4" s="498" t="s">
        <v>10</v>
      </c>
      <c r="P4" s="498" t="s">
        <v>11</v>
      </c>
      <c r="Q4" s="499" t="s">
        <v>12</v>
      </c>
      <c r="R4" s="500" t="s">
        <v>473</v>
      </c>
      <c r="S4" s="499" t="s">
        <v>12</v>
      </c>
      <c r="T4" s="492"/>
      <c r="U4" s="492"/>
      <c r="V4" s="494" t="s">
        <v>474</v>
      </c>
      <c r="W4" s="495">
        <v>0.1</v>
      </c>
      <c r="X4" s="492"/>
      <c r="Y4" s="492"/>
      <c r="Z4" s="492"/>
      <c r="AA4" s="492"/>
      <c r="AB4" s="492"/>
      <c r="AC4" s="492"/>
      <c r="AD4" s="492"/>
      <c r="AE4" s="492"/>
      <c r="AF4" s="492"/>
      <c r="AG4" s="492"/>
      <c r="AH4" s="492"/>
      <c r="AI4" s="492"/>
      <c r="AJ4" s="492"/>
      <c r="AK4" s="492"/>
      <c r="AL4" s="492"/>
      <c r="AM4" s="492"/>
      <c r="AN4" s="492"/>
    </row>
    <row r="5" spans="1:40" ht="20.25">
      <c r="A5" s="477" t="s">
        <v>228</v>
      </c>
      <c r="B5" s="492" t="s">
        <v>0</v>
      </c>
      <c r="C5" s="501" t="s">
        <v>15</v>
      </c>
      <c r="D5" s="502"/>
      <c r="E5" s="502"/>
      <c r="F5" s="503">
        <v>4621342.1981831538</v>
      </c>
      <c r="G5" s="502"/>
      <c r="H5" s="502"/>
      <c r="I5" s="504"/>
      <c r="J5" s="501"/>
      <c r="K5" s="505"/>
      <c r="L5" s="503">
        <v>3275050.0000000005</v>
      </c>
      <c r="M5" s="506"/>
      <c r="N5" s="507"/>
      <c r="O5" s="501"/>
      <c r="P5" s="505"/>
      <c r="Q5" s="503">
        <v>4621444.4799999902</v>
      </c>
      <c r="R5" s="506"/>
      <c r="S5" s="507"/>
      <c r="T5" s="492"/>
      <c r="U5" s="492"/>
      <c r="V5" s="494" t="s">
        <v>222</v>
      </c>
      <c r="W5" s="495">
        <v>0.22500000000000001</v>
      </c>
      <c r="X5" s="492"/>
      <c r="Y5" s="492"/>
      <c r="Z5" s="492"/>
      <c r="AA5" s="492"/>
      <c r="AB5" s="492"/>
      <c r="AC5" s="492"/>
      <c r="AD5" s="492"/>
      <c r="AE5" s="492"/>
      <c r="AF5" s="492"/>
      <c r="AG5" s="492"/>
      <c r="AH5" s="492"/>
      <c r="AI5" s="492"/>
      <c r="AJ5" s="492"/>
      <c r="AK5" s="492"/>
      <c r="AL5" s="492"/>
      <c r="AM5" s="492"/>
      <c r="AN5" s="492"/>
    </row>
    <row r="6" spans="1:40" ht="20.25">
      <c r="A6" s="477" t="s">
        <v>229</v>
      </c>
      <c r="B6" s="492" t="s">
        <v>0</v>
      </c>
      <c r="C6" s="508" t="s">
        <v>16</v>
      </c>
      <c r="D6" s="509">
        <v>23</v>
      </c>
      <c r="E6" s="509">
        <v>1953.6491683802797</v>
      </c>
      <c r="F6" s="509">
        <v>44933.93087274643</v>
      </c>
      <c r="G6" s="510"/>
      <c r="H6" s="509"/>
      <c r="I6" s="509"/>
      <c r="J6" s="510">
        <v>7</v>
      </c>
      <c r="K6" s="509">
        <v>639.14571428571492</v>
      </c>
      <c r="L6" s="511">
        <v>4474.0200000000041</v>
      </c>
      <c r="M6" s="510">
        <v>-16</v>
      </c>
      <c r="N6" s="511">
        <v>-40459.910872746426</v>
      </c>
      <c r="O6" s="510">
        <v>19</v>
      </c>
      <c r="P6" s="509">
        <v>1667.12</v>
      </c>
      <c r="Q6" s="511">
        <v>31675.279999999999</v>
      </c>
      <c r="R6" s="510">
        <v>-12</v>
      </c>
      <c r="S6" s="511">
        <v>-27201.259999999995</v>
      </c>
      <c r="T6" s="492"/>
      <c r="U6" s="492"/>
      <c r="V6" s="494" t="s">
        <v>475</v>
      </c>
      <c r="W6" s="495">
        <v>2.5000000000000001E-2</v>
      </c>
      <c r="X6" s="492"/>
      <c r="Y6" s="492"/>
      <c r="Z6" s="492"/>
      <c r="AA6" s="492"/>
      <c r="AB6" s="492"/>
      <c r="AC6" s="492"/>
      <c r="AD6" s="492"/>
      <c r="AE6" s="492"/>
      <c r="AF6" s="492"/>
      <c r="AG6" s="492"/>
      <c r="AH6" s="492"/>
      <c r="AI6" s="492"/>
      <c r="AJ6" s="492"/>
      <c r="AK6" s="492"/>
      <c r="AL6" s="492"/>
      <c r="AM6" s="492"/>
      <c r="AN6" s="492"/>
    </row>
    <row r="7" spans="1:40" ht="20.25">
      <c r="A7" s="477" t="s">
        <v>230</v>
      </c>
      <c r="B7" s="492" t="s">
        <v>0</v>
      </c>
      <c r="C7" s="508" t="s">
        <v>17</v>
      </c>
      <c r="D7" s="509">
        <v>61</v>
      </c>
      <c r="E7" s="509">
        <v>2435.9046775963693</v>
      </c>
      <c r="F7" s="509">
        <v>148590.18533337853</v>
      </c>
      <c r="G7" s="510"/>
      <c r="H7" s="509"/>
      <c r="I7" s="509"/>
      <c r="J7" s="510">
        <v>56</v>
      </c>
      <c r="K7" s="509">
        <v>2079.0589285714295</v>
      </c>
      <c r="L7" s="511">
        <v>116427.30000000005</v>
      </c>
      <c r="M7" s="510">
        <v>-5</v>
      </c>
      <c r="N7" s="511">
        <v>-32162.885333378479</v>
      </c>
      <c r="O7" s="510">
        <v>62</v>
      </c>
      <c r="P7" s="509">
        <v>2284.2912903225647</v>
      </c>
      <c r="Q7" s="511">
        <v>141626.05999999901</v>
      </c>
      <c r="R7" s="510">
        <v>-6</v>
      </c>
      <c r="S7" s="511">
        <v>-25198.759999998962</v>
      </c>
      <c r="T7" s="492"/>
      <c r="U7" s="492"/>
      <c r="V7" s="494" t="s">
        <v>476</v>
      </c>
      <c r="W7" s="495">
        <v>0.2</v>
      </c>
      <c r="X7" s="492"/>
      <c r="Y7" s="492"/>
      <c r="Z7" s="492"/>
      <c r="AA7" s="492"/>
      <c r="AB7" s="492"/>
      <c r="AC7" s="492"/>
      <c r="AD7" s="492"/>
      <c r="AE7" s="492"/>
      <c r="AF7" s="492"/>
      <c r="AG7" s="492"/>
      <c r="AH7" s="492"/>
      <c r="AI7" s="492"/>
      <c r="AJ7" s="492"/>
      <c r="AK7" s="492"/>
      <c r="AL7" s="492"/>
      <c r="AM7" s="492"/>
      <c r="AN7" s="492"/>
    </row>
    <row r="8" spans="1:40" ht="21" thickBot="1">
      <c r="A8" s="477" t="s">
        <v>231</v>
      </c>
      <c r="B8" s="492" t="s">
        <v>0</v>
      </c>
      <c r="C8" s="508" t="s">
        <v>18</v>
      </c>
      <c r="D8" s="509">
        <v>0</v>
      </c>
      <c r="E8" s="509">
        <v>0</v>
      </c>
      <c r="F8" s="509">
        <v>0</v>
      </c>
      <c r="G8" s="510"/>
      <c r="H8" s="509"/>
      <c r="I8" s="509"/>
      <c r="J8" s="510">
        <v>0</v>
      </c>
      <c r="K8" s="509">
        <v>0</v>
      </c>
      <c r="L8" s="511">
        <v>0</v>
      </c>
      <c r="M8" s="510">
        <v>0</v>
      </c>
      <c r="N8" s="511">
        <v>0</v>
      </c>
      <c r="O8" s="510">
        <v>0</v>
      </c>
      <c r="P8" s="509">
        <v>0</v>
      </c>
      <c r="Q8" s="511">
        <v>0</v>
      </c>
      <c r="R8" s="510">
        <v>0</v>
      </c>
      <c r="S8" s="511">
        <v>0</v>
      </c>
      <c r="T8" s="492"/>
      <c r="U8" s="492"/>
      <c r="V8" s="512"/>
      <c r="W8" s="513">
        <v>1</v>
      </c>
      <c r="X8" s="492"/>
      <c r="Y8" s="492"/>
      <c r="Z8" s="492"/>
      <c r="AA8" s="492"/>
      <c r="AB8" s="492"/>
      <c r="AC8" s="492"/>
      <c r="AD8" s="492"/>
      <c r="AE8" s="492"/>
      <c r="AF8" s="492"/>
      <c r="AG8" s="492"/>
      <c r="AH8" s="492"/>
      <c r="AI8" s="492"/>
      <c r="AJ8" s="492"/>
      <c r="AK8" s="492"/>
      <c r="AL8" s="492"/>
      <c r="AM8" s="492"/>
      <c r="AN8" s="492"/>
    </row>
    <row r="9" spans="1:40" ht="21" thickTop="1">
      <c r="A9" s="477" t="s">
        <v>232</v>
      </c>
      <c r="B9" s="492" t="s">
        <v>0</v>
      </c>
      <c r="C9" s="508" t="s">
        <v>19</v>
      </c>
      <c r="D9" s="509">
        <v>0</v>
      </c>
      <c r="E9" s="509">
        <v>0</v>
      </c>
      <c r="F9" s="509">
        <v>0</v>
      </c>
      <c r="G9" s="510"/>
      <c r="H9" s="509"/>
      <c r="I9" s="509"/>
      <c r="J9" s="510">
        <v>0</v>
      </c>
      <c r="K9" s="509">
        <v>0</v>
      </c>
      <c r="L9" s="511">
        <v>0</v>
      </c>
      <c r="M9" s="510">
        <v>0</v>
      </c>
      <c r="N9" s="511">
        <v>0</v>
      </c>
      <c r="O9" s="510">
        <v>0</v>
      </c>
      <c r="P9" s="509">
        <v>0</v>
      </c>
      <c r="Q9" s="511">
        <v>0</v>
      </c>
      <c r="R9" s="510">
        <v>0</v>
      </c>
      <c r="S9" s="511">
        <v>0</v>
      </c>
      <c r="T9" s="492"/>
      <c r="U9" s="492"/>
      <c r="V9" s="492"/>
      <c r="W9" s="492"/>
      <c r="X9" s="492"/>
      <c r="Y9" s="492"/>
      <c r="Z9" s="492"/>
      <c r="AA9" s="492"/>
      <c r="AB9" s="492"/>
      <c r="AC9" s="492"/>
      <c r="AD9" s="492"/>
      <c r="AE9" s="492"/>
      <c r="AF9" s="492"/>
      <c r="AG9" s="492"/>
      <c r="AH9" s="492"/>
      <c r="AI9" s="492"/>
      <c r="AJ9" s="492"/>
      <c r="AK9" s="492"/>
      <c r="AL9" s="492"/>
      <c r="AM9" s="492"/>
      <c r="AN9" s="492"/>
    </row>
    <row r="10" spans="1:40" ht="20.25" hidden="1" customHeight="1">
      <c r="A10" s="477" t="s">
        <v>233</v>
      </c>
      <c r="B10" s="492" t="s">
        <v>0</v>
      </c>
      <c r="C10" s="508" t="s">
        <v>20</v>
      </c>
      <c r="D10" s="509">
        <v>0</v>
      </c>
      <c r="E10" s="509">
        <v>0</v>
      </c>
      <c r="F10" s="509">
        <v>0</v>
      </c>
      <c r="G10" s="510"/>
      <c r="H10" s="509"/>
      <c r="I10" s="509"/>
      <c r="J10" s="510">
        <v>0</v>
      </c>
      <c r="K10" s="509">
        <v>0</v>
      </c>
      <c r="L10" s="511">
        <v>0</v>
      </c>
      <c r="M10" s="510">
        <v>0</v>
      </c>
      <c r="N10" s="511">
        <v>0</v>
      </c>
      <c r="O10" s="510">
        <v>0</v>
      </c>
      <c r="P10" s="509">
        <v>0</v>
      </c>
      <c r="Q10" s="511">
        <v>0</v>
      </c>
      <c r="R10" s="510">
        <v>0</v>
      </c>
      <c r="S10" s="511">
        <v>0</v>
      </c>
      <c r="T10" s="492"/>
      <c r="U10" s="492"/>
      <c r="V10" s="492"/>
      <c r="W10" s="492"/>
      <c r="X10" s="492"/>
      <c r="Y10" s="492"/>
      <c r="Z10" s="492"/>
      <c r="AA10" s="492"/>
      <c r="AB10" s="492"/>
      <c r="AC10" s="492"/>
      <c r="AD10" s="492"/>
      <c r="AE10" s="492"/>
      <c r="AF10" s="492"/>
      <c r="AG10" s="492"/>
      <c r="AH10" s="492"/>
      <c r="AI10" s="492"/>
      <c r="AJ10" s="492"/>
      <c r="AK10" s="492"/>
      <c r="AL10" s="492"/>
      <c r="AM10" s="492"/>
      <c r="AN10" s="492"/>
    </row>
    <row r="11" spans="1:40" ht="20.25" hidden="1" customHeight="1">
      <c r="A11" s="477" t="s">
        <v>233</v>
      </c>
      <c r="B11" s="492" t="s">
        <v>0</v>
      </c>
      <c r="C11" s="508" t="s">
        <v>20</v>
      </c>
      <c r="D11" s="509">
        <v>0</v>
      </c>
      <c r="E11" s="509">
        <v>0</v>
      </c>
      <c r="F11" s="509">
        <v>0</v>
      </c>
      <c r="G11" s="510"/>
      <c r="H11" s="509"/>
      <c r="I11" s="509"/>
      <c r="J11" s="510">
        <v>0</v>
      </c>
      <c r="K11" s="509">
        <v>0</v>
      </c>
      <c r="L11" s="511">
        <v>0</v>
      </c>
      <c r="M11" s="510">
        <v>0</v>
      </c>
      <c r="N11" s="511">
        <v>0</v>
      </c>
      <c r="O11" s="510">
        <v>0</v>
      </c>
      <c r="P11" s="509">
        <v>0</v>
      </c>
      <c r="Q11" s="511">
        <v>0</v>
      </c>
      <c r="R11" s="510">
        <v>0</v>
      </c>
      <c r="S11" s="511">
        <v>0</v>
      </c>
      <c r="T11" s="492"/>
      <c r="U11" s="492"/>
      <c r="V11" s="492"/>
      <c r="W11" s="492"/>
      <c r="X11" s="492"/>
      <c r="Y11" s="492"/>
      <c r="Z11" s="492"/>
      <c r="AA11" s="492"/>
      <c r="AB11" s="492"/>
      <c r="AC11" s="492"/>
      <c r="AD11" s="492"/>
      <c r="AE11" s="492"/>
      <c r="AF11" s="492"/>
      <c r="AG11" s="492"/>
      <c r="AH11" s="492"/>
      <c r="AI11" s="492"/>
      <c r="AJ11" s="492"/>
      <c r="AK11" s="492"/>
      <c r="AL11" s="492"/>
      <c r="AM11" s="492"/>
      <c r="AN11" s="492"/>
    </row>
    <row r="12" spans="1:40" ht="20.25" hidden="1" customHeight="1">
      <c r="A12" s="477" t="s">
        <v>233</v>
      </c>
      <c r="B12" s="492" t="s">
        <v>0</v>
      </c>
      <c r="C12" s="508" t="s">
        <v>20</v>
      </c>
      <c r="D12" s="509">
        <v>0</v>
      </c>
      <c r="E12" s="509">
        <v>0</v>
      </c>
      <c r="F12" s="509">
        <v>0</v>
      </c>
      <c r="G12" s="510"/>
      <c r="H12" s="509"/>
      <c r="I12" s="509"/>
      <c r="J12" s="510">
        <v>0</v>
      </c>
      <c r="K12" s="509">
        <v>0</v>
      </c>
      <c r="L12" s="511">
        <v>0</v>
      </c>
      <c r="M12" s="510">
        <v>0</v>
      </c>
      <c r="N12" s="511">
        <v>0</v>
      </c>
      <c r="O12" s="510">
        <v>0</v>
      </c>
      <c r="P12" s="509">
        <v>0</v>
      </c>
      <c r="Q12" s="511">
        <v>0</v>
      </c>
      <c r="R12" s="510">
        <v>0</v>
      </c>
      <c r="S12" s="511">
        <v>0</v>
      </c>
      <c r="T12" s="492"/>
      <c r="U12" s="492"/>
      <c r="V12" s="492"/>
      <c r="W12" s="492"/>
      <c r="X12" s="492"/>
      <c r="Y12" s="492"/>
      <c r="Z12" s="492"/>
      <c r="AA12" s="492"/>
      <c r="AB12" s="492"/>
      <c r="AC12" s="492"/>
      <c r="AD12" s="492"/>
      <c r="AE12" s="492"/>
      <c r="AF12" s="492"/>
      <c r="AG12" s="492"/>
      <c r="AH12" s="492"/>
      <c r="AI12" s="492"/>
      <c r="AJ12" s="492"/>
      <c r="AK12" s="492"/>
      <c r="AL12" s="492"/>
      <c r="AM12" s="492"/>
      <c r="AN12" s="492"/>
    </row>
    <row r="13" spans="1:40" ht="20.25">
      <c r="A13" s="477" t="s">
        <v>234</v>
      </c>
      <c r="B13" s="492" t="s">
        <v>0</v>
      </c>
      <c r="C13" s="514" t="s">
        <v>21</v>
      </c>
      <c r="D13" s="515">
        <v>84</v>
      </c>
      <c r="E13" s="515">
        <v>2303.8585262633924</v>
      </c>
      <c r="F13" s="516">
        <v>193524.11620612495</v>
      </c>
      <c r="G13" s="517"/>
      <c r="H13" s="515"/>
      <c r="I13" s="516"/>
      <c r="J13" s="517">
        <v>63</v>
      </c>
      <c r="K13" s="515">
        <v>1919.0685714285723</v>
      </c>
      <c r="L13" s="516">
        <v>120901.32000000005</v>
      </c>
      <c r="M13" s="517">
        <v>-21</v>
      </c>
      <c r="N13" s="516">
        <v>-72622.796206124913</v>
      </c>
      <c r="O13" s="517">
        <v>81</v>
      </c>
      <c r="P13" s="515">
        <v>2139.5227160493705</v>
      </c>
      <c r="Q13" s="516">
        <v>173301.33999999901</v>
      </c>
      <c r="R13" s="517">
        <v>-18</v>
      </c>
      <c r="S13" s="516">
        <v>-52400.019999998956</v>
      </c>
      <c r="T13" s="492"/>
      <c r="U13" s="492"/>
      <c r="V13" s="492"/>
      <c r="W13" s="492"/>
      <c r="X13" s="492"/>
      <c r="Y13" s="492"/>
      <c r="Z13" s="492"/>
      <c r="AA13" s="492"/>
      <c r="AB13" s="492"/>
      <c r="AC13" s="492"/>
      <c r="AD13" s="492"/>
      <c r="AE13" s="492"/>
      <c r="AF13" s="492"/>
      <c r="AG13" s="492"/>
      <c r="AH13" s="492"/>
      <c r="AI13" s="492"/>
      <c r="AJ13" s="492"/>
      <c r="AK13" s="492"/>
      <c r="AL13" s="492"/>
      <c r="AM13" s="492"/>
      <c r="AN13" s="492"/>
    </row>
    <row r="14" spans="1:40" ht="20.25">
      <c r="A14" s="477" t="s">
        <v>0</v>
      </c>
      <c r="B14" s="492" t="s">
        <v>0</v>
      </c>
      <c r="C14" s="508"/>
      <c r="D14" s="492"/>
      <c r="E14" s="509"/>
      <c r="F14" s="518"/>
      <c r="G14" s="508"/>
      <c r="H14" s="509"/>
      <c r="I14" s="518"/>
      <c r="J14" s="508"/>
      <c r="K14" s="509"/>
      <c r="L14" s="518"/>
      <c r="M14" s="519">
        <v>-0.25</v>
      </c>
      <c r="N14" s="520">
        <v>-0.37526483845958231</v>
      </c>
      <c r="O14" s="508"/>
      <c r="P14" s="509"/>
      <c r="Q14" s="518"/>
      <c r="R14" s="519">
        <v>-0.22222222222222221</v>
      </c>
      <c r="S14" s="520">
        <v>-0.30236361703838677</v>
      </c>
      <c r="T14" s="492"/>
      <c r="U14" s="492"/>
      <c r="V14" s="492"/>
      <c r="W14" s="509"/>
      <c r="X14" s="509"/>
      <c r="Y14" s="492"/>
      <c r="Z14" s="492"/>
      <c r="AA14" s="492"/>
      <c r="AB14" s="492"/>
      <c r="AC14" s="492"/>
      <c r="AD14" s="492">
        <v>20</v>
      </c>
      <c r="AE14" s="492">
        <v>1000</v>
      </c>
      <c r="AF14" s="492">
        <v>20000</v>
      </c>
      <c r="AG14" s="492"/>
      <c r="AH14" s="492"/>
      <c r="AI14" s="492"/>
      <c r="AJ14" s="492"/>
      <c r="AK14" s="492"/>
      <c r="AL14" s="492"/>
      <c r="AM14" s="492"/>
      <c r="AN14" s="492"/>
    </row>
    <row r="15" spans="1:40" ht="20.25">
      <c r="A15" s="477" t="s">
        <v>235</v>
      </c>
      <c r="B15" s="492" t="s">
        <v>0</v>
      </c>
      <c r="C15" s="521" t="s">
        <v>22</v>
      </c>
      <c r="D15" s="505">
        <v>4</v>
      </c>
      <c r="E15" s="505">
        <v>1534.7521433415677</v>
      </c>
      <c r="F15" s="503">
        <v>6139.0085733662709</v>
      </c>
      <c r="G15" s="522"/>
      <c r="H15" s="505"/>
      <c r="I15" s="503"/>
      <c r="J15" s="523">
        <v>0</v>
      </c>
      <c r="K15" s="524">
        <v>0</v>
      </c>
      <c r="L15" s="524">
        <v>0</v>
      </c>
      <c r="M15" s="522">
        <v>-4</v>
      </c>
      <c r="N15" s="503">
        <v>-6139.0085733662709</v>
      </c>
      <c r="O15" s="523">
        <v>6</v>
      </c>
      <c r="P15" s="524">
        <v>1521.5766666666698</v>
      </c>
      <c r="Q15" s="524">
        <v>9129.4600000000191</v>
      </c>
      <c r="R15" s="522">
        <v>-6</v>
      </c>
      <c r="S15" s="503">
        <v>-9129.4600000000191</v>
      </c>
      <c r="T15" s="492"/>
      <c r="V15" s="509"/>
      <c r="W15" s="492"/>
      <c r="X15" s="492"/>
      <c r="Y15" s="492"/>
      <c r="Z15" s="492"/>
      <c r="AA15" s="492"/>
      <c r="AB15" s="492"/>
      <c r="AC15" s="492"/>
      <c r="AD15" s="492">
        <v>25</v>
      </c>
      <c r="AE15" s="492">
        <v>800</v>
      </c>
      <c r="AF15" s="492">
        <v>20000</v>
      </c>
      <c r="AG15" s="492"/>
      <c r="AH15" s="492"/>
      <c r="AI15" s="492"/>
      <c r="AJ15" s="492"/>
      <c r="AK15" s="492"/>
      <c r="AL15" s="492"/>
      <c r="AM15" s="492"/>
      <c r="AN15" s="492"/>
    </row>
    <row r="16" spans="1:40" ht="20.25">
      <c r="A16" s="477" t="s">
        <v>0</v>
      </c>
      <c r="B16" s="492" t="s">
        <v>0</v>
      </c>
      <c r="C16" s="508"/>
      <c r="D16" s="492"/>
      <c r="E16" s="509"/>
      <c r="F16" s="518"/>
      <c r="G16" s="508"/>
      <c r="H16" s="509"/>
      <c r="I16" s="518"/>
      <c r="J16" s="508"/>
      <c r="K16" s="509"/>
      <c r="L16" s="511"/>
      <c r="M16" s="525"/>
      <c r="N16" s="526"/>
      <c r="O16" s="508"/>
      <c r="P16" s="509"/>
      <c r="Q16" s="511"/>
      <c r="R16" s="525"/>
      <c r="S16" s="526"/>
      <c r="T16" s="492"/>
      <c r="U16" s="492"/>
      <c r="V16" s="492"/>
      <c r="W16" s="492"/>
      <c r="X16" s="492"/>
      <c r="Y16" s="492"/>
      <c r="Z16" s="492"/>
      <c r="AA16" s="492"/>
      <c r="AB16" s="492"/>
      <c r="AC16" s="492"/>
      <c r="AD16" s="492"/>
      <c r="AE16" s="492"/>
      <c r="AF16" s="492"/>
      <c r="AG16" s="492"/>
      <c r="AH16" s="492"/>
      <c r="AI16" s="492"/>
      <c r="AJ16" s="492"/>
      <c r="AK16" s="492"/>
      <c r="AL16" s="492"/>
      <c r="AM16" s="492"/>
      <c r="AN16" s="492"/>
    </row>
    <row r="17" spans="1:40" ht="20.25">
      <c r="A17" s="477" t="s">
        <v>236</v>
      </c>
      <c r="B17" s="492" t="s">
        <v>0</v>
      </c>
      <c r="C17" s="527" t="s">
        <v>23</v>
      </c>
      <c r="D17" s="509">
        <v>2</v>
      </c>
      <c r="E17" s="509">
        <v>2393.8521192147828</v>
      </c>
      <c r="F17" s="509">
        <v>4787.7042384295655</v>
      </c>
      <c r="G17" s="510"/>
      <c r="H17" s="509"/>
      <c r="I17" s="509"/>
      <c r="J17" s="522">
        <v>3</v>
      </c>
      <c r="K17" s="509">
        <v>626.18666666666593</v>
      </c>
      <c r="L17" s="511">
        <v>1878.5599999999977</v>
      </c>
      <c r="M17" s="522">
        <v>1</v>
      </c>
      <c r="N17" s="511">
        <v>-2909.1442384295678</v>
      </c>
      <c r="O17" s="522">
        <v>1</v>
      </c>
      <c r="P17" s="509">
        <v>1402.08</v>
      </c>
      <c r="Q17" s="511">
        <v>1402.08</v>
      </c>
      <c r="R17" s="510">
        <v>2</v>
      </c>
      <c r="S17" s="511">
        <v>476.47999999999774</v>
      </c>
      <c r="T17" s="492"/>
      <c r="U17" s="489"/>
      <c r="V17" s="528"/>
      <c r="W17" s="492"/>
      <c r="X17" s="492"/>
      <c r="Y17" s="492"/>
      <c r="Z17" s="492"/>
      <c r="AA17" s="509"/>
      <c r="AB17" s="492"/>
      <c r="AC17" s="492"/>
      <c r="AD17" s="492"/>
      <c r="AE17" s="492"/>
      <c r="AF17" s="492"/>
      <c r="AG17" s="492"/>
      <c r="AH17" s="492"/>
      <c r="AI17" s="492"/>
      <c r="AJ17" s="492"/>
      <c r="AK17" s="492"/>
      <c r="AL17" s="492"/>
      <c r="AM17" s="492"/>
      <c r="AN17" s="492"/>
    </row>
    <row r="18" spans="1:40" ht="20.25">
      <c r="A18" s="477" t="s">
        <v>0</v>
      </c>
      <c r="B18" s="492" t="s">
        <v>0</v>
      </c>
      <c r="C18" s="514"/>
      <c r="D18" s="529"/>
      <c r="E18" s="529"/>
      <c r="F18" s="530"/>
      <c r="G18" s="531"/>
      <c r="H18" s="529"/>
      <c r="I18" s="530"/>
      <c r="J18" s="510"/>
      <c r="K18" s="529"/>
      <c r="L18" s="530"/>
      <c r="M18" s="510"/>
      <c r="N18" s="530"/>
      <c r="O18" s="510"/>
      <c r="P18" s="529"/>
      <c r="Q18" s="530"/>
      <c r="R18" s="531"/>
      <c r="S18" s="530"/>
      <c r="T18" s="492"/>
      <c r="U18" s="492"/>
      <c r="W18" s="492"/>
      <c r="X18" s="492"/>
      <c r="Y18" s="492"/>
      <c r="Z18" s="492"/>
      <c r="AA18" s="492"/>
      <c r="AB18" s="492"/>
      <c r="AC18" s="492"/>
      <c r="AD18" s="492"/>
      <c r="AE18" s="492"/>
      <c r="AF18" s="492"/>
      <c r="AG18" s="492"/>
      <c r="AH18" s="492"/>
      <c r="AI18" s="492"/>
      <c r="AJ18" s="492"/>
      <c r="AK18" s="492"/>
      <c r="AL18" s="492"/>
      <c r="AM18" s="492"/>
      <c r="AN18" s="492"/>
    </row>
    <row r="19" spans="1:40" ht="20.25">
      <c r="A19" s="477" t="s">
        <v>237</v>
      </c>
      <c r="B19" s="492" t="s">
        <v>0</v>
      </c>
      <c r="C19" s="521" t="s">
        <v>24</v>
      </c>
      <c r="D19" s="509">
        <v>0</v>
      </c>
      <c r="E19" s="509">
        <v>0</v>
      </c>
      <c r="F19" s="509">
        <v>9350</v>
      </c>
      <c r="G19" s="510"/>
      <c r="H19" s="509"/>
      <c r="I19" s="509"/>
      <c r="J19" s="522"/>
      <c r="K19" s="509"/>
      <c r="L19" s="511">
        <v>11637.419999999984</v>
      </c>
      <c r="M19" s="510"/>
      <c r="N19" s="511">
        <v>2287.4199999999837</v>
      </c>
      <c r="O19" s="522"/>
      <c r="P19" s="509"/>
      <c r="Q19" s="511">
        <v>4315</v>
      </c>
      <c r="R19" s="510">
        <v>0</v>
      </c>
      <c r="S19" s="511">
        <v>7322.4199999999837</v>
      </c>
      <c r="T19" s="492"/>
      <c r="W19" s="509"/>
      <c r="X19" s="532"/>
      <c r="Y19" s="492"/>
      <c r="Z19" s="492"/>
      <c r="AA19" s="492"/>
      <c r="AB19" s="492"/>
      <c r="AC19" s="492"/>
      <c r="AD19" s="492"/>
      <c r="AE19" s="492"/>
      <c r="AF19" s="492"/>
      <c r="AG19" s="492"/>
      <c r="AH19" s="492"/>
      <c r="AI19" s="492"/>
      <c r="AJ19" s="492"/>
      <c r="AK19" s="492"/>
      <c r="AL19" s="492"/>
      <c r="AM19" s="492"/>
      <c r="AN19" s="492"/>
    </row>
    <row r="20" spans="1:40" ht="20.25">
      <c r="A20" s="477" t="s">
        <v>0</v>
      </c>
      <c r="B20" s="492" t="s">
        <v>0</v>
      </c>
      <c r="C20" s="514"/>
      <c r="D20" s="529"/>
      <c r="E20" s="529"/>
      <c r="F20" s="530"/>
      <c r="G20" s="531"/>
      <c r="H20" s="529"/>
      <c r="I20" s="530"/>
      <c r="J20" s="510"/>
      <c r="K20" s="529"/>
      <c r="L20" s="530"/>
      <c r="M20" s="531"/>
      <c r="N20" s="530"/>
      <c r="O20" s="510"/>
      <c r="P20" s="529"/>
      <c r="Q20" s="530"/>
      <c r="R20" s="531"/>
      <c r="S20" s="530"/>
      <c r="T20" s="492"/>
      <c r="U20" s="492"/>
      <c r="W20" s="509"/>
      <c r="X20" s="532"/>
      <c r="Y20" s="492"/>
      <c r="Z20" s="492"/>
      <c r="AA20" s="492"/>
      <c r="AB20" s="492"/>
      <c r="AC20" s="492"/>
      <c r="AD20" s="492"/>
      <c r="AE20" s="492"/>
      <c r="AF20" s="492"/>
      <c r="AG20" s="492"/>
      <c r="AH20" s="492"/>
      <c r="AI20" s="492"/>
      <c r="AJ20" s="492"/>
      <c r="AK20" s="492"/>
      <c r="AL20" s="492"/>
      <c r="AM20" s="492"/>
      <c r="AN20" s="492"/>
    </row>
    <row r="21" spans="1:40" ht="15.75" customHeight="1">
      <c r="A21" s="477" t="s">
        <v>238</v>
      </c>
      <c r="B21" s="492" t="s">
        <v>0</v>
      </c>
      <c r="C21" s="508" t="s">
        <v>25</v>
      </c>
      <c r="D21" s="509">
        <v>0</v>
      </c>
      <c r="E21" s="509">
        <v>0</v>
      </c>
      <c r="F21" s="509">
        <v>4400</v>
      </c>
      <c r="G21" s="510"/>
      <c r="H21" s="509"/>
      <c r="I21" s="509"/>
      <c r="J21" s="510"/>
      <c r="K21" s="509">
        <v>0</v>
      </c>
      <c r="L21" s="511">
        <v>0</v>
      </c>
      <c r="M21" s="510"/>
      <c r="N21" s="511">
        <v>-4400</v>
      </c>
      <c r="O21" s="510"/>
      <c r="P21" s="509"/>
      <c r="Q21" s="511">
        <v>0</v>
      </c>
      <c r="R21" s="510">
        <v>0</v>
      </c>
      <c r="S21" s="511">
        <v>0</v>
      </c>
      <c r="T21" s="492"/>
      <c r="U21" s="492"/>
      <c r="W21" s="492"/>
      <c r="X21" s="532"/>
      <c r="Y21" s="492"/>
      <c r="Z21" s="492"/>
      <c r="AA21" s="492"/>
      <c r="AB21" s="492"/>
      <c r="AC21" s="492"/>
      <c r="AD21" s="492"/>
      <c r="AE21" s="492"/>
      <c r="AF21" s="492"/>
      <c r="AG21" s="492"/>
      <c r="AH21" s="492"/>
      <c r="AI21" s="492"/>
      <c r="AJ21" s="492"/>
      <c r="AK21" s="492"/>
      <c r="AL21" s="492"/>
      <c r="AM21" s="492"/>
      <c r="AN21" s="492"/>
    </row>
    <row r="22" spans="1:40" ht="18" customHeight="1">
      <c r="A22" s="477" t="s">
        <v>239</v>
      </c>
      <c r="B22" s="492" t="s">
        <v>0</v>
      </c>
      <c r="C22" s="508" t="s">
        <v>26</v>
      </c>
      <c r="D22" s="509">
        <v>0</v>
      </c>
      <c r="E22" s="509">
        <v>0</v>
      </c>
      <c r="F22" s="509">
        <v>81840</v>
      </c>
      <c r="G22" s="510"/>
      <c r="H22" s="509"/>
      <c r="I22" s="509"/>
      <c r="J22" s="510"/>
      <c r="K22" s="509">
        <v>960.30047619047616</v>
      </c>
      <c r="L22" s="511">
        <v>60498.93</v>
      </c>
      <c r="M22" s="510"/>
      <c r="N22" s="511">
        <v>-21341.07</v>
      </c>
      <c r="O22" s="510"/>
      <c r="P22" s="509"/>
      <c r="Q22" s="511">
        <v>76578.39</v>
      </c>
      <c r="R22" s="510">
        <v>-960.30047619047616</v>
      </c>
      <c r="S22" s="511">
        <v>-16079.46</v>
      </c>
      <c r="T22" s="492"/>
      <c r="U22" s="492"/>
      <c r="V22" s="492"/>
      <c r="W22" s="492"/>
      <c r="X22" s="492"/>
      <c r="Y22" s="492"/>
      <c r="Z22" s="492"/>
      <c r="AA22" s="492"/>
      <c r="AB22" s="492"/>
      <c r="AC22" s="492"/>
      <c r="AD22" s="492"/>
      <c r="AE22" s="492"/>
      <c r="AF22" s="492"/>
      <c r="AG22" s="492"/>
      <c r="AH22" s="492"/>
      <c r="AI22" s="492"/>
      <c r="AJ22" s="492"/>
      <c r="AK22" s="492"/>
      <c r="AL22" s="492"/>
      <c r="AM22" s="492"/>
      <c r="AN22" s="492"/>
    </row>
    <row r="23" spans="1:40" ht="19.5" customHeight="1">
      <c r="A23" s="477" t="s">
        <v>240</v>
      </c>
      <c r="B23" s="492" t="s">
        <v>0</v>
      </c>
      <c r="C23" s="508" t="s">
        <v>27</v>
      </c>
      <c r="D23" s="509">
        <v>0</v>
      </c>
      <c r="E23" s="509">
        <v>0</v>
      </c>
      <c r="F23" s="509">
        <v>1760</v>
      </c>
      <c r="G23" s="510"/>
      <c r="H23" s="509"/>
      <c r="I23" s="509"/>
      <c r="J23" s="510"/>
      <c r="K23" s="509">
        <v>0</v>
      </c>
      <c r="L23" s="511">
        <v>0</v>
      </c>
      <c r="M23" s="522"/>
      <c r="N23" s="511">
        <v>-1760</v>
      </c>
      <c r="O23" s="510"/>
      <c r="P23" s="509"/>
      <c r="Q23" s="511">
        <v>0</v>
      </c>
      <c r="R23" s="510">
        <v>0</v>
      </c>
      <c r="S23" s="511">
        <v>0</v>
      </c>
      <c r="T23" s="492"/>
      <c r="U23" s="492"/>
      <c r="V23" s="492"/>
      <c r="W23" s="492"/>
      <c r="X23" s="492"/>
      <c r="Y23" s="492"/>
      <c r="Z23" s="492"/>
      <c r="AA23" s="492"/>
      <c r="AB23" s="492"/>
      <c r="AC23" s="492"/>
      <c r="AD23" s="492"/>
      <c r="AE23" s="492"/>
      <c r="AF23" s="492"/>
      <c r="AG23" s="492"/>
      <c r="AH23" s="492"/>
      <c r="AI23" s="492"/>
      <c r="AJ23" s="492"/>
      <c r="AK23" s="492"/>
      <c r="AL23" s="492"/>
      <c r="AM23" s="492"/>
      <c r="AN23" s="492"/>
    </row>
    <row r="24" spans="1:40" ht="18" customHeight="1">
      <c r="A24" s="477" t="s">
        <v>241</v>
      </c>
      <c r="B24" s="492" t="s">
        <v>0</v>
      </c>
      <c r="C24" s="514" t="s">
        <v>28</v>
      </c>
      <c r="D24" s="515">
        <v>88</v>
      </c>
      <c r="E24" s="515">
        <v>1000</v>
      </c>
      <c r="F24" s="516">
        <v>88000</v>
      </c>
      <c r="G24" s="517"/>
      <c r="H24" s="515"/>
      <c r="I24" s="516"/>
      <c r="J24" s="517">
        <v>63</v>
      </c>
      <c r="K24" s="515">
        <v>960.30047619047616</v>
      </c>
      <c r="L24" s="516">
        <v>60498.93</v>
      </c>
      <c r="M24" s="533">
        <v>-25</v>
      </c>
      <c r="N24" s="516">
        <v>-27501.07</v>
      </c>
      <c r="O24" s="517">
        <v>87</v>
      </c>
      <c r="P24" s="515">
        <v>880.2113793103448</v>
      </c>
      <c r="Q24" s="516">
        <v>76578.39</v>
      </c>
      <c r="R24" s="531"/>
      <c r="S24" s="516">
        <v>-16079.46</v>
      </c>
      <c r="T24" s="492"/>
      <c r="U24" s="492"/>
      <c r="V24" s="492"/>
      <c r="W24" s="492"/>
      <c r="X24" s="492"/>
      <c r="Y24" s="492"/>
      <c r="Z24" s="492"/>
      <c r="AA24" s="492"/>
      <c r="AB24" s="492"/>
      <c r="AC24" s="492"/>
      <c r="AD24" s="492"/>
      <c r="AE24" s="492"/>
      <c r="AF24" s="492"/>
      <c r="AG24" s="492"/>
      <c r="AH24" s="492"/>
      <c r="AI24" s="492"/>
      <c r="AJ24" s="492"/>
      <c r="AK24" s="492"/>
      <c r="AL24" s="492"/>
      <c r="AM24" s="492"/>
      <c r="AN24" s="492"/>
    </row>
    <row r="25" spans="1:40" ht="15.75" customHeight="1">
      <c r="A25" s="477" t="s">
        <v>0</v>
      </c>
      <c r="B25" s="492" t="s">
        <v>0</v>
      </c>
      <c r="C25" s="508"/>
      <c r="D25" s="492"/>
      <c r="E25" s="492"/>
      <c r="F25" s="534"/>
      <c r="G25" s="508"/>
      <c r="H25" s="492"/>
      <c r="I25" s="534"/>
      <c r="J25" s="508"/>
      <c r="K25" s="492"/>
      <c r="L25" s="534"/>
      <c r="M25" s="525"/>
      <c r="N25" s="526">
        <v>-0.31251215909090907</v>
      </c>
      <c r="O25" s="508"/>
      <c r="P25" s="492"/>
      <c r="Q25" s="534"/>
      <c r="R25" s="535"/>
      <c r="S25" s="526">
        <v>-0.20997385816024597</v>
      </c>
      <c r="T25" s="492"/>
      <c r="U25" s="492"/>
      <c r="V25" s="492"/>
      <c r="W25" s="492"/>
      <c r="X25" s="492"/>
      <c r="Y25" s="492"/>
      <c r="Z25" s="492"/>
      <c r="AA25" s="492"/>
      <c r="AB25" s="492"/>
      <c r="AC25" s="492"/>
      <c r="AD25" s="492"/>
      <c r="AE25" s="492"/>
      <c r="AF25" s="492"/>
      <c r="AG25" s="492"/>
      <c r="AH25" s="492"/>
      <c r="AI25" s="492"/>
      <c r="AJ25" s="492"/>
      <c r="AK25" s="492"/>
      <c r="AL25" s="492"/>
      <c r="AM25" s="492"/>
      <c r="AN25" s="492"/>
    </row>
    <row r="26" spans="1:40" ht="15.75" customHeight="1" thickBot="1">
      <c r="A26" s="477" t="s">
        <v>0</v>
      </c>
      <c r="B26" s="492" t="s">
        <v>0</v>
      </c>
      <c r="C26" s="508"/>
      <c r="D26" s="492"/>
      <c r="E26" s="492"/>
      <c r="F26" s="518"/>
      <c r="G26" s="508"/>
      <c r="H26" s="492"/>
      <c r="I26" s="518"/>
      <c r="J26" s="508"/>
      <c r="K26" s="492"/>
      <c r="L26" s="518"/>
      <c r="M26" s="508"/>
      <c r="N26" s="518"/>
      <c r="O26" s="508"/>
      <c r="P26" s="492"/>
      <c r="Q26" s="518"/>
      <c r="R26" s="508"/>
      <c r="S26" s="518"/>
      <c r="T26" s="492"/>
      <c r="U26" s="492"/>
      <c r="V26" s="492"/>
      <c r="W26" s="492"/>
      <c r="X26" s="492"/>
      <c r="Y26" s="492"/>
      <c r="Z26" s="492"/>
      <c r="AA26" s="492"/>
      <c r="AB26" s="492"/>
      <c r="AC26" s="492"/>
      <c r="AD26" s="492"/>
      <c r="AE26" s="492"/>
      <c r="AF26" s="492"/>
      <c r="AG26" s="492"/>
      <c r="AH26" s="492"/>
      <c r="AI26" s="492"/>
      <c r="AJ26" s="492"/>
      <c r="AK26" s="492"/>
      <c r="AL26" s="492"/>
      <c r="AM26" s="492"/>
      <c r="AN26" s="492"/>
    </row>
    <row r="27" spans="1:40" ht="18" customHeight="1" thickTop="1">
      <c r="A27" s="477" t="s">
        <v>242</v>
      </c>
      <c r="B27" s="492" t="s">
        <v>0</v>
      </c>
      <c r="C27" s="536" t="s">
        <v>29</v>
      </c>
      <c r="D27" s="537">
        <v>90</v>
      </c>
      <c r="E27" s="538">
        <v>3353.3425446435649</v>
      </c>
      <c r="F27" s="539">
        <v>301800.82901792083</v>
      </c>
      <c r="G27" s="540"/>
      <c r="H27" s="538"/>
      <c r="I27" s="539"/>
      <c r="J27" s="540">
        <v>66</v>
      </c>
      <c r="K27" s="538">
        <v>2953.2762121212127</v>
      </c>
      <c r="L27" s="539">
        <v>194916.23000000004</v>
      </c>
      <c r="M27" s="540">
        <v>-24</v>
      </c>
      <c r="N27" s="539">
        <v>-106884.59901792079</v>
      </c>
      <c r="O27" s="540">
        <v>88</v>
      </c>
      <c r="P27" s="538">
        <v>3008.2530681818071</v>
      </c>
      <c r="Q27" s="539">
        <v>264726.26999999903</v>
      </c>
      <c r="R27" s="540">
        <v>-22</v>
      </c>
      <c r="S27" s="539">
        <v>-69810.03999999899</v>
      </c>
      <c r="T27" s="492"/>
      <c r="U27" s="492"/>
      <c r="V27" s="492"/>
      <c r="W27" s="492"/>
      <c r="X27" s="492"/>
      <c r="Y27" s="492"/>
      <c r="Z27" s="492"/>
      <c r="AA27" s="492"/>
      <c r="AB27" s="492"/>
      <c r="AC27" s="492"/>
      <c r="AD27" s="492"/>
      <c r="AE27" s="492"/>
      <c r="AF27" s="492"/>
      <c r="AG27" s="492"/>
      <c r="AH27" s="492"/>
      <c r="AI27" s="492"/>
      <c r="AJ27" s="492"/>
      <c r="AK27" s="492"/>
      <c r="AL27" s="492"/>
      <c r="AM27" s="492"/>
      <c r="AN27" s="492"/>
    </row>
    <row r="28" spans="1:40" ht="22.5" customHeight="1" thickBot="1">
      <c r="A28" s="477" t="s">
        <v>0</v>
      </c>
      <c r="B28" s="492" t="s">
        <v>0</v>
      </c>
      <c r="C28" s="541"/>
      <c r="D28" s="542"/>
      <c r="E28" s="542"/>
      <c r="F28" s="543"/>
      <c r="G28" s="541"/>
      <c r="H28" s="542"/>
      <c r="I28" s="543"/>
      <c r="J28" s="541"/>
      <c r="K28" s="544"/>
      <c r="L28" s="545">
        <v>0.64584391843544597</v>
      </c>
      <c r="M28" s="546">
        <v>-0.26666666666666666</v>
      </c>
      <c r="N28" s="547">
        <v>-0.35415608156455403</v>
      </c>
      <c r="O28" s="541"/>
      <c r="P28" s="542"/>
      <c r="Q28" s="543"/>
      <c r="R28" s="546">
        <v>-0.25</v>
      </c>
      <c r="S28" s="547">
        <v>-0.26370650710259791</v>
      </c>
      <c r="T28" s="492"/>
      <c r="U28" s="492"/>
      <c r="V28" s="492"/>
      <c r="W28" s="492"/>
      <c r="X28" s="492"/>
      <c r="Y28" s="492"/>
      <c r="Z28" s="492"/>
      <c r="AA28" s="492"/>
      <c r="AB28" s="492"/>
      <c r="AC28" s="492"/>
      <c r="AD28" s="492"/>
      <c r="AE28" s="492"/>
      <c r="AF28" s="492"/>
      <c r="AG28" s="492"/>
      <c r="AH28" s="492"/>
      <c r="AI28" s="492"/>
      <c r="AJ28" s="492"/>
      <c r="AK28" s="492"/>
      <c r="AL28" s="492"/>
      <c r="AM28" s="492"/>
      <c r="AN28" s="492"/>
    </row>
    <row r="29" spans="1:40" ht="15.75" customHeight="1" thickTop="1">
      <c r="A29" s="477" t="s">
        <v>0</v>
      </c>
      <c r="B29" s="492" t="s">
        <v>0</v>
      </c>
      <c r="C29" s="527"/>
      <c r="D29" s="548"/>
      <c r="E29" s="548"/>
      <c r="F29" s="549"/>
      <c r="G29" s="527"/>
      <c r="H29" s="548"/>
      <c r="I29" s="549"/>
      <c r="J29" s="527"/>
      <c r="K29" s="548"/>
      <c r="L29" s="549"/>
      <c r="M29" s="525"/>
      <c r="N29" s="526"/>
      <c r="O29" s="527"/>
      <c r="P29" s="548"/>
      <c r="Q29" s="549"/>
      <c r="R29" s="525"/>
      <c r="S29" s="526"/>
      <c r="T29" s="492"/>
      <c r="U29" s="550"/>
      <c r="V29" s="492"/>
      <c r="W29" s="492"/>
      <c r="X29" s="492"/>
      <c r="Y29" s="492"/>
      <c r="Z29" s="492"/>
      <c r="AA29" s="492"/>
      <c r="AB29" s="492"/>
      <c r="AC29" s="492"/>
      <c r="AD29" s="492"/>
      <c r="AE29" s="492"/>
      <c r="AF29" s="492"/>
      <c r="AG29" s="492"/>
      <c r="AH29" s="492"/>
      <c r="AI29" s="492"/>
      <c r="AJ29" s="492"/>
      <c r="AK29" s="492"/>
      <c r="AL29" s="492"/>
      <c r="AM29" s="492"/>
      <c r="AN29" s="492"/>
    </row>
    <row r="30" spans="1:40" ht="15.75" customHeight="1">
      <c r="A30" s="477" t="s">
        <v>243</v>
      </c>
      <c r="B30" s="492" t="s">
        <v>0</v>
      </c>
      <c r="C30" s="551" t="s">
        <v>30</v>
      </c>
      <c r="D30" s="492"/>
      <c r="E30" s="552"/>
      <c r="F30" s="534"/>
      <c r="G30" s="508"/>
      <c r="H30" s="552"/>
      <c r="I30" s="534"/>
      <c r="J30" s="508"/>
      <c r="K30" s="552"/>
      <c r="L30" s="518"/>
      <c r="M30" s="508"/>
      <c r="N30" s="518"/>
      <c r="O30" s="508"/>
      <c r="P30" s="552"/>
      <c r="Q30" s="518"/>
      <c r="R30" s="508"/>
      <c r="S30" s="518"/>
      <c r="T30" s="492"/>
      <c r="U30" s="492"/>
      <c r="V30" s="492"/>
      <c r="W30" s="492"/>
      <c r="X30" s="492"/>
      <c r="Y30" s="492"/>
      <c r="Z30" s="492"/>
      <c r="AA30" s="492"/>
      <c r="AB30" s="492"/>
      <c r="AC30" s="492"/>
      <c r="AD30" s="492"/>
      <c r="AE30" s="492"/>
      <c r="AF30" s="492"/>
      <c r="AG30" s="492"/>
      <c r="AH30" s="492"/>
      <c r="AI30" s="492"/>
      <c r="AJ30" s="492"/>
      <c r="AK30" s="492"/>
      <c r="AL30" s="492"/>
      <c r="AM30" s="492"/>
      <c r="AN30" s="492"/>
    </row>
    <row r="31" spans="1:40" ht="15.75" customHeight="1">
      <c r="A31" s="477" t="s">
        <v>244</v>
      </c>
      <c r="B31" s="492" t="s">
        <v>0</v>
      </c>
      <c r="C31" s="508" t="s">
        <v>31</v>
      </c>
      <c r="D31" s="553">
        <v>0.3239710213803329</v>
      </c>
      <c r="E31" s="550">
        <v>735.05757348637064</v>
      </c>
      <c r="F31" s="509">
        <v>64685.066466800621</v>
      </c>
      <c r="G31" s="554"/>
      <c r="H31" s="550"/>
      <c r="I31" s="509"/>
      <c r="J31" s="554">
        <v>0.29473827470754971</v>
      </c>
      <c r="K31" s="550">
        <v>574.41158730158736</v>
      </c>
      <c r="L31" s="509">
        <v>36187.93</v>
      </c>
      <c r="M31" s="508"/>
      <c r="N31" s="534">
        <v>-28497.136466800621</v>
      </c>
      <c r="O31" s="555">
        <v>0.34685797230615295</v>
      </c>
      <c r="P31" s="550">
        <v>732.91839080459772</v>
      </c>
      <c r="Q31" s="511">
        <v>63763.9</v>
      </c>
      <c r="R31" s="508"/>
      <c r="S31" s="534">
        <v>-27575.97</v>
      </c>
      <c r="T31" s="492"/>
      <c r="U31" s="492"/>
      <c r="V31" s="492"/>
      <c r="W31" s="492"/>
      <c r="X31" s="492"/>
      <c r="Y31" s="492"/>
      <c r="Z31" s="492"/>
      <c r="AA31" s="492"/>
      <c r="AB31" s="492"/>
      <c r="AC31" s="492"/>
      <c r="AD31" s="492"/>
      <c r="AE31" s="492"/>
      <c r="AF31" s="492"/>
      <c r="AG31" s="492"/>
      <c r="AH31" s="492"/>
      <c r="AI31" s="492"/>
      <c r="AJ31" s="492"/>
      <c r="AK31" s="492"/>
      <c r="AL31" s="492"/>
      <c r="AM31" s="492"/>
      <c r="AN31" s="492"/>
    </row>
    <row r="32" spans="1:40" ht="15.75" customHeight="1">
      <c r="A32" s="477" t="s">
        <v>245</v>
      </c>
      <c r="B32" s="492" t="s">
        <v>0</v>
      </c>
      <c r="C32" s="501" t="s">
        <v>32</v>
      </c>
      <c r="D32" s="556">
        <v>0.28000000000000003</v>
      </c>
      <c r="E32" s="557">
        <v>280.00000000000006</v>
      </c>
      <c r="F32" s="503">
        <v>24640.000000000004</v>
      </c>
      <c r="G32" s="558"/>
      <c r="H32" s="557"/>
      <c r="I32" s="503"/>
      <c r="J32" s="558">
        <v>0.8234186951736171</v>
      </c>
      <c r="K32" s="557">
        <v>790.72936507936504</v>
      </c>
      <c r="L32" s="503">
        <v>49815.95</v>
      </c>
      <c r="M32" s="501"/>
      <c r="N32" s="559">
        <v>25175.949999999993</v>
      </c>
      <c r="O32" s="560">
        <v>0.26932885374059184</v>
      </c>
      <c r="P32" s="557">
        <v>237.06632183908047</v>
      </c>
      <c r="Q32" s="503">
        <v>20624.77</v>
      </c>
      <c r="R32" s="501"/>
      <c r="S32" s="559">
        <v>29191.179999999997</v>
      </c>
      <c r="T32" s="492"/>
      <c r="Z32" s="492"/>
      <c r="AA32" s="492"/>
      <c r="AB32" s="492"/>
      <c r="AC32" s="492"/>
      <c r="AD32" s="492"/>
      <c r="AE32" s="492"/>
      <c r="AF32" s="492"/>
      <c r="AG32" s="492"/>
      <c r="AH32" s="492"/>
      <c r="AI32" s="492"/>
      <c r="AJ32" s="492"/>
      <c r="AK32" s="492"/>
      <c r="AL32" s="492"/>
      <c r="AM32" s="492"/>
      <c r="AN32" s="492"/>
    </row>
    <row r="33" spans="1:40" ht="15.75" customHeight="1">
      <c r="A33" s="477" t="s">
        <v>246</v>
      </c>
      <c r="B33" s="492" t="s">
        <v>0</v>
      </c>
      <c r="C33" s="508" t="s">
        <v>33</v>
      </c>
      <c r="D33" s="561"/>
      <c r="E33" s="550">
        <v>115</v>
      </c>
      <c r="F33" s="509">
        <v>10120</v>
      </c>
      <c r="G33" s="562"/>
      <c r="H33" s="550"/>
      <c r="I33" s="509"/>
      <c r="J33" s="508"/>
      <c r="K33" s="550">
        <v>50.647936507936514</v>
      </c>
      <c r="L33" s="509">
        <v>3190.82</v>
      </c>
      <c r="M33" s="508"/>
      <c r="N33" s="534">
        <v>-6929.18</v>
      </c>
      <c r="O33" s="508"/>
      <c r="P33" s="550">
        <v>120.29333333333334</v>
      </c>
      <c r="Q33" s="511">
        <v>10465.52</v>
      </c>
      <c r="R33" s="508"/>
      <c r="S33" s="534">
        <v>-7274.7000000000007</v>
      </c>
      <c r="T33" s="492"/>
      <c r="U33" s="528"/>
      <c r="Z33" s="492"/>
      <c r="AA33" s="492"/>
      <c r="AB33" s="492"/>
      <c r="AC33" s="492"/>
      <c r="AD33" s="492"/>
      <c r="AE33" s="492"/>
      <c r="AF33" s="492"/>
      <c r="AG33" s="492"/>
      <c r="AH33" s="492"/>
      <c r="AI33" s="492"/>
      <c r="AJ33" s="492"/>
      <c r="AK33" s="492"/>
      <c r="AL33" s="492"/>
      <c r="AM33" s="492"/>
      <c r="AN33" s="492"/>
    </row>
    <row r="34" spans="1:40" ht="15.75" customHeight="1">
      <c r="A34" s="477" t="s">
        <v>247</v>
      </c>
      <c r="B34" s="492" t="s">
        <v>0</v>
      </c>
      <c r="C34" s="508" t="s">
        <v>34</v>
      </c>
      <c r="D34" s="561"/>
      <c r="E34" s="550">
        <v>10</v>
      </c>
      <c r="F34" s="509">
        <v>880</v>
      </c>
      <c r="G34" s="562"/>
      <c r="H34" s="550"/>
      <c r="I34" s="509"/>
      <c r="J34" s="508"/>
      <c r="K34" s="550">
        <v>0</v>
      </c>
      <c r="L34" s="509">
        <v>0</v>
      </c>
      <c r="M34" s="508"/>
      <c r="N34" s="534">
        <v>-880</v>
      </c>
      <c r="O34" s="508"/>
      <c r="P34" s="550">
        <v>23.456091954022988</v>
      </c>
      <c r="Q34" s="511">
        <v>2040.68</v>
      </c>
      <c r="R34" s="508"/>
      <c r="S34" s="534">
        <v>-2040.68</v>
      </c>
      <c r="T34" s="492"/>
      <c r="Z34" s="492"/>
      <c r="AA34" s="492"/>
      <c r="AB34" s="492"/>
      <c r="AC34" s="492"/>
      <c r="AD34" s="492"/>
      <c r="AE34" s="492"/>
      <c r="AF34" s="492"/>
      <c r="AG34" s="492"/>
      <c r="AH34" s="492"/>
      <c r="AI34" s="492"/>
      <c r="AJ34" s="492"/>
      <c r="AK34" s="492"/>
      <c r="AL34" s="492"/>
      <c r="AM34" s="492"/>
      <c r="AN34" s="492"/>
    </row>
    <row r="35" spans="1:40" ht="15.75" customHeight="1">
      <c r="A35" s="477" t="s">
        <v>248</v>
      </c>
      <c r="B35" s="492" t="s">
        <v>0</v>
      </c>
      <c r="C35" s="501" t="s">
        <v>35</v>
      </c>
      <c r="D35" s="563"/>
      <c r="E35" s="557">
        <v>120.75</v>
      </c>
      <c r="F35" s="503">
        <v>10626</v>
      </c>
      <c r="G35" s="564"/>
      <c r="H35" s="557"/>
      <c r="I35" s="503"/>
      <c r="J35" s="501"/>
      <c r="K35" s="557">
        <v>123.11174603174604</v>
      </c>
      <c r="L35" s="503">
        <v>7756.04</v>
      </c>
      <c r="M35" s="501"/>
      <c r="N35" s="559">
        <v>-2869.96</v>
      </c>
      <c r="O35" s="501"/>
      <c r="P35" s="557">
        <v>65.982068965517243</v>
      </c>
      <c r="Q35" s="511">
        <v>5740.44</v>
      </c>
      <c r="R35" s="501"/>
      <c r="S35" s="559">
        <v>2015.6000000000004</v>
      </c>
      <c r="T35" s="492"/>
      <c r="Z35" s="492"/>
      <c r="AA35" s="492"/>
      <c r="AB35" s="492"/>
      <c r="AC35" s="492"/>
      <c r="AD35" s="492"/>
      <c r="AE35" s="492"/>
      <c r="AF35" s="492"/>
      <c r="AG35" s="492"/>
      <c r="AH35" s="492"/>
      <c r="AI35" s="492"/>
      <c r="AJ35" s="492"/>
      <c r="AK35" s="492"/>
      <c r="AL35" s="492"/>
      <c r="AM35" s="492"/>
      <c r="AN35" s="492"/>
    </row>
    <row r="36" spans="1:40" ht="15.75" customHeight="1">
      <c r="A36" s="477" t="s">
        <v>249</v>
      </c>
      <c r="B36" s="492" t="s">
        <v>0</v>
      </c>
      <c r="C36" s="508" t="s">
        <v>36</v>
      </c>
      <c r="D36" s="561"/>
      <c r="E36" s="550">
        <v>30.25</v>
      </c>
      <c r="F36" s="509">
        <v>2662</v>
      </c>
      <c r="G36" s="562"/>
      <c r="H36" s="550"/>
      <c r="I36" s="509"/>
      <c r="J36" s="508"/>
      <c r="K36" s="550">
        <v>95.550634920634934</v>
      </c>
      <c r="L36" s="565">
        <v>6019.6900000000005</v>
      </c>
      <c r="M36" s="492"/>
      <c r="N36" s="534">
        <v>3357.6900000000005</v>
      </c>
      <c r="O36" s="508"/>
      <c r="P36" s="550">
        <v>8.5896551724137815</v>
      </c>
      <c r="Q36" s="530">
        <v>747.29999999999905</v>
      </c>
      <c r="R36" s="508"/>
      <c r="S36" s="534">
        <v>5272.3900000000012</v>
      </c>
      <c r="T36" s="492"/>
      <c r="Z36" s="492"/>
      <c r="AA36" s="492"/>
      <c r="AB36" s="492"/>
      <c r="AC36" s="492"/>
      <c r="AD36" s="492"/>
      <c r="AE36" s="492"/>
      <c r="AF36" s="492"/>
      <c r="AG36" s="492"/>
      <c r="AH36" s="492"/>
      <c r="AI36" s="492"/>
      <c r="AJ36" s="492"/>
      <c r="AK36" s="492"/>
      <c r="AL36" s="492"/>
      <c r="AM36" s="492"/>
      <c r="AN36" s="492"/>
    </row>
    <row r="37" spans="1:40" ht="15.75" customHeight="1">
      <c r="A37" s="477" t="s">
        <v>250</v>
      </c>
      <c r="B37" s="492" t="s">
        <v>0</v>
      </c>
      <c r="C37" s="508" t="s">
        <v>37</v>
      </c>
      <c r="D37" s="561"/>
      <c r="E37" s="550">
        <v>413.84575782788289</v>
      </c>
      <c r="F37" s="509">
        <v>36418.426688853695</v>
      </c>
      <c r="G37" s="562"/>
      <c r="H37" s="550"/>
      <c r="I37" s="509"/>
      <c r="J37" s="508"/>
      <c r="K37" s="550">
        <v>390.07746031746035</v>
      </c>
      <c r="L37" s="566">
        <v>24574.880000000001</v>
      </c>
      <c r="M37" s="492"/>
      <c r="N37" s="534">
        <v>-11843.546688853694</v>
      </c>
      <c r="O37" s="508"/>
      <c r="P37" s="550">
        <v>400.05482758620684</v>
      </c>
      <c r="Q37" s="511">
        <v>34804.769999999997</v>
      </c>
      <c r="R37" s="508"/>
      <c r="S37" s="534">
        <v>-10229.889999999996</v>
      </c>
      <c r="T37" s="492"/>
      <c r="Z37" s="492"/>
      <c r="AA37" s="492"/>
      <c r="AB37" s="492"/>
      <c r="AC37" s="492"/>
      <c r="AD37" s="492"/>
      <c r="AE37" s="492"/>
      <c r="AF37" s="492"/>
      <c r="AG37" s="492"/>
      <c r="AH37" s="492"/>
      <c r="AI37" s="492"/>
      <c r="AJ37" s="492"/>
      <c r="AK37" s="492"/>
      <c r="AL37" s="492"/>
      <c r="AM37" s="492"/>
      <c r="AN37" s="492"/>
    </row>
    <row r="38" spans="1:40" ht="15.75" hidden="1" customHeight="1">
      <c r="A38" s="477" t="s">
        <v>233</v>
      </c>
      <c r="B38" s="492" t="s">
        <v>0</v>
      </c>
      <c r="C38" s="508" t="s">
        <v>20</v>
      </c>
      <c r="D38" s="561"/>
      <c r="E38" s="550">
        <v>0</v>
      </c>
      <c r="F38" s="509">
        <v>0</v>
      </c>
      <c r="G38" s="562"/>
      <c r="H38" s="550"/>
      <c r="I38" s="509"/>
      <c r="J38" s="508"/>
      <c r="K38" s="550">
        <v>0</v>
      </c>
      <c r="L38" s="566">
        <v>0</v>
      </c>
      <c r="M38" s="492"/>
      <c r="N38" s="534">
        <v>0</v>
      </c>
      <c r="O38" s="508"/>
      <c r="P38" s="550">
        <v>0</v>
      </c>
      <c r="Q38" s="511">
        <v>0</v>
      </c>
      <c r="R38" s="508"/>
      <c r="S38" s="534">
        <v>0</v>
      </c>
      <c r="T38" s="492"/>
      <c r="U38" s="492"/>
      <c r="V38" s="492"/>
      <c r="W38" s="492"/>
      <c r="X38" s="492"/>
      <c r="Y38" s="492"/>
      <c r="Z38" s="492"/>
      <c r="AA38" s="492"/>
      <c r="AB38" s="492"/>
      <c r="AC38" s="492"/>
      <c r="AD38" s="492"/>
      <c r="AE38" s="492"/>
      <c r="AF38" s="492"/>
      <c r="AG38" s="492"/>
      <c r="AH38" s="492"/>
      <c r="AI38" s="492"/>
      <c r="AJ38" s="492"/>
      <c r="AK38" s="492"/>
      <c r="AL38" s="492"/>
      <c r="AM38" s="492"/>
      <c r="AN38" s="492"/>
    </row>
    <row r="39" spans="1:40" ht="15.75" hidden="1" customHeight="1">
      <c r="A39" s="477" t="s">
        <v>233</v>
      </c>
      <c r="B39" s="492" t="s">
        <v>0</v>
      </c>
      <c r="C39" s="508" t="s">
        <v>20</v>
      </c>
      <c r="D39" s="561"/>
      <c r="E39" s="550">
        <v>0</v>
      </c>
      <c r="F39" s="509">
        <v>0</v>
      </c>
      <c r="G39" s="562"/>
      <c r="H39" s="550"/>
      <c r="I39" s="509"/>
      <c r="J39" s="508"/>
      <c r="K39" s="550">
        <v>0</v>
      </c>
      <c r="L39" s="566">
        <v>0</v>
      </c>
      <c r="M39" s="492"/>
      <c r="N39" s="534">
        <v>0</v>
      </c>
      <c r="O39" s="508"/>
      <c r="P39" s="550">
        <v>0</v>
      </c>
      <c r="Q39" s="511">
        <v>0</v>
      </c>
      <c r="R39" s="508"/>
      <c r="S39" s="534">
        <v>0</v>
      </c>
      <c r="T39" s="492"/>
      <c r="U39" s="492"/>
      <c r="V39" s="492"/>
      <c r="W39" s="492"/>
      <c r="X39" s="492"/>
      <c r="Y39" s="492"/>
      <c r="Z39" s="492"/>
      <c r="AA39" s="492"/>
      <c r="AB39" s="492"/>
      <c r="AC39" s="492"/>
      <c r="AD39" s="492"/>
      <c r="AE39" s="492"/>
      <c r="AF39" s="492"/>
      <c r="AG39" s="492"/>
      <c r="AH39" s="492"/>
      <c r="AI39" s="492"/>
      <c r="AJ39" s="492"/>
      <c r="AK39" s="492"/>
      <c r="AL39" s="492"/>
      <c r="AM39" s="492"/>
      <c r="AN39" s="492"/>
    </row>
    <row r="40" spans="1:40" ht="15.75" hidden="1" customHeight="1">
      <c r="A40" s="477" t="s">
        <v>233</v>
      </c>
      <c r="B40" s="492" t="s">
        <v>0</v>
      </c>
      <c r="C40" s="508" t="s">
        <v>20</v>
      </c>
      <c r="D40" s="561"/>
      <c r="E40" s="550">
        <v>0</v>
      </c>
      <c r="F40" s="509">
        <v>0</v>
      </c>
      <c r="G40" s="562"/>
      <c r="H40" s="550"/>
      <c r="I40" s="509"/>
      <c r="J40" s="508"/>
      <c r="K40" s="550">
        <v>0</v>
      </c>
      <c r="L40" s="567">
        <v>0</v>
      </c>
      <c r="M40" s="492"/>
      <c r="N40" s="534">
        <v>0</v>
      </c>
      <c r="O40" s="508"/>
      <c r="P40" s="550">
        <v>0</v>
      </c>
      <c r="Q40" s="511">
        <v>0</v>
      </c>
      <c r="R40" s="508"/>
      <c r="S40" s="534">
        <v>0</v>
      </c>
      <c r="T40" s="492"/>
      <c r="U40" s="492"/>
      <c r="V40" s="492"/>
      <c r="W40" s="492"/>
      <c r="X40" s="492"/>
      <c r="Y40" s="492"/>
      <c r="Z40" s="492"/>
      <c r="AA40" s="492"/>
      <c r="AB40" s="492"/>
      <c r="AC40" s="492"/>
      <c r="AD40" s="492"/>
      <c r="AE40" s="492"/>
      <c r="AF40" s="492"/>
      <c r="AG40" s="492"/>
      <c r="AH40" s="492"/>
      <c r="AI40" s="492"/>
      <c r="AJ40" s="492"/>
      <c r="AK40" s="492"/>
      <c r="AL40" s="492"/>
      <c r="AM40" s="492"/>
      <c r="AN40" s="492"/>
    </row>
    <row r="41" spans="1:40" ht="15.75" customHeight="1">
      <c r="A41" s="477" t="s">
        <v>251</v>
      </c>
      <c r="B41" s="492" t="s">
        <v>0</v>
      </c>
      <c r="C41" s="568" t="s">
        <v>38</v>
      </c>
      <c r="D41" s="569" t="s">
        <v>39</v>
      </c>
      <c r="E41" s="570">
        <v>0.49712087817606854</v>
      </c>
      <c r="F41" s="571">
        <v>150031.49315565432</v>
      </c>
      <c r="G41" s="572"/>
      <c r="H41" s="570"/>
      <c r="I41" s="571"/>
      <c r="J41" s="572" t="s">
        <v>39</v>
      </c>
      <c r="K41" s="570">
        <v>0.65435961900145512</v>
      </c>
      <c r="L41" s="571">
        <v>127545.31000000001</v>
      </c>
      <c r="M41" s="573"/>
      <c r="N41" s="571">
        <v>-22486.183155654304</v>
      </c>
      <c r="O41" s="572" t="s">
        <v>39</v>
      </c>
      <c r="P41" s="570">
        <v>0.52200100881563627</v>
      </c>
      <c r="Q41" s="574">
        <v>138187.38</v>
      </c>
      <c r="R41" s="575"/>
      <c r="S41" s="571">
        <v>-10642.069999999992</v>
      </c>
      <c r="T41" s="492"/>
      <c r="U41" s="492"/>
      <c r="V41" s="492"/>
      <c r="W41" s="492"/>
      <c r="X41" s="492"/>
      <c r="Y41" s="492"/>
      <c r="Z41" s="492"/>
      <c r="AA41" s="492"/>
      <c r="AB41" s="492"/>
      <c r="AC41" s="492"/>
      <c r="AD41" s="492"/>
      <c r="AE41" s="492"/>
      <c r="AF41" s="492"/>
      <c r="AG41" s="492"/>
      <c r="AH41" s="492"/>
      <c r="AI41" s="492"/>
      <c r="AJ41" s="492"/>
      <c r="AK41" s="492"/>
      <c r="AL41" s="492"/>
      <c r="AM41" s="492"/>
      <c r="AN41" s="492"/>
    </row>
    <row r="42" spans="1:40" ht="15.75" customHeight="1">
      <c r="A42" s="477" t="s">
        <v>252</v>
      </c>
      <c r="B42" s="492" t="s">
        <v>0</v>
      </c>
      <c r="C42" s="576" t="s">
        <v>41</v>
      </c>
      <c r="D42" s="492"/>
      <c r="E42" s="492"/>
      <c r="F42" s="509">
        <v>28420.581730769234</v>
      </c>
      <c r="G42" s="508"/>
      <c r="H42" s="492"/>
      <c r="I42" s="509"/>
      <c r="J42" s="508"/>
      <c r="K42" s="492"/>
      <c r="L42" s="511">
        <v>10870.49</v>
      </c>
      <c r="M42" s="508"/>
      <c r="N42" s="534">
        <v>-17550.091730769236</v>
      </c>
      <c r="O42" s="508"/>
      <c r="P42" s="577">
        <v>5.9916078596960021E-2</v>
      </c>
      <c r="Q42" s="511">
        <v>15861.36</v>
      </c>
      <c r="R42" s="508"/>
      <c r="S42" s="534">
        <v>-4990.8700000000008</v>
      </c>
      <c r="T42" s="492"/>
      <c r="U42" s="492"/>
      <c r="V42" s="492"/>
      <c r="W42" s="492"/>
      <c r="X42" s="492"/>
      <c r="Y42" s="492"/>
      <c r="Z42" s="492"/>
      <c r="AA42" s="492"/>
      <c r="AB42" s="492"/>
      <c r="AC42" s="492"/>
      <c r="AD42" s="492"/>
      <c r="AE42" s="492"/>
      <c r="AF42" s="492"/>
      <c r="AG42" s="492"/>
      <c r="AH42" s="492"/>
      <c r="AI42" s="492"/>
      <c r="AJ42" s="492"/>
      <c r="AK42" s="492"/>
      <c r="AL42" s="492"/>
      <c r="AM42" s="492"/>
      <c r="AN42" s="492"/>
    </row>
    <row r="43" spans="1:40" ht="15.75" customHeight="1">
      <c r="A43" s="477" t="s">
        <v>253</v>
      </c>
      <c r="B43" s="492" t="s">
        <v>0</v>
      </c>
      <c r="C43" s="578" t="s">
        <v>42</v>
      </c>
      <c r="D43" s="561"/>
      <c r="E43" s="492"/>
      <c r="F43" s="503">
        <v>17167.773846153847</v>
      </c>
      <c r="G43" s="562"/>
      <c r="H43" s="492"/>
      <c r="I43" s="503"/>
      <c r="J43" s="508"/>
      <c r="K43" s="492"/>
      <c r="L43" s="511">
        <v>17179.27</v>
      </c>
      <c r="M43" s="508"/>
      <c r="N43" s="534">
        <v>11.496153846153902</v>
      </c>
      <c r="O43" s="508"/>
      <c r="P43" s="492"/>
      <c r="Q43" s="511">
        <v>11048.85</v>
      </c>
      <c r="R43" s="508"/>
      <c r="S43" s="534">
        <v>6130.42</v>
      </c>
      <c r="T43" s="492"/>
      <c r="U43" s="492"/>
      <c r="V43" s="492"/>
      <c r="W43" s="492"/>
      <c r="X43" s="492"/>
      <c r="Y43" s="492"/>
      <c r="Z43" s="492"/>
      <c r="AA43" s="492"/>
      <c r="AB43" s="492"/>
      <c r="AC43" s="492"/>
      <c r="AD43" s="492"/>
      <c r="AE43" s="492"/>
      <c r="AF43" s="492"/>
      <c r="AG43" s="492"/>
      <c r="AH43" s="492"/>
      <c r="AI43" s="492"/>
      <c r="AJ43" s="492"/>
      <c r="AK43" s="492"/>
      <c r="AL43" s="492"/>
      <c r="AM43" s="492"/>
      <c r="AN43" s="492"/>
    </row>
    <row r="44" spans="1:40" ht="15.75" customHeight="1">
      <c r="A44" s="477" t="s">
        <v>254</v>
      </c>
      <c r="B44" s="492" t="s">
        <v>0</v>
      </c>
      <c r="C44" s="576" t="s">
        <v>43</v>
      </c>
      <c r="D44" s="579"/>
      <c r="E44" s="580"/>
      <c r="F44" s="509">
        <v>394.44230769230774</v>
      </c>
      <c r="G44" s="581"/>
      <c r="H44" s="580"/>
      <c r="I44" s="509"/>
      <c r="J44" s="496"/>
      <c r="K44" s="580"/>
      <c r="L44" s="530">
        <v>11.25</v>
      </c>
      <c r="M44" s="496"/>
      <c r="N44" s="582">
        <v>-383.19230769230774</v>
      </c>
      <c r="O44" s="496"/>
      <c r="P44" s="580"/>
      <c r="Q44" s="530">
        <v>4682.53</v>
      </c>
      <c r="R44" s="496"/>
      <c r="S44" s="582">
        <v>-4671.28</v>
      </c>
      <c r="T44" s="492"/>
      <c r="U44" s="492"/>
      <c r="V44" s="492"/>
      <c r="W44" s="492"/>
      <c r="X44" s="492"/>
      <c r="Y44" s="492"/>
      <c r="Z44" s="492"/>
      <c r="AA44" s="492"/>
      <c r="AB44" s="492"/>
      <c r="AC44" s="492"/>
      <c r="AD44" s="492"/>
      <c r="AE44" s="492"/>
      <c r="AF44" s="492"/>
      <c r="AG44" s="492"/>
      <c r="AH44" s="492"/>
      <c r="AI44" s="492"/>
      <c r="AJ44" s="492"/>
      <c r="AK44" s="492"/>
      <c r="AL44" s="492"/>
      <c r="AM44" s="492"/>
      <c r="AN44" s="492"/>
    </row>
    <row r="45" spans="1:40" ht="15.75" customHeight="1">
      <c r="A45" s="477" t="s">
        <v>255</v>
      </c>
      <c r="B45" s="492" t="s">
        <v>0</v>
      </c>
      <c r="C45" s="576" t="s">
        <v>44</v>
      </c>
      <c r="D45" s="561"/>
      <c r="E45" s="492"/>
      <c r="F45" s="509">
        <v>0</v>
      </c>
      <c r="G45" s="562"/>
      <c r="H45" s="492"/>
      <c r="I45" s="509"/>
      <c r="J45" s="508"/>
      <c r="K45" s="492"/>
      <c r="L45" s="511">
        <v>0</v>
      </c>
      <c r="M45" s="508"/>
      <c r="N45" s="534">
        <v>0</v>
      </c>
      <c r="O45" s="508"/>
      <c r="P45" s="492"/>
      <c r="Q45" s="511">
        <v>0</v>
      </c>
      <c r="R45" s="508"/>
      <c r="S45" s="534">
        <v>0</v>
      </c>
      <c r="T45" s="492"/>
      <c r="U45" s="492"/>
      <c r="V45" s="492"/>
      <c r="W45" s="492"/>
      <c r="X45" s="492"/>
      <c r="Y45" s="492"/>
      <c r="Z45" s="492"/>
      <c r="AA45" s="492"/>
      <c r="AB45" s="492"/>
      <c r="AC45" s="492"/>
      <c r="AD45" s="492"/>
      <c r="AE45" s="492"/>
      <c r="AF45" s="492"/>
      <c r="AG45" s="492"/>
      <c r="AH45" s="492"/>
      <c r="AI45" s="492"/>
      <c r="AJ45" s="492"/>
      <c r="AK45" s="492"/>
      <c r="AL45" s="492"/>
      <c r="AM45" s="492"/>
      <c r="AN45" s="492"/>
    </row>
    <row r="46" spans="1:40" ht="15.75" hidden="1" customHeight="1">
      <c r="A46" s="477" t="s">
        <v>233</v>
      </c>
      <c r="B46" s="492" t="s">
        <v>0</v>
      </c>
      <c r="C46" s="576" t="s">
        <v>20</v>
      </c>
      <c r="D46" s="561"/>
      <c r="E46" s="492"/>
      <c r="F46" s="509">
        <v>0</v>
      </c>
      <c r="G46" s="562"/>
      <c r="H46" s="492"/>
      <c r="I46" s="509"/>
      <c r="J46" s="508"/>
      <c r="K46" s="492"/>
      <c r="L46" s="511">
        <v>0</v>
      </c>
      <c r="M46" s="508"/>
      <c r="N46" s="534">
        <v>0</v>
      </c>
      <c r="O46" s="508"/>
      <c r="P46" s="492"/>
      <c r="Q46" s="511">
        <v>0</v>
      </c>
      <c r="R46" s="508"/>
      <c r="S46" s="534">
        <v>0</v>
      </c>
      <c r="T46" s="492"/>
      <c r="U46" s="492"/>
      <c r="V46" s="492"/>
      <c r="W46" s="492"/>
      <c r="X46" s="492"/>
      <c r="Y46" s="492"/>
      <c r="Z46" s="492"/>
      <c r="AA46" s="492"/>
      <c r="AB46" s="492"/>
      <c r="AC46" s="492"/>
      <c r="AD46" s="492"/>
      <c r="AE46" s="492"/>
      <c r="AF46" s="492"/>
      <c r="AG46" s="492"/>
      <c r="AH46" s="492"/>
      <c r="AI46" s="492"/>
      <c r="AJ46" s="492"/>
      <c r="AK46" s="492"/>
      <c r="AL46" s="492"/>
      <c r="AM46" s="492"/>
      <c r="AN46" s="492"/>
    </row>
    <row r="47" spans="1:40" ht="15.75" hidden="1" customHeight="1">
      <c r="A47" s="477" t="s">
        <v>233</v>
      </c>
      <c r="B47" s="492" t="s">
        <v>0</v>
      </c>
      <c r="C47" s="576" t="s">
        <v>20</v>
      </c>
      <c r="D47" s="561"/>
      <c r="E47" s="492"/>
      <c r="F47" s="509">
        <v>0</v>
      </c>
      <c r="G47" s="562"/>
      <c r="H47" s="492"/>
      <c r="I47" s="509"/>
      <c r="J47" s="508"/>
      <c r="K47" s="492"/>
      <c r="L47" s="511">
        <v>0</v>
      </c>
      <c r="M47" s="508"/>
      <c r="N47" s="534">
        <v>0</v>
      </c>
      <c r="O47" s="508"/>
      <c r="P47" s="492"/>
      <c r="Q47" s="511">
        <v>0</v>
      </c>
      <c r="R47" s="508"/>
      <c r="S47" s="534">
        <v>0</v>
      </c>
      <c r="T47" s="492"/>
      <c r="U47" s="492"/>
      <c r="V47" s="492"/>
      <c r="W47" s="492"/>
      <c r="X47" s="492"/>
      <c r="Y47" s="492"/>
      <c r="Z47" s="492"/>
      <c r="AA47" s="492"/>
      <c r="AB47" s="492"/>
      <c r="AC47" s="492"/>
      <c r="AD47" s="492"/>
      <c r="AE47" s="492"/>
      <c r="AF47" s="492"/>
      <c r="AG47" s="492"/>
      <c r="AH47" s="492"/>
      <c r="AI47" s="492"/>
      <c r="AJ47" s="492"/>
      <c r="AK47" s="492"/>
      <c r="AL47" s="492"/>
      <c r="AM47" s="492"/>
      <c r="AN47" s="492"/>
    </row>
    <row r="48" spans="1:40" ht="15.75" hidden="1" customHeight="1">
      <c r="A48" s="477" t="s">
        <v>233</v>
      </c>
      <c r="B48" s="492" t="s">
        <v>0</v>
      </c>
      <c r="C48" s="576" t="s">
        <v>20</v>
      </c>
      <c r="D48" s="561"/>
      <c r="E48" s="492"/>
      <c r="F48" s="509">
        <v>0</v>
      </c>
      <c r="G48" s="562"/>
      <c r="H48" s="492"/>
      <c r="I48" s="509"/>
      <c r="J48" s="508"/>
      <c r="K48" s="492"/>
      <c r="L48" s="511">
        <v>0</v>
      </c>
      <c r="M48" s="508"/>
      <c r="N48" s="534">
        <v>0</v>
      </c>
      <c r="O48" s="508"/>
      <c r="P48" s="492"/>
      <c r="Q48" s="511">
        <v>0</v>
      </c>
      <c r="R48" s="508"/>
      <c r="S48" s="534">
        <v>0</v>
      </c>
      <c r="T48" s="492"/>
      <c r="U48" s="492"/>
      <c r="V48" s="492"/>
      <c r="W48" s="492"/>
      <c r="X48" s="492"/>
      <c r="Y48" s="492"/>
      <c r="Z48" s="492"/>
      <c r="AA48" s="492"/>
      <c r="AB48" s="492"/>
      <c r="AC48" s="492"/>
      <c r="AD48" s="492"/>
      <c r="AE48" s="492"/>
      <c r="AF48" s="492"/>
      <c r="AG48" s="492"/>
      <c r="AH48" s="492"/>
      <c r="AI48" s="492"/>
      <c r="AJ48" s="492"/>
      <c r="AK48" s="492"/>
      <c r="AL48" s="492"/>
      <c r="AM48" s="492"/>
      <c r="AN48" s="492"/>
    </row>
    <row r="49" spans="1:40" ht="15.75" customHeight="1">
      <c r="A49" s="477" t="s">
        <v>256</v>
      </c>
      <c r="B49" s="492" t="s">
        <v>0</v>
      </c>
      <c r="C49" s="578" t="s">
        <v>45</v>
      </c>
      <c r="D49" s="561"/>
      <c r="E49" s="492"/>
      <c r="F49" s="503">
        <v>13032.075111588296</v>
      </c>
      <c r="G49" s="562"/>
      <c r="H49" s="492"/>
      <c r="I49" s="503"/>
      <c r="J49" s="508"/>
      <c r="K49" s="492"/>
      <c r="L49" s="503">
        <v>10162.42</v>
      </c>
      <c r="M49" s="508"/>
      <c r="N49" s="534">
        <v>-2869.6551115882958</v>
      </c>
      <c r="O49" s="508"/>
      <c r="P49" s="492"/>
      <c r="Q49" s="503">
        <v>11439.02</v>
      </c>
      <c r="R49" s="508"/>
      <c r="S49" s="534">
        <v>-1276.6000000000004</v>
      </c>
      <c r="T49" s="492"/>
      <c r="U49" s="492"/>
      <c r="V49" s="492"/>
      <c r="W49" s="492"/>
      <c r="X49" s="489"/>
      <c r="Y49" s="492"/>
      <c r="Z49" s="492"/>
      <c r="AA49" s="492"/>
      <c r="AB49" s="492"/>
      <c r="AC49" s="492"/>
      <c r="AD49" s="492"/>
      <c r="AE49" s="492"/>
      <c r="AF49" s="492"/>
      <c r="AG49" s="492"/>
      <c r="AH49" s="492"/>
      <c r="AI49" s="492"/>
      <c r="AJ49" s="492"/>
      <c r="AK49" s="492"/>
      <c r="AL49" s="492"/>
      <c r="AM49" s="492"/>
      <c r="AN49" s="492"/>
    </row>
    <row r="50" spans="1:40" ht="15.75" customHeight="1">
      <c r="A50" s="477" t="s">
        <v>257</v>
      </c>
      <c r="B50" s="492" t="s">
        <v>0</v>
      </c>
      <c r="C50" s="576" t="s">
        <v>46</v>
      </c>
      <c r="D50" s="579"/>
      <c r="E50" s="580"/>
      <c r="F50" s="509">
        <v>15845.166214970792</v>
      </c>
      <c r="G50" s="581"/>
      <c r="H50" s="580"/>
      <c r="I50" s="509"/>
      <c r="J50" s="496"/>
      <c r="K50" s="580"/>
      <c r="L50" s="511">
        <v>16339.01</v>
      </c>
      <c r="M50" s="496"/>
      <c r="N50" s="582">
        <v>493.84378502920845</v>
      </c>
      <c r="O50" s="496"/>
      <c r="P50" s="580"/>
      <c r="Q50" s="511">
        <v>14840.25</v>
      </c>
      <c r="R50" s="496"/>
      <c r="S50" s="582">
        <v>1498.7600000000002</v>
      </c>
      <c r="T50" s="492"/>
      <c r="U50" s="492"/>
      <c r="V50" s="492"/>
      <c r="W50" s="492"/>
      <c r="X50" s="489"/>
      <c r="Y50" s="492"/>
      <c r="Z50" s="492"/>
      <c r="AA50" s="492"/>
      <c r="AB50" s="492"/>
      <c r="AC50" s="492"/>
      <c r="AD50" s="492"/>
      <c r="AE50" s="492"/>
      <c r="AF50" s="492"/>
      <c r="AG50" s="492"/>
      <c r="AH50" s="492"/>
      <c r="AI50" s="492"/>
      <c r="AJ50" s="492"/>
      <c r="AK50" s="492"/>
      <c r="AL50" s="492"/>
      <c r="AM50" s="492"/>
      <c r="AN50" s="492"/>
    </row>
    <row r="51" spans="1:40" ht="15.75" customHeight="1">
      <c r="A51" s="477" t="s">
        <v>258</v>
      </c>
      <c r="B51" s="492" t="s">
        <v>0</v>
      </c>
      <c r="C51" s="576" t="s">
        <v>47</v>
      </c>
      <c r="D51" s="561"/>
      <c r="E51" s="492"/>
      <c r="F51" s="509">
        <v>8163.7052020610372</v>
      </c>
      <c r="G51" s="562"/>
      <c r="H51" s="492"/>
      <c r="I51" s="509"/>
      <c r="J51" s="508"/>
      <c r="K51" s="492"/>
      <c r="L51" s="511">
        <v>5769.3799999999992</v>
      </c>
      <c r="M51" s="508"/>
      <c r="N51" s="534">
        <v>-2394.325202061038</v>
      </c>
      <c r="O51" s="508"/>
      <c r="P51" s="492"/>
      <c r="Q51" s="511">
        <v>7953.48</v>
      </c>
      <c r="R51" s="508"/>
      <c r="S51" s="534">
        <v>-2184.1000000000004</v>
      </c>
      <c r="T51" s="492"/>
      <c r="U51" s="492"/>
      <c r="V51" s="492"/>
      <c r="W51" s="492"/>
      <c r="X51" s="489"/>
      <c r="Y51" s="492"/>
      <c r="Z51" s="492"/>
      <c r="AA51" s="492"/>
      <c r="AB51" s="492"/>
      <c r="AC51" s="492"/>
      <c r="AD51" s="492"/>
      <c r="AE51" s="492"/>
      <c r="AF51" s="492"/>
      <c r="AG51" s="492"/>
      <c r="AH51" s="492"/>
      <c r="AI51" s="492"/>
      <c r="AJ51" s="492"/>
      <c r="AK51" s="492"/>
      <c r="AL51" s="492"/>
      <c r="AM51" s="492"/>
      <c r="AN51" s="492"/>
    </row>
    <row r="52" spans="1:40" ht="15.75" customHeight="1">
      <c r="A52" s="477" t="s">
        <v>259</v>
      </c>
      <c r="B52" s="492" t="s">
        <v>0</v>
      </c>
      <c r="C52" s="576" t="s">
        <v>48</v>
      </c>
      <c r="D52" s="561"/>
      <c r="E52" s="492"/>
      <c r="F52" s="509">
        <v>3559.421396116627</v>
      </c>
      <c r="G52" s="562"/>
      <c r="H52" s="492"/>
      <c r="I52" s="509"/>
      <c r="J52" s="508"/>
      <c r="K52" s="492"/>
      <c r="L52" s="511">
        <v>2753.54</v>
      </c>
      <c r="M52" s="508"/>
      <c r="N52" s="534">
        <v>-805.881396116627</v>
      </c>
      <c r="O52" s="508"/>
      <c r="P52" s="492"/>
      <c r="Q52" s="511">
        <v>3473.47</v>
      </c>
      <c r="R52" s="508"/>
      <c r="S52" s="534">
        <v>-719.92999999999984</v>
      </c>
      <c r="T52" s="492"/>
      <c r="U52" s="492"/>
      <c r="V52" s="492"/>
      <c r="W52" s="492"/>
      <c r="X52" s="489"/>
      <c r="Y52" s="492"/>
      <c r="Z52" s="492"/>
      <c r="AA52" s="492"/>
      <c r="AB52" s="492"/>
      <c r="AC52" s="492"/>
      <c r="AD52" s="492"/>
      <c r="AE52" s="492"/>
      <c r="AF52" s="492"/>
      <c r="AG52" s="492"/>
      <c r="AH52" s="492"/>
      <c r="AI52" s="492"/>
      <c r="AJ52" s="492"/>
      <c r="AK52" s="492"/>
      <c r="AL52" s="492"/>
      <c r="AM52" s="492"/>
      <c r="AN52" s="492"/>
    </row>
    <row r="53" spans="1:40" ht="15.75" hidden="1" customHeight="1">
      <c r="A53" s="477" t="s">
        <v>233</v>
      </c>
      <c r="B53" s="492" t="s">
        <v>0</v>
      </c>
      <c r="C53" s="508" t="s">
        <v>20</v>
      </c>
      <c r="D53" s="563" t="e">
        <v>#N/A</v>
      </c>
      <c r="E53" s="583"/>
      <c r="F53" s="509">
        <v>0</v>
      </c>
      <c r="G53" s="564"/>
      <c r="H53" s="583"/>
      <c r="I53" s="509"/>
      <c r="J53" s="501"/>
      <c r="K53" s="583"/>
      <c r="L53" s="511">
        <v>0</v>
      </c>
      <c r="M53" s="501"/>
      <c r="N53" s="559">
        <v>0</v>
      </c>
      <c r="O53" s="501"/>
      <c r="P53" s="583"/>
      <c r="Q53" s="511">
        <v>0</v>
      </c>
      <c r="R53" s="501"/>
      <c r="S53" s="559">
        <v>0</v>
      </c>
      <c r="T53" s="492"/>
      <c r="U53" s="492"/>
      <c r="V53" s="492"/>
      <c r="W53" s="492"/>
      <c r="X53" s="489"/>
      <c r="Y53" s="492"/>
      <c r="Z53" s="492"/>
      <c r="AA53" s="492"/>
      <c r="AB53" s="492"/>
      <c r="AC53" s="492"/>
      <c r="AD53" s="492"/>
      <c r="AE53" s="492"/>
      <c r="AF53" s="492"/>
      <c r="AG53" s="492"/>
      <c r="AH53" s="492"/>
      <c r="AI53" s="492"/>
      <c r="AJ53" s="492"/>
      <c r="AK53" s="492"/>
      <c r="AL53" s="492"/>
      <c r="AM53" s="492"/>
      <c r="AN53" s="492"/>
    </row>
    <row r="54" spans="1:40" ht="15.75" customHeight="1">
      <c r="A54" s="477" t="s">
        <v>260</v>
      </c>
      <c r="B54" s="492" t="s">
        <v>0</v>
      </c>
      <c r="C54" s="568" t="s">
        <v>49</v>
      </c>
      <c r="D54" s="569" t="s">
        <v>39</v>
      </c>
      <c r="E54" s="570">
        <v>0.28688842933632519</v>
      </c>
      <c r="F54" s="571">
        <v>86583.16580935214</v>
      </c>
      <c r="G54" s="572"/>
      <c r="H54" s="570"/>
      <c r="I54" s="571"/>
      <c r="J54" s="572" t="s">
        <v>39</v>
      </c>
      <c r="K54" s="570">
        <v>0.32365370497880031</v>
      </c>
      <c r="L54" s="571">
        <v>63085.36</v>
      </c>
      <c r="M54" s="575"/>
      <c r="N54" s="571">
        <v>-23497.805809352143</v>
      </c>
      <c r="O54" s="572" t="s">
        <v>39</v>
      </c>
      <c r="P54" s="570">
        <v>0.26177590913059079</v>
      </c>
      <c r="Q54" s="571">
        <v>69298.959999999992</v>
      </c>
      <c r="R54" s="575"/>
      <c r="S54" s="571">
        <v>-6213.6</v>
      </c>
      <c r="T54" s="550"/>
      <c r="U54" s="492"/>
      <c r="V54" s="492"/>
      <c r="W54" s="492"/>
      <c r="X54" s="489"/>
      <c r="Y54" s="492"/>
      <c r="Z54" s="492"/>
      <c r="AA54" s="492"/>
      <c r="AB54" s="492"/>
      <c r="AC54" s="492"/>
      <c r="AD54" s="492"/>
      <c r="AE54" s="492"/>
      <c r="AF54" s="492"/>
      <c r="AG54" s="492"/>
      <c r="AH54" s="492"/>
      <c r="AI54" s="492"/>
      <c r="AJ54" s="492"/>
      <c r="AK54" s="492"/>
      <c r="AL54" s="492"/>
      <c r="AM54" s="492"/>
      <c r="AN54" s="492"/>
    </row>
    <row r="55" spans="1:40" ht="15.75" hidden="1" customHeight="1">
      <c r="A55" s="477" t="s">
        <v>261</v>
      </c>
      <c r="B55" s="492" t="s">
        <v>0</v>
      </c>
      <c r="C55" s="508" t="s">
        <v>50</v>
      </c>
      <c r="D55" s="561"/>
      <c r="E55" s="492"/>
      <c r="F55" s="509">
        <v>0</v>
      </c>
      <c r="G55" s="562"/>
      <c r="H55" s="492"/>
      <c r="I55" s="509"/>
      <c r="J55" s="508"/>
      <c r="K55" s="492"/>
      <c r="L55" s="511">
        <v>0</v>
      </c>
      <c r="M55" s="508"/>
      <c r="N55" s="534">
        <v>0</v>
      </c>
      <c r="O55" s="508"/>
      <c r="P55" s="492"/>
      <c r="Q55" s="511">
        <v>0</v>
      </c>
      <c r="R55" s="508"/>
      <c r="S55" s="534">
        <v>0</v>
      </c>
      <c r="T55" s="550"/>
      <c r="U55" s="492"/>
      <c r="V55" s="492"/>
      <c r="W55" s="492"/>
      <c r="X55" s="489"/>
      <c r="Y55" s="492"/>
      <c r="Z55" s="492"/>
      <c r="AA55" s="492"/>
      <c r="AB55" s="492"/>
      <c r="AC55" s="492"/>
      <c r="AD55" s="492"/>
      <c r="AE55" s="492"/>
      <c r="AF55" s="492"/>
      <c r="AG55" s="492"/>
      <c r="AH55" s="492"/>
      <c r="AI55" s="492"/>
      <c r="AJ55" s="492"/>
      <c r="AK55" s="492"/>
      <c r="AL55" s="492"/>
      <c r="AM55" s="492"/>
      <c r="AN55" s="492"/>
    </row>
    <row r="56" spans="1:40" ht="15.75" hidden="1" customHeight="1">
      <c r="A56" s="477" t="s">
        <v>262</v>
      </c>
      <c r="B56" s="492" t="s">
        <v>0</v>
      </c>
      <c r="C56" s="508" t="s">
        <v>51</v>
      </c>
      <c r="D56" s="561"/>
      <c r="E56" s="492"/>
      <c r="F56" s="509">
        <v>0</v>
      </c>
      <c r="G56" s="562"/>
      <c r="H56" s="492"/>
      <c r="I56" s="509"/>
      <c r="J56" s="508"/>
      <c r="K56" s="492"/>
      <c r="L56" s="511">
        <v>0</v>
      </c>
      <c r="M56" s="508"/>
      <c r="N56" s="534">
        <v>0</v>
      </c>
      <c r="O56" s="508"/>
      <c r="P56" s="492"/>
      <c r="Q56" s="511">
        <v>0</v>
      </c>
      <c r="R56" s="508"/>
      <c r="S56" s="534">
        <v>0</v>
      </c>
      <c r="T56" s="550"/>
      <c r="U56" s="492"/>
      <c r="V56" s="492"/>
      <c r="W56" s="492"/>
      <c r="X56" s="489"/>
      <c r="Y56" s="492"/>
      <c r="Z56" s="492"/>
      <c r="AA56" s="492"/>
      <c r="AB56" s="492"/>
      <c r="AC56" s="492"/>
      <c r="AD56" s="492"/>
      <c r="AE56" s="492"/>
      <c r="AF56" s="492"/>
      <c r="AG56" s="492"/>
      <c r="AH56" s="492"/>
      <c r="AI56" s="492"/>
      <c r="AJ56" s="492"/>
      <c r="AK56" s="492"/>
      <c r="AL56" s="492"/>
      <c r="AM56" s="492"/>
      <c r="AN56" s="492"/>
    </row>
    <row r="57" spans="1:40" ht="15.75" customHeight="1">
      <c r="A57" s="477" t="s">
        <v>263</v>
      </c>
      <c r="B57" s="492" t="s">
        <v>0</v>
      </c>
      <c r="C57" s="501" t="s">
        <v>52</v>
      </c>
      <c r="D57" s="563"/>
      <c r="E57" s="583"/>
      <c r="F57" s="503">
        <v>8952.5479333333333</v>
      </c>
      <c r="G57" s="564"/>
      <c r="H57" s="583"/>
      <c r="I57" s="503"/>
      <c r="J57" s="501"/>
      <c r="K57" s="583"/>
      <c r="L57" s="503">
        <v>3047.1</v>
      </c>
      <c r="M57" s="501"/>
      <c r="N57" s="559">
        <v>-5905.4479333333329</v>
      </c>
      <c r="O57" s="501"/>
      <c r="P57" s="583"/>
      <c r="Q57" s="503">
        <v>9189.64</v>
      </c>
      <c r="R57" s="501"/>
      <c r="S57" s="559">
        <v>-6142.5399999999991</v>
      </c>
      <c r="T57" s="584"/>
      <c r="U57" s="492"/>
      <c r="V57" s="492"/>
      <c r="W57" s="492"/>
      <c r="X57" s="489"/>
      <c r="Y57" s="492"/>
      <c r="Z57" s="492"/>
      <c r="AA57" s="492"/>
      <c r="AB57" s="492"/>
      <c r="AC57" s="492"/>
      <c r="AD57" s="492"/>
      <c r="AE57" s="492"/>
      <c r="AF57" s="492"/>
      <c r="AG57" s="492"/>
      <c r="AH57" s="492"/>
      <c r="AI57" s="492"/>
      <c r="AJ57" s="492"/>
      <c r="AK57" s="492"/>
      <c r="AL57" s="492"/>
      <c r="AM57" s="492"/>
      <c r="AN57" s="492"/>
    </row>
    <row r="58" spans="1:40" ht="15.75" customHeight="1">
      <c r="A58" s="477" t="s">
        <v>264</v>
      </c>
      <c r="B58" s="492" t="s">
        <v>0</v>
      </c>
      <c r="C58" s="508" t="s">
        <v>53</v>
      </c>
      <c r="D58" s="561"/>
      <c r="E58" s="492"/>
      <c r="F58" s="509">
        <v>7960.9947585155569</v>
      </c>
      <c r="G58" s="562"/>
      <c r="H58" s="492"/>
      <c r="I58" s="509"/>
      <c r="J58" s="508"/>
      <c r="K58" s="492"/>
      <c r="L58" s="511">
        <v>6359.43</v>
      </c>
      <c r="M58" s="508"/>
      <c r="N58" s="534">
        <v>-1601.5647585155566</v>
      </c>
      <c r="O58" s="508"/>
      <c r="P58" s="492"/>
      <c r="Q58" s="511">
        <v>8684.4500000000007</v>
      </c>
      <c r="R58" s="508"/>
      <c r="S58" s="534">
        <v>-2325.0200000000004</v>
      </c>
      <c r="T58" s="550"/>
      <c r="U58" s="492"/>
      <c r="V58" s="492"/>
      <c r="W58" s="492"/>
      <c r="X58" s="492"/>
      <c r="Y58" s="492"/>
      <c r="Z58" s="492"/>
      <c r="AA58" s="492"/>
      <c r="AB58" s="492"/>
      <c r="AC58" s="492"/>
      <c r="AD58" s="492"/>
      <c r="AE58" s="492"/>
      <c r="AF58" s="492"/>
      <c r="AG58" s="492"/>
      <c r="AH58" s="492"/>
      <c r="AI58" s="492"/>
      <c r="AJ58" s="492"/>
      <c r="AK58" s="492"/>
      <c r="AL58" s="492"/>
      <c r="AM58" s="492"/>
      <c r="AN58" s="492"/>
    </row>
    <row r="59" spans="1:40" ht="15.75" customHeight="1">
      <c r="A59" s="477" t="s">
        <v>265</v>
      </c>
      <c r="B59" s="492" t="s">
        <v>0</v>
      </c>
      <c r="C59" s="508" t="s">
        <v>54</v>
      </c>
      <c r="D59" s="561"/>
      <c r="E59" s="492"/>
      <c r="F59" s="509">
        <v>1266.6975008629806</v>
      </c>
      <c r="G59" s="562"/>
      <c r="H59" s="492"/>
      <c r="I59" s="509"/>
      <c r="J59" s="508"/>
      <c r="K59" s="492"/>
      <c r="L59" s="511">
        <v>918.2</v>
      </c>
      <c r="M59" s="508"/>
      <c r="N59" s="534">
        <v>-348.49750086298059</v>
      </c>
      <c r="O59" s="508"/>
      <c r="P59" s="492"/>
      <c r="Q59" s="511">
        <v>1158.94</v>
      </c>
      <c r="R59" s="508"/>
      <c r="S59" s="534">
        <v>-240.74</v>
      </c>
      <c r="T59" s="492"/>
      <c r="U59" s="492"/>
      <c r="V59" s="492"/>
      <c r="W59" s="492"/>
      <c r="X59" s="492"/>
      <c r="Y59" s="492"/>
      <c r="Z59" s="492"/>
      <c r="AA59" s="492"/>
      <c r="AB59" s="492"/>
      <c r="AC59" s="492"/>
      <c r="AD59" s="492"/>
      <c r="AE59" s="492"/>
      <c r="AF59" s="492"/>
      <c r="AG59" s="492"/>
      <c r="AH59" s="492"/>
      <c r="AI59" s="492"/>
      <c r="AJ59" s="492"/>
      <c r="AK59" s="492"/>
      <c r="AL59" s="492"/>
      <c r="AM59" s="492"/>
      <c r="AN59" s="492"/>
    </row>
    <row r="60" spans="1:40" ht="15.75" customHeight="1">
      <c r="A60" s="477" t="s">
        <v>266</v>
      </c>
      <c r="B60" s="492" t="s">
        <v>0</v>
      </c>
      <c r="C60" s="501" t="s">
        <v>55</v>
      </c>
      <c r="D60" s="563"/>
      <c r="E60" s="583"/>
      <c r="F60" s="503">
        <v>7215.7407235875298</v>
      </c>
      <c r="G60" s="564"/>
      <c r="H60" s="583"/>
      <c r="I60" s="503"/>
      <c r="J60" s="501"/>
      <c r="K60" s="583"/>
      <c r="L60" s="503">
        <v>8335.1200000000008</v>
      </c>
      <c r="M60" s="501"/>
      <c r="N60" s="559">
        <v>1119.379276412471</v>
      </c>
      <c r="O60" s="501"/>
      <c r="P60" s="583"/>
      <c r="Q60" s="503">
        <v>7667.77</v>
      </c>
      <c r="R60" s="501"/>
      <c r="S60" s="559">
        <v>667.35000000000036</v>
      </c>
      <c r="T60" s="492"/>
      <c r="U60" s="489"/>
      <c r="V60" s="492"/>
      <c r="W60" s="492"/>
      <c r="X60" s="492"/>
      <c r="Y60" s="492"/>
      <c r="Z60" s="492"/>
      <c r="AA60" s="492"/>
      <c r="AB60" s="492"/>
      <c r="AC60" s="492"/>
      <c r="AD60" s="492"/>
      <c r="AE60" s="492"/>
      <c r="AF60" s="492"/>
      <c r="AG60" s="492"/>
      <c r="AH60" s="492"/>
      <c r="AI60" s="492"/>
      <c r="AJ60" s="492"/>
      <c r="AK60" s="492"/>
      <c r="AL60" s="492"/>
      <c r="AM60" s="492"/>
      <c r="AN60" s="492"/>
    </row>
    <row r="61" spans="1:40" ht="15.75" customHeight="1">
      <c r="A61" s="477" t="s">
        <v>267</v>
      </c>
      <c r="B61" s="492" t="s">
        <v>0</v>
      </c>
      <c r="C61" s="508" t="s">
        <v>56</v>
      </c>
      <c r="D61" s="561"/>
      <c r="E61" s="492"/>
      <c r="F61" s="509">
        <v>97.257333333333349</v>
      </c>
      <c r="G61" s="562"/>
      <c r="H61" s="492"/>
      <c r="I61" s="509"/>
      <c r="J61" s="508"/>
      <c r="K61" s="492"/>
      <c r="L61" s="511">
        <v>25.65</v>
      </c>
      <c r="M61" s="508"/>
      <c r="N61" s="534">
        <v>-71.607333333333344</v>
      </c>
      <c r="O61" s="508"/>
      <c r="P61" s="492"/>
      <c r="Q61" s="511">
        <v>141.9</v>
      </c>
      <c r="R61" s="508"/>
      <c r="S61" s="534">
        <v>-116.25</v>
      </c>
      <c r="T61" s="492"/>
      <c r="U61" s="492"/>
      <c r="V61" s="492"/>
      <c r="W61" s="492"/>
      <c r="X61" s="492"/>
      <c r="Y61" s="492"/>
      <c r="Z61" s="492"/>
      <c r="AA61" s="492"/>
      <c r="AB61" s="492"/>
      <c r="AC61" s="492"/>
      <c r="AD61" s="492"/>
      <c r="AE61" s="492"/>
      <c r="AF61" s="492"/>
      <c r="AG61" s="492"/>
      <c r="AH61" s="492"/>
      <c r="AI61" s="492"/>
      <c r="AJ61" s="492"/>
      <c r="AK61" s="492"/>
      <c r="AL61" s="492"/>
      <c r="AM61" s="492"/>
      <c r="AN61" s="492"/>
    </row>
    <row r="62" spans="1:40" ht="15.75" customHeight="1">
      <c r="A62" s="477" t="s">
        <v>268</v>
      </c>
      <c r="B62" s="492" t="s">
        <v>0</v>
      </c>
      <c r="C62" s="508" t="s">
        <v>57</v>
      </c>
      <c r="D62" s="561"/>
      <c r="E62" s="492"/>
      <c r="F62" s="509">
        <v>28.333333333333332</v>
      </c>
      <c r="G62" s="562"/>
      <c r="H62" s="492"/>
      <c r="I62" s="509"/>
      <c r="J62" s="508"/>
      <c r="K62" s="492"/>
      <c r="L62" s="511">
        <v>0</v>
      </c>
      <c r="M62" s="508"/>
      <c r="N62" s="534">
        <v>-28.333333333333332</v>
      </c>
      <c r="O62" s="508"/>
      <c r="P62" s="492"/>
      <c r="Q62" s="511">
        <v>0</v>
      </c>
      <c r="R62" s="508"/>
      <c r="S62" s="534">
        <v>0</v>
      </c>
      <c r="T62" s="492"/>
      <c r="U62" s="492"/>
      <c r="V62" s="492"/>
      <c r="W62" s="492"/>
      <c r="X62" s="492"/>
      <c r="Y62" s="492"/>
      <c r="Z62" s="492"/>
      <c r="AA62" s="492"/>
      <c r="AB62" s="492"/>
      <c r="AC62" s="492"/>
      <c r="AD62" s="492"/>
      <c r="AE62" s="492"/>
      <c r="AF62" s="492"/>
      <c r="AG62" s="492"/>
      <c r="AH62" s="492"/>
      <c r="AI62" s="492"/>
      <c r="AJ62" s="492"/>
      <c r="AK62" s="492"/>
      <c r="AL62" s="492"/>
      <c r="AM62" s="492"/>
      <c r="AN62" s="492"/>
    </row>
    <row r="63" spans="1:40" ht="15.75" customHeight="1">
      <c r="A63" s="477" t="s">
        <v>269</v>
      </c>
      <c r="B63" s="492" t="s">
        <v>0</v>
      </c>
      <c r="C63" s="508" t="s">
        <v>58</v>
      </c>
      <c r="D63" s="561"/>
      <c r="E63" s="492"/>
      <c r="F63" s="509">
        <v>741.43089466911999</v>
      </c>
      <c r="G63" s="562"/>
      <c r="H63" s="492"/>
      <c r="I63" s="509"/>
      <c r="J63" s="508"/>
      <c r="K63" s="492"/>
      <c r="L63" s="511">
        <v>299.54000000000002</v>
      </c>
      <c r="M63" s="508"/>
      <c r="N63" s="534">
        <v>-441.89089466911997</v>
      </c>
      <c r="O63" s="508"/>
      <c r="P63" s="492"/>
      <c r="Q63" s="511">
        <v>1375.08</v>
      </c>
      <c r="R63" s="508"/>
      <c r="S63" s="534">
        <v>-1075.54</v>
      </c>
      <c r="T63" s="492"/>
      <c r="U63" s="492"/>
      <c r="V63" s="492"/>
      <c r="W63" s="492"/>
      <c r="X63" s="492"/>
      <c r="Y63" s="492"/>
      <c r="Z63" s="492"/>
      <c r="AA63" s="492"/>
      <c r="AB63" s="492"/>
      <c r="AC63" s="492"/>
      <c r="AD63" s="492"/>
      <c r="AE63" s="492"/>
      <c r="AF63" s="492"/>
      <c r="AG63" s="492"/>
      <c r="AH63" s="492"/>
      <c r="AI63" s="492"/>
      <c r="AJ63" s="492"/>
      <c r="AK63" s="492"/>
      <c r="AL63" s="492"/>
      <c r="AM63" s="492"/>
      <c r="AN63" s="492"/>
    </row>
    <row r="64" spans="1:40" ht="15.75" customHeight="1">
      <c r="A64" s="477" t="s">
        <v>270</v>
      </c>
      <c r="B64" s="492" t="s">
        <v>0</v>
      </c>
      <c r="C64" s="508" t="s">
        <v>59</v>
      </c>
      <c r="D64" s="561"/>
      <c r="E64" s="492"/>
      <c r="F64" s="509">
        <v>344.80198491798222</v>
      </c>
      <c r="G64" s="562"/>
      <c r="H64" s="492"/>
      <c r="I64" s="509"/>
      <c r="J64" s="508"/>
      <c r="K64" s="492"/>
      <c r="L64" s="511">
        <v>368.32</v>
      </c>
      <c r="M64" s="508"/>
      <c r="N64" s="534">
        <v>23.518015082017769</v>
      </c>
      <c r="O64" s="508"/>
      <c r="P64" s="492"/>
      <c r="Q64" s="511">
        <v>440.89</v>
      </c>
      <c r="R64" s="508"/>
      <c r="S64" s="534">
        <v>-72.569999999999993</v>
      </c>
      <c r="T64" s="492"/>
      <c r="U64" s="492"/>
      <c r="V64" s="492"/>
      <c r="W64" s="492"/>
      <c r="X64" s="492"/>
      <c r="Y64" s="492"/>
      <c r="Z64" s="492"/>
      <c r="AA64" s="492"/>
      <c r="AB64" s="492"/>
      <c r="AC64" s="492"/>
      <c r="AD64" s="492"/>
      <c r="AE64" s="492"/>
      <c r="AF64" s="492"/>
      <c r="AG64" s="492"/>
      <c r="AH64" s="492"/>
      <c r="AI64" s="492"/>
      <c r="AJ64" s="492"/>
      <c r="AK64" s="492"/>
      <c r="AL64" s="492"/>
      <c r="AM64" s="492"/>
      <c r="AN64" s="492"/>
    </row>
    <row r="65" spans="1:40" ht="15.75" customHeight="1">
      <c r="A65" s="477" t="s">
        <v>271</v>
      </c>
      <c r="B65" s="492" t="s">
        <v>0</v>
      </c>
      <c r="C65" s="508" t="s">
        <v>60</v>
      </c>
      <c r="D65" s="561"/>
      <c r="E65" s="492"/>
      <c r="F65" s="509">
        <v>102.82239536841776</v>
      </c>
      <c r="G65" s="562"/>
      <c r="H65" s="492"/>
      <c r="I65" s="509"/>
      <c r="J65" s="508"/>
      <c r="K65" s="492"/>
      <c r="L65" s="511">
        <v>78.17</v>
      </c>
      <c r="M65" s="508"/>
      <c r="N65" s="534">
        <v>-24.652395368417757</v>
      </c>
      <c r="O65" s="508"/>
      <c r="P65" s="492"/>
      <c r="Q65" s="511">
        <v>10.56</v>
      </c>
      <c r="R65" s="508"/>
      <c r="S65" s="534">
        <v>67.61</v>
      </c>
      <c r="T65" s="492"/>
      <c r="U65" s="492"/>
      <c r="V65" s="492"/>
      <c r="W65" s="492"/>
      <c r="X65" s="492"/>
      <c r="Y65" s="492"/>
      <c r="Z65" s="492"/>
      <c r="AA65" s="492"/>
      <c r="AB65" s="492"/>
      <c r="AC65" s="492"/>
      <c r="AD65" s="492"/>
      <c r="AE65" s="492"/>
      <c r="AF65" s="492"/>
      <c r="AG65" s="492"/>
      <c r="AH65" s="492"/>
      <c r="AI65" s="492"/>
      <c r="AJ65" s="492"/>
      <c r="AK65" s="492"/>
      <c r="AL65" s="492"/>
      <c r="AM65" s="492"/>
      <c r="AN65" s="492"/>
    </row>
    <row r="66" spans="1:40" ht="15.75" customHeight="1">
      <c r="A66" s="477" t="s">
        <v>272</v>
      </c>
      <c r="B66" s="492" t="s">
        <v>0</v>
      </c>
      <c r="C66" s="508" t="s">
        <v>61</v>
      </c>
      <c r="D66" s="561"/>
      <c r="E66" s="492"/>
      <c r="F66" s="509">
        <v>201.17038516793778</v>
      </c>
      <c r="G66" s="562"/>
      <c r="H66" s="492"/>
      <c r="I66" s="509"/>
      <c r="J66" s="508"/>
      <c r="K66" s="492"/>
      <c r="L66" s="511">
        <v>62.72</v>
      </c>
      <c r="M66" s="508"/>
      <c r="N66" s="534">
        <v>-138.45038516793778</v>
      </c>
      <c r="O66" s="508"/>
      <c r="P66" s="492"/>
      <c r="Q66" s="511">
        <v>52.48</v>
      </c>
      <c r="R66" s="508"/>
      <c r="S66" s="534">
        <v>10.240000000000002</v>
      </c>
      <c r="T66" s="492"/>
      <c r="U66" s="492"/>
      <c r="V66" s="492"/>
      <c r="W66" s="492"/>
      <c r="X66" s="492"/>
      <c r="Y66" s="492"/>
      <c r="Z66" s="492"/>
      <c r="AA66" s="492"/>
      <c r="AB66" s="492"/>
      <c r="AC66" s="492"/>
      <c r="AD66" s="492"/>
      <c r="AE66" s="492"/>
      <c r="AF66" s="492"/>
      <c r="AG66" s="492"/>
      <c r="AH66" s="492"/>
      <c r="AI66" s="492"/>
      <c r="AJ66" s="492"/>
      <c r="AK66" s="492"/>
      <c r="AL66" s="492"/>
      <c r="AM66" s="492"/>
      <c r="AN66" s="492"/>
    </row>
    <row r="67" spans="1:40" ht="15.75" customHeight="1">
      <c r="A67" s="477" t="s">
        <v>273</v>
      </c>
      <c r="B67" s="492" t="s">
        <v>0</v>
      </c>
      <c r="C67" s="508" t="s">
        <v>62</v>
      </c>
      <c r="D67" s="561"/>
      <c r="E67" s="492"/>
      <c r="F67" s="509">
        <v>1934.7062499999995</v>
      </c>
      <c r="G67" s="562"/>
      <c r="H67" s="492"/>
      <c r="I67" s="509"/>
      <c r="J67" s="508"/>
      <c r="K67" s="492"/>
      <c r="L67" s="511">
        <v>1414.3</v>
      </c>
      <c r="M67" s="508"/>
      <c r="N67" s="534">
        <v>-520.40624999999955</v>
      </c>
      <c r="O67" s="508"/>
      <c r="P67" s="492"/>
      <c r="Q67" s="511">
        <v>3577.08</v>
      </c>
      <c r="R67" s="508"/>
      <c r="S67" s="534">
        <v>-2162.7799999999997</v>
      </c>
      <c r="T67" s="492"/>
      <c r="X67" s="492"/>
      <c r="Y67" s="492"/>
      <c r="Z67" s="492"/>
      <c r="AA67" s="492"/>
      <c r="AB67" s="492"/>
      <c r="AC67" s="492"/>
      <c r="AD67" s="492"/>
      <c r="AE67" s="492"/>
      <c r="AF67" s="492"/>
      <c r="AG67" s="492"/>
      <c r="AH67" s="492"/>
      <c r="AI67" s="492"/>
      <c r="AJ67" s="492"/>
      <c r="AK67" s="492"/>
      <c r="AL67" s="492"/>
      <c r="AM67" s="492"/>
      <c r="AN67" s="492"/>
    </row>
    <row r="68" spans="1:40" ht="15.75" customHeight="1">
      <c r="A68" s="477" t="s">
        <v>274</v>
      </c>
      <c r="B68" s="492" t="s">
        <v>0</v>
      </c>
      <c r="C68" s="508" t="s">
        <v>63</v>
      </c>
      <c r="D68" s="561"/>
      <c r="E68" s="492"/>
      <c r="F68" s="509">
        <v>3899.9394827825868</v>
      </c>
      <c r="G68" s="562"/>
      <c r="H68" s="492"/>
      <c r="I68" s="509"/>
      <c r="J68" s="508"/>
      <c r="K68" s="492"/>
      <c r="L68" s="511">
        <v>4016.45</v>
      </c>
      <c r="M68" s="508"/>
      <c r="N68" s="534">
        <v>116.51051721741305</v>
      </c>
      <c r="O68" s="508"/>
      <c r="P68" s="492"/>
      <c r="Q68" s="511">
        <v>3576.25</v>
      </c>
      <c r="R68" s="508"/>
      <c r="S68" s="534">
        <v>440.19999999999982</v>
      </c>
      <c r="T68" s="492"/>
      <c r="X68" s="492"/>
      <c r="Y68" s="492"/>
      <c r="Z68" s="492"/>
      <c r="AA68" s="492"/>
      <c r="AB68" s="492"/>
      <c r="AC68" s="492"/>
      <c r="AD68" s="492"/>
      <c r="AE68" s="492"/>
      <c r="AF68" s="492"/>
      <c r="AG68" s="492"/>
      <c r="AH68" s="492"/>
      <c r="AI68" s="492"/>
      <c r="AJ68" s="492"/>
      <c r="AK68" s="492"/>
      <c r="AL68" s="492"/>
      <c r="AM68" s="492"/>
      <c r="AN68" s="492"/>
    </row>
    <row r="69" spans="1:40" ht="15.75" hidden="1" customHeight="1">
      <c r="A69" s="477" t="s">
        <v>233</v>
      </c>
      <c r="B69" s="492" t="s">
        <v>0</v>
      </c>
      <c r="C69" s="508" t="s">
        <v>20</v>
      </c>
      <c r="D69" s="561"/>
      <c r="E69" s="492"/>
      <c r="F69" s="509">
        <v>0</v>
      </c>
      <c r="G69" s="562"/>
      <c r="H69" s="492"/>
      <c r="I69" s="509"/>
      <c r="J69" s="508"/>
      <c r="K69" s="492"/>
      <c r="L69" s="511"/>
      <c r="M69" s="508"/>
      <c r="N69" s="534">
        <v>0</v>
      </c>
      <c r="O69" s="508"/>
      <c r="P69" s="492"/>
      <c r="Q69" s="511">
        <v>0</v>
      </c>
      <c r="R69" s="508"/>
      <c r="S69" s="534">
        <v>0</v>
      </c>
      <c r="T69" s="492"/>
      <c r="X69" s="492"/>
      <c r="Y69" s="492"/>
      <c r="Z69" s="492"/>
      <c r="AA69" s="492"/>
      <c r="AB69" s="492"/>
      <c r="AC69" s="492"/>
      <c r="AD69" s="492"/>
      <c r="AE69" s="492"/>
      <c r="AF69" s="492"/>
      <c r="AG69" s="492"/>
      <c r="AH69" s="492"/>
      <c r="AI69" s="492"/>
      <c r="AJ69" s="492"/>
      <c r="AK69" s="492"/>
      <c r="AL69" s="492"/>
      <c r="AM69" s="492"/>
      <c r="AN69" s="492"/>
    </row>
    <row r="70" spans="1:40" ht="15.75" hidden="1" customHeight="1">
      <c r="A70" s="477" t="s">
        <v>233</v>
      </c>
      <c r="B70" s="492" t="s">
        <v>0</v>
      </c>
      <c r="C70" s="508" t="s">
        <v>20</v>
      </c>
      <c r="D70" s="561"/>
      <c r="E70" s="492"/>
      <c r="F70" s="509">
        <v>0</v>
      </c>
      <c r="G70" s="562"/>
      <c r="H70" s="492"/>
      <c r="I70" s="509"/>
      <c r="J70" s="508"/>
      <c r="K70" s="492"/>
      <c r="L70" s="511">
        <v>0</v>
      </c>
      <c r="M70" s="508"/>
      <c r="N70" s="534">
        <v>0</v>
      </c>
      <c r="O70" s="508"/>
      <c r="P70" s="492"/>
      <c r="Q70" s="511">
        <v>0</v>
      </c>
      <c r="R70" s="508"/>
      <c r="S70" s="534">
        <v>0</v>
      </c>
      <c r="T70" s="492"/>
      <c r="X70" s="492"/>
      <c r="Y70" s="492"/>
      <c r="Z70" s="492"/>
      <c r="AA70" s="492"/>
      <c r="AB70" s="492"/>
      <c r="AC70" s="492"/>
      <c r="AD70" s="492"/>
      <c r="AE70" s="492"/>
      <c r="AF70" s="492"/>
      <c r="AG70" s="492"/>
      <c r="AH70" s="492"/>
      <c r="AI70" s="492"/>
      <c r="AJ70" s="492"/>
      <c r="AK70" s="492"/>
      <c r="AL70" s="492"/>
      <c r="AM70" s="492"/>
      <c r="AN70" s="492"/>
    </row>
    <row r="71" spans="1:40" ht="15.75" hidden="1" customHeight="1">
      <c r="A71" s="477" t="s">
        <v>233</v>
      </c>
      <c r="B71" s="492" t="s">
        <v>0</v>
      </c>
      <c r="C71" s="508" t="s">
        <v>20</v>
      </c>
      <c r="D71" s="561"/>
      <c r="E71" s="492"/>
      <c r="F71" s="509">
        <v>0</v>
      </c>
      <c r="G71" s="562"/>
      <c r="H71" s="492"/>
      <c r="I71" s="509"/>
      <c r="J71" s="508"/>
      <c r="K71" s="492"/>
      <c r="L71" s="511">
        <v>0</v>
      </c>
      <c r="M71" s="508"/>
      <c r="N71" s="534">
        <v>0</v>
      </c>
      <c r="O71" s="508"/>
      <c r="P71" s="492"/>
      <c r="Q71" s="511">
        <v>0</v>
      </c>
      <c r="R71" s="508"/>
      <c r="S71" s="534">
        <v>0</v>
      </c>
      <c r="T71" s="492"/>
      <c r="X71" s="492"/>
      <c r="Y71" s="492"/>
      <c r="Z71" s="492"/>
      <c r="AA71" s="492"/>
      <c r="AB71" s="492"/>
      <c r="AC71" s="492"/>
      <c r="AD71" s="492"/>
      <c r="AE71" s="492"/>
      <c r="AF71" s="492"/>
      <c r="AG71" s="492"/>
      <c r="AH71" s="492"/>
      <c r="AI71" s="492"/>
      <c r="AJ71" s="492"/>
      <c r="AK71" s="492"/>
      <c r="AL71" s="492"/>
      <c r="AM71" s="492"/>
      <c r="AN71" s="492"/>
    </row>
    <row r="72" spans="1:40" ht="15.75" customHeight="1">
      <c r="A72" s="477" t="s">
        <v>275</v>
      </c>
      <c r="B72" s="492" t="s">
        <v>0</v>
      </c>
      <c r="C72" s="568" t="s">
        <v>64</v>
      </c>
      <c r="D72" s="569" t="s">
        <v>39</v>
      </c>
      <c r="E72" s="570">
        <v>0.10850348914690236</v>
      </c>
      <c r="F72" s="571">
        <v>32746.442975872109</v>
      </c>
      <c r="G72" s="572"/>
      <c r="H72" s="570"/>
      <c r="I72" s="571"/>
      <c r="J72" s="572" t="s">
        <v>39</v>
      </c>
      <c r="K72" s="570">
        <v>0.12787544680091545</v>
      </c>
      <c r="L72" s="571">
        <v>24925.000000000004</v>
      </c>
      <c r="M72" s="575"/>
      <c r="N72" s="571">
        <v>-7821.4429758721089</v>
      </c>
      <c r="O72" s="572" t="s">
        <v>39</v>
      </c>
      <c r="P72" s="570">
        <v>0.13551749133170701</v>
      </c>
      <c r="Q72" s="571">
        <v>35875.040000000001</v>
      </c>
      <c r="R72" s="575"/>
      <c r="S72" s="571">
        <v>-10950.039999999997</v>
      </c>
      <c r="T72" s="492"/>
      <c r="X72" s="492"/>
      <c r="Y72" s="492"/>
      <c r="Z72" s="492"/>
      <c r="AA72" s="492"/>
      <c r="AB72" s="492"/>
      <c r="AC72" s="492"/>
      <c r="AD72" s="492"/>
      <c r="AE72" s="492"/>
      <c r="AF72" s="492"/>
      <c r="AG72" s="492"/>
      <c r="AH72" s="492"/>
      <c r="AI72" s="492"/>
      <c r="AJ72" s="492"/>
      <c r="AK72" s="492"/>
      <c r="AL72" s="492"/>
      <c r="AM72" s="492"/>
      <c r="AN72" s="492"/>
    </row>
    <row r="73" spans="1:40" ht="15.75" customHeight="1">
      <c r="A73" s="477" t="s">
        <v>0</v>
      </c>
      <c r="B73" s="492" t="s">
        <v>0</v>
      </c>
      <c r="C73" s="501"/>
      <c r="D73" s="563"/>
      <c r="E73" s="583"/>
      <c r="F73" s="534"/>
      <c r="G73" s="564"/>
      <c r="H73" s="583"/>
      <c r="I73" s="534"/>
      <c r="J73" s="501"/>
      <c r="K73" s="583"/>
      <c r="L73" s="559"/>
      <c r="M73" s="501"/>
      <c r="N73" s="559"/>
      <c r="O73" s="501"/>
      <c r="P73" s="583"/>
      <c r="Q73" s="559"/>
      <c r="R73" s="501"/>
      <c r="S73" s="559"/>
      <c r="T73" s="492"/>
      <c r="U73" s="492"/>
      <c r="V73" s="492"/>
      <c r="W73" s="492"/>
      <c r="X73" s="492"/>
      <c r="Y73" s="492"/>
      <c r="Z73" s="492"/>
      <c r="AA73" s="492"/>
      <c r="AB73" s="492"/>
      <c r="AC73" s="492"/>
      <c r="AD73" s="492"/>
      <c r="AE73" s="492"/>
      <c r="AF73" s="492"/>
      <c r="AG73" s="492"/>
      <c r="AH73" s="492"/>
      <c r="AI73" s="492"/>
      <c r="AJ73" s="492"/>
      <c r="AK73" s="492"/>
      <c r="AL73" s="492"/>
      <c r="AM73" s="492"/>
      <c r="AN73" s="492"/>
    </row>
    <row r="74" spans="1:40" ht="15.75" customHeight="1">
      <c r="A74" s="477" t="s">
        <v>276</v>
      </c>
      <c r="B74" s="492" t="s">
        <v>0</v>
      </c>
      <c r="C74" s="568" t="s">
        <v>65</v>
      </c>
      <c r="D74" s="569" t="s">
        <v>39</v>
      </c>
      <c r="E74" s="570">
        <v>0.89251279665929606</v>
      </c>
      <c r="F74" s="571">
        <v>269361.10194087855</v>
      </c>
      <c r="G74" s="572"/>
      <c r="H74" s="570"/>
      <c r="I74" s="571"/>
      <c r="J74" s="572" t="s">
        <v>39</v>
      </c>
      <c r="K74" s="570">
        <v>1.1058887707811709</v>
      </c>
      <c r="L74" s="571">
        <v>215555.67</v>
      </c>
      <c r="M74" s="575"/>
      <c r="N74" s="585">
        <v>-53805.431940878538</v>
      </c>
      <c r="O74" s="572" t="s">
        <v>39</v>
      </c>
      <c r="P74" s="570">
        <v>0.91929440927793415</v>
      </c>
      <c r="Q74" s="571">
        <v>243361.38</v>
      </c>
      <c r="R74" s="575"/>
      <c r="S74" s="585">
        <v>-27805.709999999992</v>
      </c>
      <c r="T74" s="492"/>
      <c r="U74" s="492"/>
      <c r="V74" s="492"/>
      <c r="W74" s="492"/>
      <c r="X74" s="492"/>
      <c r="Y74" s="492"/>
      <c r="Z74" s="492"/>
      <c r="AA74" s="492"/>
      <c r="AB74" s="492"/>
      <c r="AC74" s="492"/>
      <c r="AD74" s="492"/>
      <c r="AE74" s="492"/>
      <c r="AF74" s="492"/>
      <c r="AG74" s="492"/>
      <c r="AH74" s="492"/>
      <c r="AI74" s="492"/>
      <c r="AJ74" s="492"/>
      <c r="AK74" s="492"/>
      <c r="AL74" s="492"/>
      <c r="AM74" s="492"/>
      <c r="AN74" s="492"/>
    </row>
    <row r="75" spans="1:40" ht="15.75" customHeight="1">
      <c r="A75" s="477" t="s">
        <v>277</v>
      </c>
      <c r="B75" s="492" t="s">
        <v>0</v>
      </c>
      <c r="C75" s="508" t="s">
        <v>197</v>
      </c>
      <c r="D75" s="561"/>
      <c r="E75" s="492"/>
      <c r="F75" s="509">
        <v>0</v>
      </c>
      <c r="G75" s="562"/>
      <c r="H75" s="492"/>
      <c r="I75" s="509"/>
      <c r="J75" s="508"/>
      <c r="K75" s="492"/>
      <c r="L75" s="511">
        <v>0</v>
      </c>
      <c r="M75" s="508"/>
      <c r="N75" s="534">
        <v>0</v>
      </c>
      <c r="O75" s="508"/>
      <c r="P75" s="492"/>
      <c r="Q75" s="511">
        <v>0</v>
      </c>
      <c r="R75" s="508"/>
      <c r="S75" s="534"/>
      <c r="T75" s="492"/>
      <c r="U75" s="492"/>
      <c r="V75" s="492"/>
      <c r="W75" s="492"/>
      <c r="X75" s="492"/>
      <c r="Y75" s="492"/>
      <c r="Z75" s="492"/>
      <c r="AA75" s="492"/>
      <c r="AB75" s="492"/>
      <c r="AC75" s="492"/>
      <c r="AD75" s="492"/>
      <c r="AE75" s="492"/>
      <c r="AF75" s="492"/>
      <c r="AG75" s="492"/>
      <c r="AH75" s="492"/>
      <c r="AI75" s="492"/>
      <c r="AJ75" s="492"/>
      <c r="AK75" s="492"/>
      <c r="AL75" s="492"/>
      <c r="AM75" s="492"/>
      <c r="AN75" s="492"/>
    </row>
    <row r="76" spans="1:40" ht="15.75" customHeight="1">
      <c r="A76" s="477" t="s">
        <v>278</v>
      </c>
      <c r="B76" s="492" t="s">
        <v>0</v>
      </c>
      <c r="C76" s="508" t="s">
        <v>194</v>
      </c>
      <c r="D76" s="561"/>
      <c r="E76" s="492"/>
      <c r="F76" s="509">
        <v>0</v>
      </c>
      <c r="G76" s="562"/>
      <c r="H76" s="492"/>
      <c r="I76" s="509"/>
      <c r="J76" s="508"/>
      <c r="K76" s="492"/>
      <c r="L76" s="511">
        <v>0</v>
      </c>
      <c r="M76" s="508"/>
      <c r="N76" s="534">
        <v>0</v>
      </c>
      <c r="O76" s="508"/>
      <c r="P76" s="492"/>
      <c r="Q76" s="511">
        <v>0</v>
      </c>
      <c r="R76" s="508"/>
      <c r="S76" s="534">
        <v>0</v>
      </c>
      <c r="T76" s="492"/>
      <c r="U76" s="492"/>
      <c r="V76" s="492"/>
      <c r="W76" s="492"/>
      <c r="X76" s="492"/>
      <c r="Y76" s="492"/>
      <c r="Z76" s="492"/>
      <c r="AA76" s="492"/>
      <c r="AB76" s="492"/>
      <c r="AC76" s="492"/>
      <c r="AD76" s="492"/>
      <c r="AE76" s="492"/>
      <c r="AF76" s="492"/>
      <c r="AG76" s="492"/>
      <c r="AH76" s="492"/>
      <c r="AI76" s="492"/>
      <c r="AJ76" s="492"/>
      <c r="AK76" s="492"/>
      <c r="AL76" s="492"/>
      <c r="AM76" s="492"/>
      <c r="AN76" s="492"/>
    </row>
    <row r="77" spans="1:40" ht="15.75" customHeight="1">
      <c r="A77" s="477" t="s">
        <v>279</v>
      </c>
      <c r="B77" s="492" t="s">
        <v>0</v>
      </c>
      <c r="C77" s="508" t="s">
        <v>68</v>
      </c>
      <c r="D77" s="561"/>
      <c r="E77" s="492"/>
      <c r="F77" s="509">
        <v>0</v>
      </c>
      <c r="G77" s="562"/>
      <c r="H77" s="492"/>
      <c r="I77" s="509"/>
      <c r="J77" s="508"/>
      <c r="K77" s="492"/>
      <c r="L77" s="511">
        <v>0</v>
      </c>
      <c r="M77" s="508"/>
      <c r="N77" s="534">
        <v>0</v>
      </c>
      <c r="O77" s="508"/>
      <c r="P77" s="492"/>
      <c r="Q77" s="511">
        <v>0</v>
      </c>
      <c r="R77" s="508"/>
      <c r="S77" s="534">
        <v>0</v>
      </c>
      <c r="T77" s="492"/>
      <c r="U77" s="492"/>
      <c r="V77" s="492"/>
      <c r="W77" s="492"/>
      <c r="X77" s="492"/>
      <c r="Y77" s="492"/>
      <c r="Z77" s="492"/>
      <c r="AA77" s="492"/>
      <c r="AB77" s="492"/>
      <c r="AC77" s="492"/>
      <c r="AD77" s="492"/>
      <c r="AE77" s="492"/>
      <c r="AF77" s="492"/>
      <c r="AG77" s="492"/>
      <c r="AH77" s="492"/>
      <c r="AI77" s="492"/>
      <c r="AJ77" s="492"/>
      <c r="AK77" s="492"/>
      <c r="AL77" s="492"/>
      <c r="AM77" s="492"/>
      <c r="AN77" s="492"/>
    </row>
    <row r="78" spans="1:40" ht="15.75" customHeight="1">
      <c r="A78" s="477" t="s">
        <v>280</v>
      </c>
      <c r="B78" s="492" t="s">
        <v>0</v>
      </c>
      <c r="C78" s="508" t="s">
        <v>69</v>
      </c>
      <c r="D78" s="561"/>
      <c r="E78" s="586">
        <v>1423.9988427404585</v>
      </c>
      <c r="F78" s="509">
        <v>128159.89584664126</v>
      </c>
      <c r="G78" s="562"/>
      <c r="H78" s="492"/>
      <c r="I78" s="509"/>
      <c r="J78" s="587">
        <v>0.7998602005939951</v>
      </c>
      <c r="K78" s="586">
        <v>1139</v>
      </c>
      <c r="L78" s="511">
        <v>75174</v>
      </c>
      <c r="M78" s="508"/>
      <c r="N78" s="534">
        <v>-52985.895846641259</v>
      </c>
      <c r="O78" s="508"/>
      <c r="P78" s="492"/>
      <c r="Q78" s="511">
        <v>110039</v>
      </c>
      <c r="R78" s="508"/>
      <c r="S78" s="534">
        <v>-34865</v>
      </c>
      <c r="T78" s="492"/>
      <c r="U78" s="492"/>
      <c r="V78" s="492"/>
      <c r="W78" s="492"/>
      <c r="X78" s="492"/>
      <c r="Y78" s="492"/>
      <c r="Z78" s="492"/>
      <c r="AA78" s="492"/>
      <c r="AB78" s="492"/>
      <c r="AC78" s="492"/>
      <c r="AD78" s="492"/>
      <c r="AE78" s="492"/>
      <c r="AF78" s="492"/>
      <c r="AG78" s="492"/>
      <c r="AH78" s="492"/>
      <c r="AI78" s="492"/>
      <c r="AJ78" s="492"/>
      <c r="AK78" s="492"/>
      <c r="AL78" s="492"/>
      <c r="AM78" s="492"/>
      <c r="AN78" s="492"/>
    </row>
    <row r="79" spans="1:40" ht="15.75" hidden="1" customHeight="1">
      <c r="A79" s="477" t="s">
        <v>233</v>
      </c>
      <c r="B79" s="492" t="s">
        <v>0</v>
      </c>
      <c r="C79" s="508" t="s">
        <v>20</v>
      </c>
      <c r="D79" s="561"/>
      <c r="E79" s="492"/>
      <c r="F79" s="509">
        <v>0</v>
      </c>
      <c r="G79" s="562"/>
      <c r="H79" s="492"/>
      <c r="I79" s="509"/>
      <c r="J79" s="508"/>
      <c r="K79" s="492"/>
      <c r="L79" s="511">
        <v>0</v>
      </c>
      <c r="M79" s="508"/>
      <c r="N79" s="534">
        <v>0</v>
      </c>
      <c r="O79" s="508"/>
      <c r="P79" s="492"/>
      <c r="Q79" s="511">
        <v>0</v>
      </c>
      <c r="R79" s="508"/>
      <c r="S79" s="534">
        <v>0</v>
      </c>
      <c r="T79" s="492"/>
      <c r="U79" s="492"/>
      <c r="V79" s="492"/>
      <c r="W79" s="492"/>
      <c r="X79" s="492"/>
      <c r="Y79" s="492"/>
      <c r="Z79" s="492"/>
      <c r="AA79" s="492"/>
      <c r="AB79" s="492"/>
      <c r="AC79" s="492"/>
      <c r="AD79" s="492"/>
      <c r="AE79" s="492"/>
      <c r="AF79" s="492"/>
      <c r="AG79" s="492"/>
      <c r="AH79" s="492"/>
      <c r="AI79" s="492"/>
      <c r="AJ79" s="492"/>
      <c r="AK79" s="492"/>
      <c r="AL79" s="492"/>
      <c r="AM79" s="492"/>
      <c r="AN79" s="492"/>
    </row>
    <row r="80" spans="1:40" ht="15.75" hidden="1" customHeight="1">
      <c r="A80" s="477" t="s">
        <v>233</v>
      </c>
      <c r="B80" s="492" t="s">
        <v>0</v>
      </c>
      <c r="C80" s="508" t="s">
        <v>20</v>
      </c>
      <c r="D80" s="561"/>
      <c r="E80" s="492"/>
      <c r="F80" s="509">
        <v>0</v>
      </c>
      <c r="G80" s="562"/>
      <c r="H80" s="492"/>
      <c r="I80" s="509"/>
      <c r="J80" s="508"/>
      <c r="K80" s="492"/>
      <c r="L80" s="511">
        <v>0</v>
      </c>
      <c r="M80" s="508"/>
      <c r="N80" s="534">
        <v>0</v>
      </c>
      <c r="O80" s="508"/>
      <c r="P80" s="492"/>
      <c r="Q80" s="511">
        <v>0</v>
      </c>
      <c r="R80" s="508"/>
      <c r="S80" s="534">
        <v>0</v>
      </c>
      <c r="T80" s="492"/>
      <c r="U80" s="492"/>
      <c r="V80" s="492"/>
      <c r="W80" s="492"/>
      <c r="X80" s="492"/>
      <c r="Y80" s="492"/>
      <c r="Z80" s="492"/>
      <c r="AA80" s="492"/>
      <c r="AB80" s="492"/>
      <c r="AC80" s="492"/>
      <c r="AD80" s="492"/>
      <c r="AE80" s="492"/>
      <c r="AF80" s="492"/>
      <c r="AG80" s="492"/>
      <c r="AH80" s="492"/>
      <c r="AI80" s="492"/>
      <c r="AJ80" s="492"/>
      <c r="AK80" s="492"/>
      <c r="AL80" s="492"/>
      <c r="AM80" s="492"/>
      <c r="AN80" s="492"/>
    </row>
    <row r="81" spans="1:40" ht="15.75" hidden="1" customHeight="1">
      <c r="A81" s="477" t="s">
        <v>233</v>
      </c>
      <c r="B81" s="492" t="s">
        <v>0</v>
      </c>
      <c r="C81" s="508" t="s">
        <v>20</v>
      </c>
      <c r="D81" s="561"/>
      <c r="E81" s="492"/>
      <c r="F81" s="509">
        <v>0</v>
      </c>
      <c r="G81" s="562"/>
      <c r="H81" s="492"/>
      <c r="I81" s="509"/>
      <c r="J81" s="508"/>
      <c r="K81" s="492"/>
      <c r="L81" s="511">
        <v>0</v>
      </c>
      <c r="M81" s="508"/>
      <c r="N81" s="534">
        <v>0</v>
      </c>
      <c r="O81" s="508"/>
      <c r="P81" s="492"/>
      <c r="Q81" s="511">
        <v>0</v>
      </c>
      <c r="R81" s="508"/>
      <c r="S81" s="534">
        <v>0</v>
      </c>
      <c r="T81" s="492"/>
      <c r="U81" s="492"/>
      <c r="V81" s="492"/>
      <c r="W81" s="492"/>
      <c r="X81" s="492"/>
      <c r="Y81" s="492"/>
      <c r="Z81" s="492"/>
      <c r="AA81" s="492"/>
      <c r="AB81" s="492"/>
      <c r="AC81" s="492"/>
      <c r="AD81" s="492"/>
      <c r="AE81" s="492"/>
      <c r="AF81" s="492"/>
      <c r="AG81" s="492"/>
      <c r="AH81" s="492"/>
      <c r="AI81" s="492"/>
      <c r="AJ81" s="492"/>
      <c r="AK81" s="492"/>
      <c r="AL81" s="492"/>
      <c r="AM81" s="492"/>
      <c r="AN81" s="492"/>
    </row>
    <row r="82" spans="1:40" ht="15.75" customHeight="1">
      <c r="A82" s="588" t="s">
        <v>281</v>
      </c>
      <c r="B82" s="589" t="s">
        <v>0</v>
      </c>
      <c r="C82" s="508" t="s">
        <v>70</v>
      </c>
      <c r="D82" s="590">
        <v>0.95</v>
      </c>
      <c r="E82" s="591">
        <v>474.04999999999995</v>
      </c>
      <c r="F82" s="509">
        <v>41716.399999999994</v>
      </c>
      <c r="G82" s="562"/>
      <c r="H82" s="492"/>
      <c r="I82" s="509"/>
      <c r="J82" s="587">
        <v>1.0322483423749247</v>
      </c>
      <c r="K82" s="591">
        <v>489.28571428571428</v>
      </c>
      <c r="L82" s="511">
        <v>30825</v>
      </c>
      <c r="M82" s="508"/>
      <c r="N82" s="534">
        <v>-10891.399999999994</v>
      </c>
      <c r="O82" s="508"/>
      <c r="P82" s="492"/>
      <c r="Q82" s="511">
        <v>39816</v>
      </c>
      <c r="R82" s="508"/>
      <c r="S82" s="534">
        <v>-8991</v>
      </c>
      <c r="T82" s="492"/>
      <c r="U82" s="492"/>
      <c r="V82" s="492"/>
      <c r="W82" s="492"/>
      <c r="X82" s="492"/>
      <c r="Y82" s="492"/>
      <c r="Z82" s="492"/>
      <c r="AA82" s="492"/>
      <c r="AB82" s="492"/>
      <c r="AC82" s="492"/>
      <c r="AD82" s="492"/>
      <c r="AE82" s="492"/>
      <c r="AF82" s="492"/>
      <c r="AG82" s="492"/>
      <c r="AH82" s="492"/>
      <c r="AI82" s="492"/>
      <c r="AJ82" s="492"/>
      <c r="AK82" s="492"/>
      <c r="AL82" s="492"/>
      <c r="AM82" s="492"/>
      <c r="AN82" s="492"/>
    </row>
    <row r="83" spans="1:40" ht="15.75" customHeight="1">
      <c r="A83" s="477" t="s">
        <v>282</v>
      </c>
      <c r="B83" s="492" t="s">
        <v>0</v>
      </c>
      <c r="C83" s="568" t="s">
        <v>71</v>
      </c>
      <c r="D83" s="569"/>
      <c r="E83" s="570"/>
      <c r="F83" s="571">
        <v>169876.29584664124</v>
      </c>
      <c r="G83" s="572"/>
      <c r="H83" s="570"/>
      <c r="I83" s="571"/>
      <c r="J83" s="572"/>
      <c r="K83" s="570"/>
      <c r="L83" s="571">
        <v>105999</v>
      </c>
      <c r="M83" s="575"/>
      <c r="N83" s="571">
        <v>-63877.295846641253</v>
      </c>
      <c r="O83" s="572"/>
      <c r="P83" s="570"/>
      <c r="Q83" s="571">
        <v>149855</v>
      </c>
      <c r="R83" s="575"/>
      <c r="S83" s="571">
        <v>-43856</v>
      </c>
      <c r="T83" s="492"/>
      <c r="U83" s="492"/>
      <c r="V83" s="492"/>
      <c r="W83" s="492"/>
      <c r="X83" s="492"/>
      <c r="Y83" s="492"/>
      <c r="Z83" s="492"/>
      <c r="AA83" s="492"/>
      <c r="AB83" s="492"/>
      <c r="AC83" s="492"/>
      <c r="AD83" s="492"/>
      <c r="AE83" s="492"/>
      <c r="AF83" s="492"/>
      <c r="AG83" s="492"/>
      <c r="AH83" s="492"/>
      <c r="AI83" s="492"/>
      <c r="AJ83" s="492"/>
      <c r="AK83" s="492"/>
      <c r="AL83" s="492"/>
      <c r="AM83" s="492"/>
      <c r="AN83" s="492"/>
    </row>
    <row r="84" spans="1:40" ht="15.75" customHeight="1">
      <c r="A84" s="477" t="s">
        <v>0</v>
      </c>
      <c r="B84" s="492" t="s">
        <v>0</v>
      </c>
      <c r="C84" s="592"/>
      <c r="D84" s="593"/>
      <c r="E84" s="594"/>
      <c r="F84" s="595"/>
      <c r="G84" s="596"/>
      <c r="H84" s="594"/>
      <c r="I84" s="595"/>
      <c r="J84" s="597"/>
      <c r="K84" s="598"/>
      <c r="L84" s="595"/>
      <c r="M84" s="597"/>
      <c r="N84" s="599"/>
      <c r="O84" s="597"/>
      <c r="P84" s="598"/>
      <c r="Q84" s="595"/>
      <c r="R84" s="597"/>
      <c r="S84" s="599"/>
      <c r="T84" s="492"/>
      <c r="U84" s="492"/>
      <c r="V84" s="492"/>
      <c r="W84" s="492"/>
      <c r="X84" s="492"/>
      <c r="Y84" s="492"/>
      <c r="Z84" s="492"/>
      <c r="AA84" s="492"/>
      <c r="AB84" s="492"/>
      <c r="AC84" s="492"/>
      <c r="AD84" s="492"/>
      <c r="AE84" s="492"/>
      <c r="AF84" s="492"/>
      <c r="AG84" s="492"/>
      <c r="AH84" s="492"/>
      <c r="AI84" s="492"/>
      <c r="AJ84" s="492"/>
      <c r="AK84" s="492"/>
      <c r="AL84" s="492"/>
      <c r="AM84" s="492"/>
      <c r="AN84" s="492"/>
    </row>
    <row r="85" spans="1:40" ht="22.5" customHeight="1" thickBot="1">
      <c r="A85" s="477" t="s">
        <v>283</v>
      </c>
      <c r="B85" s="492" t="s">
        <v>0</v>
      </c>
      <c r="C85" s="600" t="s">
        <v>72</v>
      </c>
      <c r="D85" s="601"/>
      <c r="E85" s="602"/>
      <c r="F85" s="603">
        <v>202316.02292368351</v>
      </c>
      <c r="G85" s="604"/>
      <c r="H85" s="602"/>
      <c r="I85" s="603"/>
      <c r="J85" s="604"/>
      <c r="K85" s="601"/>
      <c r="L85" s="603">
        <v>85359.560000000027</v>
      </c>
      <c r="M85" s="604"/>
      <c r="N85" s="603">
        <v>-116956.46292368349</v>
      </c>
      <c r="O85" s="604"/>
      <c r="P85" s="605">
        <v>3.7048998584961773E-2</v>
      </c>
      <c r="Q85" s="603">
        <v>171219.88999999902</v>
      </c>
      <c r="R85" s="604"/>
      <c r="S85" s="603">
        <v>-85860.329999998998</v>
      </c>
      <c r="T85" s="492"/>
      <c r="U85" s="492"/>
      <c r="V85" s="492"/>
      <c r="W85" s="492"/>
      <c r="X85" s="492"/>
      <c r="Y85" s="492"/>
      <c r="Z85" s="492"/>
      <c r="AA85" s="492"/>
      <c r="AB85" s="492"/>
      <c r="AC85" s="492"/>
      <c r="AD85" s="492"/>
      <c r="AE85" s="492"/>
      <c r="AF85" s="492"/>
      <c r="AG85" s="492"/>
      <c r="AH85" s="492"/>
      <c r="AI85" s="492"/>
      <c r="AJ85" s="492"/>
      <c r="AK85" s="492"/>
      <c r="AL85" s="492"/>
      <c r="AM85" s="492"/>
      <c r="AN85" s="492"/>
    </row>
    <row r="86" spans="1:40" ht="15.75" customHeight="1" thickTop="1">
      <c r="B86" s="606"/>
      <c r="C86" s="606"/>
      <c r="D86" s="606"/>
      <c r="E86" s="606"/>
      <c r="F86" s="606"/>
      <c r="G86" s="606"/>
      <c r="H86" s="606"/>
      <c r="I86" s="606"/>
      <c r="J86" s="607"/>
      <c r="K86" s="606"/>
      <c r="L86" s="608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  <c r="Y86" s="606"/>
      <c r="Z86" s="606"/>
      <c r="AA86" s="606"/>
      <c r="AB86" s="606"/>
      <c r="AC86" s="606"/>
      <c r="AD86" s="606"/>
      <c r="AE86" s="606"/>
      <c r="AF86" s="606"/>
      <c r="AG86" s="606"/>
      <c r="AH86" s="606"/>
      <c r="AI86" s="606"/>
      <c r="AJ86" s="606"/>
      <c r="AK86" s="606"/>
      <c r="AL86" s="606"/>
      <c r="AM86" s="606"/>
      <c r="AN86" s="606"/>
    </row>
    <row r="87" spans="1:40" ht="12.75" customHeight="1">
      <c r="B87" s="606"/>
      <c r="C87" s="606"/>
      <c r="D87" s="606"/>
      <c r="E87" s="606"/>
      <c r="F87" s="606"/>
      <c r="G87" s="606"/>
      <c r="H87" s="606"/>
      <c r="I87" s="609"/>
      <c r="J87" s="606"/>
      <c r="K87" s="606"/>
      <c r="L87" s="606"/>
      <c r="M87" s="606"/>
      <c r="N87" s="606"/>
      <c r="O87" s="606"/>
      <c r="P87" s="606"/>
      <c r="Q87" s="606"/>
      <c r="R87" s="606"/>
      <c r="S87" s="606"/>
      <c r="T87" s="606"/>
      <c r="U87" s="606"/>
      <c r="V87" s="606"/>
      <c r="W87" s="606"/>
      <c r="X87" s="606"/>
      <c r="Y87" s="606"/>
      <c r="Z87" s="606"/>
      <c r="AA87" s="606"/>
      <c r="AB87" s="606"/>
      <c r="AC87" s="606"/>
      <c r="AD87" s="606"/>
      <c r="AE87" s="606"/>
      <c r="AF87" s="606"/>
      <c r="AG87" s="606"/>
      <c r="AH87" s="606"/>
      <c r="AI87" s="606"/>
      <c r="AJ87" s="606"/>
      <c r="AK87" s="606"/>
      <c r="AL87" s="606"/>
      <c r="AM87" s="606"/>
      <c r="AN87" s="606"/>
    </row>
    <row r="88" spans="1:40" ht="15.75" hidden="1" customHeight="1">
      <c r="B88" s="486"/>
      <c r="C88" s="489"/>
      <c r="D88" s="489"/>
      <c r="E88" s="489"/>
      <c r="F88" s="489"/>
      <c r="G88" s="489"/>
      <c r="H88" s="489"/>
      <c r="I88" s="489"/>
      <c r="J88" s="489"/>
      <c r="K88" s="489"/>
      <c r="L88" s="489"/>
      <c r="M88" s="489"/>
      <c r="N88" s="489"/>
      <c r="O88" s="489"/>
      <c r="P88" s="489"/>
      <c r="Q88" s="489"/>
      <c r="R88" s="489"/>
      <c r="S88" s="489"/>
      <c r="T88" s="489"/>
      <c r="U88" s="489"/>
    </row>
    <row r="89" spans="1:40" ht="33" customHeight="1">
      <c r="B89" s="478"/>
      <c r="C89" s="610" t="s">
        <v>478</v>
      </c>
      <c r="D89" s="480"/>
      <c r="E89" s="480"/>
      <c r="F89" s="480"/>
      <c r="G89" s="480"/>
      <c r="H89" s="478"/>
      <c r="I89" s="478"/>
      <c r="J89" s="478"/>
      <c r="K89" s="482" t="s">
        <v>73</v>
      </c>
      <c r="L89" s="480"/>
      <c r="M89" s="480"/>
      <c r="N89" s="478"/>
      <c r="O89" s="478"/>
      <c r="P89" s="480"/>
      <c r="Q89" s="478"/>
      <c r="R89" s="480"/>
      <c r="S89" s="611" t="s">
        <v>481</v>
      </c>
      <c r="T89" s="478"/>
      <c r="U89" s="478"/>
      <c r="V89" s="478"/>
      <c r="W89" s="478"/>
      <c r="X89" s="478"/>
      <c r="Y89" s="478"/>
      <c r="Z89" s="478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  <c r="AL89" s="478"/>
      <c r="AM89" s="478"/>
      <c r="AN89" s="478"/>
    </row>
    <row r="90" spans="1:40" ht="15.75" customHeight="1" thickBot="1">
      <c r="B90" s="486"/>
      <c r="C90" s="487"/>
      <c r="D90" s="489"/>
      <c r="E90" s="489"/>
      <c r="F90" s="489"/>
      <c r="G90" s="489"/>
      <c r="H90" s="489"/>
      <c r="I90" s="489"/>
      <c r="J90" s="489"/>
      <c r="K90" s="489"/>
      <c r="L90" s="489"/>
      <c r="M90" s="489"/>
      <c r="N90" s="489"/>
      <c r="O90" s="489"/>
      <c r="P90" s="489"/>
      <c r="Q90" s="489"/>
      <c r="R90" s="489"/>
      <c r="S90" s="489"/>
      <c r="T90" s="489"/>
      <c r="U90" s="489"/>
    </row>
    <row r="91" spans="1:40" ht="15.75" customHeight="1" thickTop="1">
      <c r="B91" s="492"/>
      <c r="C91" s="493"/>
      <c r="D91" s="879" t="s">
        <v>5</v>
      </c>
      <c r="E91" s="880"/>
      <c r="F91" s="881"/>
      <c r="G91" s="882"/>
      <c r="H91" s="880"/>
      <c r="I91" s="881"/>
      <c r="J91" s="882" t="s">
        <v>7</v>
      </c>
      <c r="K91" s="880"/>
      <c r="L91" s="881"/>
      <c r="M91" s="882" t="s">
        <v>220</v>
      </c>
      <c r="N91" s="881"/>
      <c r="O91" s="879" t="s">
        <v>8</v>
      </c>
      <c r="P91" s="880"/>
      <c r="Q91" s="881"/>
      <c r="R91" s="882" t="s">
        <v>221</v>
      </c>
      <c r="S91" s="881"/>
      <c r="T91" s="492"/>
      <c r="U91" s="492"/>
      <c r="V91" s="492"/>
      <c r="W91" s="492"/>
      <c r="X91" s="492"/>
      <c r="Y91" s="492"/>
      <c r="Z91" s="492"/>
      <c r="AA91" s="492"/>
      <c r="AB91" s="492"/>
      <c r="AC91" s="492"/>
      <c r="AD91" s="492"/>
      <c r="AE91" s="492"/>
      <c r="AF91" s="492"/>
      <c r="AG91" s="492"/>
      <c r="AH91" s="492"/>
      <c r="AI91" s="492"/>
      <c r="AJ91" s="492"/>
      <c r="AK91" s="492"/>
      <c r="AL91" s="492"/>
      <c r="AM91" s="492"/>
      <c r="AN91" s="492"/>
    </row>
    <row r="92" spans="1:40" ht="15.75" customHeight="1">
      <c r="B92" s="492"/>
      <c r="C92" s="508"/>
      <c r="D92" s="497" t="s">
        <v>10</v>
      </c>
      <c r="E92" s="498" t="s">
        <v>11</v>
      </c>
      <c r="F92" s="499" t="s">
        <v>12</v>
      </c>
      <c r="G92" s="500"/>
      <c r="H92" s="498"/>
      <c r="I92" s="499"/>
      <c r="J92" s="500" t="s">
        <v>473</v>
      </c>
      <c r="K92" s="498" t="s">
        <v>13</v>
      </c>
      <c r="L92" s="499" t="s">
        <v>12</v>
      </c>
      <c r="M92" s="500" t="s">
        <v>473</v>
      </c>
      <c r="N92" s="499" t="s">
        <v>12</v>
      </c>
      <c r="O92" s="498" t="s">
        <v>10</v>
      </c>
      <c r="P92" s="498" t="s">
        <v>11</v>
      </c>
      <c r="Q92" s="499" t="s">
        <v>12</v>
      </c>
      <c r="R92" s="500" t="s">
        <v>473</v>
      </c>
      <c r="S92" s="499" t="s">
        <v>12</v>
      </c>
      <c r="T92" s="492"/>
      <c r="U92" s="492"/>
      <c r="V92" s="492"/>
      <c r="W92" s="492"/>
      <c r="X92" s="492"/>
      <c r="Y92" s="492"/>
      <c r="Z92" s="492"/>
      <c r="AA92" s="492"/>
      <c r="AB92" s="492"/>
      <c r="AC92" s="492"/>
      <c r="AD92" s="492"/>
      <c r="AE92" s="492"/>
      <c r="AF92" s="492"/>
      <c r="AG92" s="492"/>
      <c r="AH92" s="492"/>
      <c r="AI92" s="492"/>
      <c r="AJ92" s="492"/>
      <c r="AK92" s="492"/>
      <c r="AL92" s="492"/>
      <c r="AM92" s="492"/>
      <c r="AN92" s="492"/>
    </row>
    <row r="93" spans="1:40" ht="24" customHeight="1">
      <c r="A93" s="477" t="s">
        <v>284</v>
      </c>
      <c r="B93" s="492" t="s">
        <v>73</v>
      </c>
      <c r="C93" s="501" t="s">
        <v>15</v>
      </c>
      <c r="D93" s="505"/>
      <c r="E93" s="505"/>
      <c r="F93" s="503">
        <v>1510131.6259125122</v>
      </c>
      <c r="G93" s="522"/>
      <c r="H93" s="505"/>
      <c r="I93" s="503"/>
      <c r="J93" s="501"/>
      <c r="K93" s="505"/>
      <c r="L93" s="503">
        <v>1317515.04</v>
      </c>
      <c r="M93" s="612"/>
      <c r="N93" s="613"/>
      <c r="O93" s="501"/>
      <c r="P93" s="505"/>
      <c r="Q93" s="503">
        <v>1094286.6100000001</v>
      </c>
      <c r="R93" s="612"/>
      <c r="S93" s="613"/>
      <c r="T93" s="492"/>
      <c r="U93" s="492"/>
      <c r="V93" s="492"/>
      <c r="W93" s="492"/>
      <c r="X93" s="492"/>
      <c r="Y93" s="492"/>
      <c r="Z93" s="492"/>
      <c r="AA93" s="492"/>
      <c r="AB93" s="492"/>
      <c r="AC93" s="492"/>
      <c r="AD93" s="492"/>
      <c r="AE93" s="492"/>
      <c r="AF93" s="492"/>
      <c r="AG93" s="492"/>
      <c r="AH93" s="492"/>
      <c r="AI93" s="492"/>
      <c r="AJ93" s="492"/>
      <c r="AK93" s="492"/>
      <c r="AL93" s="492"/>
      <c r="AM93" s="492"/>
      <c r="AN93" s="492"/>
    </row>
    <row r="94" spans="1:40" ht="21.75" customHeight="1">
      <c r="A94" s="477" t="s">
        <v>285</v>
      </c>
      <c r="B94" s="492" t="s">
        <v>73</v>
      </c>
      <c r="C94" s="508" t="s">
        <v>75</v>
      </c>
      <c r="D94" s="509">
        <v>23</v>
      </c>
      <c r="E94" s="509">
        <v>1400</v>
      </c>
      <c r="F94" s="509">
        <v>32200</v>
      </c>
      <c r="G94" s="510"/>
      <c r="H94" s="509"/>
      <c r="I94" s="509"/>
      <c r="J94" s="510">
        <v>24</v>
      </c>
      <c r="K94" s="509">
        <v>1864.0925000000022</v>
      </c>
      <c r="L94" s="511">
        <v>44738.220000000052</v>
      </c>
      <c r="M94" s="510">
        <v>1</v>
      </c>
      <c r="N94" s="511">
        <v>12538.220000000052</v>
      </c>
      <c r="O94" s="510">
        <v>19</v>
      </c>
      <c r="P94" s="509">
        <v>922.09052631578959</v>
      </c>
      <c r="Q94" s="511">
        <v>17519.72</v>
      </c>
      <c r="R94" s="510">
        <v>5</v>
      </c>
      <c r="S94" s="511">
        <v>27218.500000000051</v>
      </c>
      <c r="T94" s="492"/>
      <c r="U94" s="492"/>
      <c r="V94" s="492"/>
      <c r="W94" s="492"/>
      <c r="X94" s="492"/>
      <c r="Y94" s="492"/>
      <c r="Z94" s="492"/>
      <c r="AA94" s="492"/>
      <c r="AB94" s="492"/>
      <c r="AC94" s="492"/>
      <c r="AD94" s="492"/>
      <c r="AE94" s="492"/>
      <c r="AF94" s="492"/>
      <c r="AG94" s="492"/>
      <c r="AH94" s="492"/>
      <c r="AI94" s="492"/>
      <c r="AJ94" s="492"/>
      <c r="AK94" s="492"/>
      <c r="AL94" s="492"/>
      <c r="AM94" s="492"/>
      <c r="AN94" s="492"/>
    </row>
    <row r="95" spans="1:40" ht="18.75" customHeight="1">
      <c r="A95" s="477" t="s">
        <v>286</v>
      </c>
      <c r="B95" s="492" t="s">
        <v>73</v>
      </c>
      <c r="C95" s="508" t="s">
        <v>76</v>
      </c>
      <c r="D95" s="509">
        <v>3</v>
      </c>
      <c r="E95" s="509">
        <v>1800</v>
      </c>
      <c r="F95" s="509">
        <v>5400</v>
      </c>
      <c r="G95" s="510"/>
      <c r="H95" s="509"/>
      <c r="I95" s="509"/>
      <c r="J95" s="510">
        <v>1</v>
      </c>
      <c r="K95" s="509">
        <v>1000</v>
      </c>
      <c r="L95" s="511">
        <v>1000</v>
      </c>
      <c r="M95" s="510">
        <v>-2</v>
      </c>
      <c r="N95" s="511">
        <v>-4400</v>
      </c>
      <c r="O95" s="510">
        <v>6</v>
      </c>
      <c r="P95" s="509">
        <v>615.43666666666661</v>
      </c>
      <c r="Q95" s="511">
        <v>3692.62</v>
      </c>
      <c r="R95" s="510">
        <v>-5</v>
      </c>
      <c r="S95" s="511">
        <v>-2692.62</v>
      </c>
      <c r="T95" s="492"/>
      <c r="U95" s="492"/>
      <c r="V95" s="614"/>
      <c r="W95" s="492"/>
      <c r="X95" s="492"/>
      <c r="Y95" s="492"/>
      <c r="Z95" s="492"/>
      <c r="AA95" s="492"/>
      <c r="AB95" s="492"/>
      <c r="AC95" s="492"/>
      <c r="AD95" s="492"/>
      <c r="AE95" s="492"/>
      <c r="AF95" s="492"/>
      <c r="AG95" s="492"/>
      <c r="AH95" s="492"/>
      <c r="AI95" s="492"/>
      <c r="AJ95" s="492"/>
      <c r="AK95" s="492"/>
      <c r="AL95" s="492"/>
      <c r="AM95" s="492"/>
      <c r="AN95" s="492"/>
    </row>
    <row r="96" spans="1:40" ht="18.75" customHeight="1">
      <c r="A96" s="477" t="s">
        <v>287</v>
      </c>
      <c r="B96" s="492" t="s">
        <v>73</v>
      </c>
      <c r="C96" s="508" t="s">
        <v>224</v>
      </c>
      <c r="D96" s="509">
        <v>4</v>
      </c>
      <c r="E96" s="505">
        <v>1500</v>
      </c>
      <c r="F96" s="509">
        <v>6000</v>
      </c>
      <c r="G96" s="510"/>
      <c r="H96" s="509"/>
      <c r="I96" s="509"/>
      <c r="J96" s="510">
        <v>0</v>
      </c>
      <c r="K96" s="509">
        <v>0</v>
      </c>
      <c r="L96" s="511">
        <v>0</v>
      </c>
      <c r="M96" s="510">
        <v>-4</v>
      </c>
      <c r="N96" s="511">
        <v>-6000</v>
      </c>
      <c r="O96" s="510">
        <v>0</v>
      </c>
      <c r="P96" s="509">
        <v>0</v>
      </c>
      <c r="Q96" s="511">
        <v>0</v>
      </c>
      <c r="R96" s="510">
        <v>0</v>
      </c>
      <c r="S96" s="511">
        <v>0</v>
      </c>
      <c r="T96" s="492"/>
      <c r="U96" s="492"/>
      <c r="V96" s="614"/>
      <c r="W96" s="492"/>
      <c r="X96" s="492"/>
      <c r="Y96" s="492"/>
      <c r="Z96" s="492"/>
      <c r="AA96" s="492"/>
      <c r="AB96" s="492"/>
      <c r="AC96" s="492"/>
      <c r="AD96" s="492"/>
      <c r="AE96" s="492"/>
      <c r="AF96" s="492"/>
      <c r="AG96" s="492"/>
      <c r="AH96" s="492"/>
      <c r="AI96" s="492"/>
      <c r="AJ96" s="492"/>
      <c r="AK96" s="492"/>
      <c r="AL96" s="492"/>
      <c r="AM96" s="492"/>
      <c r="AN96" s="492"/>
    </row>
    <row r="97" spans="1:40" ht="15.75" customHeight="1">
      <c r="A97" s="477" t="s">
        <v>288</v>
      </c>
      <c r="B97" s="492" t="s">
        <v>73</v>
      </c>
      <c r="C97" s="514" t="s">
        <v>77</v>
      </c>
      <c r="D97" s="515">
        <v>30</v>
      </c>
      <c r="E97" s="509">
        <v>1453.3333333333333</v>
      </c>
      <c r="F97" s="516">
        <v>43600</v>
      </c>
      <c r="G97" s="517"/>
      <c r="H97" s="515"/>
      <c r="I97" s="516"/>
      <c r="J97" s="517">
        <v>25</v>
      </c>
      <c r="K97" s="515">
        <v>1829.5288000000021</v>
      </c>
      <c r="L97" s="516">
        <v>45738.220000000052</v>
      </c>
      <c r="M97" s="517">
        <v>-5</v>
      </c>
      <c r="N97" s="516">
        <v>2138.2200000000521</v>
      </c>
      <c r="O97" s="517">
        <v>25</v>
      </c>
      <c r="P97" s="515">
        <v>848.49360000000001</v>
      </c>
      <c r="Q97" s="516">
        <v>21212.34</v>
      </c>
      <c r="R97" s="517">
        <v>0</v>
      </c>
      <c r="S97" s="516">
        <v>24525.880000000052</v>
      </c>
      <c r="T97" s="492"/>
      <c r="U97" s="492"/>
      <c r="V97" s="492"/>
      <c r="W97" s="492"/>
      <c r="X97" s="492"/>
      <c r="Y97" s="492"/>
      <c r="Z97" s="492"/>
      <c r="AA97" s="492"/>
      <c r="AB97" s="492"/>
      <c r="AC97" s="550"/>
      <c r="AD97" s="492"/>
      <c r="AE97" s="492"/>
      <c r="AF97" s="550"/>
      <c r="AG97" s="492"/>
      <c r="AH97" s="492"/>
      <c r="AI97" s="492"/>
      <c r="AJ97" s="492"/>
      <c r="AK97" s="492"/>
      <c r="AL97" s="492"/>
      <c r="AM97" s="492"/>
      <c r="AN97" s="492"/>
    </row>
    <row r="98" spans="1:40" ht="15.75" customHeight="1">
      <c r="A98" s="477" t="s">
        <v>73</v>
      </c>
      <c r="B98" s="492" t="s">
        <v>73</v>
      </c>
      <c r="C98" s="508"/>
      <c r="D98" s="492"/>
      <c r="E98" s="509">
        <v>0</v>
      </c>
      <c r="F98" s="518"/>
      <c r="G98" s="508"/>
      <c r="H98" s="492"/>
      <c r="I98" s="518"/>
      <c r="J98" s="508"/>
      <c r="K98" s="492"/>
      <c r="L98" s="518"/>
      <c r="M98" s="615">
        <v>-0.16666666666666666</v>
      </c>
      <c r="N98" s="616">
        <v>4.9041743119267248E-2</v>
      </c>
      <c r="O98" s="508"/>
      <c r="P98" s="492">
        <v>0</v>
      </c>
      <c r="Q98" s="518"/>
      <c r="R98" s="615">
        <v>0</v>
      </c>
      <c r="S98" s="616">
        <v>1.1562081316818442</v>
      </c>
      <c r="T98" s="492"/>
      <c r="U98" s="492"/>
      <c r="V98" s="492"/>
      <c r="W98" s="492"/>
      <c r="X98" s="492"/>
      <c r="Y98" s="492"/>
      <c r="Z98" s="492"/>
      <c r="AA98" s="492"/>
      <c r="AB98" s="492"/>
      <c r="AC98" s="492"/>
      <c r="AD98" s="492"/>
      <c r="AE98" s="492"/>
      <c r="AF98" s="492"/>
      <c r="AG98" s="492"/>
      <c r="AH98" s="492"/>
      <c r="AI98" s="492"/>
      <c r="AJ98" s="492"/>
      <c r="AK98" s="492"/>
      <c r="AL98" s="492"/>
      <c r="AM98" s="492"/>
      <c r="AN98" s="492"/>
    </row>
    <row r="99" spans="1:40" ht="15.75" customHeight="1">
      <c r="A99" s="477" t="s">
        <v>73</v>
      </c>
      <c r="B99" s="492" t="s">
        <v>73</v>
      </c>
      <c r="C99" s="508"/>
      <c r="D99" s="509">
        <v>0</v>
      </c>
      <c r="E99" s="509">
        <v>0</v>
      </c>
      <c r="F99" s="509">
        <v>0</v>
      </c>
      <c r="G99" s="510"/>
      <c r="H99" s="509"/>
      <c r="I99" s="509"/>
      <c r="J99" s="510"/>
      <c r="K99" s="509"/>
      <c r="L99" s="511"/>
      <c r="M99" s="510"/>
      <c r="N99" s="511"/>
      <c r="O99" s="510"/>
      <c r="P99" s="509"/>
      <c r="Q99" s="511"/>
      <c r="R99" s="510"/>
      <c r="S99" s="511"/>
      <c r="T99" s="492"/>
      <c r="U99" s="492"/>
      <c r="V99" s="492"/>
      <c r="W99" s="509"/>
      <c r="X99" s="509"/>
      <c r="Y99" s="492"/>
      <c r="Z99" s="492"/>
      <c r="AA99" s="492"/>
      <c r="AB99" s="492"/>
      <c r="AC99" s="492"/>
      <c r="AD99" s="492"/>
      <c r="AE99" s="492"/>
      <c r="AF99" s="492"/>
      <c r="AG99" s="492"/>
      <c r="AH99" s="492"/>
      <c r="AI99" s="492"/>
      <c r="AJ99" s="492"/>
      <c r="AK99" s="492"/>
      <c r="AL99" s="492"/>
      <c r="AM99" s="492"/>
      <c r="AN99" s="492"/>
    </row>
    <row r="100" spans="1:40" ht="15.75" customHeight="1">
      <c r="A100" s="477" t="s">
        <v>289</v>
      </c>
      <c r="B100" s="492" t="s">
        <v>73</v>
      </c>
      <c r="C100" s="508" t="s">
        <v>78</v>
      </c>
      <c r="D100" s="509">
        <v>33</v>
      </c>
      <c r="E100" s="509">
        <v>400</v>
      </c>
      <c r="F100" s="509">
        <v>13200</v>
      </c>
      <c r="G100" s="510"/>
      <c r="H100" s="509"/>
      <c r="I100" s="509"/>
      <c r="J100" s="510">
        <v>35</v>
      </c>
      <c r="K100" s="509">
        <v>-72.185142857142324</v>
      </c>
      <c r="L100" s="511">
        <v>-2526.4799999999814</v>
      </c>
      <c r="M100" s="510">
        <v>2</v>
      </c>
      <c r="N100" s="511">
        <v>-15726.479999999981</v>
      </c>
      <c r="O100" s="510">
        <v>42</v>
      </c>
      <c r="P100" s="509">
        <v>10.700238095238857</v>
      </c>
      <c r="Q100" s="511">
        <v>449.41000000003203</v>
      </c>
      <c r="R100" s="510">
        <v>-7</v>
      </c>
      <c r="S100" s="511">
        <v>-2975.8900000000135</v>
      </c>
      <c r="T100" s="492"/>
      <c r="U100" s="509"/>
      <c r="V100" s="492"/>
      <c r="W100" s="492"/>
      <c r="X100" s="492"/>
      <c r="Y100" s="492"/>
      <c r="Z100" s="492"/>
      <c r="AA100" s="492"/>
      <c r="AB100" s="492"/>
      <c r="AC100" s="550"/>
      <c r="AD100" s="492"/>
      <c r="AE100" s="492"/>
      <c r="AF100" s="617"/>
      <c r="AG100" s="492"/>
      <c r="AH100" s="492"/>
      <c r="AI100" s="492"/>
      <c r="AJ100" s="492"/>
      <c r="AK100" s="492"/>
      <c r="AL100" s="492"/>
      <c r="AM100" s="492"/>
      <c r="AN100" s="492"/>
    </row>
    <row r="101" spans="1:40" ht="15.75" customHeight="1">
      <c r="A101" s="477" t="s">
        <v>73</v>
      </c>
      <c r="B101" s="492" t="s">
        <v>73</v>
      </c>
      <c r="C101" s="501"/>
      <c r="D101" s="505"/>
      <c r="E101" s="505"/>
      <c r="F101" s="503"/>
      <c r="G101" s="522"/>
      <c r="H101" s="505"/>
      <c r="I101" s="503"/>
      <c r="J101" s="522"/>
      <c r="K101" s="505"/>
      <c r="L101" s="503"/>
      <c r="M101" s="523"/>
      <c r="N101" s="618"/>
      <c r="O101" s="522"/>
      <c r="P101" s="505"/>
      <c r="Q101" s="503"/>
      <c r="R101" s="523"/>
      <c r="S101" s="618"/>
      <c r="T101" s="492"/>
      <c r="U101" s="492"/>
      <c r="V101" s="492"/>
      <c r="W101" s="509"/>
      <c r="X101" s="492"/>
      <c r="Y101" s="492"/>
      <c r="Z101" s="492"/>
      <c r="AA101" s="492"/>
      <c r="AB101" s="492"/>
      <c r="AC101" s="492"/>
      <c r="AD101" s="492"/>
      <c r="AE101" s="492"/>
      <c r="AF101" s="617"/>
      <c r="AG101" s="492"/>
      <c r="AH101" s="492"/>
      <c r="AI101" s="492"/>
      <c r="AJ101" s="492"/>
      <c r="AK101" s="492"/>
      <c r="AL101" s="492"/>
      <c r="AM101" s="492"/>
      <c r="AN101" s="492"/>
    </row>
    <row r="102" spans="1:40" ht="15.75" customHeight="1">
      <c r="A102" s="477" t="s">
        <v>290</v>
      </c>
      <c r="B102" s="492" t="s">
        <v>73</v>
      </c>
      <c r="C102" s="508" t="s">
        <v>25</v>
      </c>
      <c r="D102" s="509">
        <v>0</v>
      </c>
      <c r="E102" s="509">
        <v>0</v>
      </c>
      <c r="F102" s="511">
        <v>18000</v>
      </c>
      <c r="G102" s="510"/>
      <c r="H102" s="509"/>
      <c r="I102" s="509"/>
      <c r="J102" s="510"/>
      <c r="K102" s="509">
        <v>528.9588</v>
      </c>
      <c r="L102" s="511">
        <v>13223.97</v>
      </c>
      <c r="M102" s="510"/>
      <c r="N102" s="511">
        <v>-4776.0300000000007</v>
      </c>
      <c r="O102" s="510"/>
      <c r="P102" s="509"/>
      <c r="Q102" s="511">
        <v>2727.49</v>
      </c>
      <c r="R102" s="510">
        <v>-528.9588</v>
      </c>
      <c r="S102" s="511">
        <v>10496.48</v>
      </c>
      <c r="T102" s="492"/>
      <c r="U102" s="492"/>
      <c r="V102" s="492"/>
      <c r="W102" s="492"/>
      <c r="X102" s="492"/>
      <c r="Y102" s="492"/>
      <c r="Z102" s="492"/>
      <c r="AA102" s="492"/>
      <c r="AB102" s="492"/>
      <c r="AC102" s="492"/>
      <c r="AD102" s="492"/>
      <c r="AE102" s="492"/>
      <c r="AF102" s="492"/>
      <c r="AG102" s="492"/>
      <c r="AH102" s="492"/>
      <c r="AI102" s="492"/>
      <c r="AJ102" s="492"/>
      <c r="AK102" s="492"/>
      <c r="AL102" s="492"/>
      <c r="AM102" s="492"/>
      <c r="AN102" s="492"/>
    </row>
    <row r="103" spans="1:40" ht="15.75" customHeight="1">
      <c r="A103" s="477" t="s">
        <v>291</v>
      </c>
      <c r="B103" s="492" t="s">
        <v>73</v>
      </c>
      <c r="C103" s="508" t="s">
        <v>26</v>
      </c>
      <c r="D103" s="509">
        <v>0</v>
      </c>
      <c r="E103" s="509">
        <v>0</v>
      </c>
      <c r="F103" s="511">
        <v>37500</v>
      </c>
      <c r="G103" s="510"/>
      <c r="H103" s="509"/>
      <c r="I103" s="509"/>
      <c r="J103" s="510"/>
      <c r="K103" s="509">
        <v>1886.9204</v>
      </c>
      <c r="L103" s="511">
        <v>47173.01</v>
      </c>
      <c r="M103" s="510"/>
      <c r="N103" s="511">
        <v>9673.010000000002</v>
      </c>
      <c r="O103" s="510"/>
      <c r="P103" s="509"/>
      <c r="Q103" s="511">
        <v>25456.86</v>
      </c>
      <c r="R103" s="510">
        <v>-1886.9204</v>
      </c>
      <c r="S103" s="511">
        <v>21716.15</v>
      </c>
      <c r="T103" s="492"/>
      <c r="U103" s="492"/>
      <c r="V103" s="492"/>
      <c r="W103" s="492"/>
      <c r="X103" s="492"/>
      <c r="Y103" s="492"/>
      <c r="Z103" s="492"/>
      <c r="AA103" s="492"/>
      <c r="AB103" s="492"/>
      <c r="AC103" s="492"/>
      <c r="AD103" s="492"/>
      <c r="AE103" s="492"/>
      <c r="AF103" s="492"/>
      <c r="AG103" s="492"/>
      <c r="AH103" s="492"/>
      <c r="AI103" s="492"/>
      <c r="AJ103" s="492"/>
      <c r="AK103" s="492"/>
      <c r="AL103" s="492"/>
      <c r="AM103" s="492"/>
      <c r="AN103" s="492"/>
    </row>
    <row r="104" spans="1:40" ht="15.75" customHeight="1">
      <c r="A104" s="477" t="s">
        <v>292</v>
      </c>
      <c r="B104" s="492" t="s">
        <v>73</v>
      </c>
      <c r="C104" s="508" t="s">
        <v>27</v>
      </c>
      <c r="D104" s="509">
        <v>0</v>
      </c>
      <c r="E104" s="505">
        <v>0</v>
      </c>
      <c r="F104" s="511">
        <v>1500</v>
      </c>
      <c r="G104" s="510"/>
      <c r="H104" s="505"/>
      <c r="I104" s="509"/>
      <c r="J104" s="510"/>
      <c r="K104" s="505">
        <v>46.112400000000001</v>
      </c>
      <c r="L104" s="511">
        <v>1152.81</v>
      </c>
      <c r="M104" s="522"/>
      <c r="N104" s="511">
        <v>-347.19000000000005</v>
      </c>
      <c r="O104" s="510"/>
      <c r="P104" s="505"/>
      <c r="Q104" s="511">
        <v>1587.44</v>
      </c>
      <c r="R104" s="510">
        <v>-46.112400000000001</v>
      </c>
      <c r="S104" s="511">
        <v>-434.63000000000011</v>
      </c>
      <c r="T104" s="492"/>
      <c r="U104" s="492"/>
      <c r="V104" s="492"/>
      <c r="W104" s="492"/>
      <c r="X104" s="492"/>
      <c r="Y104" s="492"/>
      <c r="Z104" s="492"/>
      <c r="AA104" s="492"/>
      <c r="AB104" s="492"/>
      <c r="AC104" s="492"/>
      <c r="AD104" s="492"/>
      <c r="AE104" s="492"/>
      <c r="AF104" s="492"/>
      <c r="AG104" s="492"/>
      <c r="AH104" s="492"/>
      <c r="AI104" s="492"/>
      <c r="AJ104" s="492"/>
      <c r="AK104" s="492"/>
      <c r="AL104" s="492"/>
      <c r="AM104" s="492"/>
      <c r="AN104" s="492"/>
    </row>
    <row r="105" spans="1:40" ht="15.75" customHeight="1">
      <c r="A105" s="477" t="s">
        <v>293</v>
      </c>
      <c r="B105" s="492" t="s">
        <v>73</v>
      </c>
      <c r="C105" s="514" t="s">
        <v>28</v>
      </c>
      <c r="D105" s="515">
        <v>30</v>
      </c>
      <c r="E105" s="509">
        <v>1900</v>
      </c>
      <c r="F105" s="516">
        <v>57000</v>
      </c>
      <c r="G105" s="517"/>
      <c r="H105" s="515"/>
      <c r="I105" s="516"/>
      <c r="J105" s="517">
        <v>25</v>
      </c>
      <c r="K105" s="515">
        <v>2461.9915999999998</v>
      </c>
      <c r="L105" s="516">
        <v>61549.79</v>
      </c>
      <c r="M105" s="510">
        <v>-5</v>
      </c>
      <c r="N105" s="516">
        <v>4549.7900000000009</v>
      </c>
      <c r="O105" s="517">
        <v>25</v>
      </c>
      <c r="P105" s="515">
        <v>1190.8715999999999</v>
      </c>
      <c r="Q105" s="516">
        <v>29771.789999999997</v>
      </c>
      <c r="R105" s="531"/>
      <c r="S105" s="516">
        <v>31778.000000000004</v>
      </c>
      <c r="T105" s="492"/>
      <c r="U105" s="492"/>
      <c r="V105" s="492"/>
      <c r="W105" s="492"/>
      <c r="X105" s="492"/>
      <c r="Y105" s="492"/>
      <c r="Z105" s="492"/>
      <c r="AA105" s="492"/>
      <c r="AB105" s="492"/>
      <c r="AC105" s="492"/>
      <c r="AD105" s="492"/>
      <c r="AE105" s="492"/>
      <c r="AF105" s="492"/>
      <c r="AG105" s="492"/>
      <c r="AH105" s="492"/>
      <c r="AI105" s="492"/>
      <c r="AJ105" s="492"/>
      <c r="AK105" s="492"/>
      <c r="AL105" s="492"/>
      <c r="AM105" s="492"/>
      <c r="AN105" s="492"/>
    </row>
    <row r="106" spans="1:40" ht="15.75" customHeight="1">
      <c r="A106" s="477" t="s">
        <v>73</v>
      </c>
      <c r="B106" s="492" t="s">
        <v>73</v>
      </c>
      <c r="C106" s="508"/>
      <c r="D106" s="492"/>
      <c r="E106" s="492"/>
      <c r="F106" s="534"/>
      <c r="G106" s="508"/>
      <c r="H106" s="619"/>
      <c r="I106" s="534"/>
      <c r="J106" s="508"/>
      <c r="K106" s="492"/>
      <c r="L106" s="534"/>
      <c r="M106" s="525"/>
      <c r="N106" s="526">
        <v>7.9820877192982476E-2</v>
      </c>
      <c r="O106" s="508"/>
      <c r="P106" s="492"/>
      <c r="Q106" s="534"/>
      <c r="R106" s="535"/>
      <c r="S106" s="526">
        <v>1.067386274053391</v>
      </c>
      <c r="T106" s="492"/>
      <c r="U106" s="492"/>
      <c r="V106" s="492"/>
      <c r="W106" s="492"/>
      <c r="X106" s="492"/>
      <c r="Y106" s="492"/>
      <c r="Z106" s="492"/>
      <c r="AA106" s="492"/>
      <c r="AB106" s="492"/>
      <c r="AC106" s="492"/>
      <c r="AD106" s="492"/>
      <c r="AE106" s="492"/>
      <c r="AF106" s="492"/>
      <c r="AG106" s="492"/>
      <c r="AH106" s="492"/>
      <c r="AI106" s="492"/>
      <c r="AJ106" s="492"/>
      <c r="AK106" s="492"/>
      <c r="AL106" s="492"/>
      <c r="AM106" s="492"/>
      <c r="AN106" s="492"/>
    </row>
    <row r="107" spans="1:40" ht="15.75" customHeight="1" thickBot="1">
      <c r="A107" s="477" t="s">
        <v>73</v>
      </c>
      <c r="B107" s="492" t="s">
        <v>73</v>
      </c>
      <c r="C107" s="508"/>
      <c r="D107" s="492"/>
      <c r="E107" s="492"/>
      <c r="F107" s="534"/>
      <c r="G107" s="508"/>
      <c r="H107" s="619"/>
      <c r="I107" s="534"/>
      <c r="J107" s="508"/>
      <c r="K107" s="492"/>
      <c r="L107" s="534"/>
      <c r="M107" s="525"/>
      <c r="N107" s="526"/>
      <c r="O107" s="508"/>
      <c r="P107" s="492"/>
      <c r="Q107" s="534"/>
      <c r="R107" s="535"/>
      <c r="S107" s="526"/>
      <c r="T107" s="492"/>
      <c r="U107" s="492"/>
      <c r="V107" s="492"/>
      <c r="W107" s="492"/>
      <c r="X107" s="492"/>
      <c r="Y107" s="492"/>
      <c r="Z107" s="492"/>
      <c r="AA107" s="492"/>
      <c r="AB107" s="492"/>
      <c r="AC107" s="492"/>
      <c r="AD107" s="492"/>
      <c r="AE107" s="492"/>
      <c r="AF107" s="492"/>
      <c r="AG107" s="492"/>
      <c r="AH107" s="492"/>
      <c r="AI107" s="492"/>
      <c r="AJ107" s="492"/>
      <c r="AK107" s="492"/>
      <c r="AL107" s="492"/>
      <c r="AM107" s="492"/>
      <c r="AN107" s="492"/>
    </row>
    <row r="108" spans="1:40" ht="23.25" customHeight="1" thickTop="1">
      <c r="A108" s="477" t="s">
        <v>294</v>
      </c>
      <c r="B108" s="492" t="s">
        <v>73</v>
      </c>
      <c r="C108" s="536" t="s">
        <v>79</v>
      </c>
      <c r="D108" s="537">
        <v>63</v>
      </c>
      <c r="E108" s="538">
        <v>1806.3492063492063</v>
      </c>
      <c r="F108" s="539">
        <v>113800</v>
      </c>
      <c r="G108" s="540"/>
      <c r="H108" s="620"/>
      <c r="I108" s="539"/>
      <c r="J108" s="540">
        <v>60</v>
      </c>
      <c r="K108" s="538">
        <v>1746.0255000000011</v>
      </c>
      <c r="L108" s="539">
        <v>104761.53000000007</v>
      </c>
      <c r="M108" s="540">
        <v>-3</v>
      </c>
      <c r="N108" s="539">
        <v>-9038.4699999999284</v>
      </c>
      <c r="O108" s="540">
        <v>67</v>
      </c>
      <c r="P108" s="538">
        <v>767.66477611940343</v>
      </c>
      <c r="Q108" s="539">
        <v>51433.54000000003</v>
      </c>
      <c r="R108" s="540">
        <v>-7</v>
      </c>
      <c r="S108" s="539">
        <v>53327.990000000042</v>
      </c>
      <c r="T108" s="492"/>
      <c r="U108" s="492"/>
      <c r="V108" s="492"/>
      <c r="W108" s="492"/>
      <c r="X108" s="492"/>
      <c r="Y108" s="492"/>
      <c r="Z108" s="492"/>
      <c r="AA108" s="492"/>
      <c r="AB108" s="492"/>
      <c r="AC108" s="492"/>
      <c r="AD108" s="492"/>
      <c r="AE108" s="492"/>
      <c r="AF108" s="492"/>
      <c r="AG108" s="492"/>
      <c r="AH108" s="492"/>
      <c r="AI108" s="492"/>
      <c r="AJ108" s="492"/>
      <c r="AK108" s="492"/>
      <c r="AL108" s="492"/>
      <c r="AM108" s="492"/>
      <c r="AN108" s="492"/>
    </row>
    <row r="109" spans="1:40" ht="19.5" customHeight="1" thickBot="1">
      <c r="A109" s="477" t="s">
        <v>73</v>
      </c>
      <c r="B109" s="492" t="s">
        <v>73</v>
      </c>
      <c r="C109" s="541"/>
      <c r="D109" s="542"/>
      <c r="E109" s="542"/>
      <c r="F109" s="543"/>
      <c r="G109" s="541"/>
      <c r="H109" s="542"/>
      <c r="I109" s="543"/>
      <c r="J109" s="541"/>
      <c r="K109" s="542"/>
      <c r="L109" s="545">
        <v>0.92057583479789162</v>
      </c>
      <c r="M109" s="546">
        <v>-4.7619047619047616E-2</v>
      </c>
      <c r="N109" s="547">
        <v>-7.9424165202108335E-2</v>
      </c>
      <c r="O109" s="541"/>
      <c r="P109" s="542"/>
      <c r="Q109" s="543"/>
      <c r="R109" s="621">
        <v>-9.5714285714285712</v>
      </c>
      <c r="S109" s="622">
        <v>1.036832969303688</v>
      </c>
      <c r="T109" s="492"/>
      <c r="U109" s="492"/>
      <c r="V109" s="492"/>
      <c r="W109" s="492"/>
      <c r="X109" s="492"/>
      <c r="Y109" s="492"/>
      <c r="Z109" s="492"/>
      <c r="AA109" s="492"/>
      <c r="AB109" s="492"/>
      <c r="AC109" s="492"/>
      <c r="AD109" s="492"/>
      <c r="AE109" s="492"/>
      <c r="AF109" s="492"/>
      <c r="AG109" s="492"/>
      <c r="AH109" s="492"/>
      <c r="AI109" s="492"/>
      <c r="AJ109" s="492"/>
      <c r="AK109" s="492"/>
      <c r="AL109" s="492"/>
      <c r="AM109" s="492"/>
      <c r="AN109" s="492"/>
    </row>
    <row r="110" spans="1:40" ht="15.75" customHeight="1" thickTop="1">
      <c r="A110" s="477" t="s">
        <v>73</v>
      </c>
      <c r="B110" s="492" t="s">
        <v>73</v>
      </c>
      <c r="C110" s="527"/>
      <c r="D110" s="548"/>
      <c r="E110" s="548"/>
      <c r="F110" s="549"/>
      <c r="G110" s="527"/>
      <c r="H110" s="548"/>
      <c r="I110" s="549"/>
      <c r="J110" s="527"/>
      <c r="K110" s="548"/>
      <c r="L110" s="549"/>
      <c r="M110" s="525"/>
      <c r="N110" s="526"/>
      <c r="O110" s="527"/>
      <c r="P110" s="548"/>
      <c r="Q110" s="549"/>
      <c r="R110" s="525"/>
      <c r="S110" s="526"/>
      <c r="T110" s="492"/>
      <c r="U110" s="492"/>
      <c r="V110" s="492"/>
      <c r="W110" s="492"/>
      <c r="X110" s="492"/>
      <c r="Y110" s="492"/>
      <c r="Z110" s="492"/>
      <c r="AA110" s="492"/>
      <c r="AB110" s="492"/>
      <c r="AC110" s="492"/>
      <c r="AD110" s="492"/>
      <c r="AE110" s="492"/>
      <c r="AF110" s="492"/>
      <c r="AG110" s="492"/>
      <c r="AH110" s="492"/>
      <c r="AI110" s="492"/>
      <c r="AJ110" s="492"/>
      <c r="AK110" s="492"/>
      <c r="AL110" s="492"/>
      <c r="AM110" s="492"/>
      <c r="AN110" s="492"/>
    </row>
    <row r="111" spans="1:40" ht="15.75" customHeight="1">
      <c r="A111" s="477" t="s">
        <v>295</v>
      </c>
      <c r="B111" s="492" t="s">
        <v>73</v>
      </c>
      <c r="C111" s="551" t="s">
        <v>30</v>
      </c>
      <c r="D111" s="492"/>
      <c r="E111" s="552"/>
      <c r="F111" s="534"/>
      <c r="G111" s="508"/>
      <c r="H111" s="552"/>
      <c r="I111" s="534"/>
      <c r="J111" s="508"/>
      <c r="K111" s="552"/>
      <c r="L111" s="518"/>
      <c r="M111" s="508"/>
      <c r="N111" s="518"/>
      <c r="O111" s="508"/>
      <c r="P111" s="552"/>
      <c r="Q111" s="518"/>
      <c r="R111" s="508"/>
      <c r="S111" s="518"/>
      <c r="T111" s="492"/>
      <c r="U111" s="492"/>
      <c r="V111" s="492"/>
      <c r="W111" s="492"/>
      <c r="X111" s="492"/>
      <c r="Y111" s="492"/>
      <c r="Z111" s="492"/>
      <c r="AA111" s="492"/>
      <c r="AB111" s="492"/>
      <c r="AC111" s="492"/>
      <c r="AD111" s="492"/>
      <c r="AE111" s="492"/>
      <c r="AF111" s="492"/>
      <c r="AG111" s="492"/>
      <c r="AH111" s="492"/>
      <c r="AI111" s="492"/>
      <c r="AJ111" s="492"/>
      <c r="AK111" s="492"/>
      <c r="AL111" s="492"/>
      <c r="AM111" s="492"/>
      <c r="AN111" s="492"/>
    </row>
    <row r="112" spans="1:40" ht="15.75" customHeight="1">
      <c r="A112" s="477" t="s">
        <v>296</v>
      </c>
      <c r="B112" s="492" t="s">
        <v>73</v>
      </c>
      <c r="C112" s="508" t="s">
        <v>31</v>
      </c>
      <c r="D112" s="623">
        <v>0.36381958010831128</v>
      </c>
      <c r="E112" s="550">
        <v>528.75112309074564</v>
      </c>
      <c r="F112" s="509">
        <v>15862.533692722371</v>
      </c>
      <c r="G112" s="554"/>
      <c r="H112" s="550"/>
      <c r="I112" s="509"/>
      <c r="J112" s="554">
        <v>0.31050683651440708</v>
      </c>
      <c r="K112" s="550">
        <v>568.08120000000008</v>
      </c>
      <c r="L112" s="511">
        <v>14202.03</v>
      </c>
      <c r="M112" s="508"/>
      <c r="N112" s="534">
        <v>-1660.50369272237</v>
      </c>
      <c r="O112" s="555">
        <v>0.66132920743303192</v>
      </c>
      <c r="P112" s="550">
        <v>561.1336</v>
      </c>
      <c r="Q112" s="511">
        <v>14028.34</v>
      </c>
      <c r="R112" s="508"/>
      <c r="S112" s="534">
        <v>173.69000000000051</v>
      </c>
      <c r="T112" s="492"/>
      <c r="U112" s="492"/>
      <c r="V112" s="492"/>
      <c r="W112" s="492"/>
      <c r="X112" s="492"/>
      <c r="Y112" s="492"/>
      <c r="Z112" s="492"/>
      <c r="AA112" s="492"/>
      <c r="AB112" s="492"/>
      <c r="AC112" s="492"/>
      <c r="AD112" s="492"/>
      <c r="AE112" s="492"/>
      <c r="AF112" s="492"/>
      <c r="AG112" s="492"/>
      <c r="AH112" s="492"/>
      <c r="AI112" s="492"/>
      <c r="AJ112" s="492"/>
      <c r="AK112" s="492"/>
      <c r="AL112" s="492"/>
      <c r="AM112" s="492"/>
      <c r="AN112" s="492"/>
    </row>
    <row r="113" spans="1:40" ht="15.75" customHeight="1">
      <c r="A113" s="477" t="s">
        <v>297</v>
      </c>
      <c r="B113" s="492" t="s">
        <v>73</v>
      </c>
      <c r="C113" s="501" t="s">
        <v>32</v>
      </c>
      <c r="D113" s="624">
        <v>0.3</v>
      </c>
      <c r="E113" s="557">
        <v>570</v>
      </c>
      <c r="F113" s="503">
        <v>17100</v>
      </c>
      <c r="G113" s="558"/>
      <c r="H113" s="557"/>
      <c r="I113" s="503"/>
      <c r="J113" s="558">
        <v>-0.72612286735665543</v>
      </c>
      <c r="K113" s="557">
        <v>-1787.7084</v>
      </c>
      <c r="L113" s="511">
        <v>-44692.71</v>
      </c>
      <c r="M113" s="501"/>
      <c r="N113" s="559">
        <v>-61792.71</v>
      </c>
      <c r="O113" s="560">
        <v>0.23581275913631064</v>
      </c>
      <c r="P113" s="557">
        <v>321.524</v>
      </c>
      <c r="Q113" s="511">
        <v>8038.1</v>
      </c>
      <c r="R113" s="501"/>
      <c r="S113" s="559">
        <v>-52730.81</v>
      </c>
      <c r="T113" s="492"/>
      <c r="U113" s="492"/>
      <c r="V113" s="492"/>
      <c r="W113" s="492"/>
      <c r="X113" s="492"/>
      <c r="Y113" s="492"/>
      <c r="Z113" s="492"/>
      <c r="AA113" s="492"/>
      <c r="AB113" s="492"/>
      <c r="AC113" s="492"/>
      <c r="AD113" s="492"/>
      <c r="AE113" s="492"/>
      <c r="AF113" s="492"/>
      <c r="AG113" s="492"/>
      <c r="AH113" s="492"/>
      <c r="AI113" s="492"/>
      <c r="AJ113" s="492"/>
      <c r="AK113" s="492"/>
      <c r="AL113" s="492"/>
      <c r="AM113" s="492"/>
      <c r="AN113" s="492"/>
    </row>
    <row r="114" spans="1:40" ht="15.75" customHeight="1">
      <c r="A114" s="477" t="s">
        <v>298</v>
      </c>
      <c r="B114" s="492" t="s">
        <v>73</v>
      </c>
      <c r="C114" s="508" t="s">
        <v>33</v>
      </c>
      <c r="D114" s="561"/>
      <c r="E114" s="550">
        <v>8</v>
      </c>
      <c r="F114" s="509">
        <v>240</v>
      </c>
      <c r="G114" s="562"/>
      <c r="H114" s="550"/>
      <c r="I114" s="509"/>
      <c r="J114" s="508"/>
      <c r="K114" s="550">
        <v>-137.27799999999999</v>
      </c>
      <c r="L114" s="530">
        <v>-3431.95</v>
      </c>
      <c r="M114" s="508"/>
      <c r="N114" s="534">
        <v>-3671.95</v>
      </c>
      <c r="O114" s="508"/>
      <c r="P114" s="550">
        <v>-0.61240000000000006</v>
      </c>
      <c r="Q114" s="530">
        <v>-15.31</v>
      </c>
      <c r="R114" s="508"/>
      <c r="S114" s="534">
        <v>-3416.64</v>
      </c>
      <c r="T114" s="492"/>
      <c r="U114" s="489"/>
      <c r="V114" s="492"/>
      <c r="W114" s="509"/>
      <c r="X114" s="492"/>
      <c r="Y114" s="492"/>
      <c r="Z114" s="492"/>
      <c r="AA114" s="492"/>
      <c r="AB114" s="492"/>
      <c r="AC114" s="492"/>
      <c r="AD114" s="492"/>
      <c r="AE114" s="492"/>
      <c r="AF114" s="492"/>
      <c r="AG114" s="492"/>
      <c r="AH114" s="492"/>
      <c r="AI114" s="492"/>
      <c r="AJ114" s="492"/>
      <c r="AK114" s="492"/>
      <c r="AL114" s="492"/>
      <c r="AM114" s="492"/>
      <c r="AN114" s="492"/>
    </row>
    <row r="115" spans="1:40" ht="15.75" customHeight="1">
      <c r="A115" s="477" t="s">
        <v>299</v>
      </c>
      <c r="B115" s="492" t="s">
        <v>73</v>
      </c>
      <c r="C115" s="508" t="s">
        <v>34</v>
      </c>
      <c r="D115" s="561"/>
      <c r="E115" s="550">
        <v>45</v>
      </c>
      <c r="F115" s="509">
        <v>1350</v>
      </c>
      <c r="G115" s="562"/>
      <c r="H115" s="550"/>
      <c r="I115" s="509"/>
      <c r="J115" s="508"/>
      <c r="K115" s="550">
        <v>102.3424</v>
      </c>
      <c r="L115" s="511">
        <v>2558.56</v>
      </c>
      <c r="M115" s="508"/>
      <c r="N115" s="534">
        <v>1208.56</v>
      </c>
      <c r="O115" s="508"/>
      <c r="P115" s="550">
        <v>90.911599999999993</v>
      </c>
      <c r="Q115" s="511">
        <v>2272.79</v>
      </c>
      <c r="R115" s="508"/>
      <c r="S115" s="534">
        <v>285.77</v>
      </c>
      <c r="T115" s="492"/>
      <c r="U115" s="492"/>
      <c r="V115" s="492"/>
      <c r="W115" s="509"/>
      <c r="X115" s="492"/>
      <c r="Y115" s="492"/>
      <c r="Z115" s="492"/>
      <c r="AA115" s="492"/>
      <c r="AB115" s="492"/>
      <c r="AC115" s="492"/>
      <c r="AD115" s="492"/>
      <c r="AE115" s="492"/>
      <c r="AF115" s="492"/>
      <c r="AG115" s="492"/>
      <c r="AH115" s="492"/>
      <c r="AI115" s="492"/>
      <c r="AJ115" s="492"/>
      <c r="AK115" s="492"/>
      <c r="AL115" s="492"/>
      <c r="AM115" s="492"/>
      <c r="AN115" s="492"/>
    </row>
    <row r="116" spans="1:40" ht="15.75" customHeight="1">
      <c r="A116" s="477" t="s">
        <v>300</v>
      </c>
      <c r="B116" s="492" t="s">
        <v>73</v>
      </c>
      <c r="C116" s="501" t="s">
        <v>35</v>
      </c>
      <c r="D116" s="563"/>
      <c r="E116" s="557">
        <v>160</v>
      </c>
      <c r="F116" s="503">
        <v>4800</v>
      </c>
      <c r="G116" s="564"/>
      <c r="H116" s="557"/>
      <c r="I116" s="503"/>
      <c r="J116" s="501"/>
      <c r="K116" s="557">
        <v>139.25919999999999</v>
      </c>
      <c r="L116" s="503">
        <v>3481.48</v>
      </c>
      <c r="M116" s="501"/>
      <c r="N116" s="559">
        <v>-1318.52</v>
      </c>
      <c r="O116" s="501"/>
      <c r="P116" s="557">
        <v>186.61279999999999</v>
      </c>
      <c r="Q116" s="503">
        <v>4665.32</v>
      </c>
      <c r="R116" s="501"/>
      <c r="S116" s="559">
        <v>-1183.8399999999997</v>
      </c>
      <c r="T116" s="492"/>
      <c r="U116" s="489"/>
      <c r="V116" s="492"/>
      <c r="W116" s="509"/>
      <c r="X116" s="492"/>
      <c r="Y116" s="492"/>
      <c r="Z116" s="492"/>
      <c r="AA116" s="492"/>
      <c r="AB116" s="492"/>
      <c r="AC116" s="492"/>
      <c r="AD116" s="492"/>
      <c r="AE116" s="492"/>
      <c r="AF116" s="492"/>
      <c r="AG116" s="492"/>
      <c r="AH116" s="492"/>
      <c r="AI116" s="492"/>
      <c r="AJ116" s="492"/>
      <c r="AK116" s="492"/>
      <c r="AL116" s="492"/>
      <c r="AM116" s="492"/>
      <c r="AN116" s="492"/>
    </row>
    <row r="117" spans="1:40" ht="19.5" customHeight="1">
      <c r="A117" s="477" t="s">
        <v>301</v>
      </c>
      <c r="B117" s="492" t="s">
        <v>73</v>
      </c>
      <c r="C117" s="508" t="s">
        <v>36</v>
      </c>
      <c r="D117" s="561"/>
      <c r="E117" s="550">
        <v>409.4</v>
      </c>
      <c r="F117" s="509">
        <v>12282</v>
      </c>
      <c r="G117" s="562"/>
      <c r="H117" s="550"/>
      <c r="I117" s="509"/>
      <c r="J117" s="508"/>
      <c r="K117" s="550">
        <v>488.86080000000004</v>
      </c>
      <c r="L117" s="511">
        <v>12221.52</v>
      </c>
      <c r="M117" s="508"/>
      <c r="N117" s="534">
        <v>-60.479999999999563</v>
      </c>
      <c r="O117" s="508"/>
      <c r="P117" s="550">
        <v>424.94040000000001</v>
      </c>
      <c r="Q117" s="511">
        <v>10623.51</v>
      </c>
      <c r="R117" s="508"/>
      <c r="S117" s="534">
        <v>1598.0100000000002</v>
      </c>
      <c r="T117" s="492"/>
      <c r="U117" s="492"/>
      <c r="V117" s="492"/>
      <c r="W117" s="509"/>
      <c r="Z117" s="492"/>
      <c r="AA117" s="492"/>
      <c r="AB117" s="492"/>
      <c r="AC117" s="492"/>
      <c r="AD117" s="492"/>
      <c r="AE117" s="492"/>
      <c r="AF117" s="492"/>
      <c r="AG117" s="492"/>
      <c r="AH117" s="492"/>
      <c r="AI117" s="492"/>
      <c r="AJ117" s="492"/>
      <c r="AK117" s="492"/>
      <c r="AL117" s="492"/>
      <c r="AM117" s="492"/>
      <c r="AN117" s="492"/>
    </row>
    <row r="118" spans="1:40" ht="15.75" customHeight="1">
      <c r="A118" s="477" t="s">
        <v>302</v>
      </c>
      <c r="B118" s="492" t="s">
        <v>73</v>
      </c>
      <c r="C118" s="508" t="s">
        <v>37</v>
      </c>
      <c r="D118" s="561"/>
      <c r="E118" s="550">
        <v>215.82389210019267</v>
      </c>
      <c r="F118" s="509">
        <v>6474.7167630057802</v>
      </c>
      <c r="G118" s="562"/>
      <c r="H118" s="550"/>
      <c r="I118" s="509"/>
      <c r="J118" s="508"/>
      <c r="K118" s="550">
        <v>57.770800000000001</v>
      </c>
      <c r="L118" s="511">
        <v>1444.27</v>
      </c>
      <c r="M118" s="508"/>
      <c r="N118" s="534">
        <v>-5030.4467630057807</v>
      </c>
      <c r="O118" s="508"/>
      <c r="P118" s="550">
        <v>78.056399999999996</v>
      </c>
      <c r="Q118" s="511">
        <v>1951.41</v>
      </c>
      <c r="R118" s="508"/>
      <c r="S118" s="534">
        <v>-507.1400000000001</v>
      </c>
      <c r="T118" s="492"/>
      <c r="U118" s="492"/>
      <c r="V118" s="492"/>
      <c r="W118" s="509"/>
      <c r="X118" s="492"/>
      <c r="Y118" s="492"/>
      <c r="Z118" s="492"/>
      <c r="AA118" s="492"/>
      <c r="AB118" s="492"/>
      <c r="AC118" s="492"/>
      <c r="AD118" s="492"/>
      <c r="AE118" s="492"/>
      <c r="AF118" s="492"/>
      <c r="AG118" s="492"/>
      <c r="AH118" s="492"/>
      <c r="AI118" s="492"/>
      <c r="AJ118" s="492"/>
      <c r="AK118" s="492"/>
      <c r="AL118" s="492"/>
      <c r="AM118" s="492"/>
      <c r="AN118" s="492"/>
    </row>
    <row r="119" spans="1:40" ht="15.75" hidden="1" customHeight="1">
      <c r="A119" s="477" t="s">
        <v>303</v>
      </c>
      <c r="B119" s="492" t="s">
        <v>73</v>
      </c>
      <c r="C119" s="508" t="s">
        <v>20</v>
      </c>
      <c r="D119" s="561"/>
      <c r="E119" s="550">
        <v>0</v>
      </c>
      <c r="F119" s="509">
        <v>0</v>
      </c>
      <c r="G119" s="562"/>
      <c r="H119" s="550"/>
      <c r="I119" s="509"/>
      <c r="J119" s="508"/>
      <c r="K119" s="550">
        <v>0</v>
      </c>
      <c r="L119" s="511">
        <v>0</v>
      </c>
      <c r="M119" s="508"/>
      <c r="N119" s="534">
        <v>0</v>
      </c>
      <c r="O119" s="508"/>
      <c r="P119" s="550">
        <v>0</v>
      </c>
      <c r="Q119" s="511">
        <v>0</v>
      </c>
      <c r="R119" s="508"/>
      <c r="S119" s="534">
        <v>0</v>
      </c>
      <c r="T119" s="492"/>
      <c r="U119" s="492"/>
      <c r="V119" s="492"/>
      <c r="W119" s="492"/>
      <c r="X119" s="492"/>
      <c r="Y119" s="492"/>
      <c r="Z119" s="492"/>
      <c r="AA119" s="492"/>
      <c r="AB119" s="492"/>
      <c r="AC119" s="492"/>
      <c r="AD119" s="492"/>
      <c r="AE119" s="492"/>
      <c r="AF119" s="492"/>
      <c r="AG119" s="492"/>
      <c r="AH119" s="492"/>
      <c r="AI119" s="492"/>
      <c r="AJ119" s="492"/>
      <c r="AK119" s="492"/>
      <c r="AL119" s="492"/>
      <c r="AM119" s="492"/>
      <c r="AN119" s="492"/>
    </row>
    <row r="120" spans="1:40" ht="15.75" hidden="1" customHeight="1">
      <c r="A120" s="477" t="s">
        <v>303</v>
      </c>
      <c r="B120" s="492" t="s">
        <v>73</v>
      </c>
      <c r="C120" s="508" t="s">
        <v>20</v>
      </c>
      <c r="D120" s="561"/>
      <c r="E120" s="550">
        <v>0</v>
      </c>
      <c r="F120" s="509">
        <v>0</v>
      </c>
      <c r="G120" s="562"/>
      <c r="H120" s="550"/>
      <c r="I120" s="509"/>
      <c r="J120" s="508"/>
      <c r="K120" s="550">
        <v>0</v>
      </c>
      <c r="L120" s="511">
        <v>0</v>
      </c>
      <c r="M120" s="508"/>
      <c r="N120" s="534">
        <v>0</v>
      </c>
      <c r="O120" s="508"/>
      <c r="P120" s="550">
        <v>0</v>
      </c>
      <c r="Q120" s="511">
        <v>0</v>
      </c>
      <c r="R120" s="508"/>
      <c r="S120" s="534">
        <v>0</v>
      </c>
      <c r="T120" s="492"/>
      <c r="U120" s="492"/>
      <c r="V120" s="492"/>
      <c r="W120" s="492"/>
      <c r="X120" s="492"/>
      <c r="Y120" s="492"/>
      <c r="Z120" s="492"/>
      <c r="AA120" s="492"/>
      <c r="AB120" s="492"/>
      <c r="AC120" s="492"/>
      <c r="AD120" s="492"/>
      <c r="AE120" s="492"/>
      <c r="AF120" s="492"/>
      <c r="AG120" s="492"/>
      <c r="AH120" s="492"/>
      <c r="AI120" s="492"/>
      <c r="AJ120" s="492"/>
      <c r="AK120" s="492"/>
      <c r="AL120" s="492"/>
      <c r="AM120" s="492"/>
      <c r="AN120" s="492"/>
    </row>
    <row r="121" spans="1:40" ht="15.75" hidden="1" customHeight="1">
      <c r="A121" s="477" t="s">
        <v>303</v>
      </c>
      <c r="B121" s="492" t="s">
        <v>73</v>
      </c>
      <c r="C121" s="508" t="s">
        <v>20</v>
      </c>
      <c r="D121" s="561"/>
      <c r="E121" s="550">
        <v>0</v>
      </c>
      <c r="F121" s="509">
        <v>0</v>
      </c>
      <c r="G121" s="562"/>
      <c r="H121" s="550"/>
      <c r="I121" s="509"/>
      <c r="J121" s="508"/>
      <c r="K121" s="550">
        <v>0</v>
      </c>
      <c r="L121" s="511">
        <v>0</v>
      </c>
      <c r="M121" s="508"/>
      <c r="N121" s="534">
        <v>0</v>
      </c>
      <c r="O121" s="508"/>
      <c r="P121" s="550">
        <v>0</v>
      </c>
      <c r="Q121" s="511">
        <v>0</v>
      </c>
      <c r="R121" s="508"/>
      <c r="S121" s="534">
        <v>0</v>
      </c>
      <c r="T121" s="492"/>
      <c r="U121" s="492"/>
      <c r="V121" s="492"/>
      <c r="W121" s="492"/>
      <c r="X121" s="492"/>
      <c r="Y121" s="492"/>
      <c r="Z121" s="492"/>
      <c r="AA121" s="492"/>
      <c r="AB121" s="492"/>
      <c r="AC121" s="492"/>
      <c r="AD121" s="492"/>
      <c r="AE121" s="492"/>
      <c r="AF121" s="492"/>
      <c r="AG121" s="492"/>
      <c r="AH121" s="492"/>
      <c r="AI121" s="492"/>
      <c r="AJ121" s="492"/>
      <c r="AK121" s="492"/>
      <c r="AL121" s="492"/>
      <c r="AM121" s="492"/>
      <c r="AN121" s="492"/>
    </row>
    <row r="122" spans="1:40" ht="15.75" customHeight="1">
      <c r="A122" s="477" t="s">
        <v>304</v>
      </c>
      <c r="B122" s="492" t="s">
        <v>73</v>
      </c>
      <c r="C122" s="568" t="s">
        <v>38</v>
      </c>
      <c r="D122" s="569" t="s">
        <v>39</v>
      </c>
      <c r="E122" s="570">
        <v>0.51062610242291873</v>
      </c>
      <c r="F122" s="571">
        <v>58109.25045572815</v>
      </c>
      <c r="G122" s="572"/>
      <c r="H122" s="570"/>
      <c r="I122" s="571"/>
      <c r="J122" s="572" t="s">
        <v>39</v>
      </c>
      <c r="K122" s="570">
        <v>-0.13570630364027697</v>
      </c>
      <c r="L122" s="571">
        <v>-14216.799999999996</v>
      </c>
      <c r="M122" s="575"/>
      <c r="N122" s="571">
        <v>-72326.050455728138</v>
      </c>
      <c r="O122" s="572" t="s">
        <v>39</v>
      </c>
      <c r="P122" s="570">
        <v>0.80811392721558695</v>
      </c>
      <c r="Q122" s="571">
        <v>41564.160000000003</v>
      </c>
      <c r="R122" s="575"/>
      <c r="S122" s="571">
        <v>-55780.959999999999</v>
      </c>
      <c r="T122" s="492"/>
      <c r="U122" s="492"/>
      <c r="X122" s="492"/>
      <c r="Y122" s="492"/>
      <c r="Z122" s="492"/>
      <c r="AA122" s="492"/>
      <c r="AB122" s="492"/>
      <c r="AC122" s="492"/>
      <c r="AD122" s="492"/>
      <c r="AE122" s="492"/>
      <c r="AF122" s="492"/>
      <c r="AG122" s="492"/>
      <c r="AH122" s="492"/>
      <c r="AI122" s="492"/>
      <c r="AJ122" s="492"/>
      <c r="AK122" s="492"/>
      <c r="AL122" s="492"/>
      <c r="AM122" s="492"/>
      <c r="AN122" s="492"/>
    </row>
    <row r="123" spans="1:40" ht="15.75" customHeight="1">
      <c r="A123" s="477" t="s">
        <v>305</v>
      </c>
      <c r="B123" s="492" t="s">
        <v>73</v>
      </c>
      <c r="C123" s="576" t="s">
        <v>41</v>
      </c>
      <c r="D123" s="492"/>
      <c r="E123" s="492"/>
      <c r="F123" s="509">
        <v>10460.983974358975</v>
      </c>
      <c r="G123" s="508"/>
      <c r="H123" s="492"/>
      <c r="I123" s="509"/>
      <c r="J123" s="508"/>
      <c r="K123" s="492"/>
      <c r="L123" s="511">
        <v>7843.68</v>
      </c>
      <c r="M123" s="508"/>
      <c r="N123" s="534">
        <v>-2617.3039743589743</v>
      </c>
      <c r="O123" s="508"/>
      <c r="P123" s="492"/>
      <c r="Q123" s="511">
        <v>9767.6299999999992</v>
      </c>
      <c r="R123" s="508"/>
      <c r="S123" s="534">
        <v>-1923.9499999999989</v>
      </c>
      <c r="T123" s="492"/>
      <c r="U123" s="492"/>
      <c r="V123" s="492"/>
      <c r="W123" s="492"/>
      <c r="X123" s="492"/>
      <c r="Y123" s="492"/>
      <c r="Z123" s="492"/>
      <c r="AA123" s="492"/>
      <c r="AB123" s="492"/>
      <c r="AC123" s="492"/>
      <c r="AD123" s="492"/>
      <c r="AE123" s="492"/>
      <c r="AF123" s="492"/>
      <c r="AG123" s="492"/>
      <c r="AH123" s="492"/>
      <c r="AI123" s="492"/>
      <c r="AJ123" s="492"/>
      <c r="AK123" s="492"/>
      <c r="AL123" s="492"/>
      <c r="AM123" s="492"/>
      <c r="AN123" s="492"/>
    </row>
    <row r="124" spans="1:40" ht="15.75" customHeight="1">
      <c r="A124" s="477" t="s">
        <v>306</v>
      </c>
      <c r="B124" s="492" t="s">
        <v>73</v>
      </c>
      <c r="C124" s="578" t="s">
        <v>42</v>
      </c>
      <c r="D124" s="561"/>
      <c r="E124" s="492"/>
      <c r="F124" s="503">
        <v>10493.323076923078</v>
      </c>
      <c r="G124" s="562"/>
      <c r="H124" s="492"/>
      <c r="I124" s="503"/>
      <c r="J124" s="508"/>
      <c r="K124" s="492"/>
      <c r="L124" s="503">
        <v>3121.3</v>
      </c>
      <c r="M124" s="508"/>
      <c r="N124" s="534">
        <v>-7372.0230769230775</v>
      </c>
      <c r="O124" s="508"/>
      <c r="P124" s="492"/>
      <c r="Q124" s="503">
        <v>1850.37</v>
      </c>
      <c r="R124" s="508"/>
      <c r="S124" s="534">
        <v>1270.9300000000003</v>
      </c>
      <c r="T124" s="492"/>
      <c r="U124" s="492"/>
      <c r="V124" s="492"/>
      <c r="W124" s="492"/>
      <c r="X124" s="492"/>
      <c r="Y124" s="492"/>
      <c r="Z124" s="492"/>
      <c r="AA124" s="492"/>
      <c r="AB124" s="492"/>
      <c r="AC124" s="492"/>
      <c r="AD124" s="492"/>
      <c r="AE124" s="492"/>
      <c r="AF124" s="492"/>
      <c r="AG124" s="492"/>
      <c r="AH124" s="492"/>
      <c r="AI124" s="492"/>
      <c r="AJ124" s="492"/>
      <c r="AK124" s="492"/>
      <c r="AL124" s="492"/>
      <c r="AM124" s="492"/>
      <c r="AN124" s="492"/>
    </row>
    <row r="125" spans="1:40" ht="15.75" customHeight="1">
      <c r="A125" s="477" t="s">
        <v>307</v>
      </c>
      <c r="B125" s="492" t="s">
        <v>73</v>
      </c>
      <c r="C125" s="576" t="s">
        <v>43</v>
      </c>
      <c r="D125" s="579"/>
      <c r="E125" s="580"/>
      <c r="F125" s="509">
        <v>4181.1153846153848</v>
      </c>
      <c r="G125" s="581"/>
      <c r="H125" s="580"/>
      <c r="I125" s="509"/>
      <c r="J125" s="496"/>
      <c r="K125" s="580"/>
      <c r="L125" s="511">
        <v>3559.25</v>
      </c>
      <c r="M125" s="496"/>
      <c r="N125" s="582">
        <v>-621.86538461538476</v>
      </c>
      <c r="O125" s="496"/>
      <c r="P125" s="580"/>
      <c r="Q125" s="511">
        <v>5075.26</v>
      </c>
      <c r="R125" s="496"/>
      <c r="S125" s="582">
        <v>-1516.0100000000002</v>
      </c>
      <c r="T125" s="492"/>
      <c r="U125" s="492"/>
      <c r="V125" s="492"/>
      <c r="W125" s="492"/>
      <c r="X125" s="492"/>
      <c r="Y125" s="492"/>
      <c r="Z125" s="492"/>
      <c r="AA125" s="492"/>
      <c r="AB125" s="492"/>
      <c r="AC125" s="492"/>
      <c r="AD125" s="492"/>
      <c r="AE125" s="492"/>
      <c r="AF125" s="492"/>
      <c r="AG125" s="492"/>
      <c r="AH125" s="492"/>
      <c r="AI125" s="492"/>
      <c r="AJ125" s="492"/>
      <c r="AK125" s="492"/>
      <c r="AL125" s="492"/>
      <c r="AM125" s="492"/>
      <c r="AN125" s="492"/>
    </row>
    <row r="126" spans="1:40" ht="15.75" customHeight="1">
      <c r="A126" s="477" t="s">
        <v>308</v>
      </c>
      <c r="B126" s="492" t="s">
        <v>73</v>
      </c>
      <c r="C126" s="576" t="s">
        <v>44</v>
      </c>
      <c r="D126" s="561"/>
      <c r="E126" s="492"/>
      <c r="F126" s="509">
        <v>0</v>
      </c>
      <c r="G126" s="562"/>
      <c r="H126" s="492"/>
      <c r="I126" s="509"/>
      <c r="J126" s="508"/>
      <c r="K126" s="492"/>
      <c r="L126" s="511">
        <v>0</v>
      </c>
      <c r="M126" s="508"/>
      <c r="N126" s="534">
        <v>0</v>
      </c>
      <c r="O126" s="508"/>
      <c r="P126" s="492"/>
      <c r="Q126" s="511">
        <v>0</v>
      </c>
      <c r="R126" s="508"/>
      <c r="S126" s="534">
        <v>0</v>
      </c>
      <c r="T126" s="492"/>
      <c r="U126" s="492"/>
      <c r="V126" s="492"/>
      <c r="W126" s="492"/>
      <c r="X126" s="492"/>
      <c r="Y126" s="492"/>
      <c r="Z126" s="492"/>
      <c r="AA126" s="492"/>
      <c r="AB126" s="492"/>
      <c r="AC126" s="492"/>
      <c r="AD126" s="492"/>
      <c r="AE126" s="492"/>
      <c r="AF126" s="492"/>
      <c r="AG126" s="492"/>
      <c r="AH126" s="492"/>
      <c r="AI126" s="492"/>
      <c r="AJ126" s="492"/>
      <c r="AK126" s="492"/>
      <c r="AL126" s="492"/>
      <c r="AM126" s="492"/>
      <c r="AN126" s="492"/>
    </row>
    <row r="127" spans="1:40" ht="15.75" hidden="1" customHeight="1">
      <c r="A127" s="477" t="s">
        <v>303</v>
      </c>
      <c r="B127" s="492" t="s">
        <v>73</v>
      </c>
      <c r="C127" s="576" t="s">
        <v>20</v>
      </c>
      <c r="D127" s="561"/>
      <c r="E127" s="492"/>
      <c r="F127" s="509">
        <v>0</v>
      </c>
      <c r="G127" s="562"/>
      <c r="H127" s="492"/>
      <c r="I127" s="509"/>
      <c r="J127" s="508"/>
      <c r="K127" s="492"/>
      <c r="L127" s="511">
        <v>0</v>
      </c>
      <c r="M127" s="508"/>
      <c r="N127" s="534">
        <v>0</v>
      </c>
      <c r="O127" s="508"/>
      <c r="P127" s="492"/>
      <c r="Q127" s="511">
        <v>0</v>
      </c>
      <c r="R127" s="508"/>
      <c r="S127" s="534">
        <v>0</v>
      </c>
      <c r="T127" s="492"/>
      <c r="U127" s="492"/>
      <c r="V127" s="492"/>
      <c r="W127" s="492"/>
      <c r="X127" s="492"/>
      <c r="Y127" s="492"/>
      <c r="Z127" s="492"/>
      <c r="AA127" s="492"/>
      <c r="AB127" s="492"/>
      <c r="AC127" s="492"/>
      <c r="AD127" s="492"/>
      <c r="AE127" s="492"/>
      <c r="AF127" s="492"/>
      <c r="AG127" s="492"/>
      <c r="AH127" s="492"/>
      <c r="AI127" s="492"/>
      <c r="AJ127" s="492"/>
      <c r="AK127" s="492"/>
      <c r="AL127" s="492"/>
      <c r="AM127" s="492"/>
      <c r="AN127" s="492"/>
    </row>
    <row r="128" spans="1:40" ht="15.75" hidden="1" customHeight="1">
      <c r="A128" s="477" t="s">
        <v>303</v>
      </c>
      <c r="B128" s="492" t="s">
        <v>73</v>
      </c>
      <c r="C128" s="576" t="s">
        <v>20</v>
      </c>
      <c r="D128" s="561"/>
      <c r="E128" s="492"/>
      <c r="F128" s="509">
        <v>0</v>
      </c>
      <c r="G128" s="562"/>
      <c r="H128" s="492"/>
      <c r="I128" s="509"/>
      <c r="J128" s="508"/>
      <c r="K128" s="492"/>
      <c r="L128" s="511">
        <v>0</v>
      </c>
      <c r="M128" s="508"/>
      <c r="N128" s="534">
        <v>0</v>
      </c>
      <c r="O128" s="508"/>
      <c r="P128" s="492"/>
      <c r="Q128" s="511">
        <v>0</v>
      </c>
      <c r="R128" s="508"/>
      <c r="S128" s="534">
        <v>0</v>
      </c>
      <c r="T128" s="492"/>
      <c r="U128" s="492"/>
      <c r="V128" s="492"/>
      <c r="W128" s="492"/>
      <c r="X128" s="492"/>
      <c r="Y128" s="492"/>
      <c r="Z128" s="492"/>
      <c r="AA128" s="492"/>
      <c r="AB128" s="492"/>
      <c r="AC128" s="492"/>
      <c r="AD128" s="492"/>
      <c r="AE128" s="492"/>
      <c r="AF128" s="492"/>
      <c r="AG128" s="492"/>
      <c r="AH128" s="492"/>
      <c r="AI128" s="492"/>
      <c r="AJ128" s="492"/>
      <c r="AK128" s="492"/>
      <c r="AL128" s="492"/>
      <c r="AM128" s="492"/>
      <c r="AN128" s="492"/>
    </row>
    <row r="129" spans="1:40" ht="15.75" hidden="1" customHeight="1">
      <c r="A129" s="477" t="s">
        <v>303</v>
      </c>
      <c r="B129" s="492" t="s">
        <v>73</v>
      </c>
      <c r="C129" s="576" t="s">
        <v>20</v>
      </c>
      <c r="D129" s="561"/>
      <c r="E129" s="492"/>
      <c r="F129" s="509">
        <v>0</v>
      </c>
      <c r="G129" s="562"/>
      <c r="H129" s="492"/>
      <c r="I129" s="509"/>
      <c r="J129" s="508"/>
      <c r="K129" s="492"/>
      <c r="L129" s="511">
        <v>0</v>
      </c>
      <c r="M129" s="508"/>
      <c r="N129" s="534">
        <v>0</v>
      </c>
      <c r="O129" s="508"/>
      <c r="P129" s="492"/>
      <c r="Q129" s="511">
        <v>0</v>
      </c>
      <c r="R129" s="508"/>
      <c r="S129" s="534">
        <v>0</v>
      </c>
      <c r="T129" s="492"/>
      <c r="U129" s="492"/>
      <c r="V129" s="492"/>
      <c r="W129" s="492"/>
      <c r="X129" s="492"/>
      <c r="Y129" s="492"/>
      <c r="Z129" s="492"/>
      <c r="AA129" s="492"/>
      <c r="AB129" s="492"/>
      <c r="AC129" s="492"/>
      <c r="AD129" s="492"/>
      <c r="AE129" s="492"/>
      <c r="AF129" s="492"/>
      <c r="AG129" s="492"/>
      <c r="AH129" s="492"/>
      <c r="AI129" s="492"/>
      <c r="AJ129" s="492"/>
      <c r="AK129" s="492"/>
      <c r="AL129" s="492"/>
      <c r="AM129" s="492"/>
      <c r="AN129" s="492"/>
    </row>
    <row r="130" spans="1:40" ht="15.75" customHeight="1">
      <c r="A130" s="477" t="s">
        <v>309</v>
      </c>
      <c r="B130" s="492" t="s">
        <v>73</v>
      </c>
      <c r="C130" s="578" t="s">
        <v>45</v>
      </c>
      <c r="D130" s="561"/>
      <c r="E130" s="492"/>
      <c r="F130" s="509">
        <v>8541.4729849358973</v>
      </c>
      <c r="G130" s="562"/>
      <c r="H130" s="492"/>
      <c r="I130" s="509"/>
      <c r="J130" s="508"/>
      <c r="K130" s="492"/>
      <c r="L130" s="511">
        <v>4173.8999999999996</v>
      </c>
      <c r="M130" s="508"/>
      <c r="N130" s="534">
        <v>-4367.5729849358977</v>
      </c>
      <c r="O130" s="508"/>
      <c r="P130" s="492"/>
      <c r="Q130" s="511">
        <v>6688.13</v>
      </c>
      <c r="R130" s="508"/>
      <c r="S130" s="534">
        <v>-2514.2300000000005</v>
      </c>
      <c r="T130" s="492"/>
      <c r="U130" s="492"/>
      <c r="V130" s="492"/>
      <c r="W130" s="492"/>
      <c r="X130" s="492"/>
      <c r="Y130" s="492"/>
      <c r="Z130" s="492"/>
      <c r="AA130" s="492"/>
      <c r="AB130" s="492"/>
      <c r="AC130" s="492"/>
      <c r="AD130" s="492"/>
      <c r="AE130" s="492"/>
      <c r="AF130" s="492"/>
      <c r="AG130" s="492"/>
      <c r="AH130" s="492"/>
      <c r="AI130" s="492"/>
      <c r="AJ130" s="492"/>
      <c r="AK130" s="492"/>
      <c r="AL130" s="492"/>
      <c r="AM130" s="492"/>
      <c r="AN130" s="492"/>
    </row>
    <row r="131" spans="1:40" ht="15.75" customHeight="1">
      <c r="A131" s="477" t="s">
        <v>310</v>
      </c>
      <c r="B131" s="492" t="s">
        <v>73</v>
      </c>
      <c r="C131" s="576" t="s">
        <v>46</v>
      </c>
      <c r="D131" s="579"/>
      <c r="E131" s="580"/>
      <c r="F131" s="529">
        <v>10385.227065384615</v>
      </c>
      <c r="G131" s="581"/>
      <c r="H131" s="580"/>
      <c r="I131" s="529"/>
      <c r="J131" s="496"/>
      <c r="K131" s="580"/>
      <c r="L131" s="530">
        <v>4149.34</v>
      </c>
      <c r="M131" s="496"/>
      <c r="N131" s="582">
        <v>-6235.8870653846152</v>
      </c>
      <c r="O131" s="496"/>
      <c r="P131" s="580"/>
      <c r="Q131" s="530">
        <v>9928.68</v>
      </c>
      <c r="R131" s="496"/>
      <c r="S131" s="582">
        <v>-5779.34</v>
      </c>
      <c r="T131" s="492"/>
      <c r="U131" s="492"/>
      <c r="V131" s="492"/>
      <c r="W131" s="492"/>
      <c r="X131" s="492"/>
      <c r="Y131" s="492"/>
      <c r="Z131" s="492"/>
      <c r="AA131" s="492"/>
      <c r="AB131" s="492"/>
      <c r="AC131" s="492"/>
      <c r="AD131" s="492"/>
      <c r="AE131" s="492"/>
      <c r="AF131" s="492"/>
      <c r="AG131" s="492"/>
      <c r="AH131" s="492"/>
      <c r="AI131" s="492"/>
      <c r="AJ131" s="492"/>
      <c r="AK131" s="492"/>
      <c r="AL131" s="492"/>
      <c r="AM131" s="492"/>
      <c r="AN131" s="492"/>
    </row>
    <row r="132" spans="1:40" ht="15.75" customHeight="1">
      <c r="A132" s="477" t="s">
        <v>311</v>
      </c>
      <c r="B132" s="492" t="s">
        <v>73</v>
      </c>
      <c r="C132" s="576" t="s">
        <v>47</v>
      </c>
      <c r="D132" s="561"/>
      <c r="E132" s="492"/>
      <c r="F132" s="509">
        <v>5350.6495967307692</v>
      </c>
      <c r="G132" s="562"/>
      <c r="H132" s="492"/>
      <c r="I132" s="509"/>
      <c r="J132" s="508"/>
      <c r="K132" s="492"/>
      <c r="L132" s="511">
        <v>2110.8200000000002</v>
      </c>
      <c r="M132" s="508"/>
      <c r="N132" s="534">
        <v>-3239.829596730769</v>
      </c>
      <c r="O132" s="508"/>
      <c r="P132" s="492"/>
      <c r="Q132" s="511">
        <v>5406.85</v>
      </c>
      <c r="R132" s="508"/>
      <c r="S132" s="534">
        <v>-3296.03</v>
      </c>
      <c r="T132" s="492"/>
      <c r="U132" s="492"/>
      <c r="V132" s="492"/>
      <c r="W132" s="492"/>
      <c r="X132" s="492"/>
      <c r="Y132" s="492"/>
      <c r="Z132" s="492"/>
      <c r="AA132" s="492"/>
      <c r="AB132" s="492"/>
      <c r="AC132" s="492"/>
      <c r="AD132" s="492"/>
      <c r="AE132" s="492"/>
      <c r="AF132" s="492"/>
      <c r="AG132" s="492"/>
      <c r="AH132" s="492"/>
      <c r="AI132" s="492"/>
      <c r="AJ132" s="492"/>
      <c r="AK132" s="492"/>
      <c r="AL132" s="492"/>
      <c r="AM132" s="492"/>
      <c r="AN132" s="492"/>
    </row>
    <row r="133" spans="1:40" ht="15.75" customHeight="1">
      <c r="A133" s="477" t="s">
        <v>312</v>
      </c>
      <c r="B133" s="492" t="s">
        <v>73</v>
      </c>
      <c r="C133" s="576" t="s">
        <v>48</v>
      </c>
      <c r="D133" s="561"/>
      <c r="E133" s="492"/>
      <c r="F133" s="509">
        <v>2332.913326282051</v>
      </c>
      <c r="G133" s="562"/>
      <c r="H133" s="492"/>
      <c r="I133" s="509"/>
      <c r="J133" s="508"/>
      <c r="K133" s="492"/>
      <c r="L133" s="511">
        <v>465.04</v>
      </c>
      <c r="M133" s="508"/>
      <c r="N133" s="534">
        <v>-1867.873326282051</v>
      </c>
      <c r="O133" s="508"/>
      <c r="P133" s="492"/>
      <c r="Q133" s="511">
        <v>1127.8900000000001</v>
      </c>
      <c r="R133" s="508"/>
      <c r="S133" s="534">
        <v>-662.85000000000014</v>
      </c>
      <c r="T133" s="492"/>
      <c r="U133" s="492"/>
      <c r="V133" s="492"/>
      <c r="W133" s="492"/>
      <c r="X133" s="492"/>
      <c r="Y133" s="492"/>
      <c r="Z133" s="492"/>
      <c r="AA133" s="492"/>
      <c r="AB133" s="492"/>
      <c r="AC133" s="492"/>
      <c r="AD133" s="492"/>
      <c r="AE133" s="492"/>
      <c r="AF133" s="492"/>
      <c r="AG133" s="492"/>
      <c r="AH133" s="492"/>
      <c r="AI133" s="492"/>
      <c r="AJ133" s="492"/>
      <c r="AK133" s="492"/>
      <c r="AL133" s="492"/>
      <c r="AM133" s="492"/>
      <c r="AN133" s="492"/>
    </row>
    <row r="134" spans="1:40" ht="15.75" hidden="1" customHeight="1">
      <c r="A134" s="477" t="s">
        <v>303</v>
      </c>
      <c r="B134" s="492" t="s">
        <v>73</v>
      </c>
      <c r="C134" s="508" t="s">
        <v>20</v>
      </c>
      <c r="D134" s="563"/>
      <c r="E134" s="583"/>
      <c r="F134" s="509">
        <v>0</v>
      </c>
      <c r="G134" s="564"/>
      <c r="H134" s="583"/>
      <c r="I134" s="509"/>
      <c r="J134" s="501"/>
      <c r="K134" s="583"/>
      <c r="L134" s="511">
        <v>0</v>
      </c>
      <c r="M134" s="501"/>
      <c r="N134" s="559">
        <v>0</v>
      </c>
      <c r="O134" s="501"/>
      <c r="P134" s="583"/>
      <c r="Q134" s="511">
        <v>0</v>
      </c>
      <c r="R134" s="501"/>
      <c r="S134" s="559">
        <v>0</v>
      </c>
      <c r="T134" s="492"/>
      <c r="U134" s="492"/>
      <c r="V134" s="492"/>
      <c r="W134" s="492"/>
      <c r="X134" s="492"/>
      <c r="Y134" s="492"/>
      <c r="Z134" s="492"/>
      <c r="AA134" s="492"/>
      <c r="AB134" s="492"/>
      <c r="AC134" s="492"/>
      <c r="AD134" s="492"/>
      <c r="AE134" s="492"/>
      <c r="AF134" s="492"/>
      <c r="AG134" s="492"/>
      <c r="AH134" s="492"/>
      <c r="AI134" s="492"/>
      <c r="AJ134" s="492"/>
      <c r="AK134" s="492"/>
      <c r="AL134" s="492"/>
      <c r="AM134" s="492"/>
      <c r="AN134" s="492"/>
    </row>
    <row r="135" spans="1:40" ht="15.75" customHeight="1">
      <c r="A135" s="477" t="s">
        <v>313</v>
      </c>
      <c r="B135" s="492" t="s">
        <v>73</v>
      </c>
      <c r="C135" s="568" t="s">
        <v>49</v>
      </c>
      <c r="D135" s="569" t="s">
        <v>39</v>
      </c>
      <c r="E135" s="570">
        <v>0.4547072531566852</v>
      </c>
      <c r="F135" s="571">
        <v>51745.685409230777</v>
      </c>
      <c r="G135" s="572"/>
      <c r="H135" s="570"/>
      <c r="I135" s="571"/>
      <c r="J135" s="572" t="s">
        <v>39</v>
      </c>
      <c r="K135" s="570">
        <v>0.24267810903487169</v>
      </c>
      <c r="L135" s="571">
        <v>25423.329999999998</v>
      </c>
      <c r="M135" s="625"/>
      <c r="N135" s="585">
        <v>-26322.355409230779</v>
      </c>
      <c r="O135" s="572" t="s">
        <v>39</v>
      </c>
      <c r="P135" s="570">
        <v>0.77468535123190008</v>
      </c>
      <c r="Q135" s="571">
        <v>39844.810000000005</v>
      </c>
      <c r="R135" s="625"/>
      <c r="S135" s="585">
        <v>-14421.480000000007</v>
      </c>
      <c r="T135" s="492"/>
      <c r="U135" s="492"/>
      <c r="V135" s="492"/>
      <c r="W135" s="492"/>
      <c r="X135" s="492"/>
      <c r="Y135" s="492"/>
      <c r="Z135" s="492"/>
      <c r="AA135" s="492"/>
      <c r="AB135" s="492"/>
      <c r="AC135" s="492"/>
      <c r="AD135" s="492"/>
      <c r="AE135" s="492"/>
      <c r="AF135" s="492"/>
      <c r="AG135" s="492"/>
      <c r="AH135" s="492"/>
      <c r="AI135" s="492"/>
      <c r="AJ135" s="492"/>
      <c r="AK135" s="492"/>
      <c r="AL135" s="492"/>
      <c r="AM135" s="492"/>
      <c r="AN135" s="492"/>
    </row>
    <row r="136" spans="1:40" ht="15.75" hidden="1" customHeight="1">
      <c r="A136" s="477" t="s">
        <v>314</v>
      </c>
      <c r="B136" s="492" t="s">
        <v>73</v>
      </c>
      <c r="C136" s="508" t="s">
        <v>50</v>
      </c>
      <c r="D136" s="561"/>
      <c r="E136" s="492"/>
      <c r="F136" s="509">
        <v>0</v>
      </c>
      <c r="G136" s="562"/>
      <c r="H136" s="492"/>
      <c r="I136" s="509"/>
      <c r="J136" s="508"/>
      <c r="K136" s="492"/>
      <c r="L136" s="511">
        <v>0</v>
      </c>
      <c r="M136" s="508"/>
      <c r="N136" s="534">
        <v>0</v>
      </c>
      <c r="O136" s="508"/>
      <c r="P136" s="492"/>
      <c r="Q136" s="511">
        <v>0</v>
      </c>
      <c r="R136" s="508"/>
      <c r="S136" s="534">
        <v>0</v>
      </c>
      <c r="T136" s="492"/>
      <c r="U136" s="492"/>
      <c r="V136" s="492"/>
      <c r="W136" s="492"/>
      <c r="X136" s="492"/>
      <c r="Y136" s="492"/>
      <c r="Z136" s="492"/>
      <c r="AA136" s="492"/>
      <c r="AB136" s="492"/>
      <c r="AC136" s="492"/>
      <c r="AD136" s="492"/>
      <c r="AE136" s="492"/>
      <c r="AF136" s="492"/>
      <c r="AG136" s="492"/>
      <c r="AH136" s="492"/>
      <c r="AI136" s="492"/>
      <c r="AJ136" s="492"/>
      <c r="AK136" s="492"/>
      <c r="AL136" s="492"/>
      <c r="AM136" s="492"/>
      <c r="AN136" s="492"/>
    </row>
    <row r="137" spans="1:40" ht="15.75" hidden="1" customHeight="1">
      <c r="A137" s="477" t="s">
        <v>315</v>
      </c>
      <c r="B137" s="492" t="s">
        <v>73</v>
      </c>
      <c r="C137" s="508" t="s">
        <v>51</v>
      </c>
      <c r="D137" s="561"/>
      <c r="E137" s="492"/>
      <c r="F137" s="509">
        <v>0</v>
      </c>
      <c r="G137" s="562"/>
      <c r="H137" s="492"/>
      <c r="I137" s="509"/>
      <c r="J137" s="508"/>
      <c r="K137" s="492"/>
      <c r="L137" s="511">
        <v>0</v>
      </c>
      <c r="M137" s="508"/>
      <c r="N137" s="534">
        <v>0</v>
      </c>
      <c r="O137" s="508"/>
      <c r="P137" s="492"/>
      <c r="Q137" s="511">
        <v>0</v>
      </c>
      <c r="R137" s="508"/>
      <c r="S137" s="534">
        <v>0</v>
      </c>
      <c r="T137" s="492"/>
      <c r="U137" s="492"/>
      <c r="V137" s="492"/>
      <c r="W137" s="492"/>
      <c r="X137" s="492"/>
      <c r="Y137" s="492"/>
      <c r="Z137" s="492"/>
      <c r="AA137" s="492"/>
      <c r="AB137" s="492"/>
      <c r="AC137" s="492"/>
      <c r="AD137" s="492"/>
      <c r="AE137" s="492"/>
      <c r="AF137" s="492"/>
      <c r="AG137" s="492"/>
      <c r="AH137" s="492"/>
      <c r="AI137" s="492"/>
      <c r="AJ137" s="492"/>
      <c r="AK137" s="492"/>
      <c r="AL137" s="492"/>
      <c r="AM137" s="492"/>
      <c r="AN137" s="492"/>
    </row>
    <row r="138" spans="1:40" ht="15.75" customHeight="1">
      <c r="A138" s="477" t="s">
        <v>316</v>
      </c>
      <c r="B138" s="492" t="s">
        <v>73</v>
      </c>
      <c r="C138" s="501" t="s">
        <v>52</v>
      </c>
      <c r="D138" s="563"/>
      <c r="E138" s="583"/>
      <c r="F138" s="503">
        <v>1284.1532888888889</v>
      </c>
      <c r="G138" s="564"/>
      <c r="H138" s="583"/>
      <c r="I138" s="503"/>
      <c r="J138" s="501"/>
      <c r="K138" s="583"/>
      <c r="L138" s="503">
        <v>1374.32</v>
      </c>
      <c r="M138" s="501"/>
      <c r="N138" s="559">
        <v>90.166711111110999</v>
      </c>
      <c r="O138" s="501"/>
      <c r="P138" s="583"/>
      <c r="Q138" s="503">
        <v>764.51</v>
      </c>
      <c r="R138" s="501"/>
      <c r="S138" s="559">
        <v>609.80999999999995</v>
      </c>
      <c r="T138" s="492"/>
      <c r="U138" s="489"/>
      <c r="V138" s="492"/>
      <c r="W138" s="492"/>
      <c r="X138" s="492"/>
      <c r="Y138" s="492"/>
      <c r="Z138" s="492"/>
      <c r="AA138" s="492"/>
      <c r="AB138" s="492"/>
      <c r="AC138" s="492"/>
      <c r="AD138" s="492"/>
      <c r="AE138" s="492"/>
      <c r="AF138" s="492"/>
      <c r="AG138" s="492"/>
      <c r="AH138" s="492"/>
      <c r="AI138" s="492"/>
      <c r="AJ138" s="492"/>
      <c r="AK138" s="492"/>
      <c r="AL138" s="492"/>
      <c r="AM138" s="492"/>
      <c r="AN138" s="492"/>
    </row>
    <row r="139" spans="1:40" ht="15.75" customHeight="1">
      <c r="A139" s="477" t="s">
        <v>317</v>
      </c>
      <c r="B139" s="492" t="s">
        <v>73</v>
      </c>
      <c r="C139" s="508" t="s">
        <v>53</v>
      </c>
      <c r="D139" s="561"/>
      <c r="E139" s="492"/>
      <c r="F139" s="509">
        <v>3757.6856226933323</v>
      </c>
      <c r="G139" s="562"/>
      <c r="H139" s="492"/>
      <c r="I139" s="509"/>
      <c r="J139" s="508"/>
      <c r="K139" s="492"/>
      <c r="L139" s="511">
        <v>3227.02</v>
      </c>
      <c r="M139" s="508"/>
      <c r="N139" s="534">
        <v>-530.66562269333235</v>
      </c>
      <c r="O139" s="508"/>
      <c r="P139" s="492"/>
      <c r="Q139" s="511">
        <v>4505.46</v>
      </c>
      <c r="R139" s="508"/>
      <c r="S139" s="534">
        <v>-1278.44</v>
      </c>
      <c r="T139" s="492"/>
      <c r="U139" s="492"/>
      <c r="V139" s="492"/>
      <c r="W139" s="492"/>
      <c r="X139" s="492"/>
      <c r="Y139" s="492"/>
      <c r="Z139" s="492"/>
      <c r="AA139" s="492"/>
      <c r="AB139" s="492"/>
      <c r="AC139" s="492"/>
      <c r="AD139" s="492"/>
      <c r="AE139" s="492"/>
      <c r="AF139" s="492"/>
      <c r="AG139" s="492"/>
      <c r="AH139" s="492"/>
      <c r="AI139" s="492"/>
      <c r="AJ139" s="492"/>
      <c r="AK139" s="492"/>
      <c r="AL139" s="492"/>
      <c r="AM139" s="492"/>
      <c r="AN139" s="492"/>
    </row>
    <row r="140" spans="1:40" ht="15.75" customHeight="1">
      <c r="A140" s="477" t="s">
        <v>318</v>
      </c>
      <c r="B140" s="492" t="s">
        <v>73</v>
      </c>
      <c r="C140" s="508" t="s">
        <v>54</v>
      </c>
      <c r="D140" s="561"/>
      <c r="E140" s="492"/>
      <c r="F140" s="509">
        <v>555.6702437740496</v>
      </c>
      <c r="G140" s="562"/>
      <c r="H140" s="492"/>
      <c r="I140" s="509"/>
      <c r="J140" s="508"/>
      <c r="K140" s="492"/>
      <c r="L140" s="511">
        <v>348.29</v>
      </c>
      <c r="M140" s="508"/>
      <c r="N140" s="534">
        <v>-207.38024377404957</v>
      </c>
      <c r="O140" s="508"/>
      <c r="P140" s="492"/>
      <c r="Q140" s="511">
        <v>767.58</v>
      </c>
      <c r="R140" s="508"/>
      <c r="S140" s="534">
        <v>-419.29</v>
      </c>
      <c r="T140" s="623"/>
      <c r="U140" s="492"/>
      <c r="V140" s="492"/>
      <c r="W140" s="492"/>
      <c r="X140" s="492"/>
      <c r="Y140" s="492"/>
      <c r="Z140" s="492"/>
      <c r="AA140" s="492"/>
      <c r="AB140" s="492"/>
      <c r="AC140" s="492"/>
      <c r="AD140" s="492"/>
      <c r="AE140" s="492"/>
      <c r="AF140" s="492"/>
      <c r="AG140" s="492"/>
      <c r="AH140" s="492"/>
      <c r="AI140" s="492"/>
      <c r="AJ140" s="492"/>
      <c r="AK140" s="492"/>
      <c r="AL140" s="492"/>
      <c r="AM140" s="492"/>
      <c r="AN140" s="492"/>
    </row>
    <row r="141" spans="1:40" ht="15.75" customHeight="1">
      <c r="A141" s="477" t="s">
        <v>319</v>
      </c>
      <c r="B141" s="492" t="s">
        <v>73</v>
      </c>
      <c r="C141" s="501" t="s">
        <v>55</v>
      </c>
      <c r="D141" s="563"/>
      <c r="E141" s="583"/>
      <c r="F141" s="503">
        <v>1398.8494640536576</v>
      </c>
      <c r="G141" s="564"/>
      <c r="H141" s="583"/>
      <c r="I141" s="503"/>
      <c r="J141" s="501"/>
      <c r="K141" s="583"/>
      <c r="L141" s="503">
        <v>1917.71</v>
      </c>
      <c r="M141" s="501"/>
      <c r="N141" s="559">
        <v>518.86053594634245</v>
      </c>
      <c r="O141" s="501"/>
      <c r="P141" s="583"/>
      <c r="Q141" s="503">
        <v>1883.88</v>
      </c>
      <c r="R141" s="501"/>
      <c r="S141" s="559">
        <v>33.829999999999927</v>
      </c>
      <c r="T141" s="492"/>
      <c r="U141" s="492"/>
      <c r="V141" s="492"/>
      <c r="W141" s="492"/>
      <c r="X141" s="492"/>
      <c r="Y141" s="492"/>
      <c r="Z141" s="492"/>
      <c r="AA141" s="492"/>
      <c r="AB141" s="492"/>
      <c r="AC141" s="492"/>
      <c r="AD141" s="492"/>
      <c r="AE141" s="492"/>
      <c r="AF141" s="492"/>
      <c r="AG141" s="492"/>
      <c r="AH141" s="492"/>
      <c r="AI141" s="492"/>
      <c r="AJ141" s="492"/>
      <c r="AK141" s="492"/>
      <c r="AL141" s="492"/>
      <c r="AM141" s="492"/>
      <c r="AN141" s="492"/>
    </row>
    <row r="142" spans="1:40" ht="15.75" customHeight="1">
      <c r="A142" s="477" t="s">
        <v>320</v>
      </c>
      <c r="B142" s="492" t="s">
        <v>73</v>
      </c>
      <c r="C142" s="508" t="s">
        <v>56</v>
      </c>
      <c r="D142" s="561"/>
      <c r="E142" s="492"/>
      <c r="F142" s="509">
        <v>83.885533333333328</v>
      </c>
      <c r="G142" s="562"/>
      <c r="H142" s="492"/>
      <c r="I142" s="509"/>
      <c r="J142" s="508"/>
      <c r="K142" s="492"/>
      <c r="L142" s="511">
        <v>9.6199999999999992</v>
      </c>
      <c r="M142" s="508"/>
      <c r="N142" s="534">
        <v>-74.265533333333323</v>
      </c>
      <c r="O142" s="508"/>
      <c r="P142" s="492"/>
      <c r="Q142" s="511">
        <v>89.1</v>
      </c>
      <c r="R142" s="508"/>
      <c r="S142" s="534">
        <v>-79.47999999999999</v>
      </c>
      <c r="T142" s="492"/>
      <c r="U142" s="492"/>
      <c r="V142" s="492"/>
      <c r="W142" s="492"/>
      <c r="X142" s="492"/>
      <c r="Y142" s="492"/>
      <c r="Z142" s="492"/>
      <c r="AA142" s="492"/>
      <c r="AB142" s="492"/>
      <c r="AC142" s="492"/>
      <c r="AD142" s="492"/>
      <c r="AE142" s="492"/>
      <c r="AF142" s="492"/>
      <c r="AG142" s="492"/>
      <c r="AH142" s="492"/>
      <c r="AI142" s="492"/>
      <c r="AJ142" s="492"/>
      <c r="AK142" s="492"/>
      <c r="AL142" s="492"/>
      <c r="AM142" s="492"/>
      <c r="AN142" s="492"/>
    </row>
    <row r="143" spans="1:40" ht="15.75" customHeight="1">
      <c r="A143" s="477" t="s">
        <v>321</v>
      </c>
      <c r="B143" s="492" t="s">
        <v>73</v>
      </c>
      <c r="C143" s="508" t="s">
        <v>57</v>
      </c>
      <c r="D143" s="561"/>
      <c r="E143" s="492"/>
      <c r="F143" s="509">
        <v>28.333333333333332</v>
      </c>
      <c r="G143" s="562"/>
      <c r="H143" s="492"/>
      <c r="I143" s="509"/>
      <c r="J143" s="508"/>
      <c r="K143" s="492"/>
      <c r="L143" s="511">
        <v>0</v>
      </c>
      <c r="M143" s="508"/>
      <c r="N143" s="534">
        <v>-28.333333333333332</v>
      </c>
      <c r="O143" s="508"/>
      <c r="P143" s="492"/>
      <c r="Q143" s="511">
        <v>0</v>
      </c>
      <c r="R143" s="508"/>
      <c r="S143" s="534">
        <v>0</v>
      </c>
      <c r="T143" s="492"/>
      <c r="U143" s="492"/>
      <c r="V143" s="492"/>
      <c r="W143" s="492"/>
      <c r="X143" s="492"/>
      <c r="Y143" s="492"/>
      <c r="Z143" s="492"/>
      <c r="AA143" s="492"/>
      <c r="AB143" s="492"/>
      <c r="AC143" s="492"/>
      <c r="AD143" s="492"/>
      <c r="AE143" s="492"/>
      <c r="AF143" s="492"/>
      <c r="AG143" s="492"/>
      <c r="AH143" s="492"/>
      <c r="AI143" s="492"/>
      <c r="AJ143" s="492"/>
      <c r="AK143" s="492"/>
      <c r="AL143" s="492"/>
      <c r="AM143" s="492"/>
      <c r="AN143" s="492"/>
    </row>
    <row r="144" spans="1:40" ht="15.75" customHeight="1">
      <c r="A144" s="477" t="s">
        <v>322</v>
      </c>
      <c r="B144" s="492" t="s">
        <v>73</v>
      </c>
      <c r="C144" s="508" t="s">
        <v>58</v>
      </c>
      <c r="D144" s="561"/>
      <c r="E144" s="492"/>
      <c r="F144" s="509">
        <v>323.61939737591996</v>
      </c>
      <c r="G144" s="562"/>
      <c r="H144" s="492"/>
      <c r="I144" s="509"/>
      <c r="J144" s="508"/>
      <c r="K144" s="492"/>
      <c r="L144" s="511">
        <v>112.33</v>
      </c>
      <c r="M144" s="508"/>
      <c r="N144" s="534">
        <v>-211.28939737591998</v>
      </c>
      <c r="O144" s="508"/>
      <c r="P144" s="492"/>
      <c r="Q144" s="511">
        <v>731.53</v>
      </c>
      <c r="R144" s="508"/>
      <c r="S144" s="534">
        <v>-619.19999999999993</v>
      </c>
      <c r="T144" s="492"/>
      <c r="U144" s="492"/>
      <c r="V144" s="492"/>
      <c r="W144" s="492"/>
      <c r="X144" s="492"/>
      <c r="Y144" s="492"/>
      <c r="Z144" s="492"/>
      <c r="AA144" s="492"/>
      <c r="AB144" s="492"/>
      <c r="AC144" s="492"/>
      <c r="AD144" s="492"/>
      <c r="AE144" s="492"/>
      <c r="AF144" s="492"/>
      <c r="AG144" s="492"/>
      <c r="AH144" s="492"/>
      <c r="AI144" s="492"/>
      <c r="AJ144" s="492"/>
      <c r="AK144" s="492"/>
      <c r="AL144" s="492"/>
      <c r="AM144" s="492"/>
      <c r="AN144" s="492"/>
    </row>
    <row r="145" spans="1:40" ht="15.75" customHeight="1">
      <c r="A145" s="477" t="s">
        <v>323</v>
      </c>
      <c r="B145" s="492" t="s">
        <v>73</v>
      </c>
      <c r="C145" s="508" t="s">
        <v>59</v>
      </c>
      <c r="D145" s="561"/>
      <c r="E145" s="492"/>
      <c r="F145" s="509">
        <v>62.764554844243328</v>
      </c>
      <c r="G145" s="562"/>
      <c r="H145" s="492"/>
      <c r="I145" s="509"/>
      <c r="J145" s="508"/>
      <c r="K145" s="492"/>
      <c r="L145" s="511">
        <v>82.14</v>
      </c>
      <c r="M145" s="508"/>
      <c r="N145" s="534">
        <v>19.375445155756672</v>
      </c>
      <c r="O145" s="508"/>
      <c r="P145" s="492"/>
      <c r="Q145" s="511">
        <v>75.900000000000006</v>
      </c>
      <c r="R145" s="508"/>
      <c r="S145" s="534">
        <v>6.2399999999999949</v>
      </c>
      <c r="T145" s="492"/>
      <c r="U145" s="492"/>
      <c r="V145" s="492"/>
      <c r="W145" s="492"/>
      <c r="X145" s="492"/>
      <c r="Y145" s="492"/>
      <c r="Z145" s="492"/>
      <c r="AA145" s="492"/>
      <c r="AB145" s="492"/>
      <c r="AC145" s="492"/>
      <c r="AD145" s="492"/>
      <c r="AE145" s="492"/>
      <c r="AF145" s="492"/>
      <c r="AG145" s="492"/>
      <c r="AH145" s="492"/>
      <c r="AI145" s="492"/>
      <c r="AJ145" s="492"/>
      <c r="AK145" s="492"/>
      <c r="AL145" s="492"/>
      <c r="AM145" s="492"/>
      <c r="AN145" s="492"/>
    </row>
    <row r="146" spans="1:40" ht="15.75" customHeight="1">
      <c r="A146" s="477" t="s">
        <v>324</v>
      </c>
      <c r="B146" s="492" t="s">
        <v>73</v>
      </c>
      <c r="C146" s="508" t="s">
        <v>60</v>
      </c>
      <c r="D146" s="561"/>
      <c r="E146" s="492"/>
      <c r="F146" s="509">
        <v>48.216844138156659</v>
      </c>
      <c r="G146" s="562"/>
      <c r="H146" s="492"/>
      <c r="I146" s="509"/>
      <c r="J146" s="508"/>
      <c r="K146" s="492"/>
      <c r="L146" s="511">
        <v>29.32</v>
      </c>
      <c r="M146" s="508"/>
      <c r="N146" s="534">
        <v>-18.896844138156659</v>
      </c>
      <c r="O146" s="508"/>
      <c r="P146" s="492"/>
      <c r="Q146" s="511">
        <v>3.96</v>
      </c>
      <c r="R146" s="508"/>
      <c r="S146" s="534">
        <v>25.36</v>
      </c>
      <c r="T146" s="492"/>
      <c r="U146" s="492"/>
      <c r="V146" s="492"/>
      <c r="W146" s="492"/>
      <c r="X146" s="492"/>
      <c r="Y146" s="492"/>
      <c r="Z146" s="492"/>
      <c r="AA146" s="492"/>
      <c r="AB146" s="492"/>
      <c r="AC146" s="492"/>
      <c r="AD146" s="492"/>
      <c r="AE146" s="492"/>
      <c r="AF146" s="492"/>
      <c r="AG146" s="492"/>
      <c r="AH146" s="492"/>
      <c r="AI146" s="492"/>
      <c r="AJ146" s="492"/>
      <c r="AK146" s="492"/>
      <c r="AL146" s="492"/>
      <c r="AM146" s="492"/>
      <c r="AN146" s="492"/>
    </row>
    <row r="147" spans="1:40" ht="15.75" customHeight="1">
      <c r="A147" s="477" t="s">
        <v>325</v>
      </c>
      <c r="B147" s="492" t="s">
        <v>73</v>
      </c>
      <c r="C147" s="508" t="s">
        <v>61</v>
      </c>
      <c r="D147" s="561"/>
      <c r="E147" s="492"/>
      <c r="F147" s="509">
        <v>107.35161743797669</v>
      </c>
      <c r="G147" s="562"/>
      <c r="H147" s="492"/>
      <c r="I147" s="509"/>
      <c r="J147" s="508"/>
      <c r="K147" s="492"/>
      <c r="L147" s="511">
        <v>23.52</v>
      </c>
      <c r="M147" s="508"/>
      <c r="N147" s="534">
        <v>-83.831617437976689</v>
      </c>
      <c r="O147" s="508"/>
      <c r="P147" s="492"/>
      <c r="Q147" s="511">
        <v>19.670000000000002</v>
      </c>
      <c r="R147" s="508"/>
      <c r="S147" s="534">
        <v>3.8499999999999979</v>
      </c>
      <c r="T147" s="492"/>
      <c r="U147" s="492"/>
      <c r="V147" s="492"/>
      <c r="W147" s="492"/>
      <c r="X147" s="492"/>
      <c r="Y147" s="492"/>
      <c r="Z147" s="492"/>
      <c r="AA147" s="492"/>
      <c r="AB147" s="492"/>
      <c r="AC147" s="492"/>
      <c r="AD147" s="492"/>
      <c r="AE147" s="492"/>
      <c r="AF147" s="492"/>
      <c r="AG147" s="492"/>
      <c r="AH147" s="492"/>
      <c r="AI147" s="492"/>
      <c r="AJ147" s="492"/>
      <c r="AK147" s="492"/>
      <c r="AL147" s="492"/>
      <c r="AM147" s="492"/>
      <c r="AN147" s="492"/>
    </row>
    <row r="148" spans="1:40" ht="15.75" customHeight="1">
      <c r="A148" s="477" t="s">
        <v>326</v>
      </c>
      <c r="B148" s="492" t="s">
        <v>73</v>
      </c>
      <c r="C148" s="508" t="s">
        <v>62</v>
      </c>
      <c r="D148" s="561"/>
      <c r="E148" s="492"/>
      <c r="F148" s="509">
        <v>218.46437169698484</v>
      </c>
      <c r="G148" s="562"/>
      <c r="H148" s="492"/>
      <c r="I148" s="509"/>
      <c r="J148" s="508"/>
      <c r="K148" s="492"/>
      <c r="L148" s="511">
        <v>256.98</v>
      </c>
      <c r="M148" s="508"/>
      <c r="N148" s="534">
        <v>38.515628303015177</v>
      </c>
      <c r="O148" s="508"/>
      <c r="P148" s="492"/>
      <c r="Q148" s="511">
        <v>38.28</v>
      </c>
      <c r="R148" s="508"/>
      <c r="S148" s="534">
        <v>218.70000000000002</v>
      </c>
      <c r="T148" s="492"/>
      <c r="X148" s="492"/>
      <c r="Y148" s="492"/>
      <c r="Z148" s="492"/>
      <c r="AA148" s="492"/>
      <c r="AB148" s="492"/>
      <c r="AC148" s="492"/>
      <c r="AD148" s="492"/>
      <c r="AE148" s="492"/>
      <c r="AF148" s="492"/>
      <c r="AG148" s="492"/>
      <c r="AH148" s="492"/>
      <c r="AI148" s="492"/>
      <c r="AJ148" s="492"/>
      <c r="AK148" s="492"/>
      <c r="AL148" s="492"/>
      <c r="AM148" s="492"/>
      <c r="AN148" s="492"/>
    </row>
    <row r="149" spans="1:40" ht="15.75" customHeight="1">
      <c r="A149" s="477" t="s">
        <v>327</v>
      </c>
      <c r="B149" s="492" t="s">
        <v>73</v>
      </c>
      <c r="C149" s="508" t="s">
        <v>63</v>
      </c>
      <c r="D149" s="561"/>
      <c r="E149" s="492"/>
      <c r="F149" s="509">
        <v>887.88079599087973</v>
      </c>
      <c r="G149" s="562"/>
      <c r="H149" s="492"/>
      <c r="I149" s="509"/>
      <c r="J149" s="508"/>
      <c r="K149" s="492"/>
      <c r="L149" s="511">
        <v>892.55</v>
      </c>
      <c r="M149" s="508"/>
      <c r="N149" s="534">
        <v>4.6692040091202216</v>
      </c>
      <c r="O149" s="508"/>
      <c r="P149" s="492"/>
      <c r="Q149" s="511">
        <v>809.53</v>
      </c>
      <c r="R149" s="508"/>
      <c r="S149" s="534">
        <v>83.019999999999982</v>
      </c>
      <c r="T149" s="550"/>
      <c r="X149" s="492"/>
      <c r="Y149" s="492"/>
      <c r="Z149" s="492"/>
      <c r="AA149" s="492"/>
      <c r="AB149" s="492"/>
      <c r="AC149" s="492"/>
      <c r="AD149" s="492"/>
      <c r="AE149" s="492"/>
      <c r="AF149" s="492"/>
      <c r="AG149" s="492"/>
      <c r="AH149" s="492"/>
      <c r="AI149" s="492"/>
      <c r="AJ149" s="492"/>
      <c r="AK149" s="492"/>
      <c r="AL149" s="492"/>
      <c r="AM149" s="492"/>
      <c r="AN149" s="492"/>
    </row>
    <row r="150" spans="1:40" ht="15.75" hidden="1" customHeight="1">
      <c r="A150" s="477" t="s">
        <v>303</v>
      </c>
      <c r="B150" s="492" t="s">
        <v>73</v>
      </c>
      <c r="C150" s="508" t="s">
        <v>20</v>
      </c>
      <c r="D150" s="561"/>
      <c r="E150" s="492"/>
      <c r="F150" s="509">
        <v>0</v>
      </c>
      <c r="G150" s="562"/>
      <c r="H150" s="492"/>
      <c r="I150" s="509"/>
      <c r="J150" s="508"/>
      <c r="K150" s="492"/>
      <c r="L150" s="511">
        <v>0</v>
      </c>
      <c r="M150" s="508"/>
      <c r="N150" s="534">
        <v>0</v>
      </c>
      <c r="O150" s="508"/>
      <c r="P150" s="492"/>
      <c r="Q150" s="511">
        <v>0</v>
      </c>
      <c r="R150" s="508"/>
      <c r="S150" s="534">
        <v>0</v>
      </c>
      <c r="T150" s="492"/>
      <c r="X150" s="492"/>
      <c r="Y150" s="492"/>
      <c r="Z150" s="492"/>
      <c r="AA150" s="492"/>
      <c r="AB150" s="492"/>
      <c r="AC150" s="492"/>
      <c r="AD150" s="492"/>
      <c r="AE150" s="492"/>
      <c r="AF150" s="492"/>
      <c r="AG150" s="492"/>
      <c r="AH150" s="492"/>
      <c r="AI150" s="492"/>
      <c r="AJ150" s="492"/>
      <c r="AK150" s="492"/>
      <c r="AL150" s="492"/>
      <c r="AM150" s="492"/>
      <c r="AN150" s="492"/>
    </row>
    <row r="151" spans="1:40" ht="15.75" hidden="1" customHeight="1">
      <c r="A151" s="477" t="s">
        <v>303</v>
      </c>
      <c r="B151" s="492" t="s">
        <v>73</v>
      </c>
      <c r="C151" s="508" t="s">
        <v>20</v>
      </c>
      <c r="D151" s="561"/>
      <c r="E151" s="492"/>
      <c r="F151" s="509">
        <v>0</v>
      </c>
      <c r="G151" s="562"/>
      <c r="H151" s="492"/>
      <c r="I151" s="509"/>
      <c r="J151" s="508"/>
      <c r="K151" s="492"/>
      <c r="L151" s="511">
        <v>0</v>
      </c>
      <c r="M151" s="508"/>
      <c r="N151" s="534">
        <v>0</v>
      </c>
      <c r="O151" s="508"/>
      <c r="P151" s="492"/>
      <c r="Q151" s="511">
        <v>0</v>
      </c>
      <c r="R151" s="508"/>
      <c r="S151" s="534">
        <v>0</v>
      </c>
      <c r="T151" s="492"/>
      <c r="X151" s="492"/>
      <c r="Y151" s="492"/>
      <c r="Z151" s="492"/>
      <c r="AA151" s="492"/>
      <c r="AB151" s="492"/>
      <c r="AC151" s="492"/>
      <c r="AD151" s="492"/>
      <c r="AE151" s="492"/>
      <c r="AF151" s="492"/>
      <c r="AG151" s="492"/>
      <c r="AH151" s="492"/>
      <c r="AI151" s="492"/>
      <c r="AJ151" s="492"/>
      <c r="AK151" s="492"/>
      <c r="AL151" s="492"/>
      <c r="AM151" s="492"/>
      <c r="AN151" s="492"/>
    </row>
    <row r="152" spans="1:40" ht="15.75" hidden="1" customHeight="1">
      <c r="A152" s="477" t="s">
        <v>303</v>
      </c>
      <c r="B152" s="492" t="s">
        <v>73</v>
      </c>
      <c r="C152" s="508" t="s">
        <v>20</v>
      </c>
      <c r="D152" s="561"/>
      <c r="E152" s="492"/>
      <c r="F152" s="509">
        <v>0</v>
      </c>
      <c r="G152" s="562"/>
      <c r="H152" s="492"/>
      <c r="I152" s="509"/>
      <c r="J152" s="508"/>
      <c r="K152" s="492"/>
      <c r="L152" s="511">
        <v>0</v>
      </c>
      <c r="M152" s="508"/>
      <c r="N152" s="534">
        <v>0</v>
      </c>
      <c r="O152" s="508"/>
      <c r="P152" s="492"/>
      <c r="Q152" s="511">
        <v>0</v>
      </c>
      <c r="R152" s="508"/>
      <c r="S152" s="534">
        <v>0</v>
      </c>
      <c r="T152" s="550"/>
      <c r="X152" s="492"/>
      <c r="Y152" s="492"/>
      <c r="Z152" s="492"/>
      <c r="AA152" s="492"/>
      <c r="AB152" s="492"/>
      <c r="AC152" s="492"/>
      <c r="AD152" s="492"/>
      <c r="AE152" s="492"/>
      <c r="AF152" s="492"/>
      <c r="AG152" s="492"/>
      <c r="AH152" s="492"/>
      <c r="AI152" s="492"/>
      <c r="AJ152" s="492"/>
      <c r="AK152" s="492"/>
      <c r="AL152" s="492"/>
      <c r="AM152" s="492"/>
      <c r="AN152" s="492"/>
    </row>
    <row r="153" spans="1:40" ht="15.75" customHeight="1">
      <c r="A153" s="477" t="s">
        <v>328</v>
      </c>
      <c r="B153" s="492" t="s">
        <v>73</v>
      </c>
      <c r="C153" s="568" t="s">
        <v>64</v>
      </c>
      <c r="D153" s="569" t="s">
        <v>39</v>
      </c>
      <c r="E153" s="570">
        <v>7.6949693036562003E-2</v>
      </c>
      <c r="F153" s="571">
        <v>8756.8750675607553</v>
      </c>
      <c r="G153" s="572"/>
      <c r="H153" s="570"/>
      <c r="I153" s="571"/>
      <c r="J153" s="572" t="s">
        <v>39</v>
      </c>
      <c r="K153" s="570">
        <v>7.8977464342111017E-2</v>
      </c>
      <c r="L153" s="571">
        <v>8273.7999999999993</v>
      </c>
      <c r="M153" s="575"/>
      <c r="N153" s="571">
        <v>-483.075067560756</v>
      </c>
      <c r="O153" s="572" t="s">
        <v>39</v>
      </c>
      <c r="P153" s="570">
        <v>0.18838679974195818</v>
      </c>
      <c r="Q153" s="571">
        <v>9689.4000000000015</v>
      </c>
      <c r="R153" s="575"/>
      <c r="S153" s="571">
        <v>-1415.6000000000022</v>
      </c>
      <c r="T153" s="584"/>
      <c r="X153" s="492"/>
      <c r="Y153" s="492"/>
      <c r="Z153" s="492"/>
      <c r="AA153" s="492"/>
      <c r="AB153" s="492"/>
      <c r="AC153" s="492"/>
      <c r="AD153" s="492"/>
      <c r="AE153" s="492"/>
      <c r="AF153" s="492"/>
      <c r="AG153" s="492"/>
      <c r="AH153" s="492"/>
      <c r="AI153" s="492"/>
      <c r="AJ153" s="492"/>
      <c r="AK153" s="492"/>
      <c r="AL153" s="492"/>
      <c r="AM153" s="492"/>
      <c r="AN153" s="492"/>
    </row>
    <row r="154" spans="1:40" ht="15.75" customHeight="1">
      <c r="A154" s="477" t="s">
        <v>73</v>
      </c>
      <c r="B154" s="492" t="s">
        <v>73</v>
      </c>
      <c r="C154" s="501"/>
      <c r="D154" s="563"/>
      <c r="E154" s="583"/>
      <c r="F154" s="534"/>
      <c r="G154" s="564"/>
      <c r="H154" s="583"/>
      <c r="I154" s="534"/>
      <c r="J154" s="501"/>
      <c r="K154" s="583"/>
      <c r="L154" s="559"/>
      <c r="M154" s="501"/>
      <c r="N154" s="559"/>
      <c r="O154" s="501"/>
      <c r="P154" s="583"/>
      <c r="Q154" s="559"/>
      <c r="R154" s="501"/>
      <c r="S154" s="559"/>
      <c r="T154" s="584"/>
      <c r="U154" s="492"/>
      <c r="V154" s="492"/>
      <c r="W154" s="492"/>
      <c r="X154" s="492"/>
      <c r="Y154" s="492"/>
      <c r="Z154" s="492"/>
      <c r="AA154" s="492"/>
      <c r="AB154" s="492"/>
      <c r="AC154" s="492"/>
      <c r="AD154" s="492"/>
      <c r="AE154" s="492"/>
      <c r="AF154" s="492"/>
      <c r="AG154" s="492"/>
      <c r="AH154" s="492"/>
      <c r="AI154" s="492"/>
      <c r="AJ154" s="492"/>
      <c r="AK154" s="492"/>
      <c r="AL154" s="492"/>
      <c r="AM154" s="492"/>
      <c r="AN154" s="492"/>
    </row>
    <row r="155" spans="1:40" ht="15.75" customHeight="1">
      <c r="A155" s="477" t="s">
        <v>329</v>
      </c>
      <c r="B155" s="492" t="s">
        <v>73</v>
      </c>
      <c r="C155" s="568" t="s">
        <v>65</v>
      </c>
      <c r="D155" s="569" t="s">
        <v>39</v>
      </c>
      <c r="E155" s="570">
        <v>1.0422830486161661</v>
      </c>
      <c r="F155" s="571">
        <v>118611.81093251969</v>
      </c>
      <c r="G155" s="572"/>
      <c r="H155" s="570"/>
      <c r="I155" s="571"/>
      <c r="J155" s="572" t="s">
        <v>39</v>
      </c>
      <c r="K155" s="570">
        <v>0.18594926973670572</v>
      </c>
      <c r="L155" s="571">
        <v>19480.330000000002</v>
      </c>
      <c r="M155" s="575"/>
      <c r="N155" s="585">
        <v>-99131.480932519684</v>
      </c>
      <c r="O155" s="572" t="s">
        <v>39</v>
      </c>
      <c r="P155" s="570">
        <v>1.7711860781894448</v>
      </c>
      <c r="Q155" s="571">
        <v>91098.37</v>
      </c>
      <c r="R155" s="575"/>
      <c r="S155" s="585">
        <v>-71618.039999999994</v>
      </c>
      <c r="T155" s="584"/>
      <c r="U155" s="492"/>
      <c r="V155" s="492"/>
      <c r="W155" s="492"/>
      <c r="X155" s="492"/>
      <c r="Y155" s="492"/>
      <c r="Z155" s="492"/>
      <c r="AA155" s="492"/>
      <c r="AB155" s="492"/>
      <c r="AC155" s="492"/>
      <c r="AD155" s="492"/>
      <c r="AE155" s="492"/>
      <c r="AF155" s="492"/>
      <c r="AG155" s="492"/>
      <c r="AH155" s="492"/>
      <c r="AI155" s="492"/>
      <c r="AJ155" s="492"/>
      <c r="AK155" s="492"/>
      <c r="AL155" s="492"/>
      <c r="AM155" s="492"/>
      <c r="AN155" s="492"/>
    </row>
    <row r="156" spans="1:40" ht="15.75" customHeight="1">
      <c r="A156" s="477" t="s">
        <v>330</v>
      </c>
      <c r="B156" s="492" t="s">
        <v>73</v>
      </c>
      <c r="C156" s="508" t="s">
        <v>225</v>
      </c>
      <c r="D156" s="626"/>
      <c r="E156" s="627"/>
      <c r="F156" s="509">
        <v>0</v>
      </c>
      <c r="G156" s="628"/>
      <c r="H156" s="627"/>
      <c r="I156" s="509"/>
      <c r="J156" s="628"/>
      <c r="K156" s="627"/>
      <c r="L156" s="511">
        <v>0</v>
      </c>
      <c r="M156" s="508"/>
      <c r="N156" s="534">
        <v>0</v>
      </c>
      <c r="O156" s="628"/>
      <c r="P156" s="627"/>
      <c r="Q156" s="511">
        <v>0</v>
      </c>
      <c r="R156" s="508"/>
      <c r="S156" s="534">
        <v>0</v>
      </c>
      <c r="T156" s="584"/>
      <c r="U156" s="492"/>
      <c r="V156" s="492"/>
      <c r="W156" s="492"/>
      <c r="X156" s="492"/>
      <c r="Y156" s="492"/>
      <c r="Z156" s="492"/>
      <c r="AA156" s="492"/>
      <c r="AB156" s="492"/>
      <c r="AC156" s="492"/>
      <c r="AD156" s="492"/>
      <c r="AE156" s="492"/>
      <c r="AF156" s="492"/>
      <c r="AG156" s="492"/>
      <c r="AH156" s="492"/>
      <c r="AI156" s="492"/>
      <c r="AJ156" s="492"/>
      <c r="AK156" s="492"/>
      <c r="AL156" s="492"/>
      <c r="AM156" s="492"/>
      <c r="AN156" s="492"/>
    </row>
    <row r="157" spans="1:40" ht="15.75" customHeight="1">
      <c r="A157" s="477" t="s">
        <v>331</v>
      </c>
      <c r="B157" s="492" t="s">
        <v>73</v>
      </c>
      <c r="C157" s="508" t="s">
        <v>81</v>
      </c>
      <c r="D157" s="626"/>
      <c r="E157" s="627"/>
      <c r="F157" s="509">
        <v>0</v>
      </c>
      <c r="G157" s="628"/>
      <c r="H157" s="627"/>
      <c r="I157" s="509"/>
      <c r="J157" s="628"/>
      <c r="K157" s="627"/>
      <c r="L157" s="511">
        <v>0</v>
      </c>
      <c r="M157" s="508"/>
      <c r="N157" s="534">
        <v>0</v>
      </c>
      <c r="O157" s="628"/>
      <c r="P157" s="627"/>
      <c r="Q157" s="511">
        <v>0</v>
      </c>
      <c r="R157" s="508"/>
      <c r="S157" s="534">
        <v>0</v>
      </c>
      <c r="T157" s="584"/>
      <c r="U157" s="492"/>
      <c r="V157" s="492"/>
      <c r="W157" s="492"/>
      <c r="X157" s="492"/>
      <c r="Y157" s="492"/>
      <c r="Z157" s="492"/>
      <c r="AA157" s="492"/>
      <c r="AB157" s="492"/>
      <c r="AC157" s="492"/>
      <c r="AD157" s="492"/>
      <c r="AE157" s="492"/>
      <c r="AF157" s="492"/>
      <c r="AG157" s="492"/>
      <c r="AH157" s="492"/>
      <c r="AI157" s="492"/>
      <c r="AJ157" s="492"/>
      <c r="AK157" s="492"/>
      <c r="AL157" s="492"/>
      <c r="AM157" s="492"/>
      <c r="AN157" s="492"/>
    </row>
    <row r="158" spans="1:40" ht="15.75" customHeight="1">
      <c r="A158" s="477" t="s">
        <v>332</v>
      </c>
      <c r="B158" s="492" t="s">
        <v>73</v>
      </c>
      <c r="C158" s="508" t="s">
        <v>82</v>
      </c>
      <c r="D158" s="561"/>
      <c r="E158" s="492"/>
      <c r="F158" s="509">
        <v>0</v>
      </c>
      <c r="G158" s="562"/>
      <c r="H158" s="492"/>
      <c r="I158" s="509"/>
      <c r="J158" s="508"/>
      <c r="K158" s="492"/>
      <c r="L158" s="511">
        <v>0</v>
      </c>
      <c r="M158" s="508"/>
      <c r="N158" s="534">
        <v>0</v>
      </c>
      <c r="O158" s="508"/>
      <c r="P158" s="492"/>
      <c r="Q158" s="511">
        <v>0</v>
      </c>
      <c r="R158" s="508"/>
      <c r="S158" s="534">
        <v>0</v>
      </c>
      <c r="T158" s="584"/>
      <c r="U158" s="492"/>
      <c r="V158" s="492"/>
      <c r="W158" s="492"/>
      <c r="X158" s="492"/>
      <c r="Y158" s="492"/>
      <c r="Z158" s="492"/>
      <c r="AA158" s="492"/>
      <c r="AB158" s="492"/>
      <c r="AC158" s="492"/>
      <c r="AD158" s="492"/>
      <c r="AE158" s="492"/>
      <c r="AF158" s="492"/>
      <c r="AG158" s="492"/>
      <c r="AH158" s="492"/>
      <c r="AI158" s="492"/>
      <c r="AJ158" s="492"/>
      <c r="AK158" s="492"/>
      <c r="AL158" s="492"/>
      <c r="AM158" s="492"/>
      <c r="AN158" s="492"/>
    </row>
    <row r="159" spans="1:40" ht="15.75" customHeight="1">
      <c r="A159" s="477" t="s">
        <v>333</v>
      </c>
      <c r="B159" s="492" t="s">
        <v>73</v>
      </c>
      <c r="C159" s="508" t="s">
        <v>70</v>
      </c>
      <c r="D159" s="629">
        <v>0.79968354430379751</v>
      </c>
      <c r="E159" s="591">
        <v>379.05</v>
      </c>
      <c r="F159" s="509">
        <v>11371.5</v>
      </c>
      <c r="G159" s="562"/>
      <c r="H159" s="492"/>
      <c r="I159" s="509"/>
      <c r="J159" s="587">
        <v>0.89139240506329109</v>
      </c>
      <c r="K159" s="591">
        <v>422.52</v>
      </c>
      <c r="L159" s="511">
        <v>10563</v>
      </c>
      <c r="M159" s="508"/>
      <c r="N159" s="534">
        <v>-808.5</v>
      </c>
      <c r="O159" s="508"/>
      <c r="P159" s="492"/>
      <c r="Q159" s="511">
        <v>11112</v>
      </c>
      <c r="R159" s="508"/>
      <c r="S159" s="534">
        <v>-549</v>
      </c>
      <c r="T159" s="584"/>
      <c r="U159" s="492"/>
      <c r="V159" s="492"/>
      <c r="W159" s="492"/>
      <c r="X159" s="492"/>
      <c r="Y159" s="492"/>
      <c r="Z159" s="492"/>
      <c r="AA159" s="492"/>
      <c r="AB159" s="492"/>
      <c r="AC159" s="492"/>
      <c r="AD159" s="492"/>
      <c r="AE159" s="492"/>
      <c r="AF159" s="492"/>
      <c r="AG159" s="492"/>
      <c r="AH159" s="492"/>
      <c r="AI159" s="492"/>
      <c r="AJ159" s="492"/>
      <c r="AK159" s="492"/>
      <c r="AL159" s="492"/>
      <c r="AM159" s="492"/>
      <c r="AN159" s="492"/>
    </row>
    <row r="160" spans="1:40" ht="15.75" hidden="1" customHeight="1">
      <c r="A160" s="477" t="s">
        <v>303</v>
      </c>
      <c r="B160" s="492" t="s">
        <v>73</v>
      </c>
      <c r="C160" s="508" t="s">
        <v>20</v>
      </c>
      <c r="D160" s="561"/>
      <c r="E160" s="492"/>
      <c r="F160" s="509">
        <v>0</v>
      </c>
      <c r="G160" s="562"/>
      <c r="H160" s="492"/>
      <c r="I160" s="509"/>
      <c r="J160" s="508"/>
      <c r="K160" s="492"/>
      <c r="L160" s="511">
        <v>0</v>
      </c>
      <c r="M160" s="508"/>
      <c r="N160" s="534">
        <v>0</v>
      </c>
      <c r="O160" s="508"/>
      <c r="P160" s="492"/>
      <c r="Q160" s="511">
        <v>0</v>
      </c>
      <c r="R160" s="508"/>
      <c r="S160" s="534">
        <v>0</v>
      </c>
      <c r="T160" s="584"/>
      <c r="U160" s="492"/>
      <c r="V160" s="492"/>
      <c r="W160" s="492"/>
      <c r="X160" s="492"/>
      <c r="Y160" s="492"/>
      <c r="Z160" s="492"/>
      <c r="AA160" s="492"/>
      <c r="AB160" s="492"/>
      <c r="AC160" s="492"/>
      <c r="AD160" s="492"/>
      <c r="AE160" s="492"/>
      <c r="AF160" s="492"/>
      <c r="AG160" s="492"/>
      <c r="AH160" s="492"/>
      <c r="AI160" s="492"/>
      <c r="AJ160" s="492"/>
      <c r="AK160" s="492"/>
      <c r="AL160" s="492"/>
      <c r="AM160" s="492"/>
      <c r="AN160" s="492"/>
    </row>
    <row r="161" spans="1:40" ht="15.75" hidden="1" customHeight="1">
      <c r="A161" s="477" t="s">
        <v>303</v>
      </c>
      <c r="B161" s="492" t="s">
        <v>73</v>
      </c>
      <c r="C161" s="508" t="s">
        <v>20</v>
      </c>
      <c r="D161" s="561"/>
      <c r="E161" s="492"/>
      <c r="F161" s="509">
        <v>0</v>
      </c>
      <c r="G161" s="562"/>
      <c r="H161" s="492"/>
      <c r="I161" s="509"/>
      <c r="J161" s="508"/>
      <c r="K161" s="492"/>
      <c r="L161" s="511">
        <v>0</v>
      </c>
      <c r="M161" s="508"/>
      <c r="N161" s="534">
        <v>0</v>
      </c>
      <c r="O161" s="508"/>
      <c r="P161" s="492"/>
      <c r="Q161" s="511">
        <v>0</v>
      </c>
      <c r="R161" s="508"/>
      <c r="S161" s="534">
        <v>0</v>
      </c>
      <c r="T161" s="584"/>
      <c r="U161" s="492"/>
      <c r="V161" s="492"/>
      <c r="W161" s="492"/>
      <c r="X161" s="492"/>
      <c r="Y161" s="492"/>
      <c r="Z161" s="492"/>
      <c r="AA161" s="492"/>
      <c r="AB161" s="492"/>
      <c r="AC161" s="492"/>
      <c r="AD161" s="492"/>
      <c r="AE161" s="492"/>
      <c r="AF161" s="492"/>
      <c r="AG161" s="492"/>
      <c r="AH161" s="492"/>
      <c r="AI161" s="492"/>
      <c r="AJ161" s="492"/>
      <c r="AK161" s="492"/>
      <c r="AL161" s="492"/>
      <c r="AM161" s="492"/>
      <c r="AN161" s="492"/>
    </row>
    <row r="162" spans="1:40" ht="15.75" hidden="1" customHeight="1">
      <c r="A162" s="477" t="s">
        <v>303</v>
      </c>
      <c r="B162" s="492" t="s">
        <v>73</v>
      </c>
      <c r="C162" s="501" t="s">
        <v>20</v>
      </c>
      <c r="D162" s="563"/>
      <c r="E162" s="583"/>
      <c r="F162" s="509">
        <v>0</v>
      </c>
      <c r="G162" s="562"/>
      <c r="H162" s="492"/>
      <c r="I162" s="509"/>
      <c r="J162" s="508"/>
      <c r="K162" s="492"/>
      <c r="L162" s="511">
        <v>0</v>
      </c>
      <c r="M162" s="508"/>
      <c r="N162" s="534">
        <v>0</v>
      </c>
      <c r="O162" s="508"/>
      <c r="P162" s="492"/>
      <c r="Q162" s="511">
        <v>0</v>
      </c>
      <c r="R162" s="508"/>
      <c r="S162" s="534">
        <v>0</v>
      </c>
      <c r="T162" s="584"/>
      <c r="U162" s="492"/>
      <c r="V162" s="492"/>
      <c r="W162" s="492"/>
      <c r="X162" s="492"/>
      <c r="Y162" s="492"/>
      <c r="Z162" s="492"/>
      <c r="AA162" s="492"/>
      <c r="AB162" s="492"/>
      <c r="AC162" s="492"/>
      <c r="AD162" s="492"/>
      <c r="AE162" s="492"/>
      <c r="AF162" s="492"/>
      <c r="AG162" s="492"/>
      <c r="AH162" s="492"/>
      <c r="AI162" s="492"/>
      <c r="AJ162" s="492"/>
      <c r="AK162" s="492"/>
      <c r="AL162" s="492"/>
      <c r="AM162" s="492"/>
      <c r="AN162" s="492"/>
    </row>
    <row r="163" spans="1:40" ht="15.75" customHeight="1">
      <c r="B163" s="492"/>
      <c r="C163" s="568" t="s">
        <v>71</v>
      </c>
      <c r="D163" s="569"/>
      <c r="E163" s="570"/>
      <c r="F163" s="571">
        <v>11371.5</v>
      </c>
      <c r="G163" s="572"/>
      <c r="H163" s="570"/>
      <c r="I163" s="571"/>
      <c r="J163" s="572"/>
      <c r="K163" s="570"/>
      <c r="L163" s="571">
        <v>10563</v>
      </c>
      <c r="M163" s="575"/>
      <c r="N163" s="571">
        <v>-808.5</v>
      </c>
      <c r="O163" s="572"/>
      <c r="P163" s="570"/>
      <c r="Q163" s="571">
        <v>11112</v>
      </c>
      <c r="R163" s="575"/>
      <c r="S163" s="571">
        <v>-549</v>
      </c>
      <c r="T163" s="584"/>
      <c r="U163" s="492"/>
      <c r="V163" s="492"/>
      <c r="W163" s="492"/>
      <c r="X163" s="492"/>
      <c r="Y163" s="492"/>
      <c r="Z163" s="492"/>
      <c r="AA163" s="492"/>
      <c r="AB163" s="492"/>
      <c r="AC163" s="492"/>
      <c r="AD163" s="492"/>
      <c r="AE163" s="492"/>
      <c r="AF163" s="492"/>
      <c r="AG163" s="492"/>
      <c r="AH163" s="492"/>
      <c r="AI163" s="492"/>
      <c r="AJ163" s="492"/>
      <c r="AK163" s="492"/>
      <c r="AL163" s="492"/>
      <c r="AM163" s="492"/>
      <c r="AN163" s="492"/>
    </row>
    <row r="164" spans="1:40" ht="15.75" customHeight="1">
      <c r="B164" s="492"/>
      <c r="C164" s="508"/>
      <c r="D164" s="561"/>
      <c r="E164" s="492"/>
      <c r="F164" s="534"/>
      <c r="G164" s="562"/>
      <c r="H164" s="492"/>
      <c r="I164" s="534"/>
      <c r="J164" s="508"/>
      <c r="K164" s="492"/>
      <c r="L164" s="534"/>
      <c r="M164" s="508"/>
      <c r="N164" s="534"/>
      <c r="O164" s="508"/>
      <c r="P164" s="492"/>
      <c r="Q164" s="534"/>
      <c r="R164" s="508"/>
      <c r="S164" s="534"/>
      <c r="T164" s="627"/>
      <c r="U164" s="492"/>
      <c r="V164" s="492"/>
      <c r="W164" s="492"/>
      <c r="X164" s="492"/>
      <c r="Y164" s="492"/>
      <c r="Z164" s="492"/>
      <c r="AA164" s="492"/>
      <c r="AB164" s="492"/>
      <c r="AC164" s="492"/>
      <c r="AD164" s="492"/>
      <c r="AE164" s="492"/>
      <c r="AF164" s="492"/>
      <c r="AG164" s="492"/>
      <c r="AH164" s="492"/>
      <c r="AI164" s="492"/>
      <c r="AJ164" s="492"/>
      <c r="AK164" s="492"/>
      <c r="AL164" s="492"/>
      <c r="AM164" s="492"/>
      <c r="AN164" s="492"/>
    </row>
    <row r="165" spans="1:40" ht="15.75" customHeight="1" thickBot="1">
      <c r="B165" s="492"/>
      <c r="C165" s="600" t="s">
        <v>72</v>
      </c>
      <c r="D165" s="630"/>
      <c r="E165" s="601"/>
      <c r="F165" s="603">
        <v>6559.6890674803144</v>
      </c>
      <c r="G165" s="631"/>
      <c r="H165" s="601"/>
      <c r="I165" s="603"/>
      <c r="J165" s="600"/>
      <c r="K165" s="602"/>
      <c r="L165" s="603">
        <v>95844.20000000007</v>
      </c>
      <c r="M165" s="600"/>
      <c r="N165" s="603">
        <v>89284.510932519755</v>
      </c>
      <c r="O165" s="600"/>
      <c r="P165" s="605">
        <v>-2.6092643133045337E-2</v>
      </c>
      <c r="Q165" s="603">
        <v>-28552.829999999965</v>
      </c>
      <c r="R165" s="600"/>
      <c r="S165" s="603">
        <v>124397.03000000003</v>
      </c>
      <c r="T165" s="550"/>
      <c r="U165" s="492"/>
      <c r="V165" s="492"/>
      <c r="W165" s="492"/>
      <c r="X165" s="492"/>
      <c r="Y165" s="492"/>
      <c r="Z165" s="492"/>
      <c r="AA165" s="492"/>
      <c r="AB165" s="492"/>
      <c r="AC165" s="492"/>
      <c r="AD165" s="492"/>
      <c r="AE165" s="492"/>
      <c r="AF165" s="492"/>
      <c r="AG165" s="492"/>
      <c r="AH165" s="492"/>
      <c r="AI165" s="492"/>
      <c r="AJ165" s="492"/>
      <c r="AK165" s="492"/>
      <c r="AL165" s="492"/>
      <c r="AM165" s="492"/>
      <c r="AN165" s="492"/>
    </row>
    <row r="166" spans="1:40" ht="15.75" customHeight="1" thickTop="1">
      <c r="B166" s="492"/>
      <c r="C166" s="489"/>
      <c r="D166" s="489"/>
      <c r="E166" s="489"/>
      <c r="F166" s="632"/>
      <c r="G166" s="489"/>
      <c r="H166" s="489"/>
      <c r="I166" s="489"/>
      <c r="J166" s="489"/>
      <c r="K166" s="489"/>
      <c r="L166" s="632"/>
      <c r="M166" s="489"/>
      <c r="N166" s="489"/>
      <c r="O166" s="489"/>
      <c r="P166" s="489"/>
      <c r="Q166" s="489"/>
      <c r="R166" s="489"/>
      <c r="S166" s="489"/>
      <c r="T166" s="632"/>
      <c r="U166" s="489"/>
      <c r="V166" s="492"/>
      <c r="W166" s="492"/>
      <c r="X166" s="492"/>
      <c r="Y166" s="492"/>
      <c r="Z166" s="492"/>
      <c r="AA166" s="492"/>
      <c r="AB166" s="492"/>
      <c r="AC166" s="492"/>
      <c r="AD166" s="492"/>
      <c r="AE166" s="492"/>
      <c r="AF166" s="492"/>
      <c r="AG166" s="492"/>
      <c r="AH166" s="492"/>
      <c r="AI166" s="492"/>
      <c r="AJ166" s="492"/>
      <c r="AK166" s="492"/>
      <c r="AL166" s="492"/>
      <c r="AM166" s="492"/>
      <c r="AN166" s="492"/>
    </row>
    <row r="167" spans="1:40" ht="8.25" customHeight="1">
      <c r="B167" s="492"/>
      <c r="C167" s="489"/>
      <c r="D167" s="489"/>
      <c r="E167" s="489"/>
      <c r="F167" s="489"/>
      <c r="G167" s="489"/>
      <c r="H167" s="489"/>
      <c r="I167" s="489"/>
      <c r="J167" s="489"/>
      <c r="K167" s="489"/>
      <c r="L167" s="489"/>
      <c r="M167" s="489"/>
      <c r="N167" s="489"/>
      <c r="O167" s="489"/>
      <c r="P167" s="489"/>
      <c r="Q167" s="489"/>
      <c r="R167" s="489"/>
      <c r="S167" s="489"/>
      <c r="T167" s="632"/>
      <c r="U167" s="489"/>
      <c r="V167" s="489"/>
      <c r="W167" s="489"/>
      <c r="X167" s="489"/>
      <c r="Y167" s="489"/>
      <c r="Z167" s="489"/>
      <c r="AA167" s="489"/>
      <c r="AB167" s="489"/>
      <c r="AC167" s="489"/>
      <c r="AD167" s="489"/>
      <c r="AE167" s="489"/>
      <c r="AF167" s="489"/>
      <c r="AG167" s="489"/>
      <c r="AH167" s="489"/>
      <c r="AI167" s="489"/>
      <c r="AJ167" s="489"/>
      <c r="AK167" s="489"/>
      <c r="AL167" s="489"/>
      <c r="AM167" s="489"/>
      <c r="AN167" s="489"/>
    </row>
    <row r="168" spans="1:40" ht="33.75" customHeight="1">
      <c r="B168" s="492"/>
      <c r="C168" s="610" t="s">
        <v>478</v>
      </c>
      <c r="D168" s="480"/>
      <c r="E168" s="480"/>
      <c r="F168" s="480"/>
      <c r="G168" s="480"/>
      <c r="H168" s="478"/>
      <c r="I168" s="478"/>
      <c r="J168" s="478"/>
      <c r="K168" s="482" t="s">
        <v>83</v>
      </c>
      <c r="L168" s="480"/>
      <c r="M168" s="480"/>
      <c r="N168" s="478"/>
      <c r="O168" s="478"/>
      <c r="P168" s="480"/>
      <c r="Q168" s="478"/>
      <c r="R168" s="480"/>
      <c r="S168" s="611" t="s">
        <v>481</v>
      </c>
      <c r="T168" s="480"/>
      <c r="U168" s="478"/>
      <c r="V168" s="489"/>
      <c r="W168" s="489"/>
      <c r="X168" s="489"/>
      <c r="Y168" s="489"/>
      <c r="Z168" s="489"/>
      <c r="AA168" s="489"/>
      <c r="AB168" s="489"/>
      <c r="AC168" s="489"/>
      <c r="AD168" s="489"/>
      <c r="AE168" s="489"/>
      <c r="AF168" s="489"/>
      <c r="AG168" s="489"/>
      <c r="AH168" s="489"/>
      <c r="AI168" s="489"/>
      <c r="AJ168" s="489"/>
      <c r="AK168" s="489"/>
      <c r="AL168" s="489"/>
      <c r="AM168" s="489"/>
      <c r="AN168" s="489"/>
    </row>
    <row r="169" spans="1:40" ht="15.75" customHeight="1" thickBot="1">
      <c r="B169" s="492"/>
      <c r="C169" s="487"/>
      <c r="D169" s="489"/>
      <c r="E169" s="489"/>
      <c r="F169" s="489"/>
      <c r="G169" s="489"/>
      <c r="H169" s="489"/>
      <c r="I169" s="489"/>
      <c r="J169" s="489"/>
      <c r="K169" s="489"/>
      <c r="L169" s="489"/>
      <c r="M169" s="489"/>
      <c r="N169" s="489"/>
      <c r="O169" s="489"/>
      <c r="P169" s="489"/>
      <c r="Q169" s="489"/>
      <c r="R169" s="489"/>
      <c r="S169" s="489"/>
      <c r="T169" s="489"/>
      <c r="U169" s="489"/>
      <c r="V169" s="478"/>
      <c r="W169" s="478"/>
      <c r="X169" s="478"/>
      <c r="Y169" s="478"/>
      <c r="Z169" s="478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  <c r="AL169" s="478"/>
      <c r="AM169" s="478"/>
      <c r="AN169" s="478"/>
    </row>
    <row r="170" spans="1:40" ht="15.75" customHeight="1" thickTop="1">
      <c r="B170" s="492"/>
      <c r="C170" s="493"/>
      <c r="D170" s="879" t="s">
        <v>5</v>
      </c>
      <c r="E170" s="880"/>
      <c r="F170" s="881"/>
      <c r="G170" s="882"/>
      <c r="H170" s="880"/>
      <c r="I170" s="881"/>
      <c r="J170" s="882" t="s">
        <v>7</v>
      </c>
      <c r="K170" s="880"/>
      <c r="L170" s="881"/>
      <c r="M170" s="882" t="s">
        <v>220</v>
      </c>
      <c r="N170" s="881"/>
      <c r="O170" s="879" t="s">
        <v>8</v>
      </c>
      <c r="P170" s="880"/>
      <c r="Q170" s="881"/>
      <c r="R170" s="882" t="s">
        <v>221</v>
      </c>
      <c r="S170" s="881"/>
      <c r="T170" s="626"/>
      <c r="AA170" s="489"/>
      <c r="AB170" s="489"/>
      <c r="AC170" s="489"/>
      <c r="AD170" s="489"/>
      <c r="AE170" s="489"/>
      <c r="AF170" s="489"/>
      <c r="AG170" s="489"/>
      <c r="AH170" s="489"/>
      <c r="AI170" s="489"/>
      <c r="AJ170" s="489"/>
      <c r="AK170" s="489"/>
      <c r="AL170" s="489"/>
      <c r="AM170" s="489"/>
      <c r="AN170" s="489"/>
    </row>
    <row r="171" spans="1:40" ht="15.75" customHeight="1">
      <c r="A171" s="477" t="s">
        <v>83</v>
      </c>
      <c r="B171" s="492" t="s">
        <v>83</v>
      </c>
      <c r="C171" s="508"/>
      <c r="D171" s="552" t="s">
        <v>40</v>
      </c>
      <c r="E171" s="552" t="s">
        <v>84</v>
      </c>
      <c r="F171" s="633" t="s">
        <v>12</v>
      </c>
      <c r="G171" s="634"/>
      <c r="H171" s="552"/>
      <c r="I171" s="633"/>
      <c r="J171" s="634" t="s">
        <v>40</v>
      </c>
      <c r="K171" s="552" t="s">
        <v>84</v>
      </c>
      <c r="L171" s="633" t="s">
        <v>12</v>
      </c>
      <c r="M171" s="634" t="s">
        <v>226</v>
      </c>
      <c r="N171" s="633" t="s">
        <v>223</v>
      </c>
      <c r="O171" s="552" t="s">
        <v>40</v>
      </c>
      <c r="P171" s="552" t="s">
        <v>84</v>
      </c>
      <c r="Q171" s="633" t="s">
        <v>12</v>
      </c>
      <c r="R171" s="634" t="s">
        <v>85</v>
      </c>
      <c r="S171" s="633" t="s">
        <v>12</v>
      </c>
      <c r="T171" s="552"/>
      <c r="AA171" s="492"/>
      <c r="AB171" s="492"/>
      <c r="AC171" s="492"/>
      <c r="AD171" s="492"/>
      <c r="AE171" s="492"/>
      <c r="AF171" s="492"/>
      <c r="AG171" s="492"/>
      <c r="AH171" s="492"/>
      <c r="AI171" s="492"/>
      <c r="AJ171" s="492"/>
      <c r="AK171" s="492"/>
      <c r="AL171" s="492"/>
      <c r="AM171" s="492"/>
      <c r="AN171" s="492"/>
    </row>
    <row r="172" spans="1:40" ht="15.75" customHeight="1">
      <c r="A172" s="477" t="s">
        <v>334</v>
      </c>
      <c r="B172" s="492" t="s">
        <v>83</v>
      </c>
      <c r="C172" s="508" t="s">
        <v>86</v>
      </c>
      <c r="D172" s="550">
        <v>419.72</v>
      </c>
      <c r="E172" s="550">
        <v>142704.80000000002</v>
      </c>
      <c r="F172" s="550">
        <v>111309.74400000002</v>
      </c>
      <c r="G172" s="535"/>
      <c r="H172" s="550"/>
      <c r="I172" s="550"/>
      <c r="J172" s="535">
        <v>335</v>
      </c>
      <c r="K172" s="550">
        <v>128621.11</v>
      </c>
      <c r="L172" s="511">
        <v>102934.89</v>
      </c>
      <c r="M172" s="554">
        <v>-9.8691074161485912E-2</v>
      </c>
      <c r="N172" s="534">
        <v>-8374.8540000000212</v>
      </c>
      <c r="O172" s="535">
        <v>335</v>
      </c>
      <c r="P172" s="509">
        <v>130604.099999999</v>
      </c>
      <c r="Q172" s="511">
        <v>105174.099999999</v>
      </c>
      <c r="R172" s="554">
        <v>1</v>
      </c>
      <c r="S172" s="534">
        <v>-2239.2099999990023</v>
      </c>
      <c r="T172" s="550"/>
      <c r="AA172" s="492"/>
      <c r="AB172" s="492"/>
      <c r="AC172" s="492"/>
      <c r="AD172" s="492"/>
      <c r="AE172" s="492"/>
      <c r="AF172" s="492"/>
      <c r="AG172" s="492"/>
      <c r="AH172" s="492"/>
      <c r="AI172" s="492"/>
      <c r="AJ172" s="492"/>
      <c r="AK172" s="492"/>
      <c r="AL172" s="492"/>
      <c r="AM172" s="492"/>
      <c r="AN172" s="492"/>
    </row>
    <row r="173" spans="1:40" ht="15.75" customHeight="1">
      <c r="A173" s="477" t="s">
        <v>335</v>
      </c>
      <c r="B173" s="492" t="s">
        <v>83</v>
      </c>
      <c r="C173" s="508" t="s">
        <v>87</v>
      </c>
      <c r="D173" s="550"/>
      <c r="E173" s="619"/>
      <c r="F173" s="635">
        <v>0.78</v>
      </c>
      <c r="G173" s="535"/>
      <c r="H173" s="619"/>
      <c r="I173" s="635"/>
      <c r="J173" s="535"/>
      <c r="K173" s="492"/>
      <c r="L173" s="635">
        <v>0.80029545694326532</v>
      </c>
      <c r="M173" s="554"/>
      <c r="N173" s="534"/>
      <c r="O173" s="535"/>
      <c r="P173" s="492"/>
      <c r="Q173" s="635">
        <v>0.80528942046995311</v>
      </c>
      <c r="R173" s="535"/>
      <c r="S173" s="534"/>
      <c r="T173" s="550"/>
      <c r="AA173" s="492"/>
      <c r="AB173" s="492"/>
      <c r="AC173" s="492"/>
      <c r="AD173" s="492"/>
      <c r="AE173" s="492"/>
      <c r="AF173" s="492"/>
      <c r="AG173" s="492"/>
      <c r="AH173" s="492"/>
      <c r="AI173" s="492"/>
      <c r="AJ173" s="492"/>
      <c r="AK173" s="492"/>
      <c r="AL173" s="492"/>
      <c r="AM173" s="492"/>
      <c r="AN173" s="492"/>
    </row>
    <row r="174" spans="1:40" ht="15.75" customHeight="1">
      <c r="A174" s="477" t="s">
        <v>83</v>
      </c>
      <c r="B174" s="492" t="s">
        <v>83</v>
      </c>
      <c r="C174" s="501"/>
      <c r="D174" s="557"/>
      <c r="E174" s="636">
        <v>340</v>
      </c>
      <c r="F174" s="637"/>
      <c r="G174" s="638"/>
      <c r="H174" s="636"/>
      <c r="I174" s="637"/>
      <c r="J174" s="638"/>
      <c r="K174" s="636">
        <v>383.94361194029852</v>
      </c>
      <c r="L174" s="637"/>
      <c r="M174" s="558"/>
      <c r="N174" s="559"/>
      <c r="O174" s="638"/>
      <c r="P174" s="636">
        <v>389.86298507462391</v>
      </c>
      <c r="Q174" s="637"/>
      <c r="R174" s="638"/>
      <c r="S174" s="559"/>
      <c r="T174" s="550"/>
      <c r="AA174" s="492"/>
      <c r="AB174" s="492"/>
      <c r="AC174" s="492"/>
      <c r="AD174" s="492"/>
      <c r="AE174" s="492"/>
      <c r="AF174" s="492"/>
      <c r="AG174" s="492"/>
      <c r="AH174" s="492"/>
      <c r="AI174" s="492"/>
      <c r="AJ174" s="492"/>
      <c r="AK174" s="492"/>
      <c r="AL174" s="492"/>
      <c r="AM174" s="492"/>
      <c r="AN174" s="492"/>
    </row>
    <row r="175" spans="1:40" ht="18" customHeight="1">
      <c r="A175" s="477" t="s">
        <v>336</v>
      </c>
      <c r="B175" s="492" t="s">
        <v>83</v>
      </c>
      <c r="C175" s="496" t="s">
        <v>88</v>
      </c>
      <c r="D175" s="639">
        <v>150.69999999999999</v>
      </c>
      <c r="E175" s="550">
        <v>40689</v>
      </c>
      <c r="F175" s="550">
        <v>26040.959999999999</v>
      </c>
      <c r="G175" s="640"/>
      <c r="H175" s="550"/>
      <c r="I175" s="550"/>
      <c r="J175" s="640">
        <v>175</v>
      </c>
      <c r="K175" s="529">
        <v>71307.81</v>
      </c>
      <c r="L175" s="511">
        <v>47482.42</v>
      </c>
      <c r="M175" s="554">
        <v>0.75250829462508284</v>
      </c>
      <c r="N175" s="582">
        <v>21441.46</v>
      </c>
      <c r="O175" s="640">
        <v>177</v>
      </c>
      <c r="P175" s="529">
        <v>47773.13</v>
      </c>
      <c r="Q175" s="511">
        <v>32481.53</v>
      </c>
      <c r="R175" s="554">
        <v>0.98870056497175141</v>
      </c>
      <c r="S175" s="534">
        <v>15000.89</v>
      </c>
      <c r="T175" s="550"/>
      <c r="U175" s="492"/>
      <c r="V175" s="509"/>
      <c r="W175" s="492"/>
      <c r="AA175" s="492"/>
      <c r="AB175" s="492"/>
      <c r="AC175" s="492"/>
      <c r="AD175" s="492"/>
      <c r="AE175" s="492"/>
      <c r="AF175" s="492"/>
      <c r="AG175" s="492"/>
      <c r="AH175" s="492"/>
      <c r="AI175" s="492"/>
      <c r="AJ175" s="492"/>
      <c r="AK175" s="492"/>
      <c r="AL175" s="492"/>
      <c r="AM175" s="492"/>
      <c r="AN175" s="492"/>
    </row>
    <row r="176" spans="1:40" ht="15.75" customHeight="1">
      <c r="A176" s="477" t="s">
        <v>335</v>
      </c>
      <c r="B176" s="492" t="s">
        <v>83</v>
      </c>
      <c r="C176" s="508" t="s">
        <v>87</v>
      </c>
      <c r="D176" s="492"/>
      <c r="E176" s="492"/>
      <c r="F176" s="635">
        <v>0.64</v>
      </c>
      <c r="G176" s="508"/>
      <c r="H176" s="492"/>
      <c r="I176" s="635"/>
      <c r="J176" s="508"/>
      <c r="K176" s="492"/>
      <c r="L176" s="635">
        <v>0.66587965609938093</v>
      </c>
      <c r="M176" s="525"/>
      <c r="N176" s="526"/>
      <c r="O176" s="508"/>
      <c r="P176" s="492"/>
      <c r="Q176" s="635">
        <v>0.67991211796254503</v>
      </c>
      <c r="R176" s="525"/>
      <c r="S176" s="526"/>
      <c r="T176" s="492"/>
      <c r="U176" s="492"/>
      <c r="V176" s="509"/>
      <c r="W176" s="641"/>
      <c r="AA176" s="492"/>
      <c r="AB176" s="492"/>
      <c r="AC176" s="492"/>
      <c r="AD176" s="492"/>
      <c r="AE176" s="492"/>
      <c r="AF176" s="492"/>
      <c r="AG176" s="492"/>
      <c r="AH176" s="492"/>
      <c r="AI176" s="492"/>
      <c r="AJ176" s="492"/>
      <c r="AK176" s="492"/>
      <c r="AL176" s="492"/>
      <c r="AM176" s="492"/>
      <c r="AN176" s="492"/>
    </row>
    <row r="177" spans="1:40" ht="15.75" customHeight="1">
      <c r="A177" s="477" t="s">
        <v>83</v>
      </c>
      <c r="B177" s="492" t="s">
        <v>83</v>
      </c>
      <c r="C177" s="501"/>
      <c r="D177" s="583"/>
      <c r="E177" s="636">
        <v>270</v>
      </c>
      <c r="F177" s="637"/>
      <c r="G177" s="638"/>
      <c r="H177" s="636"/>
      <c r="I177" s="637"/>
      <c r="J177" s="638"/>
      <c r="K177" s="636">
        <v>407.47319999999996</v>
      </c>
      <c r="L177" s="637"/>
      <c r="M177" s="558"/>
      <c r="N177" s="559"/>
      <c r="O177" s="638"/>
      <c r="P177" s="636">
        <v>269.90468926553672</v>
      </c>
      <c r="Q177" s="637"/>
      <c r="R177" s="642"/>
      <c r="S177" s="643"/>
      <c r="T177" s="492"/>
      <c r="AA177" s="492"/>
      <c r="AB177" s="492"/>
      <c r="AC177" s="492"/>
      <c r="AD177" s="492"/>
      <c r="AE177" s="492"/>
      <c r="AF177" s="492"/>
      <c r="AG177" s="492"/>
      <c r="AH177" s="492"/>
      <c r="AI177" s="492"/>
      <c r="AJ177" s="492"/>
      <c r="AK177" s="492"/>
      <c r="AL177" s="492"/>
      <c r="AM177" s="492"/>
      <c r="AN177" s="492"/>
    </row>
    <row r="178" spans="1:40" ht="15.75" customHeight="1">
      <c r="A178" s="477" t="s">
        <v>337</v>
      </c>
      <c r="B178" s="492" t="s">
        <v>83</v>
      </c>
      <c r="C178" s="508" t="s">
        <v>89</v>
      </c>
      <c r="D178" s="550">
        <v>332.53000000000003</v>
      </c>
      <c r="E178" s="550">
        <v>102093.3606</v>
      </c>
      <c r="F178" s="550">
        <v>75549.086844000005</v>
      </c>
      <c r="G178" s="535"/>
      <c r="H178" s="550"/>
      <c r="I178" s="550"/>
      <c r="J178" s="535">
        <v>328</v>
      </c>
      <c r="K178" s="529">
        <v>111311.12000000001</v>
      </c>
      <c r="L178" s="511">
        <v>87639.260000000009</v>
      </c>
      <c r="M178" s="554">
        <v>9.0287550001562106E-2</v>
      </c>
      <c r="N178" s="534">
        <v>12090.173156000004</v>
      </c>
      <c r="O178" s="535">
        <v>267</v>
      </c>
      <c r="P178" s="529">
        <v>87515.68</v>
      </c>
      <c r="Q178" s="511">
        <v>65368.46</v>
      </c>
      <c r="R178" s="554">
        <v>1.2284644194756553</v>
      </c>
      <c r="S178" s="534">
        <v>22270.80000000001</v>
      </c>
      <c r="T178" s="550"/>
      <c r="AA178" s="492"/>
      <c r="AB178" s="492"/>
      <c r="AC178" s="492"/>
      <c r="AD178" s="492"/>
      <c r="AE178" s="492"/>
      <c r="AF178" s="492"/>
      <c r="AG178" s="492"/>
      <c r="AH178" s="492"/>
      <c r="AI178" s="492"/>
      <c r="AJ178" s="492"/>
      <c r="AK178" s="492"/>
      <c r="AL178" s="492"/>
      <c r="AM178" s="492"/>
      <c r="AN178" s="492"/>
    </row>
    <row r="179" spans="1:40" ht="15.75" customHeight="1">
      <c r="A179" s="477" t="s">
        <v>335</v>
      </c>
      <c r="B179" s="492" t="s">
        <v>83</v>
      </c>
      <c r="C179" s="508" t="s">
        <v>87</v>
      </c>
      <c r="D179" s="550"/>
      <c r="E179" s="619"/>
      <c r="F179" s="635">
        <v>0.7400000000000001</v>
      </c>
      <c r="G179" s="535"/>
      <c r="H179" s="619"/>
      <c r="I179" s="635"/>
      <c r="J179" s="535"/>
      <c r="K179" s="619"/>
      <c r="L179" s="635">
        <v>0.7873360720833642</v>
      </c>
      <c r="M179" s="554"/>
      <c r="N179" s="534">
        <v>4.73360720833641E-2</v>
      </c>
      <c r="O179" s="535"/>
      <c r="P179" s="619"/>
      <c r="Q179" s="635">
        <v>0.7469342636656654</v>
      </c>
      <c r="R179" s="535">
        <v>0</v>
      </c>
      <c r="S179" s="534"/>
      <c r="T179" s="550"/>
      <c r="AA179" s="492"/>
      <c r="AB179" s="492"/>
      <c r="AC179" s="492"/>
      <c r="AD179" s="492"/>
      <c r="AE179" s="492"/>
      <c r="AF179" s="492"/>
      <c r="AG179" s="492"/>
      <c r="AH179" s="492"/>
      <c r="AI179" s="492"/>
      <c r="AJ179" s="492"/>
      <c r="AK179" s="492"/>
      <c r="AL179" s="492"/>
      <c r="AM179" s="492"/>
      <c r="AN179" s="492"/>
    </row>
    <row r="180" spans="1:40" ht="15.75" customHeight="1">
      <c r="A180" s="477" t="s">
        <v>83</v>
      </c>
      <c r="B180" s="492" t="s">
        <v>83</v>
      </c>
      <c r="C180" s="508"/>
      <c r="D180" s="550"/>
      <c r="E180" s="636">
        <v>307.02</v>
      </c>
      <c r="F180" s="637"/>
      <c r="G180" s="638"/>
      <c r="H180" s="636"/>
      <c r="I180" s="637"/>
      <c r="J180" s="638"/>
      <c r="K180" s="636">
        <v>339.36317073170733</v>
      </c>
      <c r="L180" s="637"/>
      <c r="M180" s="558"/>
      <c r="N180" s="559"/>
      <c r="O180" s="638"/>
      <c r="P180" s="636">
        <v>327.77408239700372</v>
      </c>
      <c r="Q180" s="635"/>
      <c r="R180" s="638"/>
      <c r="S180" s="534"/>
      <c r="T180" s="550"/>
      <c r="U180" s="528"/>
      <c r="AA180" s="492"/>
      <c r="AB180" s="492"/>
      <c r="AC180" s="492"/>
      <c r="AD180" s="492"/>
      <c r="AE180" s="492"/>
      <c r="AF180" s="492"/>
      <c r="AG180" s="492"/>
      <c r="AH180" s="492"/>
      <c r="AI180" s="492"/>
      <c r="AJ180" s="492"/>
      <c r="AK180" s="492"/>
      <c r="AL180" s="492"/>
      <c r="AM180" s="492"/>
      <c r="AN180" s="492"/>
    </row>
    <row r="181" spans="1:40" ht="15.75" customHeight="1">
      <c r="A181" s="477" t="s">
        <v>338</v>
      </c>
      <c r="B181" s="492" t="s">
        <v>83</v>
      </c>
      <c r="C181" s="496" t="s">
        <v>90</v>
      </c>
      <c r="D181" s="639">
        <v>29.516000000000002</v>
      </c>
      <c r="E181" s="550">
        <v>7969.32</v>
      </c>
      <c r="F181" s="550">
        <v>5976.99</v>
      </c>
      <c r="G181" s="640"/>
      <c r="H181" s="550"/>
      <c r="I181" s="550"/>
      <c r="J181" s="640">
        <v>0</v>
      </c>
      <c r="K181" s="529">
        <v>8116.64</v>
      </c>
      <c r="L181" s="530">
        <v>6178.8</v>
      </c>
      <c r="M181" s="644">
        <v>1.8485893401193654E-2</v>
      </c>
      <c r="N181" s="582">
        <v>201.8100000000004</v>
      </c>
      <c r="O181" s="640">
        <v>0</v>
      </c>
      <c r="P181" s="529">
        <v>7368.85</v>
      </c>
      <c r="Q181" s="530">
        <v>5618.83</v>
      </c>
      <c r="R181" s="554">
        <v>0</v>
      </c>
      <c r="S181" s="582">
        <v>559.97000000000025</v>
      </c>
      <c r="T181" s="550"/>
      <c r="U181" s="528"/>
      <c r="AA181" s="492"/>
      <c r="AB181" s="492"/>
      <c r="AC181" s="492"/>
      <c r="AD181" s="492"/>
      <c r="AE181" s="492"/>
      <c r="AF181" s="492"/>
      <c r="AG181" s="492"/>
      <c r="AH181" s="492"/>
      <c r="AI181" s="492"/>
      <c r="AJ181" s="492"/>
      <c r="AK181" s="492"/>
      <c r="AL181" s="492"/>
      <c r="AM181" s="492"/>
      <c r="AN181" s="492"/>
    </row>
    <row r="182" spans="1:40" ht="15.75" customHeight="1">
      <c r="A182" s="477" t="s">
        <v>335</v>
      </c>
      <c r="B182" s="492" t="s">
        <v>83</v>
      </c>
      <c r="C182" s="508" t="s">
        <v>87</v>
      </c>
      <c r="D182" s="548"/>
      <c r="E182" s="645"/>
      <c r="F182" s="635">
        <v>0.75</v>
      </c>
      <c r="G182" s="527"/>
      <c r="H182" s="645"/>
      <c r="I182" s="635"/>
      <c r="J182" s="646"/>
      <c r="K182" s="645">
        <v>0</v>
      </c>
      <c r="L182" s="635">
        <v>0.76125096098878353</v>
      </c>
      <c r="M182" s="535">
        <v>0</v>
      </c>
      <c r="N182" s="647"/>
      <c r="O182" s="646"/>
      <c r="P182" s="645"/>
      <c r="Q182" s="635">
        <v>0.7625111109603262</v>
      </c>
      <c r="R182" s="508"/>
      <c r="S182" s="647"/>
      <c r="T182" s="584"/>
      <c r="U182" s="528"/>
      <c r="AA182" s="492"/>
      <c r="AB182" s="492"/>
      <c r="AC182" s="492"/>
      <c r="AD182" s="492"/>
      <c r="AE182" s="492"/>
      <c r="AF182" s="492"/>
      <c r="AG182" s="492"/>
      <c r="AH182" s="492"/>
      <c r="AI182" s="492"/>
      <c r="AJ182" s="492"/>
      <c r="AK182" s="492"/>
      <c r="AL182" s="492"/>
      <c r="AM182" s="492"/>
      <c r="AN182" s="492"/>
    </row>
    <row r="183" spans="1:40" ht="15.75" customHeight="1">
      <c r="A183" s="477" t="s">
        <v>83</v>
      </c>
      <c r="B183" s="492" t="s">
        <v>83</v>
      </c>
      <c r="C183" s="501"/>
      <c r="D183" s="648"/>
      <c r="E183" s="649"/>
      <c r="F183" s="637"/>
      <c r="G183" s="521"/>
      <c r="H183" s="649"/>
      <c r="I183" s="637"/>
      <c r="J183" s="650"/>
      <c r="K183" s="505"/>
      <c r="L183" s="637"/>
      <c r="M183" s="638"/>
      <c r="N183" s="651"/>
      <c r="O183" s="650"/>
      <c r="P183" s="505">
        <v>0</v>
      </c>
      <c r="Q183" s="637"/>
      <c r="R183" s="501"/>
      <c r="S183" s="651"/>
      <c r="T183" s="584"/>
      <c r="AA183" s="492"/>
      <c r="AB183" s="492"/>
      <c r="AC183" s="492"/>
      <c r="AD183" s="492"/>
      <c r="AE183" s="492"/>
      <c r="AF183" s="492"/>
      <c r="AG183" s="492"/>
      <c r="AH183" s="492"/>
      <c r="AI183" s="492"/>
      <c r="AJ183" s="492"/>
      <c r="AK183" s="492"/>
      <c r="AL183" s="492"/>
      <c r="AM183" s="492"/>
      <c r="AN183" s="492"/>
    </row>
    <row r="184" spans="1:40" ht="26.25" customHeight="1" thickBot="1">
      <c r="A184" s="477" t="s">
        <v>339</v>
      </c>
      <c r="B184" s="492" t="s">
        <v>83</v>
      </c>
      <c r="C184" s="508" t="s">
        <v>91</v>
      </c>
      <c r="D184" s="492"/>
      <c r="E184" s="492"/>
      <c r="F184" s="534">
        <v>-3542.7164610751106</v>
      </c>
      <c r="G184" s="508"/>
      <c r="H184" s="550"/>
      <c r="I184" s="550"/>
      <c r="J184" s="535"/>
      <c r="K184" s="550"/>
      <c r="L184" s="550">
        <v>0</v>
      </c>
      <c r="M184" s="646"/>
      <c r="N184" s="534">
        <v>3542.7164610751106</v>
      </c>
      <c r="O184" s="535"/>
      <c r="P184" s="550"/>
      <c r="Q184" s="511">
        <v>-2029.15</v>
      </c>
      <c r="R184" s="652"/>
      <c r="S184" s="534">
        <v>2029.15</v>
      </c>
      <c r="T184" s="492"/>
      <c r="U184" s="492"/>
      <c r="V184" s="492"/>
      <c r="W184" s="492"/>
      <c r="X184" s="492"/>
      <c r="Y184" s="492"/>
      <c r="Z184" s="492"/>
      <c r="AA184" s="492"/>
      <c r="AB184" s="492"/>
      <c r="AC184" s="492"/>
      <c r="AD184" s="492"/>
      <c r="AE184" s="492"/>
      <c r="AF184" s="492"/>
      <c r="AG184" s="492"/>
      <c r="AH184" s="492"/>
      <c r="AI184" s="492"/>
      <c r="AJ184" s="492"/>
      <c r="AK184" s="492"/>
      <c r="AL184" s="492"/>
      <c r="AM184" s="492"/>
      <c r="AN184" s="492"/>
    </row>
    <row r="185" spans="1:40" ht="15.75" customHeight="1" thickTop="1">
      <c r="A185" s="477" t="s">
        <v>340</v>
      </c>
      <c r="B185" s="492" t="s">
        <v>83</v>
      </c>
      <c r="C185" s="653" t="s">
        <v>92</v>
      </c>
      <c r="D185" s="654">
        <v>932.46600000000001</v>
      </c>
      <c r="E185" s="654">
        <v>293456.48060000001</v>
      </c>
      <c r="F185" s="655">
        <v>215334.0643829249</v>
      </c>
      <c r="G185" s="656"/>
      <c r="H185" s="654"/>
      <c r="I185" s="655"/>
      <c r="J185" s="656">
        <v>838</v>
      </c>
      <c r="K185" s="654">
        <v>319356.68</v>
      </c>
      <c r="L185" s="655">
        <v>244235.37</v>
      </c>
      <c r="M185" s="657">
        <v>8.8259081370581874E-2</v>
      </c>
      <c r="N185" s="655">
        <v>28901.305617075093</v>
      </c>
      <c r="O185" s="656">
        <v>779</v>
      </c>
      <c r="P185" s="654">
        <v>273261.75999999896</v>
      </c>
      <c r="Q185" s="655">
        <v>206613.769999999</v>
      </c>
      <c r="R185" s="525">
        <v>1.0757381258023107</v>
      </c>
      <c r="S185" s="655">
        <v>37621.600000000995</v>
      </c>
      <c r="T185" s="584"/>
      <c r="U185" s="492"/>
      <c r="V185" s="492"/>
      <c r="W185" s="492"/>
      <c r="X185" s="492"/>
      <c r="Y185" s="492"/>
      <c r="Z185" s="492"/>
      <c r="AA185" s="492"/>
      <c r="AB185" s="492"/>
      <c r="AC185" s="492"/>
      <c r="AD185" s="492"/>
      <c r="AE185" s="492"/>
      <c r="AF185" s="492"/>
      <c r="AG185" s="492"/>
      <c r="AH185" s="492"/>
      <c r="AI185" s="492"/>
      <c r="AJ185" s="492"/>
      <c r="AK185" s="492"/>
      <c r="AL185" s="492"/>
      <c r="AM185" s="492"/>
      <c r="AN185" s="492"/>
    </row>
    <row r="186" spans="1:40" ht="15.75" customHeight="1">
      <c r="A186" s="477" t="s">
        <v>341</v>
      </c>
      <c r="B186" s="492" t="s">
        <v>83</v>
      </c>
      <c r="C186" s="658" t="s">
        <v>93</v>
      </c>
      <c r="D186" s="659"/>
      <c r="E186" s="660"/>
      <c r="F186" s="661">
        <v>0.73378534337580037</v>
      </c>
      <c r="G186" s="662"/>
      <c r="H186" s="660"/>
      <c r="I186" s="526"/>
      <c r="J186" s="662"/>
      <c r="K186" s="660">
        <v>381.09389021479711</v>
      </c>
      <c r="L186" s="526">
        <v>0.76477301179358448</v>
      </c>
      <c r="M186" s="662"/>
      <c r="N186" s="661">
        <v>0.13421613389361561</v>
      </c>
      <c r="O186" s="662"/>
      <c r="P186" s="660">
        <v>350.78531450577532</v>
      </c>
      <c r="Q186" s="526">
        <v>0.75610202466675103</v>
      </c>
      <c r="R186" s="662"/>
      <c r="S186" s="526">
        <v>0.18208660536033575</v>
      </c>
      <c r="T186" s="584"/>
      <c r="U186" s="492"/>
      <c r="V186" s="492"/>
      <c r="W186" s="492"/>
      <c r="X186" s="492"/>
      <c r="Y186" s="492"/>
      <c r="Z186" s="492"/>
      <c r="AA186" s="492"/>
      <c r="AB186" s="492"/>
      <c r="AC186" s="492"/>
      <c r="AD186" s="492"/>
      <c r="AE186" s="492"/>
      <c r="AF186" s="492"/>
      <c r="AG186" s="492"/>
      <c r="AH186" s="492"/>
      <c r="AI186" s="492"/>
      <c r="AJ186" s="492"/>
      <c r="AK186" s="492"/>
      <c r="AL186" s="492"/>
      <c r="AM186" s="492"/>
      <c r="AN186" s="492"/>
    </row>
    <row r="187" spans="1:40" ht="15.75" customHeight="1">
      <c r="A187" s="477" t="s">
        <v>83</v>
      </c>
      <c r="B187" s="492" t="s">
        <v>83</v>
      </c>
      <c r="C187" s="514"/>
      <c r="D187" s="663"/>
      <c r="E187" s="664"/>
      <c r="F187" s="665"/>
      <c r="G187" s="666"/>
      <c r="H187" s="664"/>
      <c r="I187" s="665"/>
      <c r="J187" s="666"/>
      <c r="K187" s="664"/>
      <c r="L187" s="665"/>
      <c r="M187" s="666"/>
      <c r="N187" s="665"/>
      <c r="O187" s="666"/>
      <c r="P187" s="664"/>
      <c r="Q187" s="665"/>
      <c r="R187" s="666"/>
      <c r="S187" s="665"/>
      <c r="T187" s="584"/>
      <c r="U187" s="492"/>
      <c r="V187" s="492"/>
      <c r="W187" s="492"/>
      <c r="X187" s="492"/>
      <c r="Y187" s="492"/>
      <c r="Z187" s="492"/>
      <c r="AA187" s="492"/>
      <c r="AB187" s="492"/>
      <c r="AC187" s="492"/>
      <c r="AD187" s="492"/>
      <c r="AE187" s="492"/>
      <c r="AF187" s="492"/>
      <c r="AG187" s="492"/>
      <c r="AH187" s="492"/>
      <c r="AI187" s="492"/>
      <c r="AJ187" s="492"/>
      <c r="AK187" s="492"/>
      <c r="AL187" s="492"/>
      <c r="AM187" s="492"/>
      <c r="AN187" s="492"/>
    </row>
    <row r="188" spans="1:40" ht="19.5" customHeight="1">
      <c r="A188" s="477" t="s">
        <v>342</v>
      </c>
      <c r="B188" s="492" t="s">
        <v>83</v>
      </c>
      <c r="C188" s="508" t="s">
        <v>94</v>
      </c>
      <c r="D188" s="550"/>
      <c r="E188" s="550">
        <v>23336.28</v>
      </c>
      <c r="F188" s="550">
        <v>4107.1852799999997</v>
      </c>
      <c r="G188" s="535"/>
      <c r="H188" s="550"/>
      <c r="I188" s="550"/>
      <c r="J188" s="535"/>
      <c r="K188" s="509">
        <v>21348.949999999997</v>
      </c>
      <c r="L188" s="511">
        <v>4287.1999999999971</v>
      </c>
      <c r="M188" s="554">
        <v>-8.5160531155779831E-2</v>
      </c>
      <c r="N188" s="534">
        <v>180.0147199999974</v>
      </c>
      <c r="O188" s="535"/>
      <c r="P188" s="509">
        <v>9800.6899999999896</v>
      </c>
      <c r="Q188" s="511">
        <v>3056.6899999999901</v>
      </c>
      <c r="R188" s="554">
        <v>0</v>
      </c>
      <c r="S188" s="534">
        <v>1230.510000000007</v>
      </c>
      <c r="T188" s="584"/>
      <c r="U188" s="492"/>
      <c r="V188" s="492"/>
      <c r="W188" s="492"/>
      <c r="X188" s="492"/>
      <c r="Y188" s="492"/>
      <c r="Z188" s="492"/>
      <c r="AA188" s="492"/>
      <c r="AB188" s="492"/>
      <c r="AC188" s="492"/>
      <c r="AD188" s="492"/>
      <c r="AE188" s="492"/>
      <c r="AF188" s="492"/>
      <c r="AG188" s="492"/>
      <c r="AH188" s="492"/>
      <c r="AI188" s="492"/>
      <c r="AJ188" s="492"/>
      <c r="AK188" s="492"/>
      <c r="AL188" s="492"/>
      <c r="AM188" s="492"/>
      <c r="AN188" s="492"/>
    </row>
    <row r="189" spans="1:40" ht="21" customHeight="1">
      <c r="A189" s="477" t="s">
        <v>335</v>
      </c>
      <c r="B189" s="492" t="s">
        <v>83</v>
      </c>
      <c r="C189" s="508" t="s">
        <v>87</v>
      </c>
      <c r="D189" s="492"/>
      <c r="E189" s="619"/>
      <c r="F189" s="635">
        <v>0.17599999999999999</v>
      </c>
      <c r="G189" s="508"/>
      <c r="H189" s="619"/>
      <c r="I189" s="635"/>
      <c r="J189" s="646"/>
      <c r="K189" s="645"/>
      <c r="L189" s="635">
        <v>0.20081549678087202</v>
      </c>
      <c r="M189" s="646"/>
      <c r="N189" s="647"/>
      <c r="O189" s="646"/>
      <c r="P189" s="645"/>
      <c r="Q189" s="635">
        <v>0.31188518359421563</v>
      </c>
      <c r="R189" s="646"/>
      <c r="S189" s="647"/>
      <c r="T189" s="584"/>
      <c r="U189" s="492"/>
      <c r="V189" s="492"/>
      <c r="W189" s="492"/>
      <c r="X189" s="492"/>
      <c r="Y189" s="492"/>
      <c r="Z189" s="492"/>
      <c r="AA189" s="492"/>
      <c r="AB189" s="492"/>
      <c r="AC189" s="492"/>
      <c r="AD189" s="492"/>
      <c r="AE189" s="492"/>
      <c r="AF189" s="492"/>
      <c r="AG189" s="492"/>
      <c r="AH189" s="492"/>
      <c r="AI189" s="492"/>
      <c r="AJ189" s="492"/>
      <c r="AK189" s="492"/>
      <c r="AL189" s="492"/>
      <c r="AM189" s="492"/>
      <c r="AN189" s="492"/>
    </row>
    <row r="190" spans="1:40" ht="15.75" customHeight="1">
      <c r="A190" s="477" t="s">
        <v>83</v>
      </c>
      <c r="B190" s="492" t="s">
        <v>83</v>
      </c>
      <c r="C190" s="508"/>
      <c r="D190" s="492"/>
      <c r="E190" s="619"/>
      <c r="F190" s="635"/>
      <c r="G190" s="508"/>
      <c r="H190" s="619"/>
      <c r="I190" s="635"/>
      <c r="J190" s="646"/>
      <c r="K190" s="645"/>
      <c r="L190" s="635"/>
      <c r="M190" s="646"/>
      <c r="N190" s="647"/>
      <c r="O190" s="646"/>
      <c r="P190" s="645"/>
      <c r="Q190" s="635"/>
      <c r="R190" s="646"/>
      <c r="S190" s="647"/>
      <c r="T190" s="584"/>
      <c r="U190" s="492"/>
      <c r="V190" s="492"/>
      <c r="W190" s="492"/>
      <c r="X190" s="492"/>
      <c r="Y190" s="492"/>
      <c r="Z190" s="492"/>
      <c r="AA190" s="492"/>
      <c r="AB190" s="492"/>
      <c r="AC190" s="492"/>
      <c r="AD190" s="492"/>
      <c r="AE190" s="492"/>
      <c r="AF190" s="492"/>
      <c r="AG190" s="492"/>
      <c r="AH190" s="492"/>
      <c r="AI190" s="492"/>
      <c r="AJ190" s="492"/>
      <c r="AK190" s="492"/>
      <c r="AL190" s="492"/>
      <c r="AM190" s="492"/>
      <c r="AN190" s="492"/>
    </row>
    <row r="191" spans="1:40" ht="15.75" customHeight="1">
      <c r="A191" s="477" t="s">
        <v>343</v>
      </c>
      <c r="B191" s="492" t="s">
        <v>83</v>
      </c>
      <c r="C191" s="508" t="s">
        <v>95</v>
      </c>
      <c r="D191" s="492"/>
      <c r="E191" s="550">
        <v>6110</v>
      </c>
      <c r="F191" s="550">
        <v>4277</v>
      </c>
      <c r="G191" s="508"/>
      <c r="H191" s="550"/>
      <c r="I191" s="550"/>
      <c r="J191" s="535">
        <v>30</v>
      </c>
      <c r="K191" s="509">
        <v>6714.85</v>
      </c>
      <c r="L191" s="511">
        <v>5309.21</v>
      </c>
      <c r="M191" s="554">
        <v>9.8993453355155539E-2</v>
      </c>
      <c r="N191" s="534">
        <v>1032.21</v>
      </c>
      <c r="O191" s="646"/>
      <c r="P191" s="509">
        <v>8945.9</v>
      </c>
      <c r="Q191" s="511">
        <v>7361.42</v>
      </c>
      <c r="R191" s="646"/>
      <c r="S191" s="647"/>
      <c r="T191" s="584"/>
      <c r="U191" s="492"/>
      <c r="V191" s="492"/>
      <c r="W191" s="492"/>
      <c r="X191" s="492"/>
      <c r="Y191" s="492"/>
      <c r="Z191" s="492"/>
      <c r="AA191" s="492"/>
      <c r="AB191" s="492"/>
      <c r="AC191" s="492"/>
      <c r="AD191" s="492"/>
      <c r="AE191" s="492"/>
      <c r="AF191" s="492"/>
      <c r="AG191" s="492"/>
      <c r="AH191" s="492"/>
      <c r="AI191" s="492"/>
      <c r="AJ191" s="492"/>
      <c r="AK191" s="492"/>
      <c r="AL191" s="492"/>
      <c r="AM191" s="492"/>
      <c r="AN191" s="492"/>
    </row>
    <row r="192" spans="1:40" ht="15.75" customHeight="1">
      <c r="A192" s="477" t="s">
        <v>335</v>
      </c>
      <c r="B192" s="492" t="s">
        <v>83</v>
      </c>
      <c r="C192" s="508" t="s">
        <v>87</v>
      </c>
      <c r="D192" s="492"/>
      <c r="E192" s="619"/>
      <c r="F192" s="635">
        <v>0.7</v>
      </c>
      <c r="G192" s="508"/>
      <c r="H192" s="619"/>
      <c r="I192" s="635"/>
      <c r="J192" s="646"/>
      <c r="K192" s="645"/>
      <c r="L192" s="635">
        <v>0.79066695458573155</v>
      </c>
      <c r="M192" s="646"/>
      <c r="N192" s="647"/>
      <c r="O192" s="646"/>
      <c r="P192" s="645"/>
      <c r="Q192" s="635">
        <v>0.82288199063258038</v>
      </c>
      <c r="R192" s="646"/>
      <c r="S192" s="647"/>
      <c r="T192" s="584"/>
      <c r="U192" s="509"/>
      <c r="V192" s="492"/>
      <c r="W192" s="492"/>
      <c r="X192" s="492"/>
      <c r="Y192" s="492"/>
      <c r="Z192" s="492"/>
      <c r="AA192" s="492"/>
      <c r="AB192" s="492"/>
      <c r="AC192" s="492"/>
      <c r="AD192" s="492"/>
      <c r="AE192" s="492"/>
      <c r="AF192" s="492"/>
      <c r="AG192" s="492"/>
      <c r="AH192" s="492"/>
      <c r="AI192" s="492"/>
      <c r="AJ192" s="492"/>
      <c r="AK192" s="492"/>
      <c r="AL192" s="492"/>
      <c r="AM192" s="492"/>
      <c r="AN192" s="492"/>
    </row>
    <row r="193" spans="1:40" ht="15.75" customHeight="1" thickBot="1">
      <c r="A193" s="477" t="s">
        <v>83</v>
      </c>
      <c r="B193" s="492" t="s">
        <v>83</v>
      </c>
      <c r="C193" s="667"/>
      <c r="D193" s="668"/>
      <c r="E193" s="669"/>
      <c r="F193" s="670"/>
      <c r="G193" s="671"/>
      <c r="H193" s="669"/>
      <c r="I193" s="670"/>
      <c r="J193" s="671"/>
      <c r="K193" s="669"/>
      <c r="L193" s="670"/>
      <c r="M193" s="671"/>
      <c r="N193" s="670"/>
      <c r="O193" s="671"/>
      <c r="P193" s="669"/>
      <c r="Q193" s="670"/>
      <c r="R193" s="671"/>
      <c r="S193" s="670"/>
      <c r="T193" s="584"/>
      <c r="U193" s="492"/>
      <c r="V193" s="492"/>
      <c r="W193" s="492"/>
      <c r="X193" s="492"/>
      <c r="Y193" s="492"/>
      <c r="Z193" s="492"/>
      <c r="AA193" s="492"/>
      <c r="AB193" s="492"/>
      <c r="AC193" s="492"/>
      <c r="AD193" s="492"/>
      <c r="AE193" s="492"/>
      <c r="AF193" s="492"/>
      <c r="AG193" s="492"/>
      <c r="AH193" s="492"/>
      <c r="AI193" s="492"/>
      <c r="AJ193" s="492"/>
      <c r="AK193" s="492"/>
      <c r="AL193" s="492"/>
      <c r="AM193" s="492"/>
      <c r="AN193" s="492"/>
    </row>
    <row r="194" spans="1:40" ht="24.75" customHeight="1" thickTop="1">
      <c r="A194" s="477" t="s">
        <v>344</v>
      </c>
      <c r="B194" s="492" t="s">
        <v>83</v>
      </c>
      <c r="C194" s="536" t="s">
        <v>96</v>
      </c>
      <c r="D194" s="537"/>
      <c r="E194" s="537">
        <v>322902.76060000004</v>
      </c>
      <c r="F194" s="539">
        <v>223718.24966292491</v>
      </c>
      <c r="G194" s="540"/>
      <c r="H194" s="537"/>
      <c r="I194" s="539"/>
      <c r="J194" s="540"/>
      <c r="K194" s="537">
        <v>347420.48</v>
      </c>
      <c r="L194" s="539">
        <v>253831.78</v>
      </c>
      <c r="M194" s="672">
        <v>3.7783617796130375E-2</v>
      </c>
      <c r="N194" s="539">
        <v>30113.530337075092</v>
      </c>
      <c r="O194" s="540"/>
      <c r="P194" s="537">
        <v>292008.34999999899</v>
      </c>
      <c r="Q194" s="539">
        <v>217031.87999999902</v>
      </c>
      <c r="R194" s="672"/>
      <c r="S194" s="539">
        <v>36799.900000000984</v>
      </c>
      <c r="T194" s="584"/>
      <c r="U194" s="629"/>
      <c r="V194" s="492"/>
      <c r="W194" s="492"/>
      <c r="X194" s="492"/>
      <c r="Y194" s="492"/>
      <c r="Z194" s="492"/>
      <c r="AA194" s="492"/>
      <c r="AB194" s="492"/>
      <c r="AC194" s="492"/>
      <c r="AD194" s="492"/>
      <c r="AE194" s="492"/>
      <c r="AF194" s="492"/>
      <c r="AG194" s="492"/>
      <c r="AH194" s="492"/>
      <c r="AI194" s="492"/>
      <c r="AJ194" s="492"/>
      <c r="AK194" s="492"/>
      <c r="AL194" s="492"/>
      <c r="AM194" s="492"/>
      <c r="AN194" s="492"/>
    </row>
    <row r="195" spans="1:40" ht="24" customHeight="1" thickBot="1">
      <c r="A195" s="477" t="s">
        <v>83</v>
      </c>
      <c r="B195" s="492" t="s">
        <v>83</v>
      </c>
      <c r="C195" s="541"/>
      <c r="D195" s="542"/>
      <c r="E195" s="542"/>
      <c r="F195" s="547">
        <v>0.69283473838137533</v>
      </c>
      <c r="G195" s="541"/>
      <c r="H195" s="542"/>
      <c r="I195" s="547"/>
      <c r="J195" s="541"/>
      <c r="K195" s="542"/>
      <c r="L195" s="547">
        <v>0.7306183561775057</v>
      </c>
      <c r="M195" s="546"/>
      <c r="N195" s="547">
        <v>0.13460471098109783</v>
      </c>
      <c r="O195" s="541"/>
      <c r="P195" s="542"/>
      <c r="Q195" s="547">
        <v>0.74323860944387299</v>
      </c>
      <c r="R195" s="546"/>
      <c r="S195" s="547">
        <v>6.8976214609276987</v>
      </c>
      <c r="T195" s="548"/>
      <c r="U195" s="492"/>
      <c r="V195" s="492"/>
      <c r="W195" s="492"/>
      <c r="X195" s="492"/>
      <c r="Y195" s="492"/>
      <c r="Z195" s="492"/>
      <c r="AA195" s="492"/>
      <c r="AB195" s="492"/>
      <c r="AC195" s="492"/>
      <c r="AD195" s="492"/>
      <c r="AE195" s="492"/>
      <c r="AF195" s="492"/>
      <c r="AG195" s="492"/>
      <c r="AH195" s="492"/>
      <c r="AI195" s="492"/>
      <c r="AJ195" s="492"/>
      <c r="AK195" s="492"/>
      <c r="AL195" s="492"/>
      <c r="AM195" s="492"/>
      <c r="AN195" s="492"/>
    </row>
    <row r="196" spans="1:40" ht="15.75" customHeight="1" thickTop="1">
      <c r="A196" s="477" t="s">
        <v>83</v>
      </c>
      <c r="B196" s="492" t="s">
        <v>83</v>
      </c>
      <c r="C196" s="527"/>
      <c r="D196" s="548"/>
      <c r="E196" s="548"/>
      <c r="F196" s="526"/>
      <c r="G196" s="527"/>
      <c r="H196" s="548"/>
      <c r="I196" s="526"/>
      <c r="J196" s="527"/>
      <c r="K196" s="584"/>
      <c r="L196" s="526"/>
      <c r="M196" s="525"/>
      <c r="N196" s="526"/>
      <c r="O196" s="527"/>
      <c r="P196" s="548"/>
      <c r="Q196" s="526"/>
      <c r="R196" s="525"/>
      <c r="S196" s="526"/>
      <c r="T196" s="548"/>
      <c r="U196" s="492"/>
      <c r="V196" s="492"/>
      <c r="W196" s="492"/>
      <c r="X196" s="492"/>
      <c r="Y196" s="492"/>
      <c r="Z196" s="492"/>
      <c r="AA196" s="492"/>
      <c r="AB196" s="492"/>
      <c r="AC196" s="492"/>
      <c r="AD196" s="492"/>
      <c r="AE196" s="492"/>
      <c r="AF196" s="492"/>
      <c r="AG196" s="492"/>
      <c r="AH196" s="492"/>
      <c r="AI196" s="492"/>
      <c r="AJ196" s="492"/>
      <c r="AK196" s="492"/>
      <c r="AL196" s="492"/>
      <c r="AM196" s="492"/>
      <c r="AN196" s="492"/>
    </row>
    <row r="197" spans="1:40" ht="15.75" customHeight="1">
      <c r="A197" s="477" t="s">
        <v>345</v>
      </c>
      <c r="B197" s="492" t="s">
        <v>83</v>
      </c>
      <c r="C197" s="551" t="s">
        <v>30</v>
      </c>
      <c r="D197" s="492"/>
      <c r="E197" s="492"/>
      <c r="F197" s="534"/>
      <c r="G197" s="508"/>
      <c r="H197" s="492"/>
      <c r="I197" s="534"/>
      <c r="J197" s="508"/>
      <c r="K197" s="492"/>
      <c r="L197" s="518"/>
      <c r="M197" s="508"/>
      <c r="N197" s="518"/>
      <c r="O197" s="508"/>
      <c r="P197" s="492"/>
      <c r="Q197" s="518"/>
      <c r="R197" s="508"/>
      <c r="S197" s="518"/>
      <c r="T197" s="492"/>
      <c r="U197" s="492"/>
      <c r="V197" s="492"/>
      <c r="W197" s="492"/>
      <c r="X197" s="492"/>
      <c r="Y197" s="492"/>
      <c r="Z197" s="492"/>
      <c r="AA197" s="492"/>
      <c r="AB197" s="492"/>
      <c r="AC197" s="492"/>
      <c r="AD197" s="492"/>
      <c r="AE197" s="492"/>
      <c r="AF197" s="492"/>
      <c r="AG197" s="492"/>
      <c r="AH197" s="492"/>
      <c r="AI197" s="492"/>
      <c r="AJ197" s="492"/>
      <c r="AK197" s="492"/>
      <c r="AL197" s="492"/>
      <c r="AM197" s="492"/>
      <c r="AN197" s="492"/>
    </row>
    <row r="198" spans="1:40" ht="15.75" customHeight="1">
      <c r="A198" s="477" t="s">
        <v>346</v>
      </c>
      <c r="B198" s="492" t="s">
        <v>83</v>
      </c>
      <c r="C198" s="576" t="s">
        <v>41</v>
      </c>
      <c r="D198" s="492"/>
      <c r="E198" s="492"/>
      <c r="F198" s="509">
        <v>18635.594711538462</v>
      </c>
      <c r="G198" s="508"/>
      <c r="H198" s="492"/>
      <c r="I198" s="509"/>
      <c r="J198" s="508"/>
      <c r="K198" s="492"/>
      <c r="L198" s="511">
        <v>8631.3799999999992</v>
      </c>
      <c r="M198" s="508"/>
      <c r="N198" s="511">
        <v>-10004.214711538463</v>
      </c>
      <c r="O198" s="508"/>
      <c r="P198" s="492"/>
      <c r="Q198" s="511">
        <v>16240.75</v>
      </c>
      <c r="R198" s="508"/>
      <c r="S198" s="511">
        <v>-7609.3700000000008</v>
      </c>
      <c r="T198" s="492"/>
      <c r="U198" s="492"/>
      <c r="V198" s="492"/>
      <c r="W198" s="492"/>
      <c r="X198" s="492"/>
      <c r="Y198" s="492"/>
      <c r="Z198" s="492"/>
      <c r="AA198" s="492"/>
      <c r="AB198" s="492"/>
      <c r="AC198" s="492"/>
      <c r="AD198" s="492"/>
      <c r="AE198" s="492"/>
      <c r="AF198" s="492"/>
      <c r="AG198" s="492"/>
      <c r="AH198" s="492"/>
      <c r="AI198" s="492"/>
      <c r="AJ198" s="492"/>
      <c r="AK198" s="492"/>
      <c r="AL198" s="492"/>
      <c r="AM198" s="492"/>
      <c r="AN198" s="492"/>
    </row>
    <row r="199" spans="1:40" ht="15.75" customHeight="1">
      <c r="A199" s="477" t="s">
        <v>347</v>
      </c>
      <c r="B199" s="492" t="s">
        <v>83</v>
      </c>
      <c r="C199" s="578" t="s">
        <v>42</v>
      </c>
      <c r="D199" s="561"/>
      <c r="E199" s="492"/>
      <c r="F199" s="503">
        <v>10418.882923076924</v>
      </c>
      <c r="G199" s="562"/>
      <c r="H199" s="492"/>
      <c r="I199" s="503"/>
      <c r="J199" s="508"/>
      <c r="K199" s="492"/>
      <c r="L199" s="511">
        <v>11197.86</v>
      </c>
      <c r="M199" s="508"/>
      <c r="N199" s="511">
        <v>778.97707692307631</v>
      </c>
      <c r="O199" s="508"/>
      <c r="P199" s="492"/>
      <c r="Q199" s="511">
        <v>9477.77</v>
      </c>
      <c r="R199" s="508"/>
      <c r="S199" s="534">
        <v>1720.0900000000001</v>
      </c>
      <c r="T199" s="492"/>
      <c r="U199" s="492"/>
      <c r="V199" s="492"/>
      <c r="W199" s="492"/>
      <c r="X199" s="492"/>
      <c r="Y199" s="492"/>
      <c r="Z199" s="492"/>
      <c r="AA199" s="492"/>
      <c r="AB199" s="492"/>
      <c r="AC199" s="492"/>
      <c r="AD199" s="492"/>
      <c r="AE199" s="492"/>
      <c r="AF199" s="492"/>
      <c r="AG199" s="492"/>
      <c r="AH199" s="492"/>
      <c r="AI199" s="492"/>
      <c r="AJ199" s="492"/>
      <c r="AK199" s="492"/>
      <c r="AL199" s="492"/>
      <c r="AM199" s="492"/>
      <c r="AN199" s="492"/>
    </row>
    <row r="200" spans="1:40" ht="20.25">
      <c r="A200" s="477" t="s">
        <v>348</v>
      </c>
      <c r="B200" s="492" t="s">
        <v>83</v>
      </c>
      <c r="C200" s="576" t="s">
        <v>43</v>
      </c>
      <c r="D200" s="579"/>
      <c r="E200" s="580"/>
      <c r="F200" s="509">
        <v>19584.721153846156</v>
      </c>
      <c r="G200" s="581"/>
      <c r="H200" s="580"/>
      <c r="I200" s="509"/>
      <c r="J200" s="496"/>
      <c r="K200" s="580"/>
      <c r="L200" s="530">
        <v>16204.95</v>
      </c>
      <c r="M200" s="496"/>
      <c r="N200" s="530">
        <v>-3379.7711538461554</v>
      </c>
      <c r="O200" s="496"/>
      <c r="P200" s="580"/>
      <c r="Q200" s="530">
        <v>18669.21</v>
      </c>
      <c r="R200" s="496"/>
      <c r="S200" s="582">
        <v>-2464.2599999999984</v>
      </c>
      <c r="T200" s="492"/>
      <c r="U200" s="492"/>
      <c r="V200" s="492"/>
      <c r="W200" s="492"/>
      <c r="X200" s="492"/>
      <c r="Y200" s="492"/>
      <c r="Z200" s="492"/>
      <c r="AA200" s="492"/>
      <c r="AB200" s="492"/>
      <c r="AC200" s="492"/>
      <c r="AD200" s="492"/>
      <c r="AE200" s="492"/>
      <c r="AF200" s="492"/>
      <c r="AG200" s="492"/>
      <c r="AH200" s="492"/>
      <c r="AI200" s="492"/>
      <c r="AJ200" s="492"/>
      <c r="AK200" s="492"/>
      <c r="AL200" s="492"/>
      <c r="AM200" s="492"/>
      <c r="AN200" s="492"/>
    </row>
    <row r="201" spans="1:40" ht="20.25">
      <c r="A201" s="477" t="s">
        <v>349</v>
      </c>
      <c r="B201" s="492" t="s">
        <v>83</v>
      </c>
      <c r="C201" s="576" t="s">
        <v>44</v>
      </c>
      <c r="D201" s="561"/>
      <c r="E201" s="577">
        <v>0.2099083376851536</v>
      </c>
      <c r="F201" s="509">
        <v>29954.927347692312</v>
      </c>
      <c r="G201" s="562"/>
      <c r="H201" s="492"/>
      <c r="I201" s="509"/>
      <c r="J201" s="508"/>
      <c r="K201" s="673">
        <v>8.97946690088431E-2</v>
      </c>
      <c r="L201" s="511">
        <v>11549.49</v>
      </c>
      <c r="M201" s="508"/>
      <c r="N201" s="511">
        <v>-18405.437347692314</v>
      </c>
      <c r="O201" s="508"/>
      <c r="P201" s="492"/>
      <c r="Q201" s="511">
        <v>32163.66</v>
      </c>
      <c r="R201" s="508"/>
      <c r="S201" s="534">
        <v>-20614.169999999998</v>
      </c>
      <c r="T201" s="492"/>
      <c r="U201" s="492"/>
      <c r="V201" s="492"/>
      <c r="W201" s="492"/>
      <c r="X201" s="492"/>
      <c r="Y201" s="492"/>
      <c r="Z201" s="492"/>
      <c r="AA201" s="492"/>
      <c r="AB201" s="492"/>
      <c r="AC201" s="492"/>
      <c r="AD201" s="492"/>
      <c r="AE201" s="492"/>
      <c r="AF201" s="492"/>
      <c r="AG201" s="492"/>
      <c r="AH201" s="492"/>
      <c r="AI201" s="492"/>
      <c r="AJ201" s="492"/>
      <c r="AK201" s="492"/>
      <c r="AL201" s="492"/>
      <c r="AM201" s="492"/>
      <c r="AN201" s="492"/>
    </row>
    <row r="202" spans="1:40" ht="15.75" hidden="1" customHeight="1">
      <c r="A202" s="477" t="s">
        <v>350</v>
      </c>
      <c r="B202" s="492" t="s">
        <v>83</v>
      </c>
      <c r="C202" s="508" t="s">
        <v>20</v>
      </c>
      <c r="D202" s="561"/>
      <c r="E202" s="492"/>
      <c r="F202" s="509">
        <v>0</v>
      </c>
      <c r="G202" s="562"/>
      <c r="H202" s="492"/>
      <c r="I202" s="509"/>
      <c r="J202" s="508"/>
      <c r="K202" s="492"/>
      <c r="L202" s="511">
        <v>0</v>
      </c>
      <c r="M202" s="508"/>
      <c r="N202" s="511">
        <v>0</v>
      </c>
      <c r="O202" s="508"/>
      <c r="P202" s="492"/>
      <c r="Q202" s="511">
        <v>0</v>
      </c>
      <c r="R202" s="508"/>
      <c r="S202" s="534">
        <v>0</v>
      </c>
      <c r="T202" s="492"/>
      <c r="U202" s="492"/>
      <c r="V202" s="492"/>
      <c r="W202" s="492"/>
      <c r="X202" s="492"/>
      <c r="Y202" s="492"/>
      <c r="Z202" s="492"/>
      <c r="AA202" s="492"/>
      <c r="AB202" s="492"/>
      <c r="AC202" s="492"/>
      <c r="AD202" s="492"/>
      <c r="AE202" s="492"/>
      <c r="AF202" s="492"/>
      <c r="AG202" s="492"/>
      <c r="AH202" s="492"/>
      <c r="AI202" s="492"/>
      <c r="AJ202" s="492"/>
      <c r="AK202" s="492"/>
      <c r="AL202" s="492"/>
      <c r="AM202" s="492"/>
      <c r="AN202" s="492"/>
    </row>
    <row r="203" spans="1:40" ht="15.75" hidden="1" customHeight="1">
      <c r="A203" s="477" t="s">
        <v>350</v>
      </c>
      <c r="B203" s="492" t="s">
        <v>83</v>
      </c>
      <c r="C203" s="508" t="s">
        <v>20</v>
      </c>
      <c r="D203" s="561"/>
      <c r="E203" s="492"/>
      <c r="F203" s="509">
        <v>0</v>
      </c>
      <c r="G203" s="562"/>
      <c r="H203" s="492"/>
      <c r="I203" s="509"/>
      <c r="J203" s="508"/>
      <c r="K203" s="492"/>
      <c r="L203" s="511">
        <v>0</v>
      </c>
      <c r="M203" s="508"/>
      <c r="N203" s="511">
        <v>0</v>
      </c>
      <c r="O203" s="508"/>
      <c r="P203" s="492"/>
      <c r="Q203" s="511">
        <v>0</v>
      </c>
      <c r="R203" s="508"/>
      <c r="S203" s="534">
        <v>0</v>
      </c>
      <c r="T203" s="492"/>
      <c r="U203" s="492"/>
      <c r="V203" s="492"/>
      <c r="W203" s="492"/>
      <c r="X203" s="492"/>
      <c r="Y203" s="492"/>
      <c r="Z203" s="492"/>
      <c r="AA203" s="492"/>
      <c r="AB203" s="492"/>
      <c r="AC203" s="492"/>
      <c r="AD203" s="492"/>
      <c r="AE203" s="492"/>
      <c r="AF203" s="492"/>
      <c r="AG203" s="492"/>
      <c r="AH203" s="492"/>
      <c r="AI203" s="492"/>
      <c r="AJ203" s="492"/>
      <c r="AK203" s="492"/>
      <c r="AL203" s="492"/>
      <c r="AM203" s="492"/>
      <c r="AN203" s="492"/>
    </row>
    <row r="204" spans="1:40" ht="15.75" hidden="1" customHeight="1">
      <c r="A204" s="477" t="s">
        <v>350</v>
      </c>
      <c r="B204" s="492" t="s">
        <v>83</v>
      </c>
      <c r="C204" s="508" t="s">
        <v>20</v>
      </c>
      <c r="D204" s="561"/>
      <c r="E204" s="492"/>
      <c r="F204" s="509">
        <v>0</v>
      </c>
      <c r="G204" s="562"/>
      <c r="H204" s="492"/>
      <c r="I204" s="509"/>
      <c r="J204" s="508"/>
      <c r="K204" s="492"/>
      <c r="L204" s="511">
        <v>0</v>
      </c>
      <c r="M204" s="508"/>
      <c r="N204" s="511">
        <v>0</v>
      </c>
      <c r="O204" s="508"/>
      <c r="P204" s="492"/>
      <c r="Q204" s="511">
        <v>0</v>
      </c>
      <c r="R204" s="508"/>
      <c r="S204" s="534">
        <v>0</v>
      </c>
      <c r="T204" s="492"/>
      <c r="U204" s="492"/>
      <c r="V204" s="492"/>
      <c r="W204" s="492"/>
      <c r="X204" s="492"/>
      <c r="Y204" s="492"/>
      <c r="Z204" s="492"/>
      <c r="AA204" s="492"/>
      <c r="AB204" s="492"/>
      <c r="AC204" s="492"/>
      <c r="AD204" s="492"/>
      <c r="AE204" s="492"/>
      <c r="AF204" s="492"/>
      <c r="AG204" s="492"/>
      <c r="AH204" s="492"/>
      <c r="AI204" s="492"/>
      <c r="AJ204" s="492"/>
      <c r="AK204" s="492"/>
      <c r="AL204" s="492"/>
      <c r="AM204" s="492"/>
      <c r="AN204" s="492"/>
    </row>
    <row r="205" spans="1:40" ht="20.25">
      <c r="A205" s="477" t="s">
        <v>351</v>
      </c>
      <c r="B205" s="492" t="s">
        <v>83</v>
      </c>
      <c r="C205" s="578" t="s">
        <v>45</v>
      </c>
      <c r="D205" s="561"/>
      <c r="E205" s="492"/>
      <c r="F205" s="509">
        <v>18234.194518629949</v>
      </c>
      <c r="G205" s="562"/>
      <c r="H205" s="492"/>
      <c r="I205" s="509"/>
      <c r="J205" s="508"/>
      <c r="K205" s="492"/>
      <c r="L205" s="511">
        <v>17494.11</v>
      </c>
      <c r="M205" s="508"/>
      <c r="N205" s="511">
        <v>-740.08451862994843</v>
      </c>
      <c r="O205" s="508"/>
      <c r="P205" s="492"/>
      <c r="Q205" s="511">
        <v>16486.689999999999</v>
      </c>
      <c r="R205" s="508"/>
      <c r="S205" s="534">
        <v>1007.4200000000019</v>
      </c>
      <c r="T205" s="492"/>
      <c r="U205" s="492"/>
      <c r="V205" s="492"/>
      <c r="W205" s="492"/>
      <c r="X205" s="492"/>
      <c r="Y205" s="492"/>
      <c r="Z205" s="492"/>
      <c r="AA205" s="492"/>
      <c r="AB205" s="492"/>
      <c r="AC205" s="492"/>
      <c r="AD205" s="492"/>
      <c r="AE205" s="492"/>
      <c r="AF205" s="492"/>
      <c r="AG205" s="492"/>
      <c r="AH205" s="492"/>
      <c r="AI205" s="492"/>
      <c r="AJ205" s="492"/>
      <c r="AK205" s="492"/>
      <c r="AL205" s="492"/>
      <c r="AM205" s="492"/>
      <c r="AN205" s="492"/>
    </row>
    <row r="206" spans="1:40" ht="15.75" customHeight="1">
      <c r="A206" s="477" t="s">
        <v>352</v>
      </c>
      <c r="B206" s="492" t="s">
        <v>83</v>
      </c>
      <c r="C206" s="576" t="s">
        <v>46</v>
      </c>
      <c r="D206" s="579"/>
      <c r="E206" s="580"/>
      <c r="F206" s="530">
        <v>22170.210075514828</v>
      </c>
      <c r="G206" s="581"/>
      <c r="H206" s="580"/>
      <c r="I206" s="530"/>
      <c r="J206" s="496"/>
      <c r="K206" s="580"/>
      <c r="L206" s="530">
        <v>20543.66</v>
      </c>
      <c r="M206" s="496"/>
      <c r="N206" s="530">
        <v>-1626.5500755148278</v>
      </c>
      <c r="O206" s="496"/>
      <c r="P206" s="580"/>
      <c r="Q206" s="530">
        <v>20021.5</v>
      </c>
      <c r="R206" s="496"/>
      <c r="S206" s="582">
        <v>522.15999999999985</v>
      </c>
      <c r="T206" s="492"/>
      <c r="U206" s="492"/>
      <c r="V206" s="492"/>
      <c r="W206" s="492"/>
      <c r="X206" s="492"/>
      <c r="Y206" s="492"/>
      <c r="Z206" s="492"/>
      <c r="AA206" s="492"/>
      <c r="AB206" s="492"/>
      <c r="AC206" s="492"/>
      <c r="AD206" s="492"/>
      <c r="AE206" s="492"/>
      <c r="AF206" s="492"/>
      <c r="AG206" s="492"/>
      <c r="AH206" s="492"/>
      <c r="AI206" s="492"/>
      <c r="AJ206" s="492"/>
      <c r="AK206" s="492"/>
      <c r="AL206" s="492"/>
      <c r="AM206" s="492"/>
      <c r="AN206" s="492"/>
    </row>
    <row r="207" spans="1:40" ht="15.75" customHeight="1">
      <c r="A207" s="477" t="s">
        <v>353</v>
      </c>
      <c r="B207" s="492" t="s">
        <v>83</v>
      </c>
      <c r="C207" s="576" t="s">
        <v>47</v>
      </c>
      <c r="D207" s="561"/>
      <c r="E207" s="492"/>
      <c r="F207" s="509">
        <v>11422.477799776116</v>
      </c>
      <c r="G207" s="562"/>
      <c r="H207" s="492"/>
      <c r="I207" s="509"/>
      <c r="J207" s="508"/>
      <c r="K207" s="492"/>
      <c r="L207" s="511">
        <v>12246.3</v>
      </c>
      <c r="M207" s="508"/>
      <c r="N207" s="511">
        <v>823.82220022388356</v>
      </c>
      <c r="O207" s="508"/>
      <c r="P207" s="492"/>
      <c r="Q207" s="511">
        <v>10473.36</v>
      </c>
      <c r="R207" s="508"/>
      <c r="S207" s="534">
        <v>1772.9399999999987</v>
      </c>
      <c r="T207" s="492"/>
      <c r="U207" s="492"/>
      <c r="V207" s="492"/>
      <c r="W207" s="492"/>
      <c r="X207" s="492"/>
      <c r="Y207" s="492"/>
      <c r="Z207" s="492"/>
      <c r="AA207" s="492"/>
      <c r="AB207" s="492"/>
      <c r="AC207" s="492"/>
      <c r="AD207" s="492"/>
      <c r="AE207" s="492"/>
      <c r="AF207" s="492"/>
      <c r="AG207" s="492"/>
      <c r="AH207" s="492"/>
      <c r="AI207" s="492"/>
      <c r="AJ207" s="492"/>
      <c r="AK207" s="492"/>
      <c r="AL207" s="492"/>
      <c r="AM207" s="492"/>
      <c r="AN207" s="492"/>
    </row>
    <row r="208" spans="1:40" ht="15.75" customHeight="1">
      <c r="A208" s="477" t="s">
        <v>354</v>
      </c>
      <c r="B208" s="492" t="s">
        <v>83</v>
      </c>
      <c r="C208" s="576" t="s">
        <v>48</v>
      </c>
      <c r="D208" s="561"/>
      <c r="E208" s="492"/>
      <c r="F208" s="509">
        <v>4980.2645821808665</v>
      </c>
      <c r="G208" s="562"/>
      <c r="H208" s="492"/>
      <c r="I208" s="509"/>
      <c r="J208" s="508"/>
      <c r="K208" s="492"/>
      <c r="L208" s="511">
        <v>3495.07</v>
      </c>
      <c r="M208" s="508"/>
      <c r="N208" s="511">
        <v>-1485.1945821808663</v>
      </c>
      <c r="O208" s="508"/>
      <c r="P208" s="492"/>
      <c r="Q208" s="511">
        <v>5322.67</v>
      </c>
      <c r="R208" s="508"/>
      <c r="S208" s="534">
        <v>-1827.6</v>
      </c>
      <c r="T208" s="492"/>
      <c r="U208" s="492"/>
      <c r="V208" s="492"/>
      <c r="W208" s="492"/>
      <c r="X208" s="492"/>
      <c r="Y208" s="492"/>
      <c r="Z208" s="492"/>
      <c r="AA208" s="492"/>
      <c r="AB208" s="492"/>
      <c r="AC208" s="492"/>
      <c r="AD208" s="492"/>
      <c r="AE208" s="492"/>
      <c r="AF208" s="492"/>
      <c r="AG208" s="492"/>
      <c r="AH208" s="492"/>
      <c r="AI208" s="492"/>
      <c r="AJ208" s="492"/>
      <c r="AK208" s="492"/>
      <c r="AL208" s="492"/>
      <c r="AM208" s="492"/>
      <c r="AN208" s="492"/>
    </row>
    <row r="209" spans="1:40" ht="15.75" hidden="1" customHeight="1">
      <c r="A209" s="477" t="s">
        <v>350</v>
      </c>
      <c r="B209" s="492" t="s">
        <v>83</v>
      </c>
      <c r="C209" s="508" t="s">
        <v>20</v>
      </c>
      <c r="D209" s="563"/>
      <c r="E209" s="583"/>
      <c r="F209" s="509">
        <v>0</v>
      </c>
      <c r="G209" s="564"/>
      <c r="H209" s="583"/>
      <c r="I209" s="509"/>
      <c r="J209" s="501"/>
      <c r="K209" s="583"/>
      <c r="L209" s="511">
        <v>0</v>
      </c>
      <c r="M209" s="501"/>
      <c r="N209" s="511">
        <v>0</v>
      </c>
      <c r="O209" s="501"/>
      <c r="P209" s="583"/>
      <c r="Q209" s="511">
        <v>0</v>
      </c>
      <c r="R209" s="501"/>
      <c r="S209" s="559">
        <v>0</v>
      </c>
      <c r="T209" s="492"/>
      <c r="U209" s="492"/>
      <c r="V209" s="492"/>
      <c r="W209" s="492"/>
      <c r="X209" s="492"/>
      <c r="Y209" s="492"/>
      <c r="Z209" s="492"/>
      <c r="AA209" s="492"/>
      <c r="AB209" s="492"/>
      <c r="AC209" s="492"/>
      <c r="AD209" s="492"/>
      <c r="AE209" s="492"/>
      <c r="AF209" s="492"/>
      <c r="AG209" s="492"/>
      <c r="AH209" s="492"/>
      <c r="AI209" s="492"/>
      <c r="AJ209" s="492"/>
      <c r="AK209" s="492"/>
      <c r="AL209" s="492"/>
      <c r="AM209" s="492"/>
      <c r="AN209" s="492"/>
    </row>
    <row r="210" spans="1:40" ht="15.75" customHeight="1">
      <c r="A210" s="477" t="s">
        <v>355</v>
      </c>
      <c r="B210" s="492" t="s">
        <v>83</v>
      </c>
      <c r="C210" s="568" t="s">
        <v>49</v>
      </c>
      <c r="D210" s="569" t="s">
        <v>97</v>
      </c>
      <c r="E210" s="570">
        <v>0.60523123757790875</v>
      </c>
      <c r="F210" s="571">
        <v>135401.27311225561</v>
      </c>
      <c r="G210" s="572"/>
      <c r="H210" s="570"/>
      <c r="I210" s="571"/>
      <c r="J210" s="572" t="s">
        <v>97</v>
      </c>
      <c r="K210" s="570">
        <v>0.39933069058570997</v>
      </c>
      <c r="L210" s="571">
        <v>101362.82</v>
      </c>
      <c r="M210" s="625"/>
      <c r="N210" s="571">
        <v>-34038.453112255607</v>
      </c>
      <c r="O210" s="572" t="s">
        <v>97</v>
      </c>
      <c r="P210" s="570">
        <v>0.59371742990016296</v>
      </c>
      <c r="Q210" s="571">
        <v>128855.61</v>
      </c>
      <c r="R210" s="625"/>
      <c r="S210" s="585">
        <v>-27492.789999999994</v>
      </c>
      <c r="T210" s="492"/>
      <c r="U210" s="492"/>
      <c r="V210" s="492"/>
      <c r="W210" s="492"/>
      <c r="X210" s="492"/>
      <c r="Y210" s="492"/>
      <c r="Z210" s="492"/>
      <c r="AA210" s="492"/>
      <c r="AB210" s="492"/>
      <c r="AC210" s="492"/>
      <c r="AD210" s="492"/>
      <c r="AE210" s="492"/>
      <c r="AF210" s="492"/>
      <c r="AG210" s="492"/>
      <c r="AH210" s="492"/>
      <c r="AI210" s="492"/>
      <c r="AJ210" s="492"/>
      <c r="AK210" s="492"/>
      <c r="AL210" s="492"/>
      <c r="AM210" s="492"/>
      <c r="AN210" s="492"/>
    </row>
    <row r="211" spans="1:40" ht="15.75" customHeight="1">
      <c r="A211" s="477" t="s">
        <v>356</v>
      </c>
      <c r="B211" s="492" t="s">
        <v>83</v>
      </c>
      <c r="C211" s="508" t="s">
        <v>50</v>
      </c>
      <c r="D211" s="561"/>
      <c r="E211" s="492"/>
      <c r="F211" s="509">
        <v>9545.5303275157585</v>
      </c>
      <c r="G211" s="562"/>
      <c r="H211" s="492"/>
      <c r="I211" s="509"/>
      <c r="J211" s="508"/>
      <c r="K211" s="492"/>
      <c r="L211" s="511">
        <v>6663.63</v>
      </c>
      <c r="M211" s="508"/>
      <c r="N211" s="534">
        <v>-2881.9003275157584</v>
      </c>
      <c r="O211" s="508"/>
      <c r="P211" s="492"/>
      <c r="Q211" s="511">
        <v>9968.24</v>
      </c>
      <c r="R211" s="508"/>
      <c r="S211" s="534">
        <v>-3304.6099999999997</v>
      </c>
      <c r="T211" s="492"/>
      <c r="U211" s="492"/>
      <c r="V211" s="492"/>
      <c r="W211" s="492"/>
      <c r="X211" s="492"/>
      <c r="Y211" s="492"/>
      <c r="Z211" s="492"/>
      <c r="AA211" s="492"/>
      <c r="AB211" s="492"/>
      <c r="AC211" s="492"/>
      <c r="AD211" s="492"/>
      <c r="AE211" s="492"/>
      <c r="AF211" s="492"/>
      <c r="AG211" s="492"/>
      <c r="AH211" s="492"/>
      <c r="AI211" s="492"/>
      <c r="AJ211" s="492"/>
      <c r="AK211" s="492"/>
      <c r="AL211" s="492"/>
      <c r="AM211" s="492"/>
      <c r="AN211" s="492"/>
    </row>
    <row r="212" spans="1:40" ht="15.75" customHeight="1">
      <c r="A212" s="477" t="s">
        <v>357</v>
      </c>
      <c r="B212" s="492" t="s">
        <v>83</v>
      </c>
      <c r="C212" s="508" t="s">
        <v>51</v>
      </c>
      <c r="D212" s="561"/>
      <c r="E212" s="492"/>
      <c r="F212" s="509">
        <v>3422.1774033237093</v>
      </c>
      <c r="G212" s="562"/>
      <c r="H212" s="492"/>
      <c r="I212" s="509"/>
      <c r="J212" s="508"/>
      <c r="K212" s="492"/>
      <c r="L212" s="511">
        <v>2251.79</v>
      </c>
      <c r="M212" s="508"/>
      <c r="N212" s="534">
        <v>-1170.3874033237093</v>
      </c>
      <c r="O212" s="508"/>
      <c r="P212" s="492"/>
      <c r="Q212" s="511">
        <v>3011.12</v>
      </c>
      <c r="R212" s="508"/>
      <c r="S212" s="534">
        <v>-759.32999999999993</v>
      </c>
      <c r="T212" s="492"/>
      <c r="V212" s="492"/>
      <c r="W212" s="492"/>
      <c r="X212" s="492"/>
      <c r="Y212" s="492"/>
      <c r="Z212" s="492"/>
      <c r="AA212" s="492"/>
      <c r="AB212" s="492"/>
      <c r="AC212" s="492"/>
      <c r="AD212" s="492"/>
      <c r="AE212" s="492"/>
      <c r="AF212" s="492"/>
      <c r="AG212" s="492"/>
      <c r="AH212" s="492"/>
      <c r="AI212" s="492"/>
      <c r="AJ212" s="492"/>
      <c r="AK212" s="492"/>
      <c r="AL212" s="492"/>
      <c r="AM212" s="492"/>
      <c r="AN212" s="492"/>
    </row>
    <row r="213" spans="1:40" ht="15.75" customHeight="1">
      <c r="A213" s="477" t="s">
        <v>358</v>
      </c>
      <c r="B213" s="492" t="s">
        <v>83</v>
      </c>
      <c r="C213" s="501" t="s">
        <v>52</v>
      </c>
      <c r="D213" s="563"/>
      <c r="E213" s="583"/>
      <c r="F213" s="503">
        <v>11083.739355555555</v>
      </c>
      <c r="G213" s="564"/>
      <c r="H213" s="583"/>
      <c r="I213" s="503"/>
      <c r="J213" s="501"/>
      <c r="K213" s="583"/>
      <c r="L213" s="511">
        <v>2622.26</v>
      </c>
      <c r="M213" s="501"/>
      <c r="N213" s="559">
        <v>-8461.4793555555552</v>
      </c>
      <c r="O213" s="501"/>
      <c r="P213" s="583"/>
      <c r="Q213" s="511">
        <v>14407.05</v>
      </c>
      <c r="R213" s="501"/>
      <c r="S213" s="559">
        <v>-11784.789999999999</v>
      </c>
      <c r="T213" s="492"/>
      <c r="U213" s="492"/>
      <c r="V213" s="492"/>
      <c r="W213" s="492"/>
      <c r="X213" s="492"/>
      <c r="Y213" s="492"/>
      <c r="Z213" s="492"/>
      <c r="AA213" s="492"/>
      <c r="AB213" s="492"/>
      <c r="AC213" s="492"/>
      <c r="AD213" s="492"/>
      <c r="AE213" s="492"/>
      <c r="AF213" s="492"/>
      <c r="AG213" s="492"/>
      <c r="AH213" s="492"/>
      <c r="AI213" s="492"/>
      <c r="AJ213" s="492"/>
      <c r="AK213" s="492"/>
      <c r="AL213" s="492"/>
      <c r="AM213" s="492"/>
      <c r="AN213" s="492"/>
    </row>
    <row r="214" spans="1:40" ht="15.75" customHeight="1">
      <c r="A214" s="477" t="s">
        <v>359</v>
      </c>
      <c r="B214" s="492" t="s">
        <v>83</v>
      </c>
      <c r="C214" s="508" t="s">
        <v>53</v>
      </c>
      <c r="D214" s="561"/>
      <c r="E214" s="492"/>
      <c r="F214" s="509">
        <v>4783.316137386666</v>
      </c>
      <c r="G214" s="562"/>
      <c r="H214" s="492"/>
      <c r="I214" s="509"/>
      <c r="J214" s="508"/>
      <c r="K214" s="492"/>
      <c r="L214" s="530">
        <v>4633.42</v>
      </c>
      <c r="M214" s="508"/>
      <c r="N214" s="534">
        <v>-149.89613738666594</v>
      </c>
      <c r="O214" s="508"/>
      <c r="P214" s="492"/>
      <c r="Q214" s="530">
        <v>5517.68</v>
      </c>
      <c r="R214" s="508"/>
      <c r="S214" s="534">
        <v>-884.26000000000022</v>
      </c>
      <c r="T214" s="492"/>
      <c r="U214" s="492"/>
      <c r="V214" s="492"/>
      <c r="W214" s="492"/>
      <c r="X214" s="492"/>
      <c r="Y214" s="492"/>
      <c r="Z214" s="492"/>
      <c r="AA214" s="492"/>
      <c r="AB214" s="492"/>
      <c r="AC214" s="492"/>
      <c r="AD214" s="492"/>
      <c r="AE214" s="492"/>
      <c r="AF214" s="492"/>
      <c r="AG214" s="492"/>
      <c r="AH214" s="492"/>
      <c r="AI214" s="492"/>
      <c r="AJ214" s="492"/>
      <c r="AK214" s="492"/>
      <c r="AL214" s="492"/>
      <c r="AM214" s="492"/>
      <c r="AN214" s="492"/>
    </row>
    <row r="215" spans="1:40" ht="15.75" customHeight="1">
      <c r="A215" s="477" t="s">
        <v>360</v>
      </c>
      <c r="B215" s="492" t="s">
        <v>83</v>
      </c>
      <c r="C215" s="508" t="s">
        <v>54</v>
      </c>
      <c r="D215" s="561"/>
      <c r="E215" s="492"/>
      <c r="F215" s="509">
        <v>1050.8751805936904</v>
      </c>
      <c r="G215" s="562"/>
      <c r="H215" s="492"/>
      <c r="I215" s="509"/>
      <c r="J215" s="508"/>
      <c r="K215" s="492"/>
      <c r="L215" s="511">
        <v>638.63</v>
      </c>
      <c r="M215" s="508"/>
      <c r="N215" s="534">
        <v>-412.24518059369041</v>
      </c>
      <c r="O215" s="508"/>
      <c r="P215" s="492"/>
      <c r="Q215" s="511">
        <v>869.2</v>
      </c>
      <c r="R215" s="508"/>
      <c r="S215" s="534">
        <v>-230.57000000000005</v>
      </c>
      <c r="T215" s="492"/>
      <c r="U215" s="492"/>
      <c r="V215" s="492"/>
      <c r="W215" s="492"/>
      <c r="X215" s="492"/>
      <c r="Y215" s="492"/>
      <c r="Z215" s="492"/>
      <c r="AA215" s="492"/>
      <c r="AB215" s="492"/>
      <c r="AC215" s="492"/>
      <c r="AD215" s="492"/>
      <c r="AE215" s="492"/>
      <c r="AF215" s="492"/>
      <c r="AG215" s="492"/>
      <c r="AH215" s="492"/>
      <c r="AI215" s="492"/>
      <c r="AJ215" s="492"/>
      <c r="AK215" s="492"/>
      <c r="AL215" s="492"/>
      <c r="AM215" s="492"/>
      <c r="AN215" s="492"/>
    </row>
    <row r="216" spans="1:40" ht="15.75" customHeight="1">
      <c r="A216" s="477" t="s">
        <v>361</v>
      </c>
      <c r="B216" s="492" t="s">
        <v>83</v>
      </c>
      <c r="C216" s="501" t="s">
        <v>55</v>
      </c>
      <c r="D216" s="563"/>
      <c r="E216" s="583"/>
      <c r="F216" s="503">
        <v>15128.231788350371</v>
      </c>
      <c r="G216" s="564"/>
      <c r="H216" s="583"/>
      <c r="I216" s="503"/>
      <c r="J216" s="501"/>
      <c r="K216" s="583"/>
      <c r="L216" s="511">
        <v>14123.84</v>
      </c>
      <c r="M216" s="501"/>
      <c r="N216" s="559">
        <v>-1004.3917883503709</v>
      </c>
      <c r="O216" s="501"/>
      <c r="P216" s="583"/>
      <c r="Q216" s="511">
        <v>14092.66</v>
      </c>
      <c r="R216" s="501"/>
      <c r="S216" s="559">
        <v>31.180000000000291</v>
      </c>
      <c r="T216" s="492"/>
      <c r="U216" s="489"/>
      <c r="V216" s="492"/>
      <c r="W216" s="492"/>
      <c r="X216" s="492"/>
      <c r="Y216" s="492"/>
      <c r="Z216" s="492"/>
      <c r="AA216" s="492"/>
      <c r="AB216" s="492"/>
      <c r="AC216" s="492"/>
      <c r="AD216" s="492"/>
      <c r="AE216" s="492"/>
      <c r="AF216" s="492"/>
      <c r="AG216" s="492"/>
      <c r="AH216" s="492"/>
      <c r="AI216" s="492"/>
      <c r="AJ216" s="492"/>
      <c r="AK216" s="492"/>
      <c r="AL216" s="492"/>
      <c r="AM216" s="492"/>
      <c r="AN216" s="492"/>
    </row>
    <row r="217" spans="1:40" ht="15.75" customHeight="1">
      <c r="A217" s="477" t="s">
        <v>362</v>
      </c>
      <c r="B217" s="492" t="s">
        <v>83</v>
      </c>
      <c r="C217" s="508" t="s">
        <v>98</v>
      </c>
      <c r="D217" s="561"/>
      <c r="E217" s="492"/>
      <c r="F217" s="509"/>
      <c r="G217" s="562"/>
      <c r="H217" s="492"/>
      <c r="I217" s="509"/>
      <c r="J217" s="508"/>
      <c r="K217" s="492"/>
      <c r="L217" s="530">
        <v>0</v>
      </c>
      <c r="M217" s="508"/>
      <c r="N217" s="534">
        <v>0</v>
      </c>
      <c r="O217" s="508"/>
      <c r="P217" s="492"/>
      <c r="Q217" s="530">
        <v>0</v>
      </c>
      <c r="R217" s="508"/>
      <c r="S217" s="534">
        <v>0</v>
      </c>
      <c r="T217" s="492"/>
      <c r="U217" s="492"/>
      <c r="V217" s="492"/>
      <c r="W217" s="492"/>
      <c r="X217" s="492"/>
      <c r="Y217" s="492"/>
      <c r="Z217" s="492"/>
      <c r="AA217" s="492"/>
      <c r="AB217" s="492"/>
      <c r="AC217" s="492"/>
      <c r="AD217" s="492"/>
      <c r="AE217" s="492"/>
      <c r="AF217" s="492"/>
      <c r="AG217" s="492"/>
      <c r="AH217" s="492"/>
      <c r="AI217" s="492"/>
      <c r="AJ217" s="492"/>
      <c r="AK217" s="492"/>
      <c r="AL217" s="492"/>
      <c r="AM217" s="492"/>
      <c r="AN217" s="492"/>
    </row>
    <row r="218" spans="1:40" ht="15.75" customHeight="1">
      <c r="A218" s="477" t="s">
        <v>363</v>
      </c>
      <c r="B218" s="492" t="s">
        <v>83</v>
      </c>
      <c r="C218" s="508" t="s">
        <v>56</v>
      </c>
      <c r="D218" s="561"/>
      <c r="E218" s="492"/>
      <c r="F218" s="509">
        <v>4769.9204222222234</v>
      </c>
      <c r="G218" s="562"/>
      <c r="H218" s="492"/>
      <c r="I218" s="509"/>
      <c r="J218" s="508"/>
      <c r="K218" s="492"/>
      <c r="L218" s="511">
        <v>4269.45</v>
      </c>
      <c r="M218" s="508"/>
      <c r="N218" s="534">
        <v>-500.47042222222353</v>
      </c>
      <c r="O218" s="508"/>
      <c r="P218" s="492"/>
      <c r="Q218" s="511">
        <v>4390.1400000000003</v>
      </c>
      <c r="R218" s="508"/>
      <c r="S218" s="534">
        <v>-120.69000000000051</v>
      </c>
      <c r="T218" s="492"/>
      <c r="U218" s="492"/>
      <c r="V218" s="492"/>
      <c r="W218" s="492"/>
      <c r="X218" s="492"/>
      <c r="Y218" s="492"/>
      <c r="Z218" s="492"/>
      <c r="AA218" s="492"/>
      <c r="AB218" s="492"/>
      <c r="AC218" s="492"/>
      <c r="AD218" s="492"/>
      <c r="AE218" s="492"/>
      <c r="AF218" s="492"/>
      <c r="AG218" s="492"/>
      <c r="AH218" s="492"/>
      <c r="AI218" s="492"/>
      <c r="AJ218" s="492"/>
      <c r="AK218" s="492"/>
      <c r="AL218" s="492"/>
      <c r="AM218" s="492"/>
      <c r="AN218" s="492"/>
    </row>
    <row r="219" spans="1:40" ht="15.75" customHeight="1">
      <c r="A219" s="477" t="s">
        <v>364</v>
      </c>
      <c r="B219" s="492" t="s">
        <v>83</v>
      </c>
      <c r="C219" s="508" t="s">
        <v>57</v>
      </c>
      <c r="D219" s="561"/>
      <c r="E219" s="492"/>
      <c r="F219" s="509">
        <v>1220.4654067864171</v>
      </c>
      <c r="G219" s="562"/>
      <c r="H219" s="492"/>
      <c r="I219" s="509"/>
      <c r="J219" s="508"/>
      <c r="K219" s="492"/>
      <c r="L219" s="511">
        <v>1000.92</v>
      </c>
      <c r="M219" s="508"/>
      <c r="N219" s="534">
        <v>-219.54540678641717</v>
      </c>
      <c r="O219" s="508"/>
      <c r="P219" s="492"/>
      <c r="Q219" s="511">
        <v>583.12</v>
      </c>
      <c r="R219" s="508"/>
      <c r="S219" s="534">
        <v>417.79999999999995</v>
      </c>
      <c r="T219" s="492"/>
      <c r="U219" s="492"/>
      <c r="V219" s="492"/>
      <c r="W219" s="492"/>
      <c r="X219" s="492"/>
      <c r="Y219" s="492"/>
      <c r="Z219" s="492"/>
      <c r="AA219" s="492"/>
      <c r="AB219" s="492"/>
      <c r="AC219" s="492"/>
      <c r="AD219" s="492"/>
      <c r="AE219" s="492"/>
      <c r="AF219" s="492"/>
      <c r="AG219" s="492"/>
      <c r="AH219" s="492"/>
      <c r="AI219" s="492"/>
      <c r="AJ219" s="492"/>
      <c r="AK219" s="492"/>
      <c r="AL219" s="492"/>
      <c r="AM219" s="492"/>
      <c r="AN219" s="492"/>
    </row>
    <row r="220" spans="1:40" ht="15.75" customHeight="1">
      <c r="A220" s="477" t="s">
        <v>365</v>
      </c>
      <c r="B220" s="492" t="s">
        <v>83</v>
      </c>
      <c r="C220" s="508" t="s">
        <v>58</v>
      </c>
      <c r="D220" s="561"/>
      <c r="E220" s="492"/>
      <c r="F220" s="509">
        <v>833.0541497518401</v>
      </c>
      <c r="G220" s="562"/>
      <c r="H220" s="492"/>
      <c r="I220" s="509"/>
      <c r="J220" s="508"/>
      <c r="K220" s="492"/>
      <c r="L220" s="511">
        <v>224.65</v>
      </c>
      <c r="M220" s="508"/>
      <c r="N220" s="534">
        <v>-608.40414975184012</v>
      </c>
      <c r="O220" s="508"/>
      <c r="P220" s="492"/>
      <c r="Q220" s="511">
        <v>2478.59</v>
      </c>
      <c r="R220" s="508"/>
      <c r="S220" s="534">
        <v>-2253.94</v>
      </c>
      <c r="T220" s="492"/>
      <c r="U220" s="492"/>
      <c r="V220" s="492"/>
      <c r="W220" s="492"/>
      <c r="X220" s="492"/>
      <c r="Y220" s="492"/>
      <c r="Z220" s="492"/>
      <c r="AA220" s="492"/>
      <c r="AB220" s="492"/>
      <c r="AC220" s="492"/>
      <c r="AD220" s="492"/>
      <c r="AE220" s="492"/>
      <c r="AF220" s="492"/>
      <c r="AG220" s="492"/>
      <c r="AH220" s="492"/>
      <c r="AI220" s="492"/>
      <c r="AJ220" s="492"/>
      <c r="AK220" s="492"/>
      <c r="AL220" s="492"/>
      <c r="AM220" s="492"/>
      <c r="AN220" s="492"/>
    </row>
    <row r="221" spans="1:40" ht="15.75" customHeight="1">
      <c r="A221" s="477" t="s">
        <v>366</v>
      </c>
      <c r="B221" s="492" t="s">
        <v>83</v>
      </c>
      <c r="C221" s="508" t="s">
        <v>59</v>
      </c>
      <c r="D221" s="561"/>
      <c r="E221" s="492"/>
      <c r="F221" s="509">
        <v>179.20450168848672</v>
      </c>
      <c r="G221" s="562"/>
      <c r="H221" s="492"/>
      <c r="I221" s="509"/>
      <c r="J221" s="508"/>
      <c r="K221" s="492"/>
      <c r="L221" s="511">
        <v>201.17</v>
      </c>
      <c r="M221" s="508"/>
      <c r="N221" s="534">
        <v>21.965498311513272</v>
      </c>
      <c r="O221" s="508"/>
      <c r="P221" s="492"/>
      <c r="Q221" s="511">
        <v>197.95</v>
      </c>
      <c r="R221" s="508"/>
      <c r="S221" s="534">
        <v>3.2199999999999989</v>
      </c>
      <c r="T221" s="492"/>
      <c r="U221" s="492"/>
      <c r="V221" s="492"/>
      <c r="W221" s="492"/>
      <c r="X221" s="492"/>
      <c r="Y221" s="492"/>
      <c r="Z221" s="492"/>
      <c r="AA221" s="492"/>
      <c r="AB221" s="492"/>
      <c r="AC221" s="492"/>
      <c r="AD221" s="492"/>
      <c r="AE221" s="492"/>
      <c r="AF221" s="492"/>
      <c r="AG221" s="492"/>
      <c r="AH221" s="492"/>
      <c r="AI221" s="492"/>
      <c r="AJ221" s="492"/>
      <c r="AK221" s="492"/>
      <c r="AL221" s="492"/>
      <c r="AM221" s="492"/>
      <c r="AN221" s="492"/>
    </row>
    <row r="222" spans="1:40" ht="15.75" customHeight="1">
      <c r="A222" s="477" t="s">
        <v>367</v>
      </c>
      <c r="B222" s="492" t="s">
        <v>83</v>
      </c>
      <c r="C222" s="508" t="s">
        <v>60</v>
      </c>
      <c r="D222" s="561"/>
      <c r="E222" s="492"/>
      <c r="F222" s="509">
        <v>92.790571276313315</v>
      </c>
      <c r="G222" s="562"/>
      <c r="H222" s="492"/>
      <c r="I222" s="509"/>
      <c r="J222" s="508"/>
      <c r="K222" s="492"/>
      <c r="L222" s="511">
        <v>58.63</v>
      </c>
      <c r="M222" s="508"/>
      <c r="N222" s="534">
        <v>-34.160571276313313</v>
      </c>
      <c r="O222" s="508"/>
      <c r="P222" s="492"/>
      <c r="Q222" s="511">
        <v>7.92</v>
      </c>
      <c r="R222" s="508"/>
      <c r="S222" s="534">
        <v>50.71</v>
      </c>
      <c r="T222" s="492"/>
      <c r="U222" s="492"/>
      <c r="V222" s="492"/>
      <c r="W222" s="492"/>
      <c r="X222" s="492"/>
      <c r="Y222" s="492"/>
      <c r="Z222" s="492"/>
      <c r="AA222" s="492"/>
      <c r="AB222" s="492"/>
      <c r="AC222" s="492"/>
      <c r="AD222" s="492"/>
      <c r="AE222" s="492"/>
      <c r="AF222" s="492"/>
      <c r="AG222" s="492"/>
      <c r="AH222" s="492"/>
      <c r="AI222" s="492"/>
      <c r="AJ222" s="492"/>
      <c r="AK222" s="492"/>
      <c r="AL222" s="492"/>
      <c r="AM222" s="492"/>
      <c r="AN222" s="492"/>
    </row>
    <row r="223" spans="1:40" ht="15.75" customHeight="1">
      <c r="A223" s="477" t="s">
        <v>368</v>
      </c>
      <c r="B223" s="492" t="s">
        <v>83</v>
      </c>
      <c r="C223" s="508" t="s">
        <v>61</v>
      </c>
      <c r="D223" s="561"/>
      <c r="E223" s="492"/>
      <c r="F223" s="509">
        <v>152.45095187595334</v>
      </c>
      <c r="G223" s="562"/>
      <c r="H223" s="492"/>
      <c r="I223" s="509"/>
      <c r="J223" s="508"/>
      <c r="K223" s="492"/>
      <c r="L223" s="511">
        <v>47.04</v>
      </c>
      <c r="M223" s="508"/>
      <c r="N223" s="534">
        <v>-105.41095187595334</v>
      </c>
      <c r="O223" s="508"/>
      <c r="P223" s="492"/>
      <c r="Q223" s="511">
        <v>39.35</v>
      </c>
      <c r="R223" s="508"/>
      <c r="S223" s="534">
        <v>7.6899999999999977</v>
      </c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</row>
    <row r="224" spans="1:40" ht="15.75" customHeight="1">
      <c r="A224" s="477" t="s">
        <v>369</v>
      </c>
      <c r="B224" s="492" t="s">
        <v>83</v>
      </c>
      <c r="C224" s="508" t="s">
        <v>62</v>
      </c>
      <c r="D224" s="561"/>
      <c r="E224" s="492"/>
      <c r="F224" s="509">
        <v>3066.5133988524863</v>
      </c>
      <c r="G224" s="562"/>
      <c r="H224" s="492"/>
      <c r="I224" s="509"/>
      <c r="J224" s="508"/>
      <c r="K224" s="492"/>
      <c r="L224" s="511">
        <v>310.73</v>
      </c>
      <c r="M224" s="508"/>
      <c r="N224" s="534">
        <v>-2755.7833988524862</v>
      </c>
      <c r="O224" s="508"/>
      <c r="P224" s="492"/>
      <c r="Q224" s="511">
        <v>1993.64</v>
      </c>
      <c r="R224" s="508"/>
      <c r="S224" s="534">
        <v>-1682.91</v>
      </c>
      <c r="T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</row>
    <row r="225" spans="1:40" ht="15.75" customHeight="1">
      <c r="A225" s="477" t="s">
        <v>370</v>
      </c>
      <c r="B225" s="492" t="s">
        <v>83</v>
      </c>
      <c r="C225" s="508" t="s">
        <v>63</v>
      </c>
      <c r="D225" s="561"/>
      <c r="E225" s="492"/>
      <c r="F225" s="509">
        <v>2049.8934037645467</v>
      </c>
      <c r="G225" s="562"/>
      <c r="H225" s="492"/>
      <c r="I225" s="509"/>
      <c r="J225" s="508"/>
      <c r="K225" s="492"/>
      <c r="L225" s="511">
        <v>2008.24</v>
      </c>
      <c r="M225" s="508"/>
      <c r="N225" s="534">
        <v>-41.653403764546738</v>
      </c>
      <c r="O225" s="508"/>
      <c r="P225" s="492"/>
      <c r="Q225" s="511">
        <v>1788.12</v>
      </c>
      <c r="R225" s="508"/>
      <c r="S225" s="534">
        <v>220.12000000000012</v>
      </c>
      <c r="T225" s="492"/>
      <c r="X225" s="492"/>
      <c r="Y225" s="492"/>
      <c r="Z225" s="492"/>
      <c r="AA225" s="492"/>
      <c r="AB225" s="492"/>
      <c r="AC225" s="492"/>
      <c r="AD225" s="492"/>
      <c r="AE225" s="492"/>
      <c r="AF225" s="492"/>
      <c r="AG225" s="492"/>
      <c r="AH225" s="492"/>
      <c r="AI225" s="492"/>
      <c r="AJ225" s="492"/>
      <c r="AK225" s="492"/>
      <c r="AL225" s="492"/>
      <c r="AM225" s="492"/>
      <c r="AN225" s="492"/>
    </row>
    <row r="226" spans="1:40" ht="15.75" hidden="1" customHeight="1">
      <c r="A226" s="477" t="s">
        <v>350</v>
      </c>
      <c r="B226" s="492" t="s">
        <v>83</v>
      </c>
      <c r="C226" s="508" t="s">
        <v>20</v>
      </c>
      <c r="D226" s="561"/>
      <c r="E226" s="492"/>
      <c r="F226" s="509">
        <v>0</v>
      </c>
      <c r="G226" s="562"/>
      <c r="H226" s="492"/>
      <c r="I226" s="509"/>
      <c r="J226" s="508"/>
      <c r="K226" s="492"/>
      <c r="L226" s="511">
        <v>0</v>
      </c>
      <c r="M226" s="508"/>
      <c r="N226" s="534">
        <v>0</v>
      </c>
      <c r="O226" s="508"/>
      <c r="P226" s="492"/>
      <c r="Q226" s="511">
        <v>0</v>
      </c>
      <c r="R226" s="508"/>
      <c r="S226" s="534">
        <v>0</v>
      </c>
      <c r="T226" s="492"/>
      <c r="U226" s="492"/>
      <c r="V226" s="492"/>
      <c r="W226" s="492"/>
      <c r="X226" s="492"/>
      <c r="Y226" s="492"/>
      <c r="Z226" s="492"/>
      <c r="AA226" s="492"/>
      <c r="AB226" s="492"/>
      <c r="AC226" s="492"/>
      <c r="AD226" s="492"/>
      <c r="AE226" s="492"/>
      <c r="AF226" s="492"/>
      <c r="AG226" s="492"/>
      <c r="AH226" s="492"/>
      <c r="AI226" s="492"/>
      <c r="AJ226" s="492"/>
      <c r="AK226" s="492"/>
      <c r="AL226" s="492"/>
      <c r="AM226" s="492"/>
      <c r="AN226" s="492"/>
    </row>
    <row r="227" spans="1:40" ht="15.75" hidden="1" customHeight="1">
      <c r="A227" s="477" t="s">
        <v>350</v>
      </c>
      <c r="B227" s="492" t="s">
        <v>83</v>
      </c>
      <c r="C227" s="508" t="s">
        <v>20</v>
      </c>
      <c r="D227" s="561"/>
      <c r="E227" s="492"/>
      <c r="F227" s="509">
        <v>0</v>
      </c>
      <c r="G227" s="562"/>
      <c r="H227" s="492"/>
      <c r="I227" s="509"/>
      <c r="J227" s="508"/>
      <c r="K227" s="492"/>
      <c r="L227" s="511">
        <v>0</v>
      </c>
      <c r="M227" s="508"/>
      <c r="N227" s="534">
        <v>0</v>
      </c>
      <c r="O227" s="508"/>
      <c r="P227" s="492"/>
      <c r="Q227" s="511">
        <v>0</v>
      </c>
      <c r="R227" s="508"/>
      <c r="S227" s="534">
        <v>0</v>
      </c>
      <c r="T227" s="492"/>
      <c r="U227" s="492"/>
      <c r="V227" s="492"/>
      <c r="W227" s="492"/>
      <c r="X227" s="492"/>
      <c r="Y227" s="492"/>
      <c r="Z227" s="492"/>
      <c r="AA227" s="492"/>
      <c r="AB227" s="492"/>
      <c r="AC227" s="492"/>
      <c r="AD227" s="492"/>
      <c r="AE227" s="492"/>
      <c r="AF227" s="492"/>
      <c r="AG227" s="492"/>
      <c r="AH227" s="492"/>
      <c r="AI227" s="492"/>
      <c r="AJ227" s="492"/>
      <c r="AK227" s="492"/>
      <c r="AL227" s="492"/>
      <c r="AM227" s="492"/>
      <c r="AN227" s="492"/>
    </row>
    <row r="228" spans="1:40" ht="15.75" hidden="1" customHeight="1">
      <c r="A228" s="477" t="s">
        <v>350</v>
      </c>
      <c r="B228" s="492" t="s">
        <v>83</v>
      </c>
      <c r="C228" s="508" t="s">
        <v>20</v>
      </c>
      <c r="D228" s="561"/>
      <c r="E228" s="492"/>
      <c r="F228" s="509">
        <v>0</v>
      </c>
      <c r="G228" s="562"/>
      <c r="H228" s="492"/>
      <c r="I228" s="509"/>
      <c r="J228" s="508"/>
      <c r="K228" s="492"/>
      <c r="L228" s="511">
        <v>0</v>
      </c>
      <c r="M228" s="508"/>
      <c r="N228" s="534">
        <v>0</v>
      </c>
      <c r="O228" s="508"/>
      <c r="P228" s="492"/>
      <c r="Q228" s="511">
        <v>0</v>
      </c>
      <c r="R228" s="508"/>
      <c r="S228" s="534">
        <v>0</v>
      </c>
      <c r="T228" s="492"/>
      <c r="U228" s="492"/>
      <c r="V228" s="492"/>
      <c r="W228" s="492"/>
      <c r="X228" s="492"/>
      <c r="Y228" s="492"/>
      <c r="Z228" s="492"/>
      <c r="AA228" s="492"/>
      <c r="AB228" s="492"/>
      <c r="AC228" s="492"/>
      <c r="AD228" s="492"/>
      <c r="AE228" s="492"/>
      <c r="AF228" s="492"/>
      <c r="AG228" s="492"/>
      <c r="AH228" s="492"/>
      <c r="AI228" s="492"/>
      <c r="AJ228" s="492"/>
      <c r="AK228" s="492"/>
      <c r="AL228" s="492"/>
      <c r="AM228" s="492"/>
      <c r="AN228" s="492"/>
    </row>
    <row r="229" spans="1:40" ht="15.75" customHeight="1">
      <c r="B229" s="492"/>
      <c r="C229" s="568" t="s">
        <v>64</v>
      </c>
      <c r="D229" s="569" t="s">
        <v>97</v>
      </c>
      <c r="E229" s="570">
        <v>0.25647511137511309</v>
      </c>
      <c r="F229" s="571">
        <v>57378.162998944019</v>
      </c>
      <c r="G229" s="572"/>
      <c r="H229" s="570"/>
      <c r="I229" s="571"/>
      <c r="J229" s="572" t="s">
        <v>97</v>
      </c>
      <c r="K229" s="570">
        <v>0.15385937883743317</v>
      </c>
      <c r="L229" s="571">
        <v>39054.399999999994</v>
      </c>
      <c r="M229" s="575"/>
      <c r="N229" s="571">
        <v>-18323.762998944025</v>
      </c>
      <c r="O229" s="572" t="s">
        <v>97</v>
      </c>
      <c r="P229" s="570">
        <v>0.27343807739213366</v>
      </c>
      <c r="Q229" s="571">
        <v>59344.78</v>
      </c>
      <c r="R229" s="575"/>
      <c r="S229" s="571">
        <v>-20290.380000000005</v>
      </c>
      <c r="T229" s="492"/>
      <c r="U229" s="492"/>
      <c r="V229" s="492"/>
      <c r="W229" s="492"/>
      <c r="X229" s="492"/>
      <c r="Y229" s="492"/>
      <c r="Z229" s="492"/>
      <c r="AA229" s="492"/>
      <c r="AB229" s="492"/>
      <c r="AC229" s="492"/>
      <c r="AD229" s="492"/>
      <c r="AE229" s="492"/>
      <c r="AF229" s="492"/>
      <c r="AG229" s="492"/>
      <c r="AH229" s="492"/>
      <c r="AI229" s="492"/>
      <c r="AJ229" s="492"/>
      <c r="AK229" s="492"/>
      <c r="AL229" s="492"/>
      <c r="AM229" s="492"/>
      <c r="AN229" s="492"/>
    </row>
    <row r="230" spans="1:40" ht="15.75" customHeight="1">
      <c r="B230" s="492"/>
      <c r="C230" s="501"/>
      <c r="D230" s="563"/>
      <c r="E230" s="583"/>
      <c r="F230" s="534"/>
      <c r="G230" s="564"/>
      <c r="H230" s="583"/>
      <c r="I230" s="534"/>
      <c r="J230" s="501"/>
      <c r="K230" s="583"/>
      <c r="L230" s="559"/>
      <c r="M230" s="501"/>
      <c r="N230" s="559"/>
      <c r="O230" s="501"/>
      <c r="P230" s="583"/>
      <c r="Q230" s="559"/>
      <c r="R230" s="501"/>
      <c r="S230" s="559"/>
      <c r="T230" s="492"/>
      <c r="U230" s="492"/>
      <c r="V230" s="492"/>
      <c r="W230" s="492"/>
      <c r="X230" s="492"/>
      <c r="Y230" s="492"/>
      <c r="Z230" s="492"/>
      <c r="AA230" s="492"/>
      <c r="AB230" s="492"/>
      <c r="AC230" s="492"/>
      <c r="AD230" s="492"/>
      <c r="AE230" s="492"/>
      <c r="AF230" s="492"/>
      <c r="AG230" s="492"/>
      <c r="AH230" s="492"/>
      <c r="AI230" s="492"/>
      <c r="AJ230" s="492"/>
      <c r="AK230" s="492"/>
      <c r="AL230" s="492"/>
      <c r="AM230" s="492"/>
      <c r="AN230" s="492"/>
    </row>
    <row r="231" spans="1:40" ht="15.75" customHeight="1">
      <c r="B231" s="492"/>
      <c r="C231" s="568" t="s">
        <v>65</v>
      </c>
      <c r="D231" s="569" t="s">
        <v>39</v>
      </c>
      <c r="E231" s="570">
        <v>0.86170634895302189</v>
      </c>
      <c r="F231" s="571">
        <v>192779.43611119964</v>
      </c>
      <c r="G231" s="572"/>
      <c r="H231" s="570"/>
      <c r="I231" s="571"/>
      <c r="J231" s="572" t="s">
        <v>39</v>
      </c>
      <c r="K231" s="570">
        <v>0.55319006942314319</v>
      </c>
      <c r="L231" s="571">
        <v>140417.22</v>
      </c>
      <c r="M231" s="575"/>
      <c r="N231" s="585">
        <v>-52362.216111199639</v>
      </c>
      <c r="O231" s="572" t="s">
        <v>39</v>
      </c>
      <c r="P231" s="570">
        <v>0.86715550729229673</v>
      </c>
      <c r="Q231" s="571">
        <v>188200.39</v>
      </c>
      <c r="R231" s="575"/>
      <c r="S231" s="585">
        <v>-47783.170000000013</v>
      </c>
      <c r="T231" s="492"/>
      <c r="U231" s="492"/>
      <c r="V231" s="492"/>
      <c r="W231" s="492"/>
      <c r="X231" s="492"/>
      <c r="Y231" s="492"/>
      <c r="Z231" s="492"/>
      <c r="AA231" s="492"/>
      <c r="AB231" s="492"/>
      <c r="AC231" s="492"/>
      <c r="AD231" s="492"/>
      <c r="AE231" s="492"/>
      <c r="AF231" s="492"/>
      <c r="AG231" s="492"/>
      <c r="AH231" s="492"/>
      <c r="AI231" s="492"/>
      <c r="AJ231" s="492"/>
      <c r="AK231" s="492"/>
      <c r="AL231" s="492"/>
      <c r="AM231" s="492"/>
      <c r="AN231" s="492"/>
    </row>
    <row r="232" spans="1:40" ht="15.75" customHeight="1">
      <c r="B232" s="492"/>
      <c r="C232" s="508"/>
      <c r="D232" s="561"/>
      <c r="E232" s="492"/>
      <c r="F232" s="534"/>
      <c r="G232" s="562"/>
      <c r="H232" s="492"/>
      <c r="I232" s="534"/>
      <c r="J232" s="508"/>
      <c r="K232" s="492"/>
      <c r="L232" s="534"/>
      <c r="M232" s="508"/>
      <c r="N232" s="534">
        <v>0</v>
      </c>
      <c r="O232" s="508"/>
      <c r="P232" s="492"/>
      <c r="Q232" s="534"/>
      <c r="R232" s="508"/>
      <c r="S232" s="534"/>
      <c r="T232" s="492"/>
      <c r="U232" s="492"/>
      <c r="V232" s="492"/>
      <c r="W232" s="492"/>
      <c r="X232" s="492"/>
      <c r="Y232" s="492"/>
      <c r="Z232" s="492"/>
      <c r="AA232" s="492"/>
      <c r="AB232" s="492"/>
      <c r="AC232" s="492"/>
      <c r="AD232" s="492"/>
      <c r="AE232" s="492"/>
      <c r="AF232" s="492"/>
      <c r="AG232" s="492"/>
      <c r="AH232" s="492"/>
      <c r="AI232" s="492"/>
      <c r="AJ232" s="492"/>
      <c r="AK232" s="492"/>
      <c r="AL232" s="492"/>
      <c r="AM232" s="492"/>
      <c r="AN232" s="492"/>
    </row>
    <row r="233" spans="1:40" ht="15.75" customHeight="1" thickBot="1">
      <c r="B233" s="492"/>
      <c r="C233" s="600" t="s">
        <v>72</v>
      </c>
      <c r="D233" s="630"/>
      <c r="E233" s="601"/>
      <c r="F233" s="603">
        <v>30938.813551725267</v>
      </c>
      <c r="G233" s="631"/>
      <c r="H233" s="601"/>
      <c r="I233" s="603"/>
      <c r="J233" s="600"/>
      <c r="K233" s="602"/>
      <c r="L233" s="603">
        <v>113414.56</v>
      </c>
      <c r="M233" s="600"/>
      <c r="N233" s="603">
        <v>82475.746448274731</v>
      </c>
      <c r="O233" s="600"/>
      <c r="P233" s="605">
        <v>9.8735156032350113E-2</v>
      </c>
      <c r="Q233" s="603">
        <v>28831.489999999001</v>
      </c>
      <c r="R233" s="600"/>
      <c r="S233" s="603">
        <v>84583.070000000997</v>
      </c>
      <c r="T233" s="492"/>
      <c r="U233" s="492"/>
      <c r="V233" s="492"/>
      <c r="W233" s="492"/>
      <c r="X233" s="492"/>
      <c r="Y233" s="492"/>
      <c r="Z233" s="492"/>
      <c r="AA233" s="492"/>
      <c r="AB233" s="492"/>
      <c r="AC233" s="492"/>
      <c r="AD233" s="492"/>
      <c r="AE233" s="492"/>
      <c r="AF233" s="492"/>
      <c r="AG233" s="492"/>
      <c r="AH233" s="492"/>
      <c r="AI233" s="492"/>
      <c r="AJ233" s="492"/>
      <c r="AK233" s="492"/>
      <c r="AL233" s="492"/>
      <c r="AM233" s="492"/>
      <c r="AN233" s="492"/>
    </row>
    <row r="234" spans="1:40" ht="15.75" customHeight="1" thickTop="1">
      <c r="B234" s="492"/>
      <c r="C234" s="492"/>
      <c r="D234" s="492"/>
      <c r="E234" s="492"/>
      <c r="F234" s="492"/>
      <c r="G234" s="492"/>
      <c r="H234" s="492"/>
      <c r="I234" s="492"/>
      <c r="J234" s="492"/>
      <c r="K234" s="492"/>
      <c r="L234" s="550"/>
      <c r="M234" s="550"/>
      <c r="N234" s="492"/>
      <c r="O234" s="550"/>
      <c r="P234" s="492"/>
      <c r="Q234" s="550"/>
      <c r="R234" s="492"/>
      <c r="S234" s="492"/>
      <c r="T234" s="492"/>
      <c r="U234" s="492"/>
      <c r="V234" s="492"/>
      <c r="W234" s="492"/>
      <c r="X234" s="492"/>
      <c r="Y234" s="492"/>
      <c r="Z234" s="492"/>
      <c r="AA234" s="492"/>
      <c r="AB234" s="492"/>
      <c r="AC234" s="492"/>
      <c r="AD234" s="492"/>
      <c r="AE234" s="492"/>
      <c r="AF234" s="492"/>
      <c r="AG234" s="492"/>
      <c r="AH234" s="492"/>
      <c r="AI234" s="492"/>
      <c r="AJ234" s="492"/>
      <c r="AK234" s="492"/>
      <c r="AL234" s="492"/>
      <c r="AM234" s="492"/>
      <c r="AN234" s="492"/>
    </row>
    <row r="235" spans="1:40" ht="15.75" customHeight="1">
      <c r="B235" s="492"/>
      <c r="C235" s="489"/>
      <c r="D235" s="489"/>
      <c r="E235" s="489"/>
      <c r="F235" s="489"/>
      <c r="G235" s="489"/>
      <c r="H235" s="489"/>
      <c r="I235" s="489"/>
      <c r="J235" s="489"/>
      <c r="K235" s="489"/>
      <c r="L235" s="632"/>
      <c r="M235" s="632"/>
      <c r="N235" s="489"/>
      <c r="O235" s="632"/>
      <c r="P235" s="489"/>
      <c r="Q235" s="632"/>
      <c r="R235" s="489"/>
      <c r="S235" s="489"/>
      <c r="T235" s="489"/>
      <c r="U235" s="489"/>
      <c r="V235" s="492"/>
      <c r="W235" s="492"/>
      <c r="X235" s="492"/>
      <c r="Y235" s="492"/>
      <c r="Z235" s="492"/>
      <c r="AA235" s="492"/>
      <c r="AB235" s="492"/>
      <c r="AC235" s="492"/>
      <c r="AD235" s="492"/>
      <c r="AE235" s="492"/>
      <c r="AF235" s="492"/>
      <c r="AG235" s="492"/>
      <c r="AH235" s="492"/>
      <c r="AI235" s="492"/>
      <c r="AJ235" s="492"/>
      <c r="AK235" s="492"/>
      <c r="AL235" s="492"/>
      <c r="AM235" s="492"/>
      <c r="AN235" s="492"/>
    </row>
    <row r="236" spans="1:40" ht="33" customHeight="1">
      <c r="B236" s="492"/>
      <c r="C236" s="610" t="s">
        <v>478</v>
      </c>
      <c r="D236" s="480"/>
      <c r="E236" s="480"/>
      <c r="F236" s="480"/>
      <c r="G236" s="480"/>
      <c r="H236" s="478"/>
      <c r="I236" s="478"/>
      <c r="J236" s="478"/>
      <c r="K236" s="482" t="s">
        <v>99</v>
      </c>
      <c r="L236" s="480"/>
      <c r="M236" s="480"/>
      <c r="N236" s="478"/>
      <c r="O236" s="478"/>
      <c r="P236" s="480"/>
      <c r="Q236" s="478"/>
      <c r="R236" s="480"/>
      <c r="S236" s="611" t="s">
        <v>481</v>
      </c>
      <c r="T236" s="480"/>
      <c r="U236" s="478"/>
      <c r="V236" s="489"/>
      <c r="W236" s="489"/>
      <c r="X236" s="489"/>
      <c r="Y236" s="489"/>
      <c r="Z236" s="489"/>
      <c r="AA236" s="489"/>
      <c r="AB236" s="489"/>
      <c r="AC236" s="489"/>
      <c r="AD236" s="489"/>
      <c r="AE236" s="489"/>
      <c r="AF236" s="489"/>
      <c r="AG236" s="489"/>
      <c r="AH236" s="489"/>
      <c r="AI236" s="489"/>
      <c r="AJ236" s="489"/>
      <c r="AK236" s="489"/>
      <c r="AL236" s="489"/>
      <c r="AM236" s="489"/>
      <c r="AN236" s="489"/>
    </row>
    <row r="237" spans="1:40" ht="24" customHeight="1" thickBot="1">
      <c r="B237" s="492"/>
      <c r="C237" s="487"/>
      <c r="D237" s="489"/>
      <c r="E237" s="489"/>
      <c r="F237" s="489"/>
      <c r="G237" s="489"/>
      <c r="H237" s="489"/>
      <c r="I237" s="489"/>
      <c r="J237" s="489"/>
      <c r="K237" s="489"/>
      <c r="L237" s="489"/>
      <c r="M237" s="489"/>
      <c r="N237" s="489"/>
      <c r="O237" s="489"/>
      <c r="P237" s="489"/>
      <c r="Q237" s="489"/>
      <c r="R237" s="489"/>
      <c r="S237" s="489"/>
      <c r="T237" s="489"/>
      <c r="U237" s="489"/>
      <c r="V237" s="478"/>
      <c r="W237" s="478"/>
      <c r="X237" s="478"/>
      <c r="Y237" s="478"/>
      <c r="Z237" s="478"/>
      <c r="AA237" s="478"/>
      <c r="AB237" s="478"/>
      <c r="AC237" s="478"/>
      <c r="AD237" s="478"/>
      <c r="AE237" s="478"/>
      <c r="AF237" s="478"/>
      <c r="AG237" s="478"/>
      <c r="AH237" s="478"/>
      <c r="AI237" s="478"/>
      <c r="AJ237" s="478"/>
      <c r="AK237" s="478"/>
      <c r="AL237" s="478"/>
      <c r="AM237" s="478"/>
      <c r="AN237" s="478"/>
    </row>
    <row r="238" spans="1:40" ht="15.75" customHeight="1" thickTop="1">
      <c r="B238" s="492"/>
      <c r="C238" s="493"/>
      <c r="D238" s="879" t="s">
        <v>5</v>
      </c>
      <c r="E238" s="880"/>
      <c r="F238" s="881"/>
      <c r="G238" s="882"/>
      <c r="H238" s="880"/>
      <c r="I238" s="881"/>
      <c r="J238" s="882" t="s">
        <v>7</v>
      </c>
      <c r="K238" s="880"/>
      <c r="L238" s="881"/>
      <c r="M238" s="882" t="s">
        <v>220</v>
      </c>
      <c r="N238" s="881"/>
      <c r="O238" s="879" t="s">
        <v>8</v>
      </c>
      <c r="P238" s="880"/>
      <c r="Q238" s="881"/>
      <c r="R238" s="882" t="s">
        <v>221</v>
      </c>
      <c r="S238" s="881"/>
      <c r="T238" s="626"/>
      <c r="U238" s="492"/>
      <c r="V238" s="489"/>
      <c r="W238" s="489"/>
      <c r="X238" s="489"/>
      <c r="Y238" s="489"/>
      <c r="Z238" s="489"/>
      <c r="AA238" s="489"/>
      <c r="AB238" s="489"/>
      <c r="AC238" s="489"/>
      <c r="AD238" s="489"/>
      <c r="AE238" s="489"/>
      <c r="AF238" s="489"/>
      <c r="AG238" s="489"/>
      <c r="AH238" s="489"/>
      <c r="AI238" s="489"/>
      <c r="AJ238" s="489"/>
      <c r="AK238" s="489"/>
      <c r="AL238" s="489"/>
      <c r="AM238" s="489"/>
      <c r="AN238" s="489"/>
    </row>
    <row r="239" spans="1:40" ht="15.75" customHeight="1">
      <c r="A239" s="477" t="s">
        <v>99</v>
      </c>
      <c r="B239" s="492" t="s">
        <v>99</v>
      </c>
      <c r="C239" s="508"/>
      <c r="D239" s="552" t="s">
        <v>40</v>
      </c>
      <c r="E239" s="552" t="s">
        <v>84</v>
      </c>
      <c r="F239" s="633" t="s">
        <v>12</v>
      </c>
      <c r="G239" s="634"/>
      <c r="H239" s="552"/>
      <c r="I239" s="633"/>
      <c r="J239" s="634" t="s">
        <v>40</v>
      </c>
      <c r="K239" s="552" t="s">
        <v>84</v>
      </c>
      <c r="L239" s="633" t="s">
        <v>12</v>
      </c>
      <c r="M239" s="634" t="s">
        <v>40</v>
      </c>
      <c r="N239" s="633" t="s">
        <v>223</v>
      </c>
      <c r="O239" s="552" t="s">
        <v>40</v>
      </c>
      <c r="P239" s="552" t="s">
        <v>84</v>
      </c>
      <c r="Q239" s="633" t="s">
        <v>12</v>
      </c>
      <c r="R239" s="634" t="s">
        <v>85</v>
      </c>
      <c r="S239" s="633" t="s">
        <v>12</v>
      </c>
      <c r="T239" s="552"/>
      <c r="U239" s="492"/>
      <c r="V239" s="492"/>
      <c r="W239" s="492"/>
      <c r="X239" s="492"/>
      <c r="Y239" s="492"/>
      <c r="Z239" s="492"/>
      <c r="AA239" s="492"/>
      <c r="AB239" s="492"/>
      <c r="AC239" s="492"/>
      <c r="AD239" s="492"/>
      <c r="AE239" s="492"/>
      <c r="AF239" s="492"/>
      <c r="AG239" s="492"/>
      <c r="AH239" s="492"/>
      <c r="AI239" s="492"/>
      <c r="AJ239" s="492"/>
      <c r="AK239" s="492"/>
      <c r="AL239" s="492"/>
      <c r="AM239" s="492"/>
      <c r="AN239" s="492"/>
    </row>
    <row r="240" spans="1:40" ht="15.75" customHeight="1">
      <c r="A240" s="477" t="s">
        <v>99</v>
      </c>
      <c r="B240" s="492" t="s">
        <v>99</v>
      </c>
      <c r="C240" s="508"/>
      <c r="D240" s="552"/>
      <c r="E240" s="552"/>
      <c r="F240" s="633"/>
      <c r="G240" s="634"/>
      <c r="H240" s="552"/>
      <c r="I240" s="633"/>
      <c r="J240" s="634"/>
      <c r="K240" s="509"/>
      <c r="L240" s="511"/>
      <c r="M240" s="634"/>
      <c r="N240" s="633"/>
      <c r="O240" s="552"/>
      <c r="P240" s="552"/>
      <c r="Q240" s="633"/>
      <c r="R240" s="634"/>
      <c r="S240" s="633"/>
      <c r="T240" s="552"/>
      <c r="U240" s="492"/>
      <c r="V240" s="492"/>
      <c r="W240" s="492"/>
      <c r="X240" s="492"/>
      <c r="Y240" s="492"/>
      <c r="Z240" s="492"/>
      <c r="AA240" s="492"/>
      <c r="AB240" s="492"/>
      <c r="AC240" s="492"/>
      <c r="AD240" s="492"/>
      <c r="AE240" s="492"/>
      <c r="AF240" s="492"/>
      <c r="AG240" s="492"/>
      <c r="AH240" s="492"/>
      <c r="AI240" s="492"/>
      <c r="AJ240" s="492"/>
      <c r="AK240" s="492"/>
      <c r="AL240" s="492"/>
      <c r="AM240" s="492"/>
      <c r="AN240" s="492"/>
    </row>
    <row r="241" spans="1:40" ht="15.75" customHeight="1">
      <c r="A241" s="477" t="s">
        <v>371</v>
      </c>
      <c r="B241" s="492" t="s">
        <v>99</v>
      </c>
      <c r="C241" s="508" t="s">
        <v>100</v>
      </c>
      <c r="D241" s="674">
        <v>0</v>
      </c>
      <c r="E241" s="550">
        <v>54000</v>
      </c>
      <c r="F241" s="550">
        <v>11880</v>
      </c>
      <c r="G241" s="675"/>
      <c r="H241" s="550"/>
      <c r="I241" s="550"/>
      <c r="J241" s="535">
        <v>28</v>
      </c>
      <c r="K241" s="550">
        <v>92272.26999999999</v>
      </c>
      <c r="L241" s="550">
        <v>13019</v>
      </c>
      <c r="M241" s="554">
        <v>0.70874574074074059</v>
      </c>
      <c r="N241" s="534">
        <v>1139</v>
      </c>
      <c r="O241" s="535">
        <v>3</v>
      </c>
      <c r="P241" s="509">
        <v>5841.65</v>
      </c>
      <c r="Q241" s="511">
        <v>618.04999999999995</v>
      </c>
      <c r="R241" s="554">
        <v>9.3333333333333339</v>
      </c>
      <c r="S241" s="534">
        <v>12400.95</v>
      </c>
      <c r="T241" s="552"/>
      <c r="U241" s="492"/>
      <c r="V241" s="492"/>
      <c r="W241" s="492"/>
      <c r="X241" s="492"/>
      <c r="Y241" s="492"/>
      <c r="Z241" s="492"/>
      <c r="AA241" s="492"/>
      <c r="AB241" s="492"/>
      <c r="AC241" s="492"/>
      <c r="AD241" s="492"/>
      <c r="AE241" s="492"/>
      <c r="AF241" s="492"/>
      <c r="AG241" s="492"/>
      <c r="AH241" s="492"/>
      <c r="AI241" s="492"/>
      <c r="AJ241" s="492"/>
      <c r="AK241" s="492"/>
      <c r="AL241" s="492"/>
      <c r="AM241" s="492"/>
      <c r="AN241" s="492"/>
    </row>
    <row r="242" spans="1:40" ht="15.75" customHeight="1">
      <c r="A242" s="477" t="s">
        <v>372</v>
      </c>
      <c r="B242" s="492" t="s">
        <v>99</v>
      </c>
      <c r="C242" s="508" t="s">
        <v>87</v>
      </c>
      <c r="D242" s="552"/>
      <c r="E242" s="619"/>
      <c r="F242" s="635">
        <v>0.22</v>
      </c>
      <c r="G242" s="508"/>
      <c r="H242" s="619"/>
      <c r="I242" s="635"/>
      <c r="J242" s="535"/>
      <c r="K242" s="492"/>
      <c r="L242" s="635">
        <v>0.14109331004862025</v>
      </c>
      <c r="M242" s="554"/>
      <c r="N242" s="534">
        <v>1607.064331433699</v>
      </c>
      <c r="O242" s="535"/>
      <c r="P242" s="492"/>
      <c r="Q242" s="635">
        <v>0.10580058716287351</v>
      </c>
      <c r="R242" s="535"/>
      <c r="S242" s="534">
        <v>1328.6732142857143</v>
      </c>
      <c r="T242" s="552"/>
      <c r="U242" s="492"/>
      <c r="V242" s="492"/>
      <c r="W242" s="492"/>
      <c r="X242" s="492"/>
      <c r="Y242" s="492"/>
      <c r="Z242" s="492"/>
      <c r="AA242" s="492"/>
      <c r="AB242" s="492"/>
      <c r="AC242" s="492"/>
      <c r="AD242" s="492"/>
      <c r="AE242" s="492"/>
      <c r="AF242" s="492"/>
      <c r="AG242" s="492"/>
      <c r="AH242" s="492"/>
      <c r="AI242" s="492"/>
      <c r="AJ242" s="492"/>
      <c r="AK242" s="492"/>
      <c r="AL242" s="492"/>
      <c r="AM242" s="492"/>
      <c r="AN242" s="492"/>
    </row>
    <row r="243" spans="1:40" ht="15.75" customHeight="1">
      <c r="A243" s="477" t="s">
        <v>99</v>
      </c>
      <c r="B243" s="492" t="s">
        <v>99</v>
      </c>
      <c r="C243" s="508"/>
      <c r="D243" s="552"/>
      <c r="E243" s="676"/>
      <c r="F243" s="613"/>
      <c r="G243" s="634"/>
      <c r="H243" s="676"/>
      <c r="I243" s="613"/>
      <c r="J243" s="634"/>
      <c r="K243" s="552"/>
      <c r="L243" s="633"/>
      <c r="M243" s="634"/>
      <c r="N243" s="633"/>
      <c r="O243" s="634"/>
      <c r="P243" s="552"/>
      <c r="Q243" s="633"/>
      <c r="R243" s="612"/>
      <c r="S243" s="633"/>
      <c r="T243" s="552"/>
      <c r="U243" s="492"/>
      <c r="V243" s="492"/>
      <c r="W243" s="492"/>
      <c r="X243" s="492"/>
      <c r="Y243" s="492"/>
      <c r="Z243" s="492"/>
      <c r="AA243" s="492"/>
      <c r="AB243" s="492"/>
      <c r="AC243" s="492"/>
      <c r="AD243" s="492"/>
      <c r="AE243" s="492"/>
      <c r="AF243" s="492"/>
      <c r="AG243" s="492"/>
      <c r="AH243" s="492"/>
      <c r="AI243" s="492"/>
      <c r="AJ243" s="492"/>
      <c r="AK243" s="492"/>
      <c r="AL243" s="492"/>
      <c r="AM243" s="492"/>
      <c r="AN243" s="492"/>
    </row>
    <row r="244" spans="1:40" ht="15.75" customHeight="1">
      <c r="A244" s="477" t="s">
        <v>373</v>
      </c>
      <c r="B244" s="492" t="s">
        <v>99</v>
      </c>
      <c r="C244" s="496" t="s">
        <v>101</v>
      </c>
      <c r="D244" s="639">
        <v>0</v>
      </c>
      <c r="E244" s="550">
        <v>0</v>
      </c>
      <c r="F244" s="550">
        <v>0</v>
      </c>
      <c r="G244" s="677"/>
      <c r="H244" s="550"/>
      <c r="I244" s="550"/>
      <c r="J244" s="640">
        <v>0</v>
      </c>
      <c r="K244" s="529">
        <v>0</v>
      </c>
      <c r="L244" s="530">
        <v>0</v>
      </c>
      <c r="M244" s="644">
        <v>0</v>
      </c>
      <c r="N244" s="582">
        <v>0</v>
      </c>
      <c r="O244" s="640">
        <v>0</v>
      </c>
      <c r="P244" s="529">
        <v>0</v>
      </c>
      <c r="Q244" s="530">
        <v>0</v>
      </c>
      <c r="R244" s="554">
        <v>0</v>
      </c>
      <c r="S244" s="582">
        <v>0</v>
      </c>
      <c r="T244" s="623"/>
      <c r="U244" s="492"/>
      <c r="V244" s="492"/>
      <c r="W244" s="492"/>
      <c r="X244" s="492"/>
      <c r="Y244" s="492"/>
      <c r="Z244" s="492"/>
      <c r="AA244" s="492"/>
      <c r="AB244" s="492"/>
      <c r="AC244" s="492"/>
      <c r="AD244" s="492"/>
      <c r="AE244" s="492"/>
      <c r="AF244" s="492"/>
      <c r="AG244" s="492"/>
      <c r="AH244" s="492"/>
      <c r="AI244" s="492"/>
      <c r="AJ244" s="492"/>
      <c r="AK244" s="492"/>
      <c r="AL244" s="492"/>
      <c r="AM244" s="492"/>
      <c r="AN244" s="492"/>
    </row>
    <row r="245" spans="1:40" ht="15.75" customHeight="1">
      <c r="A245" s="477" t="s">
        <v>372</v>
      </c>
      <c r="B245" s="492" t="s">
        <v>99</v>
      </c>
      <c r="C245" s="508" t="s">
        <v>87</v>
      </c>
      <c r="D245" s="492"/>
      <c r="E245" s="619"/>
      <c r="F245" s="635" t="e">
        <v>#DIV/0!</v>
      </c>
      <c r="G245" s="508"/>
      <c r="H245" s="619"/>
      <c r="I245" s="635"/>
      <c r="J245" s="535"/>
      <c r="K245" s="492"/>
      <c r="L245" s="635">
        <v>0</v>
      </c>
      <c r="M245" s="554"/>
      <c r="N245" s="534">
        <v>0</v>
      </c>
      <c r="O245" s="535"/>
      <c r="P245" s="492"/>
      <c r="Q245" s="635">
        <v>0</v>
      </c>
      <c r="R245" s="535"/>
      <c r="S245" s="534">
        <v>0</v>
      </c>
      <c r="T245" s="623"/>
      <c r="U245" s="492"/>
      <c r="V245" s="492"/>
      <c r="W245" s="492"/>
      <c r="X245" s="492"/>
      <c r="Y245" s="492"/>
      <c r="Z245" s="492"/>
      <c r="AA245" s="492"/>
      <c r="AB245" s="492"/>
      <c r="AC245" s="492"/>
      <c r="AD245" s="492"/>
      <c r="AE245" s="492"/>
      <c r="AF245" s="492"/>
      <c r="AG245" s="492"/>
      <c r="AH245" s="492"/>
      <c r="AI245" s="492"/>
      <c r="AJ245" s="492"/>
      <c r="AK245" s="492"/>
      <c r="AL245" s="492"/>
      <c r="AM245" s="492"/>
      <c r="AN245" s="492"/>
    </row>
    <row r="246" spans="1:40" ht="15.75" customHeight="1">
      <c r="A246" s="477" t="s">
        <v>99</v>
      </c>
      <c r="B246" s="492" t="s">
        <v>99</v>
      </c>
      <c r="C246" s="501"/>
      <c r="D246" s="583"/>
      <c r="E246" s="678"/>
      <c r="F246" s="637"/>
      <c r="G246" s="501"/>
      <c r="H246" s="678"/>
      <c r="I246" s="637"/>
      <c r="J246" s="638"/>
      <c r="K246" s="679"/>
      <c r="L246" s="637"/>
      <c r="M246" s="558"/>
      <c r="N246" s="559"/>
      <c r="O246" s="638"/>
      <c r="P246" s="679"/>
      <c r="Q246" s="637"/>
      <c r="R246" s="638"/>
      <c r="S246" s="559"/>
      <c r="T246" s="623"/>
      <c r="U246" s="492"/>
      <c r="V246" s="492"/>
      <c r="W246" s="492"/>
      <c r="X246" s="492"/>
      <c r="Y246" s="492"/>
      <c r="Z246" s="492"/>
      <c r="AA246" s="492"/>
      <c r="AB246" s="492"/>
      <c r="AC246" s="492"/>
      <c r="AD246" s="492"/>
      <c r="AE246" s="492"/>
      <c r="AF246" s="492"/>
      <c r="AG246" s="492"/>
      <c r="AH246" s="492"/>
      <c r="AI246" s="492"/>
      <c r="AJ246" s="492"/>
      <c r="AK246" s="492"/>
      <c r="AL246" s="492"/>
      <c r="AM246" s="492"/>
      <c r="AN246" s="492"/>
    </row>
    <row r="247" spans="1:40" ht="15.75" customHeight="1">
      <c r="A247" s="477" t="s">
        <v>374</v>
      </c>
      <c r="B247" s="492" t="s">
        <v>99</v>
      </c>
      <c r="C247" s="496" t="s">
        <v>102</v>
      </c>
      <c r="D247" s="639">
        <v>0</v>
      </c>
      <c r="E247" s="550">
        <v>0</v>
      </c>
      <c r="F247" s="550">
        <v>0</v>
      </c>
      <c r="G247" s="640"/>
      <c r="H247" s="550"/>
      <c r="I247" s="550"/>
      <c r="J247" s="640">
        <v>0</v>
      </c>
      <c r="K247" s="509">
        <v>0</v>
      </c>
      <c r="L247" s="511">
        <v>0</v>
      </c>
      <c r="M247" s="554">
        <v>0</v>
      </c>
      <c r="N247" s="582">
        <v>0</v>
      </c>
      <c r="O247" s="640">
        <v>0</v>
      </c>
      <c r="P247" s="509">
        <v>0</v>
      </c>
      <c r="Q247" s="511">
        <v>0</v>
      </c>
      <c r="R247" s="554">
        <v>0</v>
      </c>
      <c r="S247" s="534">
        <v>0</v>
      </c>
      <c r="T247" s="623"/>
      <c r="U247" s="492"/>
      <c r="V247" s="492"/>
      <c r="W247" s="492"/>
      <c r="X247" s="492"/>
      <c r="Y247" s="492"/>
      <c r="Z247" s="492"/>
      <c r="AA247" s="492"/>
      <c r="AB247" s="492"/>
      <c r="AC247" s="492"/>
      <c r="AD247" s="492"/>
      <c r="AE247" s="492"/>
      <c r="AF247" s="492"/>
      <c r="AG247" s="492"/>
      <c r="AH247" s="492"/>
      <c r="AI247" s="492"/>
      <c r="AJ247" s="492"/>
      <c r="AK247" s="492"/>
      <c r="AL247" s="492"/>
      <c r="AM247" s="492"/>
      <c r="AN247" s="492"/>
    </row>
    <row r="248" spans="1:40" ht="15.75" customHeight="1">
      <c r="A248" s="477" t="s">
        <v>372</v>
      </c>
      <c r="B248" s="492" t="s">
        <v>99</v>
      </c>
      <c r="C248" s="508" t="s">
        <v>87</v>
      </c>
      <c r="D248" s="492"/>
      <c r="E248" s="492"/>
      <c r="F248" s="635" t="e">
        <v>#DIV/0!</v>
      </c>
      <c r="G248" s="508"/>
      <c r="H248" s="492"/>
      <c r="I248" s="635"/>
      <c r="J248" s="508"/>
      <c r="K248" s="492"/>
      <c r="L248" s="635">
        <v>0</v>
      </c>
      <c r="M248" s="525"/>
      <c r="N248" s="526">
        <v>0</v>
      </c>
      <c r="O248" s="508"/>
      <c r="P248" s="492"/>
      <c r="Q248" s="635">
        <v>0</v>
      </c>
      <c r="R248" s="525"/>
      <c r="S248" s="526">
        <v>0</v>
      </c>
      <c r="T248" s="623"/>
      <c r="U248" s="492"/>
      <c r="V248" s="492"/>
      <c r="W248" s="492"/>
      <c r="X248" s="492"/>
      <c r="Y248" s="492"/>
      <c r="Z248" s="492"/>
      <c r="AA248" s="492"/>
      <c r="AB248" s="492"/>
      <c r="AC248" s="492"/>
      <c r="AD248" s="492"/>
      <c r="AE248" s="492"/>
      <c r="AF248" s="492"/>
      <c r="AG248" s="492"/>
      <c r="AH248" s="492"/>
      <c r="AI248" s="492"/>
      <c r="AJ248" s="492"/>
      <c r="AK248" s="492"/>
      <c r="AL248" s="492"/>
      <c r="AM248" s="492"/>
      <c r="AN248" s="492"/>
    </row>
    <row r="249" spans="1:40" ht="15.75" customHeight="1" thickBot="1">
      <c r="A249" s="477" t="s">
        <v>99</v>
      </c>
      <c r="B249" s="492" t="s">
        <v>99</v>
      </c>
      <c r="C249" s="508"/>
      <c r="D249" s="492"/>
      <c r="E249" s="492"/>
      <c r="F249" s="635"/>
      <c r="G249" s="508"/>
      <c r="H249" s="492"/>
      <c r="I249" s="635"/>
      <c r="J249" s="508"/>
      <c r="K249" s="492"/>
      <c r="L249" s="635"/>
      <c r="M249" s="525"/>
      <c r="N249" s="526"/>
      <c r="O249" s="508"/>
      <c r="P249" s="492"/>
      <c r="Q249" s="635"/>
      <c r="R249" s="525"/>
      <c r="S249" s="526"/>
      <c r="T249" s="623"/>
      <c r="U249" s="492"/>
      <c r="V249" s="492"/>
      <c r="W249" s="492"/>
      <c r="X249" s="492"/>
      <c r="Y249" s="492"/>
      <c r="Z249" s="492"/>
      <c r="AA249" s="492"/>
      <c r="AB249" s="492"/>
      <c r="AC249" s="492"/>
      <c r="AD249" s="492"/>
      <c r="AE249" s="492"/>
      <c r="AF249" s="492"/>
      <c r="AG249" s="492"/>
      <c r="AH249" s="492"/>
      <c r="AI249" s="492"/>
      <c r="AJ249" s="492"/>
      <c r="AK249" s="492"/>
      <c r="AL249" s="492"/>
      <c r="AM249" s="492"/>
      <c r="AN249" s="492"/>
    </row>
    <row r="250" spans="1:40" ht="15.75" customHeight="1" thickTop="1">
      <c r="A250" s="477" t="s">
        <v>375</v>
      </c>
      <c r="B250" s="492" t="s">
        <v>99</v>
      </c>
      <c r="C250" s="536" t="s">
        <v>96</v>
      </c>
      <c r="D250" s="537"/>
      <c r="E250" s="537">
        <v>54000</v>
      </c>
      <c r="F250" s="539">
        <v>11880</v>
      </c>
      <c r="G250" s="540"/>
      <c r="H250" s="537"/>
      <c r="I250" s="539"/>
      <c r="J250" s="540"/>
      <c r="K250" s="537">
        <v>92272.26999999999</v>
      </c>
      <c r="L250" s="539">
        <v>13019</v>
      </c>
      <c r="M250" s="672">
        <v>-7.8906689951379755E-2</v>
      </c>
      <c r="N250" s="539">
        <v>1139</v>
      </c>
      <c r="O250" s="540"/>
      <c r="P250" s="537">
        <v>5841.65</v>
      </c>
      <c r="Q250" s="539">
        <v>618.04999999999995</v>
      </c>
      <c r="R250" s="680">
        <v>3.5292722885746738E-2</v>
      </c>
      <c r="S250" s="539">
        <v>12400.95</v>
      </c>
      <c r="T250" s="623"/>
      <c r="U250" s="492"/>
      <c r="V250" s="492"/>
      <c r="W250" s="492"/>
      <c r="X250" s="492"/>
      <c r="Y250" s="492"/>
      <c r="Z250" s="492"/>
      <c r="AA250" s="492"/>
      <c r="AB250" s="492"/>
      <c r="AC250" s="492"/>
      <c r="AD250" s="492"/>
      <c r="AE250" s="492"/>
      <c r="AF250" s="492"/>
      <c r="AG250" s="492"/>
      <c r="AH250" s="492"/>
      <c r="AI250" s="492"/>
      <c r="AJ250" s="492"/>
      <c r="AK250" s="492"/>
      <c r="AL250" s="492"/>
      <c r="AM250" s="492"/>
      <c r="AN250" s="492"/>
    </row>
    <row r="251" spans="1:40" ht="23.25" customHeight="1" thickBot="1">
      <c r="A251" s="477" t="s">
        <v>99</v>
      </c>
      <c r="B251" s="492" t="s">
        <v>99</v>
      </c>
      <c r="C251" s="541"/>
      <c r="D251" s="542"/>
      <c r="E251" s="542"/>
      <c r="F251" s="547">
        <v>0.22</v>
      </c>
      <c r="G251" s="541"/>
      <c r="H251" s="542"/>
      <c r="I251" s="547"/>
      <c r="J251" s="541"/>
      <c r="K251" s="542"/>
      <c r="L251" s="547">
        <v>0.14109331004862025</v>
      </c>
      <c r="M251" s="546"/>
      <c r="N251" s="547">
        <v>9.5875420875420878E-2</v>
      </c>
      <c r="O251" s="541"/>
      <c r="P251" s="542"/>
      <c r="Q251" s="547">
        <v>0.10580058716287351</v>
      </c>
      <c r="R251" s="546"/>
      <c r="S251" s="547">
        <v>20.064638783269963</v>
      </c>
      <c r="T251" s="623"/>
      <c r="U251" s="492"/>
      <c r="V251" s="492"/>
      <c r="W251" s="492"/>
      <c r="X251" s="492"/>
      <c r="Y251" s="492"/>
      <c r="Z251" s="492"/>
      <c r="AA251" s="492"/>
      <c r="AB251" s="492"/>
      <c r="AC251" s="492"/>
      <c r="AD251" s="492"/>
      <c r="AE251" s="492"/>
      <c r="AF251" s="492"/>
      <c r="AG251" s="492"/>
      <c r="AH251" s="492"/>
      <c r="AI251" s="492"/>
      <c r="AJ251" s="492"/>
      <c r="AK251" s="492"/>
      <c r="AL251" s="492"/>
      <c r="AM251" s="492"/>
      <c r="AN251" s="492"/>
    </row>
    <row r="252" spans="1:40" ht="15.75" customHeight="1" thickTop="1">
      <c r="A252" s="477" t="s">
        <v>99</v>
      </c>
      <c r="B252" s="492" t="s">
        <v>99</v>
      </c>
      <c r="C252" s="508"/>
      <c r="D252" s="492"/>
      <c r="E252" s="492"/>
      <c r="F252" s="534"/>
      <c r="G252" s="508"/>
      <c r="H252" s="492"/>
      <c r="I252" s="534"/>
      <c r="J252" s="508"/>
      <c r="K252" s="492"/>
      <c r="L252" s="518"/>
      <c r="M252" s="508"/>
      <c r="N252" s="518"/>
      <c r="O252" s="508"/>
      <c r="P252" s="492"/>
      <c r="Q252" s="518"/>
      <c r="R252" s="508"/>
      <c r="S252" s="518"/>
      <c r="T252" s="492"/>
      <c r="U252" s="492"/>
      <c r="V252" s="492"/>
      <c r="W252" s="492"/>
      <c r="X252" s="492"/>
      <c r="Y252" s="492"/>
      <c r="Z252" s="492"/>
      <c r="AA252" s="492"/>
      <c r="AB252" s="492"/>
      <c r="AC252" s="492"/>
      <c r="AD252" s="492"/>
      <c r="AE252" s="492"/>
      <c r="AF252" s="492"/>
      <c r="AG252" s="492"/>
      <c r="AH252" s="492"/>
      <c r="AI252" s="492"/>
      <c r="AJ252" s="492"/>
      <c r="AK252" s="492"/>
      <c r="AL252" s="492"/>
      <c r="AM252" s="492"/>
      <c r="AN252" s="492"/>
    </row>
    <row r="253" spans="1:40" ht="15.75" customHeight="1">
      <c r="A253" s="477" t="s">
        <v>376</v>
      </c>
      <c r="B253" s="492" t="s">
        <v>99</v>
      </c>
      <c r="C253" s="551" t="s">
        <v>30</v>
      </c>
      <c r="D253" s="492"/>
      <c r="E253" s="492"/>
      <c r="F253" s="534"/>
      <c r="G253" s="508"/>
      <c r="H253" s="492"/>
      <c r="I253" s="534"/>
      <c r="J253" s="508"/>
      <c r="K253" s="492"/>
      <c r="L253" s="518"/>
      <c r="M253" s="508"/>
      <c r="N253" s="518"/>
      <c r="O253" s="508"/>
      <c r="P253" s="492"/>
      <c r="Q253" s="518"/>
      <c r="R253" s="508"/>
      <c r="S253" s="518"/>
      <c r="T253" s="492"/>
      <c r="U253" s="492"/>
      <c r="V253" s="492"/>
      <c r="W253" s="492"/>
      <c r="X253" s="492"/>
      <c r="Y253" s="492"/>
      <c r="Z253" s="492"/>
      <c r="AA253" s="492"/>
      <c r="AB253" s="492"/>
      <c r="AC253" s="492"/>
      <c r="AD253" s="492"/>
      <c r="AE253" s="492"/>
      <c r="AF253" s="492"/>
      <c r="AG253" s="492"/>
      <c r="AH253" s="492"/>
      <c r="AI253" s="492"/>
      <c r="AJ253" s="492"/>
      <c r="AK253" s="492"/>
      <c r="AL253" s="492"/>
      <c r="AM253" s="492"/>
      <c r="AN253" s="492"/>
    </row>
    <row r="254" spans="1:40" ht="15.75" customHeight="1">
      <c r="A254" s="477" t="s">
        <v>377</v>
      </c>
      <c r="B254" s="492" t="s">
        <v>99</v>
      </c>
      <c r="C254" s="576" t="s">
        <v>41</v>
      </c>
      <c r="D254" s="492"/>
      <c r="E254" s="492"/>
      <c r="F254" s="509">
        <v>371.65625000000006</v>
      </c>
      <c r="G254" s="508"/>
      <c r="H254" s="492"/>
      <c r="I254" s="509"/>
      <c r="J254" s="508"/>
      <c r="K254" s="492"/>
      <c r="L254" s="511">
        <v>901.88</v>
      </c>
      <c r="M254" s="508"/>
      <c r="N254" s="534">
        <v>530.22374999999988</v>
      </c>
      <c r="O254" s="508"/>
      <c r="P254" s="492"/>
      <c r="Q254" s="511">
        <v>901.88</v>
      </c>
      <c r="R254" s="508"/>
      <c r="S254" s="511">
        <v>0</v>
      </c>
      <c r="T254" s="492"/>
      <c r="U254" s="492"/>
      <c r="V254" s="492"/>
      <c r="W254" s="492"/>
      <c r="X254" s="492"/>
      <c r="Y254" s="492"/>
      <c r="Z254" s="492"/>
      <c r="AA254" s="492"/>
      <c r="AB254" s="492"/>
      <c r="AC254" s="492"/>
      <c r="AD254" s="492"/>
      <c r="AE254" s="492"/>
      <c r="AF254" s="492"/>
      <c r="AG254" s="492"/>
      <c r="AH254" s="492"/>
      <c r="AI254" s="492"/>
      <c r="AJ254" s="492"/>
      <c r="AK254" s="492"/>
      <c r="AL254" s="492"/>
      <c r="AM254" s="492"/>
      <c r="AN254" s="492"/>
    </row>
    <row r="255" spans="1:40" ht="15.75" customHeight="1">
      <c r="A255" s="477" t="s">
        <v>378</v>
      </c>
      <c r="B255" s="492" t="s">
        <v>99</v>
      </c>
      <c r="C255" s="578" t="s">
        <v>42</v>
      </c>
      <c r="D255" s="561"/>
      <c r="E255" s="492"/>
      <c r="F255" s="503">
        <v>5927.3807692307682</v>
      </c>
      <c r="G255" s="562"/>
      <c r="H255" s="492"/>
      <c r="I255" s="503"/>
      <c r="J255" s="508"/>
      <c r="K255" s="492"/>
      <c r="L255" s="511">
        <v>4995.33</v>
      </c>
      <c r="M255" s="508"/>
      <c r="N255" s="534">
        <v>-932.05076923076831</v>
      </c>
      <c r="O255" s="508"/>
      <c r="P255" s="492"/>
      <c r="Q255" s="511">
        <v>462.59</v>
      </c>
      <c r="R255" s="508"/>
      <c r="S255" s="534">
        <v>4532.74</v>
      </c>
      <c r="T255" s="492"/>
      <c r="U255" s="492"/>
      <c r="V255" s="492"/>
      <c r="W255" s="492"/>
      <c r="X255" s="492"/>
      <c r="Y255" s="492"/>
      <c r="Z255" s="492"/>
      <c r="AA255" s="492"/>
      <c r="AB255" s="492"/>
      <c r="AC255" s="492"/>
      <c r="AD255" s="492"/>
      <c r="AE255" s="492"/>
      <c r="AF255" s="492"/>
      <c r="AG255" s="492"/>
      <c r="AH255" s="492"/>
      <c r="AI255" s="492"/>
      <c r="AJ255" s="492"/>
      <c r="AK255" s="492"/>
      <c r="AL255" s="492"/>
      <c r="AM255" s="492"/>
      <c r="AN255" s="492"/>
    </row>
    <row r="256" spans="1:40" ht="15.75" customHeight="1">
      <c r="A256" s="477" t="s">
        <v>379</v>
      </c>
      <c r="B256" s="492" t="s">
        <v>99</v>
      </c>
      <c r="C256" s="576" t="s">
        <v>43</v>
      </c>
      <c r="D256" s="579"/>
      <c r="E256" s="580"/>
      <c r="F256" s="509">
        <v>21.91346153846154</v>
      </c>
      <c r="G256" s="581"/>
      <c r="H256" s="580"/>
      <c r="I256" s="509"/>
      <c r="J256" s="496"/>
      <c r="K256" s="580"/>
      <c r="L256" s="530">
        <v>0.08</v>
      </c>
      <c r="M256" s="496"/>
      <c r="N256" s="582">
        <v>-21.833461538461542</v>
      </c>
      <c r="O256" s="496"/>
      <c r="P256" s="580"/>
      <c r="Q256" s="530">
        <v>0.08</v>
      </c>
      <c r="R256" s="496"/>
      <c r="S256" s="582">
        <v>0</v>
      </c>
      <c r="T256" s="492"/>
      <c r="U256" s="492"/>
      <c r="V256" s="492"/>
      <c r="W256" s="492"/>
      <c r="X256" s="492"/>
      <c r="Y256" s="492"/>
      <c r="Z256" s="492"/>
      <c r="AA256" s="492"/>
      <c r="AB256" s="492"/>
      <c r="AC256" s="492"/>
      <c r="AD256" s="492"/>
      <c r="AE256" s="492"/>
      <c r="AF256" s="492"/>
      <c r="AG256" s="492"/>
      <c r="AH256" s="492"/>
      <c r="AI256" s="492"/>
      <c r="AJ256" s="492"/>
      <c r="AK256" s="492"/>
      <c r="AL256" s="492"/>
      <c r="AM256" s="492"/>
      <c r="AN256" s="492"/>
    </row>
    <row r="257" spans="1:40" ht="15.75" customHeight="1">
      <c r="A257" s="477" t="s">
        <v>380</v>
      </c>
      <c r="B257" s="492" t="s">
        <v>99</v>
      </c>
      <c r="C257" s="576" t="s">
        <v>44</v>
      </c>
      <c r="D257" s="561"/>
      <c r="E257" s="492"/>
      <c r="F257" s="509">
        <v>0</v>
      </c>
      <c r="G257" s="562"/>
      <c r="H257" s="492"/>
      <c r="I257" s="509"/>
      <c r="J257" s="508"/>
      <c r="K257" s="492"/>
      <c r="L257" s="511">
        <v>0</v>
      </c>
      <c r="M257" s="508"/>
      <c r="N257" s="534">
        <v>0</v>
      </c>
      <c r="O257" s="508"/>
      <c r="P257" s="492"/>
      <c r="Q257" s="511">
        <v>0</v>
      </c>
      <c r="R257" s="508"/>
      <c r="S257" s="534">
        <v>0</v>
      </c>
      <c r="T257" s="492"/>
      <c r="U257" s="492"/>
      <c r="V257" s="492"/>
      <c r="W257" s="492"/>
      <c r="X257" s="492"/>
      <c r="Y257" s="492"/>
      <c r="Z257" s="492"/>
      <c r="AA257" s="492"/>
      <c r="AB257" s="492"/>
      <c r="AC257" s="492"/>
      <c r="AD257" s="492"/>
      <c r="AE257" s="492"/>
      <c r="AF257" s="492"/>
      <c r="AG257" s="492"/>
      <c r="AH257" s="492"/>
      <c r="AI257" s="492"/>
      <c r="AJ257" s="492"/>
      <c r="AK257" s="492"/>
      <c r="AL257" s="492"/>
      <c r="AM257" s="492"/>
      <c r="AN257" s="492"/>
    </row>
    <row r="258" spans="1:40" ht="15.75" hidden="1" customHeight="1">
      <c r="A258" s="477" t="s">
        <v>381</v>
      </c>
      <c r="B258" s="492" t="s">
        <v>99</v>
      </c>
      <c r="C258" s="508" t="s">
        <v>20</v>
      </c>
      <c r="D258" s="561"/>
      <c r="E258" s="492"/>
      <c r="F258" s="509">
        <v>0</v>
      </c>
      <c r="G258" s="562"/>
      <c r="H258" s="492"/>
      <c r="I258" s="509"/>
      <c r="J258" s="508"/>
      <c r="K258" s="492"/>
      <c r="L258" s="511">
        <v>0</v>
      </c>
      <c r="M258" s="508"/>
      <c r="N258" s="534">
        <v>0</v>
      </c>
      <c r="O258" s="508"/>
      <c r="P258" s="492"/>
      <c r="Q258" s="511">
        <v>0</v>
      </c>
      <c r="R258" s="508"/>
      <c r="S258" s="534">
        <v>0</v>
      </c>
      <c r="T258" s="492"/>
      <c r="U258" s="492"/>
      <c r="V258" s="492"/>
      <c r="W258" s="492"/>
      <c r="X258" s="492"/>
      <c r="Y258" s="492"/>
      <c r="Z258" s="492"/>
      <c r="AA258" s="492"/>
      <c r="AB258" s="492"/>
      <c r="AC258" s="492"/>
      <c r="AD258" s="492"/>
      <c r="AE258" s="492"/>
      <c r="AF258" s="492"/>
      <c r="AG258" s="492"/>
      <c r="AH258" s="492"/>
      <c r="AI258" s="492"/>
      <c r="AJ258" s="492"/>
      <c r="AK258" s="492"/>
      <c r="AL258" s="492"/>
      <c r="AM258" s="492"/>
      <c r="AN258" s="492"/>
    </row>
    <row r="259" spans="1:40" ht="15.75" hidden="1" customHeight="1">
      <c r="A259" s="477" t="s">
        <v>381</v>
      </c>
      <c r="B259" s="492" t="s">
        <v>99</v>
      </c>
      <c r="C259" s="508" t="s">
        <v>20</v>
      </c>
      <c r="D259" s="561"/>
      <c r="E259" s="492"/>
      <c r="F259" s="509">
        <v>0</v>
      </c>
      <c r="G259" s="562"/>
      <c r="H259" s="492"/>
      <c r="I259" s="509"/>
      <c r="J259" s="508"/>
      <c r="K259" s="492"/>
      <c r="L259" s="511">
        <v>0</v>
      </c>
      <c r="M259" s="508"/>
      <c r="N259" s="534">
        <v>0</v>
      </c>
      <c r="O259" s="508"/>
      <c r="P259" s="492"/>
      <c r="Q259" s="511">
        <v>0</v>
      </c>
      <c r="R259" s="508"/>
      <c r="S259" s="534">
        <v>0</v>
      </c>
      <c r="T259" s="492"/>
      <c r="U259" s="492"/>
      <c r="V259" s="492"/>
      <c r="W259" s="492"/>
      <c r="X259" s="492"/>
      <c r="Y259" s="492"/>
      <c r="Z259" s="492"/>
      <c r="AA259" s="492"/>
      <c r="AB259" s="492"/>
      <c r="AC259" s="492"/>
      <c r="AD259" s="492"/>
      <c r="AE259" s="492"/>
      <c r="AF259" s="492"/>
      <c r="AG259" s="492"/>
      <c r="AH259" s="492"/>
      <c r="AI259" s="492"/>
      <c r="AJ259" s="492"/>
      <c r="AK259" s="492"/>
      <c r="AL259" s="492"/>
      <c r="AM259" s="492"/>
      <c r="AN259" s="492"/>
    </row>
    <row r="260" spans="1:40" ht="15.75" hidden="1" customHeight="1">
      <c r="A260" s="477" t="s">
        <v>381</v>
      </c>
      <c r="B260" s="492" t="s">
        <v>99</v>
      </c>
      <c r="C260" s="508" t="s">
        <v>20</v>
      </c>
      <c r="D260" s="561"/>
      <c r="E260" s="492"/>
      <c r="F260" s="509">
        <v>0</v>
      </c>
      <c r="G260" s="562"/>
      <c r="H260" s="492"/>
      <c r="I260" s="509"/>
      <c r="J260" s="508"/>
      <c r="K260" s="492"/>
      <c r="L260" s="511">
        <v>0</v>
      </c>
      <c r="M260" s="508"/>
      <c r="N260" s="534">
        <v>0</v>
      </c>
      <c r="O260" s="508"/>
      <c r="P260" s="492"/>
      <c r="Q260" s="511">
        <v>0</v>
      </c>
      <c r="R260" s="508"/>
      <c r="S260" s="534">
        <v>0</v>
      </c>
      <c r="T260" s="492"/>
      <c r="U260" s="492"/>
      <c r="V260" s="492"/>
      <c r="W260" s="492"/>
      <c r="X260" s="492"/>
      <c r="Y260" s="492"/>
      <c r="Z260" s="492"/>
      <c r="AA260" s="492"/>
      <c r="AB260" s="492"/>
      <c r="AC260" s="492"/>
      <c r="AD260" s="492"/>
      <c r="AE260" s="492"/>
      <c r="AF260" s="492"/>
      <c r="AG260" s="492"/>
      <c r="AH260" s="492"/>
      <c r="AI260" s="492"/>
      <c r="AJ260" s="492"/>
      <c r="AK260" s="492"/>
      <c r="AL260" s="492"/>
      <c r="AM260" s="492"/>
      <c r="AN260" s="492"/>
    </row>
    <row r="261" spans="1:40" ht="15.75" customHeight="1">
      <c r="A261" s="477" t="s">
        <v>382</v>
      </c>
      <c r="B261" s="492" t="s">
        <v>99</v>
      </c>
      <c r="C261" s="578" t="s">
        <v>45</v>
      </c>
      <c r="D261" s="561"/>
      <c r="E261" s="492"/>
      <c r="F261" s="503">
        <v>759.74482668269218</v>
      </c>
      <c r="G261" s="562"/>
      <c r="H261" s="492"/>
      <c r="I261" s="503"/>
      <c r="J261" s="508"/>
      <c r="K261" s="492"/>
      <c r="L261" s="511">
        <v>545.54999999999995</v>
      </c>
      <c r="M261" s="508"/>
      <c r="N261" s="534">
        <v>-214.19482668269222</v>
      </c>
      <c r="O261" s="508"/>
      <c r="P261" s="492"/>
      <c r="Q261" s="511">
        <v>154.49</v>
      </c>
      <c r="R261" s="508"/>
      <c r="S261" s="534">
        <v>391.05999999999995</v>
      </c>
      <c r="T261" s="492"/>
      <c r="U261" s="492"/>
      <c r="V261" s="492"/>
      <c r="W261" s="492"/>
      <c r="X261" s="492"/>
      <c r="Y261" s="492"/>
      <c r="Z261" s="492"/>
      <c r="AA261" s="492"/>
      <c r="AB261" s="492"/>
      <c r="AC261" s="492"/>
      <c r="AD261" s="492"/>
      <c r="AE261" s="492"/>
      <c r="AF261" s="492"/>
      <c r="AG261" s="492"/>
      <c r="AH261" s="492"/>
      <c r="AI261" s="492"/>
      <c r="AJ261" s="492"/>
      <c r="AK261" s="492"/>
      <c r="AL261" s="492"/>
      <c r="AM261" s="492"/>
      <c r="AN261" s="492"/>
    </row>
    <row r="262" spans="1:40" ht="15.75" customHeight="1">
      <c r="A262" s="477" t="s">
        <v>383</v>
      </c>
      <c r="B262" s="492" t="s">
        <v>99</v>
      </c>
      <c r="C262" s="576" t="s">
        <v>46</v>
      </c>
      <c r="D262" s="579"/>
      <c r="E262" s="580"/>
      <c r="F262" s="509">
        <v>923.7426086538461</v>
      </c>
      <c r="G262" s="581"/>
      <c r="H262" s="580"/>
      <c r="I262" s="509"/>
      <c r="J262" s="496"/>
      <c r="K262" s="580"/>
      <c r="L262" s="530">
        <v>1443.66</v>
      </c>
      <c r="M262" s="496"/>
      <c r="N262" s="582">
        <v>519.91739134615398</v>
      </c>
      <c r="O262" s="496"/>
      <c r="P262" s="580"/>
      <c r="Q262" s="530">
        <v>853.69</v>
      </c>
      <c r="R262" s="496"/>
      <c r="S262" s="582">
        <v>589.97</v>
      </c>
      <c r="T262" s="492"/>
      <c r="U262" s="492"/>
      <c r="V262" s="492"/>
      <c r="W262" s="492"/>
      <c r="X262" s="492"/>
      <c r="Y262" s="492"/>
      <c r="Z262" s="492"/>
      <c r="AA262" s="492"/>
      <c r="AB262" s="492"/>
      <c r="AC262" s="492"/>
      <c r="AD262" s="492"/>
      <c r="AE262" s="492"/>
      <c r="AF262" s="492"/>
      <c r="AG262" s="492"/>
      <c r="AH262" s="492"/>
      <c r="AI262" s="492"/>
      <c r="AJ262" s="492"/>
      <c r="AK262" s="492"/>
      <c r="AL262" s="492"/>
      <c r="AM262" s="492"/>
      <c r="AN262" s="492"/>
    </row>
    <row r="263" spans="1:40" ht="15.75" customHeight="1">
      <c r="A263" s="477" t="s">
        <v>384</v>
      </c>
      <c r="B263" s="492" t="s">
        <v>99</v>
      </c>
      <c r="C263" s="576" t="s">
        <v>47</v>
      </c>
      <c r="D263" s="561"/>
      <c r="E263" s="492"/>
      <c r="F263" s="509">
        <v>475.92825706730758</v>
      </c>
      <c r="G263" s="562"/>
      <c r="H263" s="492"/>
      <c r="I263" s="509"/>
      <c r="J263" s="508"/>
      <c r="K263" s="492"/>
      <c r="L263" s="511">
        <v>98.28</v>
      </c>
      <c r="M263" s="508"/>
      <c r="N263" s="534">
        <v>-377.64825706730755</v>
      </c>
      <c r="O263" s="508"/>
      <c r="P263" s="492"/>
      <c r="Q263" s="511">
        <v>122.97</v>
      </c>
      <c r="R263" s="508"/>
      <c r="S263" s="534">
        <v>-24.689999999999998</v>
      </c>
      <c r="T263" s="492"/>
      <c r="U263" s="492"/>
      <c r="V263" s="492"/>
      <c r="W263" s="492"/>
      <c r="X263" s="492"/>
      <c r="Y263" s="492"/>
      <c r="Z263" s="492"/>
      <c r="AA263" s="492"/>
      <c r="AB263" s="492"/>
      <c r="AC263" s="492"/>
      <c r="AD263" s="492"/>
      <c r="AE263" s="492"/>
      <c r="AF263" s="492"/>
      <c r="AG263" s="492"/>
      <c r="AH263" s="492"/>
      <c r="AI263" s="492"/>
      <c r="AJ263" s="492"/>
      <c r="AK263" s="492"/>
      <c r="AL263" s="492"/>
      <c r="AM263" s="492"/>
      <c r="AN263" s="492"/>
    </row>
    <row r="264" spans="1:40" ht="15.75" customHeight="1">
      <c r="A264" s="477" t="s">
        <v>385</v>
      </c>
      <c r="B264" s="492" t="s">
        <v>99</v>
      </c>
      <c r="C264" s="576" t="s">
        <v>48</v>
      </c>
      <c r="D264" s="561"/>
      <c r="E264" s="492"/>
      <c r="F264" s="509">
        <v>207.50739759615382</v>
      </c>
      <c r="G264" s="562"/>
      <c r="H264" s="492"/>
      <c r="I264" s="509"/>
      <c r="J264" s="508"/>
      <c r="K264" s="492"/>
      <c r="L264" s="511">
        <v>139.08000000000001</v>
      </c>
      <c r="M264" s="508"/>
      <c r="N264" s="534">
        <v>-68.42739759615381</v>
      </c>
      <c r="O264" s="508"/>
      <c r="P264" s="492"/>
      <c r="Q264" s="511">
        <v>190.46</v>
      </c>
      <c r="R264" s="508"/>
      <c r="S264" s="534">
        <v>-51.379999999999995</v>
      </c>
      <c r="T264" s="492"/>
      <c r="U264" s="492"/>
      <c r="V264" s="492"/>
      <c r="W264" s="492"/>
      <c r="X264" s="492"/>
      <c r="Y264" s="492"/>
      <c r="Z264" s="492"/>
      <c r="AA264" s="492"/>
      <c r="AB264" s="492"/>
      <c r="AC264" s="492"/>
      <c r="AD264" s="492"/>
      <c r="AE264" s="492"/>
      <c r="AF264" s="492"/>
      <c r="AG264" s="492"/>
      <c r="AH264" s="492"/>
      <c r="AI264" s="492"/>
      <c r="AJ264" s="492"/>
      <c r="AK264" s="492"/>
      <c r="AL264" s="492"/>
      <c r="AM264" s="492"/>
      <c r="AN264" s="492"/>
    </row>
    <row r="265" spans="1:40" ht="15.75" hidden="1" customHeight="1">
      <c r="A265" s="477" t="s">
        <v>381</v>
      </c>
      <c r="B265" s="492" t="s">
        <v>99</v>
      </c>
      <c r="C265" s="508" t="s">
        <v>20</v>
      </c>
      <c r="D265" s="563"/>
      <c r="E265" s="583"/>
      <c r="F265" s="509">
        <v>0</v>
      </c>
      <c r="G265" s="564"/>
      <c r="H265" s="583"/>
      <c r="I265" s="509"/>
      <c r="J265" s="501"/>
      <c r="K265" s="583"/>
      <c r="L265" s="511">
        <v>0</v>
      </c>
      <c r="M265" s="501"/>
      <c r="N265" s="559">
        <v>0</v>
      </c>
      <c r="O265" s="501"/>
      <c r="P265" s="583"/>
      <c r="Q265" s="511">
        <v>0</v>
      </c>
      <c r="R265" s="501"/>
      <c r="S265" s="559">
        <v>0</v>
      </c>
      <c r="T265" s="492"/>
      <c r="U265" s="492"/>
      <c r="V265" s="492"/>
      <c r="W265" s="492"/>
      <c r="X265" s="492"/>
      <c r="Y265" s="492"/>
      <c r="Z265" s="492"/>
      <c r="AA265" s="492"/>
      <c r="AB265" s="492"/>
      <c r="AC265" s="492"/>
      <c r="AD265" s="492"/>
      <c r="AE265" s="492"/>
      <c r="AF265" s="492"/>
      <c r="AG265" s="492"/>
      <c r="AH265" s="492"/>
      <c r="AI265" s="492"/>
      <c r="AJ265" s="492"/>
      <c r="AK265" s="492"/>
      <c r="AL265" s="492"/>
      <c r="AM265" s="492"/>
      <c r="AN265" s="492"/>
    </row>
    <row r="266" spans="1:40" ht="15.75" customHeight="1">
      <c r="A266" s="477" t="s">
        <v>386</v>
      </c>
      <c r="B266" s="492" t="s">
        <v>99</v>
      </c>
      <c r="C266" s="568" t="s">
        <v>49</v>
      </c>
      <c r="D266" s="569" t="s">
        <v>39</v>
      </c>
      <c r="E266" s="570">
        <v>0.73130248912198892</v>
      </c>
      <c r="F266" s="571">
        <v>8687.8735707692285</v>
      </c>
      <c r="G266" s="572"/>
      <c r="H266" s="570"/>
      <c r="I266" s="571"/>
      <c r="J266" s="572" t="s">
        <v>39</v>
      </c>
      <c r="K266" s="570">
        <v>0.62400030724325983</v>
      </c>
      <c r="L266" s="571">
        <v>8123.86</v>
      </c>
      <c r="M266" s="625"/>
      <c r="N266" s="585">
        <v>-564.01357076922886</v>
      </c>
      <c r="O266" s="572" t="s">
        <v>39</v>
      </c>
      <c r="P266" s="570">
        <v>0</v>
      </c>
      <c r="Q266" s="571">
        <v>2686.16</v>
      </c>
      <c r="R266" s="625"/>
      <c r="S266" s="585">
        <v>5437.7</v>
      </c>
      <c r="T266" s="492"/>
      <c r="U266" s="492"/>
      <c r="V266" s="492"/>
      <c r="W266" s="492"/>
      <c r="X266" s="492"/>
      <c r="Y266" s="492"/>
      <c r="Z266" s="492"/>
      <c r="AA266" s="492"/>
      <c r="AB266" s="492"/>
      <c r="AC266" s="492"/>
      <c r="AD266" s="492"/>
      <c r="AE266" s="492"/>
      <c r="AF266" s="492"/>
      <c r="AG266" s="492"/>
      <c r="AH266" s="492"/>
      <c r="AI266" s="492"/>
      <c r="AJ266" s="492"/>
      <c r="AK266" s="492"/>
      <c r="AL266" s="492"/>
      <c r="AM266" s="492"/>
      <c r="AN266" s="492"/>
    </row>
    <row r="267" spans="1:40" ht="15.75" customHeight="1">
      <c r="A267" s="477" t="s">
        <v>387</v>
      </c>
      <c r="B267" s="492" t="s">
        <v>99</v>
      </c>
      <c r="C267" s="681" t="s">
        <v>50</v>
      </c>
      <c r="D267" s="561"/>
      <c r="E267" s="492"/>
      <c r="F267" s="509">
        <v>48.333333333333336</v>
      </c>
      <c r="G267" s="562"/>
      <c r="H267" s="492"/>
      <c r="I267" s="509"/>
      <c r="J267" s="508"/>
      <c r="K267" s="492"/>
      <c r="L267" s="511">
        <v>14</v>
      </c>
      <c r="M267" s="508"/>
      <c r="N267" s="534">
        <v>-34.333333333333336</v>
      </c>
      <c r="O267" s="508"/>
      <c r="P267" s="492"/>
      <c r="Q267" s="534">
        <v>15.15</v>
      </c>
      <c r="R267" s="508"/>
      <c r="S267" s="534">
        <v>-1.1500000000000004</v>
      </c>
      <c r="T267" s="492"/>
      <c r="U267" s="492"/>
      <c r="V267" s="492"/>
      <c r="W267" s="492"/>
      <c r="X267" s="492"/>
      <c r="Y267" s="492"/>
      <c r="Z267" s="492"/>
      <c r="AA267" s="492"/>
      <c r="AB267" s="492"/>
      <c r="AC267" s="492"/>
      <c r="AD267" s="492"/>
      <c r="AE267" s="492"/>
      <c r="AF267" s="492"/>
      <c r="AG267" s="492"/>
      <c r="AH267" s="492"/>
      <c r="AI267" s="492"/>
      <c r="AJ267" s="492"/>
      <c r="AK267" s="492"/>
      <c r="AL267" s="492"/>
      <c r="AM267" s="492"/>
      <c r="AN267" s="492"/>
    </row>
    <row r="268" spans="1:40" ht="15.75" customHeight="1">
      <c r="A268" s="477" t="s">
        <v>388</v>
      </c>
      <c r="B268" s="492" t="s">
        <v>99</v>
      </c>
      <c r="C268" s="576" t="s">
        <v>51</v>
      </c>
      <c r="D268" s="561"/>
      <c r="E268" s="492"/>
      <c r="F268" s="509">
        <v>561.67798128057109</v>
      </c>
      <c r="G268" s="562"/>
      <c r="H268" s="492"/>
      <c r="I268" s="509"/>
      <c r="J268" s="508"/>
      <c r="K268" s="492"/>
      <c r="L268" s="511">
        <v>88.95</v>
      </c>
      <c r="M268" s="508"/>
      <c r="N268" s="534">
        <v>-472.7279812805711</v>
      </c>
      <c r="O268" s="508"/>
      <c r="P268" s="492"/>
      <c r="Q268" s="534">
        <v>770</v>
      </c>
      <c r="R268" s="508"/>
      <c r="S268" s="534">
        <v>-681.05</v>
      </c>
      <c r="T268" s="492"/>
      <c r="V268" s="492"/>
      <c r="W268" s="492"/>
      <c r="X268" s="492"/>
      <c r="Y268" s="492"/>
      <c r="Z268" s="492"/>
      <c r="AA268" s="492"/>
      <c r="AB268" s="492"/>
      <c r="AC268" s="492"/>
      <c r="AD268" s="492"/>
      <c r="AE268" s="492"/>
      <c r="AF268" s="492"/>
      <c r="AG268" s="492"/>
      <c r="AH268" s="492"/>
      <c r="AI268" s="492"/>
      <c r="AJ268" s="492"/>
      <c r="AK268" s="492"/>
      <c r="AL268" s="492"/>
      <c r="AM268" s="492"/>
      <c r="AN268" s="492"/>
    </row>
    <row r="269" spans="1:40" ht="15.75" customHeight="1">
      <c r="A269" s="477" t="s">
        <v>389</v>
      </c>
      <c r="B269" s="492" t="s">
        <v>99</v>
      </c>
      <c r="C269" s="578" t="s">
        <v>52</v>
      </c>
      <c r="D269" s="563"/>
      <c r="E269" s="583"/>
      <c r="F269" s="503">
        <v>124.50360000000001</v>
      </c>
      <c r="G269" s="564"/>
      <c r="H269" s="583"/>
      <c r="I269" s="503"/>
      <c r="J269" s="501"/>
      <c r="K269" s="583"/>
      <c r="L269" s="511">
        <v>157.77000000000001</v>
      </c>
      <c r="M269" s="501"/>
      <c r="N269" s="559">
        <v>33.266400000000004</v>
      </c>
      <c r="O269" s="501"/>
      <c r="P269" s="583"/>
      <c r="Q269" s="559">
        <v>291.91000000000003</v>
      </c>
      <c r="R269" s="501"/>
      <c r="S269" s="559">
        <v>-134.14000000000001</v>
      </c>
      <c r="T269" s="492"/>
      <c r="U269" s="492" t="s">
        <v>1</v>
      </c>
      <c r="V269" s="492"/>
      <c r="W269" s="492"/>
      <c r="X269" s="492"/>
      <c r="Y269" s="492"/>
      <c r="Z269" s="492"/>
      <c r="AA269" s="492"/>
      <c r="AB269" s="492"/>
      <c r="AC269" s="492"/>
      <c r="AD269" s="492"/>
      <c r="AE269" s="492"/>
      <c r="AF269" s="492"/>
      <c r="AG269" s="492"/>
      <c r="AH269" s="492"/>
      <c r="AI269" s="492"/>
      <c r="AJ269" s="492"/>
      <c r="AK269" s="492"/>
      <c r="AL269" s="492"/>
      <c r="AM269" s="492"/>
      <c r="AN269" s="492"/>
    </row>
    <row r="270" spans="1:40" ht="15.75" customHeight="1">
      <c r="A270" s="477" t="s">
        <v>390</v>
      </c>
      <c r="B270" s="492" t="s">
        <v>99</v>
      </c>
      <c r="C270" s="576" t="s">
        <v>53</v>
      </c>
      <c r="D270" s="561"/>
      <c r="E270" s="492"/>
      <c r="F270" s="509">
        <v>1450.4268862377776</v>
      </c>
      <c r="G270" s="562"/>
      <c r="H270" s="492"/>
      <c r="I270" s="509"/>
      <c r="J270" s="508"/>
      <c r="K270" s="492"/>
      <c r="L270" s="530">
        <v>932.17</v>
      </c>
      <c r="M270" s="508"/>
      <c r="N270" s="534">
        <v>-518.25688623777762</v>
      </c>
      <c r="O270" s="508"/>
      <c r="P270" s="492"/>
      <c r="Q270" s="534">
        <v>2157.6799999999998</v>
      </c>
      <c r="R270" s="508"/>
      <c r="S270" s="534">
        <v>-1225.5099999999998</v>
      </c>
      <c r="T270" s="492"/>
      <c r="U270" s="492"/>
      <c r="V270" s="492"/>
      <c r="W270" s="492"/>
      <c r="X270" s="492"/>
      <c r="Y270" s="492"/>
      <c r="Z270" s="492"/>
      <c r="AA270" s="492"/>
      <c r="AB270" s="492"/>
      <c r="AC270" s="492"/>
      <c r="AD270" s="492"/>
      <c r="AE270" s="492"/>
      <c r="AF270" s="492"/>
      <c r="AG270" s="492"/>
      <c r="AH270" s="492"/>
      <c r="AI270" s="492"/>
      <c r="AJ270" s="492"/>
      <c r="AK270" s="492"/>
      <c r="AL270" s="492"/>
      <c r="AM270" s="492"/>
      <c r="AN270" s="492"/>
    </row>
    <row r="271" spans="1:40" ht="15.75" customHeight="1">
      <c r="A271" s="477" t="s">
        <v>391</v>
      </c>
      <c r="B271" s="492" t="s">
        <v>99</v>
      </c>
      <c r="C271" s="576" t="s">
        <v>54</v>
      </c>
      <c r="D271" s="561"/>
      <c r="E271" s="492"/>
      <c r="F271" s="509">
        <v>214.03823837858201</v>
      </c>
      <c r="G271" s="562"/>
      <c r="H271" s="492"/>
      <c r="I271" s="509"/>
      <c r="J271" s="508"/>
      <c r="K271" s="492"/>
      <c r="L271" s="511">
        <v>186.27</v>
      </c>
      <c r="M271" s="508"/>
      <c r="N271" s="534">
        <v>-27.768238378581998</v>
      </c>
      <c r="O271" s="508"/>
      <c r="P271" s="492"/>
      <c r="Q271" s="534">
        <v>253.51</v>
      </c>
      <c r="R271" s="508"/>
      <c r="S271" s="534">
        <v>-67.239999999999981</v>
      </c>
      <c r="T271" s="492"/>
      <c r="U271" s="492"/>
      <c r="V271" s="492"/>
      <c r="W271" s="492"/>
      <c r="X271" s="492"/>
      <c r="Y271" s="492"/>
      <c r="Z271" s="492"/>
      <c r="AA271" s="492"/>
      <c r="AB271" s="492"/>
      <c r="AC271" s="492"/>
      <c r="AD271" s="492"/>
      <c r="AE271" s="492"/>
      <c r="AF271" s="492"/>
      <c r="AG271" s="492"/>
      <c r="AH271" s="492"/>
      <c r="AI271" s="492"/>
      <c r="AJ271" s="492"/>
      <c r="AK271" s="492"/>
      <c r="AL271" s="492"/>
      <c r="AM271" s="492"/>
      <c r="AN271" s="492"/>
    </row>
    <row r="272" spans="1:40" ht="15.75" customHeight="1">
      <c r="A272" s="477" t="s">
        <v>392</v>
      </c>
      <c r="B272" s="492" t="s">
        <v>99</v>
      </c>
      <c r="C272" s="576" t="s">
        <v>55</v>
      </c>
      <c r="D272" s="563"/>
      <c r="E272" s="583"/>
      <c r="F272" s="503">
        <v>687.14674435248071</v>
      </c>
      <c r="G272" s="564"/>
      <c r="H272" s="583"/>
      <c r="I272" s="503"/>
      <c r="J272" s="501"/>
      <c r="K272" s="583"/>
      <c r="L272" s="511">
        <v>964.91</v>
      </c>
      <c r="M272" s="501"/>
      <c r="N272" s="559">
        <v>277.76325564751926</v>
      </c>
      <c r="O272" s="501"/>
      <c r="P272" s="583"/>
      <c r="Q272" s="559">
        <v>380.15</v>
      </c>
      <c r="R272" s="501"/>
      <c r="S272" s="559">
        <v>584.76</v>
      </c>
      <c r="T272" s="492"/>
      <c r="U272" s="492"/>
      <c r="V272" s="492"/>
      <c r="W272" s="492"/>
      <c r="X272" s="492"/>
      <c r="Y272" s="492"/>
      <c r="Z272" s="492"/>
      <c r="AA272" s="492"/>
      <c r="AB272" s="492"/>
      <c r="AC272" s="492"/>
      <c r="AD272" s="492"/>
      <c r="AE272" s="492"/>
      <c r="AF272" s="492"/>
      <c r="AG272" s="492"/>
      <c r="AH272" s="492"/>
      <c r="AI272" s="492"/>
      <c r="AJ272" s="492"/>
      <c r="AK272" s="492"/>
      <c r="AL272" s="492"/>
      <c r="AM272" s="492"/>
      <c r="AN272" s="492"/>
    </row>
    <row r="273" spans="1:40" ht="15.75" customHeight="1">
      <c r="A273" s="477" t="s">
        <v>393</v>
      </c>
      <c r="B273" s="492" t="s">
        <v>99</v>
      </c>
      <c r="C273" s="681" t="s">
        <v>98</v>
      </c>
      <c r="D273" s="561"/>
      <c r="E273" s="492"/>
      <c r="F273" s="509"/>
      <c r="G273" s="562"/>
      <c r="H273" s="492"/>
      <c r="I273" s="509"/>
      <c r="J273" s="508"/>
      <c r="K273" s="492"/>
      <c r="L273" s="530">
        <v>0</v>
      </c>
      <c r="M273" s="508"/>
      <c r="N273" s="534">
        <v>0</v>
      </c>
      <c r="O273" s="508"/>
      <c r="P273" s="492"/>
      <c r="Q273" s="534">
        <v>0</v>
      </c>
      <c r="R273" s="508"/>
      <c r="S273" s="534">
        <v>0</v>
      </c>
      <c r="T273" s="492"/>
      <c r="U273" s="492"/>
      <c r="V273" s="492"/>
      <c r="W273" s="492"/>
      <c r="X273" s="492"/>
      <c r="Y273" s="492"/>
      <c r="Z273" s="492"/>
      <c r="AA273" s="492"/>
      <c r="AB273" s="492"/>
      <c r="AC273" s="492"/>
      <c r="AD273" s="492"/>
      <c r="AE273" s="492"/>
      <c r="AF273" s="492"/>
      <c r="AG273" s="492"/>
      <c r="AH273" s="492"/>
      <c r="AI273" s="492"/>
      <c r="AJ273" s="492"/>
      <c r="AK273" s="492"/>
      <c r="AL273" s="492"/>
      <c r="AM273" s="492"/>
      <c r="AN273" s="492"/>
    </row>
    <row r="274" spans="1:40" ht="15.75" customHeight="1">
      <c r="A274" s="477" t="s">
        <v>394</v>
      </c>
      <c r="B274" s="492" t="s">
        <v>99</v>
      </c>
      <c r="C274" s="576" t="s">
        <v>56</v>
      </c>
      <c r="D274" s="561"/>
      <c r="E274" s="492"/>
      <c r="F274" s="509">
        <v>45.951533333333337</v>
      </c>
      <c r="G274" s="562"/>
      <c r="H274" s="492"/>
      <c r="I274" s="509"/>
      <c r="J274" s="508"/>
      <c r="K274" s="492"/>
      <c r="L274" s="511">
        <v>5.61</v>
      </c>
      <c r="M274" s="508"/>
      <c r="N274" s="534">
        <v>-40.341533333333338</v>
      </c>
      <c r="O274" s="508"/>
      <c r="P274" s="492"/>
      <c r="Q274" s="534">
        <v>18.48</v>
      </c>
      <c r="R274" s="508"/>
      <c r="S274" s="534">
        <v>-12.870000000000001</v>
      </c>
      <c r="T274" s="492"/>
      <c r="U274" s="492"/>
      <c r="V274" s="492"/>
      <c r="W274" s="492"/>
      <c r="X274" s="492"/>
      <c r="Y274" s="492"/>
      <c r="Z274" s="492"/>
      <c r="AA274" s="492"/>
      <c r="AB274" s="492"/>
      <c r="AC274" s="492"/>
      <c r="AD274" s="492"/>
      <c r="AE274" s="492"/>
      <c r="AF274" s="492"/>
      <c r="AG274" s="492"/>
      <c r="AH274" s="492"/>
      <c r="AI274" s="492"/>
      <c r="AJ274" s="492"/>
      <c r="AK274" s="492"/>
      <c r="AL274" s="492"/>
      <c r="AM274" s="492"/>
      <c r="AN274" s="492"/>
    </row>
    <row r="275" spans="1:40" ht="15.75" customHeight="1">
      <c r="A275" s="477" t="s">
        <v>395</v>
      </c>
      <c r="B275" s="492" t="s">
        <v>99</v>
      </c>
      <c r="C275" s="576" t="s">
        <v>57</v>
      </c>
      <c r="D275" s="561"/>
      <c r="E275" s="492"/>
      <c r="F275" s="509">
        <v>28.333333333333332</v>
      </c>
      <c r="G275" s="562"/>
      <c r="H275" s="492"/>
      <c r="I275" s="509"/>
      <c r="J275" s="508"/>
      <c r="K275" s="492"/>
      <c r="L275" s="511">
        <v>0</v>
      </c>
      <c r="M275" s="508"/>
      <c r="N275" s="534">
        <v>-28.333333333333332</v>
      </c>
      <c r="O275" s="508"/>
      <c r="P275" s="492"/>
      <c r="Q275" s="534">
        <v>0</v>
      </c>
      <c r="R275" s="508"/>
      <c r="S275" s="534">
        <v>0</v>
      </c>
      <c r="T275" s="492"/>
      <c r="U275" s="492"/>
      <c r="V275" s="492"/>
      <c r="W275" s="492"/>
      <c r="X275" s="492"/>
      <c r="Y275" s="492"/>
      <c r="Z275" s="492"/>
      <c r="AA275" s="492"/>
      <c r="AB275" s="492"/>
      <c r="AC275" s="492"/>
      <c r="AD275" s="492"/>
      <c r="AE275" s="492"/>
      <c r="AF275" s="492"/>
      <c r="AG275" s="492"/>
      <c r="AH275" s="492"/>
      <c r="AI275" s="492"/>
      <c r="AJ275" s="492"/>
      <c r="AK275" s="492"/>
      <c r="AL275" s="492"/>
      <c r="AM275" s="492"/>
      <c r="AN275" s="492"/>
    </row>
    <row r="276" spans="1:40" ht="15.75" customHeight="1">
      <c r="A276" s="477" t="s">
        <v>396</v>
      </c>
      <c r="B276" s="492" t="s">
        <v>99</v>
      </c>
      <c r="C276" s="576" t="s">
        <v>58</v>
      </c>
      <c r="D276" s="561"/>
      <c r="E276" s="492"/>
      <c r="F276" s="509">
        <v>146.23689705261995</v>
      </c>
      <c r="G276" s="562"/>
      <c r="H276" s="492"/>
      <c r="I276" s="509"/>
      <c r="J276" s="508"/>
      <c r="K276" s="492"/>
      <c r="L276" s="511">
        <v>65.52</v>
      </c>
      <c r="M276" s="508"/>
      <c r="N276" s="534">
        <v>-80.716897052619956</v>
      </c>
      <c r="O276" s="508"/>
      <c r="P276" s="492"/>
      <c r="Q276" s="534">
        <v>225.24</v>
      </c>
      <c r="R276" s="508"/>
      <c r="S276" s="534">
        <v>-159.72000000000003</v>
      </c>
      <c r="T276" s="492"/>
      <c r="U276" s="492"/>
      <c r="V276" s="492"/>
      <c r="W276" s="492"/>
      <c r="X276" s="492"/>
      <c r="Y276" s="492"/>
      <c r="Z276" s="492"/>
      <c r="AA276" s="492"/>
      <c r="AB276" s="492"/>
      <c r="AC276" s="492"/>
      <c r="AD276" s="492"/>
      <c r="AE276" s="492"/>
      <c r="AF276" s="492"/>
      <c r="AG276" s="492"/>
      <c r="AH276" s="492"/>
      <c r="AI276" s="492"/>
      <c r="AJ276" s="492"/>
      <c r="AK276" s="492"/>
      <c r="AL276" s="492"/>
      <c r="AM276" s="492"/>
      <c r="AN276" s="492"/>
    </row>
    <row r="277" spans="1:40" ht="15.75" customHeight="1">
      <c r="A277" s="477" t="s">
        <v>397</v>
      </c>
      <c r="B277" s="492" t="s">
        <v>99</v>
      </c>
      <c r="C277" s="576" t="s">
        <v>59</v>
      </c>
      <c r="D277" s="561"/>
      <c r="E277" s="492"/>
      <c r="F277" s="509">
        <v>32.368975325808613</v>
      </c>
      <c r="G277" s="562"/>
      <c r="H277" s="492"/>
      <c r="I277" s="509"/>
      <c r="J277" s="508"/>
      <c r="K277" s="492"/>
      <c r="L277" s="511">
        <v>26.36</v>
      </c>
      <c r="M277" s="508"/>
      <c r="N277" s="534">
        <v>-6.0089753258086134</v>
      </c>
      <c r="O277" s="508"/>
      <c r="P277" s="492"/>
      <c r="Q277" s="534">
        <v>44.29</v>
      </c>
      <c r="R277" s="508"/>
      <c r="S277" s="534">
        <v>-17.93</v>
      </c>
      <c r="T277" s="492"/>
      <c r="U277" s="492"/>
      <c r="V277" s="492"/>
      <c r="W277" s="492"/>
      <c r="X277" s="492"/>
      <c r="Y277" s="492"/>
      <c r="Z277" s="492"/>
      <c r="AA277" s="492"/>
      <c r="AB277" s="492"/>
      <c r="AC277" s="492"/>
      <c r="AD277" s="492"/>
      <c r="AE277" s="492"/>
      <c r="AF277" s="492"/>
      <c r="AG277" s="492"/>
      <c r="AH277" s="492"/>
      <c r="AI277" s="492"/>
      <c r="AJ277" s="492"/>
      <c r="AK277" s="492"/>
      <c r="AL277" s="492"/>
      <c r="AM277" s="492"/>
      <c r="AN277" s="492"/>
    </row>
    <row r="278" spans="1:40" ht="15.75" customHeight="1">
      <c r="A278" s="477" t="s">
        <v>398</v>
      </c>
      <c r="B278" s="492" t="s">
        <v>99</v>
      </c>
      <c r="C278" s="576" t="s">
        <v>60</v>
      </c>
      <c r="D278" s="561"/>
      <c r="E278" s="492"/>
      <c r="F278" s="509">
        <v>22.492098830591392</v>
      </c>
      <c r="G278" s="562"/>
      <c r="H278" s="492"/>
      <c r="I278" s="509"/>
      <c r="J278" s="508"/>
      <c r="K278" s="492"/>
      <c r="L278" s="511">
        <v>17.11</v>
      </c>
      <c r="M278" s="508"/>
      <c r="N278" s="534">
        <v>-5.3820988305913922</v>
      </c>
      <c r="O278" s="508"/>
      <c r="P278" s="492"/>
      <c r="Q278" s="534">
        <v>2.31</v>
      </c>
      <c r="R278" s="508"/>
      <c r="S278" s="534">
        <v>14.799999999999999</v>
      </c>
      <c r="T278" s="492"/>
      <c r="U278" s="492"/>
      <c r="V278" s="492"/>
      <c r="W278" s="492"/>
      <c r="X278" s="492"/>
      <c r="Y278" s="492"/>
      <c r="Z278" s="492"/>
      <c r="AA278" s="492"/>
      <c r="AB278" s="492"/>
      <c r="AC278" s="492"/>
      <c r="AD278" s="492"/>
      <c r="AE278" s="492"/>
      <c r="AF278" s="492"/>
      <c r="AG278" s="492"/>
      <c r="AH278" s="492"/>
      <c r="AI278" s="492"/>
      <c r="AJ278" s="492"/>
      <c r="AK278" s="492"/>
      <c r="AL278" s="492"/>
      <c r="AM278" s="492"/>
      <c r="AN278" s="492"/>
    </row>
    <row r="279" spans="1:40" ht="15.75" customHeight="1">
      <c r="A279" s="477" t="s">
        <v>399</v>
      </c>
      <c r="B279" s="492" t="s">
        <v>99</v>
      </c>
      <c r="C279" s="576" t="s">
        <v>61</v>
      </c>
      <c r="D279" s="561"/>
      <c r="E279" s="492"/>
      <c r="F279" s="509">
        <v>102.90506750548639</v>
      </c>
      <c r="G279" s="562"/>
      <c r="H279" s="492"/>
      <c r="I279" s="509"/>
      <c r="J279" s="508"/>
      <c r="K279" s="492"/>
      <c r="L279" s="511">
        <v>13.72</v>
      </c>
      <c r="M279" s="508"/>
      <c r="N279" s="534">
        <v>-89.185067505486387</v>
      </c>
      <c r="O279" s="508"/>
      <c r="P279" s="492"/>
      <c r="Q279" s="534">
        <v>11.49</v>
      </c>
      <c r="R279" s="508"/>
      <c r="S279" s="534">
        <v>2.2300000000000004</v>
      </c>
      <c r="T279" s="492"/>
      <c r="U279" s="492"/>
      <c r="V279" s="492"/>
      <c r="W279" s="492"/>
      <c r="X279" s="492"/>
      <c r="Y279" s="492"/>
      <c r="Z279" s="492"/>
      <c r="AA279" s="492"/>
      <c r="AB279" s="492"/>
      <c r="AC279" s="492"/>
      <c r="AD279" s="492"/>
      <c r="AE279" s="492"/>
      <c r="AF279" s="492"/>
      <c r="AG279" s="492"/>
      <c r="AH279" s="492"/>
      <c r="AI279" s="492"/>
      <c r="AJ279" s="492"/>
      <c r="AK279" s="492"/>
      <c r="AL279" s="492"/>
      <c r="AM279" s="492"/>
      <c r="AN279" s="492"/>
    </row>
    <row r="280" spans="1:40" ht="15.75" customHeight="1">
      <c r="A280" s="477" t="s">
        <v>400</v>
      </c>
      <c r="B280" s="492" t="s">
        <v>99</v>
      </c>
      <c r="C280" s="576" t="s">
        <v>62</v>
      </c>
      <c r="D280" s="561"/>
      <c r="E280" s="492"/>
      <c r="F280" s="509">
        <v>175.49870178698256</v>
      </c>
      <c r="G280" s="562"/>
      <c r="H280" s="492"/>
      <c r="I280" s="509"/>
      <c r="J280" s="508"/>
      <c r="K280" s="492"/>
      <c r="L280" s="511">
        <v>90.63</v>
      </c>
      <c r="M280" s="508"/>
      <c r="N280" s="534">
        <v>-84.86870178698257</v>
      </c>
      <c r="O280" s="508"/>
      <c r="P280" s="492"/>
      <c r="Q280" s="534">
        <v>22.33</v>
      </c>
      <c r="R280" s="508"/>
      <c r="S280" s="534">
        <v>68.3</v>
      </c>
      <c r="T280" s="492"/>
      <c r="X280" s="492"/>
      <c r="Y280" s="492"/>
      <c r="Z280" s="492"/>
      <c r="AA280" s="492"/>
      <c r="AB280" s="492"/>
      <c r="AC280" s="492"/>
      <c r="AD280" s="492"/>
      <c r="AE280" s="492"/>
      <c r="AF280" s="492"/>
      <c r="AG280" s="492"/>
      <c r="AH280" s="492"/>
      <c r="AI280" s="492"/>
      <c r="AJ280" s="492"/>
      <c r="AK280" s="492"/>
      <c r="AL280" s="492"/>
      <c r="AM280" s="492"/>
      <c r="AN280" s="492"/>
    </row>
    <row r="281" spans="1:40" ht="15.75" customHeight="1">
      <c r="A281" s="477" t="s">
        <v>401</v>
      </c>
      <c r="B281" s="492" t="s">
        <v>99</v>
      </c>
      <c r="C281" s="576" t="s">
        <v>63</v>
      </c>
      <c r="D281" s="561"/>
      <c r="E281" s="492"/>
      <c r="F281" s="509">
        <v>223.53386323203486</v>
      </c>
      <c r="G281" s="562"/>
      <c r="H281" s="492"/>
      <c r="I281" s="509"/>
      <c r="J281" s="508"/>
      <c r="K281" s="492"/>
      <c r="L281" s="511">
        <v>223.14</v>
      </c>
      <c r="M281" s="508"/>
      <c r="N281" s="534">
        <v>-0.3938632320348745</v>
      </c>
      <c r="O281" s="508"/>
      <c r="P281" s="492"/>
      <c r="Q281" s="534">
        <v>198.68</v>
      </c>
      <c r="R281" s="508"/>
      <c r="S281" s="534">
        <v>24.45999999999998</v>
      </c>
      <c r="T281" s="492"/>
      <c r="X281" s="492"/>
      <c r="Y281" s="492"/>
      <c r="Z281" s="492"/>
      <c r="AA281" s="492"/>
      <c r="AB281" s="492"/>
      <c r="AC281" s="492"/>
      <c r="AD281" s="492"/>
      <c r="AE281" s="492"/>
      <c r="AF281" s="492"/>
      <c r="AG281" s="492"/>
      <c r="AH281" s="492"/>
      <c r="AI281" s="492"/>
      <c r="AJ281" s="492"/>
      <c r="AK281" s="492"/>
      <c r="AL281" s="492"/>
      <c r="AM281" s="492"/>
      <c r="AN281" s="492"/>
    </row>
    <row r="282" spans="1:40" ht="15.75" hidden="1" customHeight="1">
      <c r="A282" s="477" t="s">
        <v>381</v>
      </c>
      <c r="B282" s="492" t="s">
        <v>99</v>
      </c>
      <c r="C282" s="576" t="s">
        <v>20</v>
      </c>
      <c r="D282" s="561"/>
      <c r="E282" s="492"/>
      <c r="F282" s="509">
        <v>0</v>
      </c>
      <c r="G282" s="562"/>
      <c r="H282" s="492"/>
      <c r="I282" s="509"/>
      <c r="J282" s="508"/>
      <c r="K282" s="492"/>
      <c r="L282" s="511">
        <v>0</v>
      </c>
      <c r="M282" s="508"/>
      <c r="N282" s="534">
        <v>0</v>
      </c>
      <c r="O282" s="508"/>
      <c r="P282" s="492"/>
      <c r="Q282" s="511">
        <v>0</v>
      </c>
      <c r="R282" s="508"/>
      <c r="S282" s="534">
        <v>0</v>
      </c>
      <c r="T282" s="492"/>
      <c r="X282" s="492"/>
      <c r="Y282" s="492"/>
      <c r="Z282" s="492"/>
      <c r="AA282" s="492"/>
      <c r="AB282" s="492"/>
      <c r="AC282" s="492"/>
      <c r="AD282" s="492"/>
      <c r="AE282" s="492"/>
      <c r="AF282" s="492"/>
      <c r="AG282" s="492"/>
      <c r="AH282" s="492"/>
      <c r="AI282" s="492"/>
      <c r="AJ282" s="492"/>
      <c r="AK282" s="492"/>
      <c r="AL282" s="492"/>
      <c r="AM282" s="492"/>
      <c r="AN282" s="492"/>
    </row>
    <row r="283" spans="1:40" ht="15.75" hidden="1" customHeight="1">
      <c r="A283" s="477" t="s">
        <v>381</v>
      </c>
      <c r="B283" s="492" t="s">
        <v>99</v>
      </c>
      <c r="C283" s="576" t="s">
        <v>20</v>
      </c>
      <c r="D283" s="561"/>
      <c r="E283" s="492"/>
      <c r="F283" s="509">
        <v>0</v>
      </c>
      <c r="G283" s="562"/>
      <c r="H283" s="492"/>
      <c r="I283" s="509"/>
      <c r="J283" s="508"/>
      <c r="K283" s="492"/>
      <c r="L283" s="511">
        <v>0</v>
      </c>
      <c r="M283" s="508"/>
      <c r="N283" s="534">
        <v>0</v>
      </c>
      <c r="O283" s="508"/>
      <c r="P283" s="492"/>
      <c r="Q283" s="511">
        <v>0</v>
      </c>
      <c r="R283" s="508"/>
      <c r="S283" s="534">
        <v>0</v>
      </c>
      <c r="T283" s="492"/>
      <c r="X283" s="492"/>
      <c r="Y283" s="492"/>
      <c r="Z283" s="492"/>
      <c r="AA283" s="492"/>
      <c r="AB283" s="492"/>
      <c r="AC283" s="492"/>
      <c r="AD283" s="492"/>
      <c r="AE283" s="492"/>
      <c r="AF283" s="492"/>
      <c r="AG283" s="492"/>
      <c r="AH283" s="492"/>
      <c r="AI283" s="492"/>
      <c r="AJ283" s="492"/>
      <c r="AK283" s="492"/>
      <c r="AL283" s="492"/>
      <c r="AM283" s="492"/>
      <c r="AN283" s="492"/>
    </row>
    <row r="284" spans="1:40" ht="15.75" hidden="1" customHeight="1">
      <c r="A284" s="477" t="s">
        <v>381</v>
      </c>
      <c r="B284" s="492" t="s">
        <v>99</v>
      </c>
      <c r="C284" s="576" t="s">
        <v>20</v>
      </c>
      <c r="D284" s="561"/>
      <c r="E284" s="492"/>
      <c r="F284" s="509">
        <v>0</v>
      </c>
      <c r="G284" s="562"/>
      <c r="H284" s="492"/>
      <c r="I284" s="509"/>
      <c r="J284" s="508"/>
      <c r="K284" s="492"/>
      <c r="L284" s="511">
        <v>0</v>
      </c>
      <c r="M284" s="508"/>
      <c r="N284" s="534">
        <v>0</v>
      </c>
      <c r="O284" s="508"/>
      <c r="P284" s="492"/>
      <c r="Q284" s="511">
        <v>0</v>
      </c>
      <c r="R284" s="508"/>
      <c r="S284" s="534">
        <v>0</v>
      </c>
      <c r="T284" s="492"/>
      <c r="X284" s="492"/>
      <c r="Y284" s="492"/>
      <c r="Z284" s="492"/>
      <c r="AA284" s="492"/>
      <c r="AB284" s="492"/>
      <c r="AC284" s="492"/>
      <c r="AD284" s="492"/>
      <c r="AE284" s="492"/>
      <c r="AF284" s="492"/>
      <c r="AG284" s="492"/>
      <c r="AH284" s="492"/>
      <c r="AI284" s="492"/>
      <c r="AJ284" s="492"/>
      <c r="AK284" s="492"/>
      <c r="AL284" s="492"/>
      <c r="AM284" s="492"/>
      <c r="AN284" s="492"/>
    </row>
    <row r="285" spans="1:40" ht="15.75" customHeight="1">
      <c r="B285" s="492"/>
      <c r="C285" s="568" t="s">
        <v>64</v>
      </c>
      <c r="D285" s="569" t="s">
        <v>39</v>
      </c>
      <c r="E285" s="570" t="e">
        <v>#DIV/0!</v>
      </c>
      <c r="F285" s="571">
        <v>3863.4472539829353</v>
      </c>
      <c r="G285" s="572"/>
      <c r="H285" s="570"/>
      <c r="I285" s="571"/>
      <c r="J285" s="572" t="s">
        <v>39</v>
      </c>
      <c r="K285" s="570">
        <v>0.21400722021660648</v>
      </c>
      <c r="L285" s="571">
        <v>2786.16</v>
      </c>
      <c r="M285" s="575"/>
      <c r="N285" s="571">
        <v>-1077.2872539829352</v>
      </c>
      <c r="O285" s="572" t="s">
        <v>39</v>
      </c>
      <c r="P285" s="570">
        <v>0</v>
      </c>
      <c r="Q285" s="571">
        <v>4391.22</v>
      </c>
      <c r="R285" s="575"/>
      <c r="S285" s="571">
        <v>-1605.0600000000004</v>
      </c>
      <c r="T285" s="548"/>
      <c r="X285" s="492"/>
      <c r="Y285" s="492"/>
      <c r="Z285" s="492"/>
      <c r="AA285" s="492"/>
      <c r="AB285" s="492"/>
      <c r="AC285" s="492"/>
      <c r="AD285" s="492"/>
      <c r="AE285" s="492"/>
      <c r="AF285" s="492"/>
      <c r="AG285" s="492"/>
      <c r="AH285" s="492"/>
      <c r="AI285" s="492"/>
      <c r="AJ285" s="492"/>
      <c r="AK285" s="492"/>
      <c r="AL285" s="492"/>
      <c r="AM285" s="492"/>
      <c r="AN285" s="492"/>
    </row>
    <row r="286" spans="1:40" ht="15.75" customHeight="1">
      <c r="B286" s="492"/>
      <c r="C286" s="501"/>
      <c r="D286" s="563"/>
      <c r="E286" s="583"/>
      <c r="F286" s="534"/>
      <c r="G286" s="564"/>
      <c r="H286" s="583"/>
      <c r="I286" s="534"/>
      <c r="J286" s="501"/>
      <c r="K286" s="583"/>
      <c r="L286" s="559"/>
      <c r="M286" s="501"/>
      <c r="N286" s="559"/>
      <c r="O286" s="501"/>
      <c r="P286" s="583"/>
      <c r="Q286" s="559"/>
      <c r="R286" s="501"/>
      <c r="S286" s="559"/>
      <c r="T286" s="548"/>
      <c r="U286" s="492"/>
      <c r="V286" s="492"/>
      <c r="W286" s="492"/>
      <c r="X286" s="492"/>
      <c r="Y286" s="492"/>
      <c r="Z286" s="492"/>
      <c r="AA286" s="492"/>
      <c r="AB286" s="492"/>
      <c r="AC286" s="492"/>
      <c r="AD286" s="492"/>
      <c r="AE286" s="492"/>
      <c r="AF286" s="492"/>
      <c r="AG286" s="492"/>
      <c r="AH286" s="492"/>
      <c r="AI286" s="492"/>
      <c r="AJ286" s="492"/>
      <c r="AK286" s="492"/>
      <c r="AL286" s="492"/>
      <c r="AM286" s="492"/>
      <c r="AN286" s="492"/>
    </row>
    <row r="287" spans="1:40" ht="15.75" customHeight="1">
      <c r="B287" s="492"/>
      <c r="C287" s="568" t="s">
        <v>65</v>
      </c>
      <c r="D287" s="569" t="s">
        <v>39</v>
      </c>
      <c r="E287" s="570" t="e">
        <v>#DIV/0!</v>
      </c>
      <c r="F287" s="571">
        <v>12551.320824752163</v>
      </c>
      <c r="G287" s="572"/>
      <c r="H287" s="570"/>
      <c r="I287" s="571"/>
      <c r="J287" s="572" t="s">
        <v>39</v>
      </c>
      <c r="K287" s="570">
        <v>0.8380075274598664</v>
      </c>
      <c r="L287" s="571">
        <v>10910.02</v>
      </c>
      <c r="M287" s="575"/>
      <c r="N287" s="585">
        <v>-1641.300824752163</v>
      </c>
      <c r="O287" s="572" t="s">
        <v>39</v>
      </c>
      <c r="P287" s="570">
        <v>0</v>
      </c>
      <c r="Q287" s="571">
        <v>7077.38</v>
      </c>
      <c r="R287" s="575"/>
      <c r="S287" s="585">
        <v>3832.6400000000003</v>
      </c>
      <c r="T287" s="548"/>
      <c r="U287" s="492"/>
      <c r="V287" s="492"/>
      <c r="W287" s="492"/>
      <c r="X287" s="492"/>
      <c r="Y287" s="492"/>
      <c r="Z287" s="492"/>
      <c r="AA287" s="492"/>
      <c r="AB287" s="492"/>
      <c r="AC287" s="492"/>
      <c r="AD287" s="492"/>
      <c r="AE287" s="492"/>
      <c r="AF287" s="492"/>
      <c r="AG287" s="492"/>
      <c r="AH287" s="492"/>
      <c r="AI287" s="492"/>
      <c r="AJ287" s="492"/>
      <c r="AK287" s="492"/>
      <c r="AL287" s="492"/>
      <c r="AM287" s="492"/>
      <c r="AN287" s="492"/>
    </row>
    <row r="288" spans="1:40" ht="15.75" customHeight="1">
      <c r="B288" s="492"/>
      <c r="C288" s="508"/>
      <c r="D288" s="561"/>
      <c r="E288" s="492"/>
      <c r="F288" s="534"/>
      <c r="G288" s="562"/>
      <c r="H288" s="492"/>
      <c r="I288" s="534"/>
      <c r="J288" s="508"/>
      <c r="K288" s="492"/>
      <c r="L288" s="534"/>
      <c r="M288" s="508"/>
      <c r="N288" s="534">
        <v>0</v>
      </c>
      <c r="O288" s="508"/>
      <c r="P288" s="492"/>
      <c r="Q288" s="534"/>
      <c r="R288" s="508"/>
      <c r="S288" s="534"/>
      <c r="T288" s="492"/>
      <c r="U288" s="492"/>
      <c r="V288" s="492"/>
      <c r="W288" s="492"/>
      <c r="X288" s="492"/>
      <c r="Y288" s="492"/>
      <c r="Z288" s="492"/>
      <c r="AA288" s="492"/>
      <c r="AB288" s="492"/>
      <c r="AC288" s="492"/>
      <c r="AD288" s="492"/>
      <c r="AE288" s="492"/>
      <c r="AF288" s="492"/>
      <c r="AG288" s="492"/>
      <c r="AH288" s="492"/>
      <c r="AI288" s="492"/>
      <c r="AJ288" s="492"/>
      <c r="AK288" s="492"/>
      <c r="AL288" s="492"/>
      <c r="AM288" s="492"/>
      <c r="AN288" s="492"/>
    </row>
    <row r="289" spans="1:40" ht="29.25" customHeight="1" thickBot="1">
      <c r="B289" s="492"/>
      <c r="C289" s="600" t="s">
        <v>72</v>
      </c>
      <c r="D289" s="630"/>
      <c r="E289" s="601"/>
      <c r="F289" s="603">
        <v>-671.32082475216339</v>
      </c>
      <c r="G289" s="631"/>
      <c r="H289" s="601"/>
      <c r="I289" s="603"/>
      <c r="J289" s="600"/>
      <c r="K289" s="602"/>
      <c r="L289" s="603">
        <v>2108.9799999999996</v>
      </c>
      <c r="M289" s="600"/>
      <c r="N289" s="603">
        <v>2780.300824752163</v>
      </c>
      <c r="O289" s="600"/>
      <c r="P289" s="605">
        <v>-1.10573724889372</v>
      </c>
      <c r="Q289" s="603">
        <v>-6459.33</v>
      </c>
      <c r="R289" s="600"/>
      <c r="S289" s="603">
        <v>8568.31</v>
      </c>
      <c r="T289" s="548"/>
      <c r="U289" s="492"/>
      <c r="V289" s="492"/>
      <c r="W289" s="492"/>
      <c r="X289" s="492"/>
      <c r="Y289" s="492"/>
      <c r="Z289" s="492"/>
      <c r="AA289" s="492"/>
      <c r="AB289" s="492"/>
      <c r="AC289" s="492"/>
      <c r="AD289" s="492"/>
      <c r="AE289" s="492"/>
      <c r="AF289" s="492"/>
      <c r="AG289" s="492"/>
      <c r="AH289" s="492"/>
      <c r="AI289" s="492"/>
      <c r="AJ289" s="492"/>
      <c r="AK289" s="492"/>
      <c r="AL289" s="492"/>
      <c r="AM289" s="492"/>
      <c r="AN289" s="492"/>
    </row>
    <row r="290" spans="1:40" ht="15.75" customHeight="1" thickTop="1">
      <c r="B290" s="492"/>
      <c r="C290" s="492"/>
      <c r="D290" s="492"/>
      <c r="E290" s="492"/>
      <c r="F290" s="492"/>
      <c r="G290" s="492"/>
      <c r="H290" s="492"/>
      <c r="I290" s="492"/>
      <c r="J290" s="492"/>
      <c r="K290" s="492"/>
      <c r="L290" s="550"/>
      <c r="M290" s="492"/>
      <c r="N290" s="492"/>
      <c r="O290" s="492"/>
      <c r="P290" s="492"/>
      <c r="Q290" s="492"/>
      <c r="R290" s="492"/>
      <c r="S290" s="492"/>
      <c r="T290" s="492"/>
      <c r="U290" s="492"/>
      <c r="V290" s="492"/>
      <c r="W290" s="492"/>
      <c r="X290" s="492"/>
      <c r="Y290" s="492"/>
      <c r="Z290" s="492"/>
      <c r="AA290" s="492"/>
      <c r="AB290" s="492"/>
      <c r="AC290" s="492"/>
      <c r="AD290" s="492"/>
      <c r="AE290" s="492"/>
      <c r="AF290" s="492"/>
      <c r="AG290" s="492"/>
      <c r="AH290" s="492"/>
      <c r="AI290" s="492"/>
      <c r="AJ290" s="492"/>
      <c r="AK290" s="492"/>
      <c r="AL290" s="492"/>
      <c r="AM290" s="492"/>
      <c r="AN290" s="492"/>
    </row>
    <row r="291" spans="1:40" ht="36" customHeight="1">
      <c r="B291" s="492"/>
      <c r="C291" s="610" t="s">
        <v>478</v>
      </c>
      <c r="D291" s="480"/>
      <c r="E291" s="480"/>
      <c r="F291" s="480"/>
      <c r="G291" s="480"/>
      <c r="H291" s="478"/>
      <c r="I291" s="478"/>
      <c r="J291" s="478"/>
      <c r="K291" s="482" t="s">
        <v>103</v>
      </c>
      <c r="L291" s="480"/>
      <c r="M291" s="480"/>
      <c r="N291" s="478"/>
      <c r="O291" s="478"/>
      <c r="P291" s="480"/>
      <c r="Q291" s="478"/>
      <c r="R291" s="480"/>
      <c r="S291" s="611" t="s">
        <v>481</v>
      </c>
      <c r="T291" s="492"/>
      <c r="U291" s="492"/>
      <c r="V291" s="492"/>
      <c r="W291" s="492"/>
      <c r="X291" s="492"/>
      <c r="Y291" s="492"/>
      <c r="Z291" s="492"/>
      <c r="AA291" s="492"/>
      <c r="AB291" s="492"/>
      <c r="AC291" s="492"/>
      <c r="AD291" s="492"/>
      <c r="AE291" s="492"/>
      <c r="AF291" s="492"/>
      <c r="AG291" s="492"/>
      <c r="AH291" s="492"/>
      <c r="AI291" s="492"/>
      <c r="AJ291" s="492"/>
      <c r="AK291" s="492"/>
      <c r="AL291" s="492"/>
      <c r="AM291" s="492"/>
      <c r="AN291" s="492"/>
    </row>
    <row r="292" spans="1:40" ht="15.75" customHeight="1" thickBot="1">
      <c r="B292" s="492"/>
      <c r="C292" s="487"/>
      <c r="D292" s="489"/>
      <c r="E292" s="489"/>
      <c r="F292" s="489"/>
      <c r="G292" s="489"/>
      <c r="H292" s="489"/>
      <c r="I292" s="489"/>
      <c r="J292" s="489"/>
      <c r="K292" s="489"/>
      <c r="L292" s="489"/>
      <c r="M292" s="489"/>
      <c r="N292" s="489"/>
      <c r="O292" s="489"/>
      <c r="P292" s="489"/>
      <c r="Q292" s="489"/>
      <c r="R292" s="489"/>
      <c r="S292" s="489"/>
      <c r="T292" s="492"/>
      <c r="U292" s="492"/>
      <c r="V292" s="492"/>
      <c r="W292" s="492"/>
      <c r="X292" s="492"/>
      <c r="Y292" s="492"/>
      <c r="Z292" s="492"/>
      <c r="AA292" s="492"/>
      <c r="AB292" s="492"/>
      <c r="AC292" s="492"/>
      <c r="AD292" s="492"/>
      <c r="AE292" s="492"/>
      <c r="AF292" s="492"/>
      <c r="AG292" s="492"/>
      <c r="AH292" s="492"/>
      <c r="AI292" s="492"/>
      <c r="AJ292" s="492"/>
      <c r="AK292" s="492"/>
      <c r="AL292" s="492"/>
      <c r="AM292" s="492"/>
      <c r="AN292" s="492"/>
    </row>
    <row r="293" spans="1:40" ht="15.75" customHeight="1" thickTop="1">
      <c r="B293" s="492"/>
      <c r="C293" s="493"/>
      <c r="D293" s="879" t="s">
        <v>5</v>
      </c>
      <c r="E293" s="880"/>
      <c r="F293" s="881"/>
      <c r="G293" s="882"/>
      <c r="H293" s="880"/>
      <c r="I293" s="881"/>
      <c r="J293" s="882" t="s">
        <v>7</v>
      </c>
      <c r="K293" s="880"/>
      <c r="L293" s="881"/>
      <c r="M293" s="882" t="s">
        <v>220</v>
      </c>
      <c r="N293" s="881"/>
      <c r="O293" s="879" t="s">
        <v>8</v>
      </c>
      <c r="P293" s="880"/>
      <c r="Q293" s="881"/>
      <c r="R293" s="882" t="s">
        <v>221</v>
      </c>
      <c r="S293" s="881"/>
      <c r="T293" s="492"/>
      <c r="U293" s="492"/>
      <c r="V293" s="492"/>
      <c r="W293" s="492"/>
      <c r="X293" s="492"/>
      <c r="Y293" s="492"/>
      <c r="Z293" s="492"/>
      <c r="AA293" s="492"/>
      <c r="AB293" s="492"/>
      <c r="AC293" s="492"/>
      <c r="AD293" s="492"/>
      <c r="AE293" s="492"/>
      <c r="AF293" s="492"/>
      <c r="AG293" s="492"/>
      <c r="AH293" s="492"/>
      <c r="AI293" s="492"/>
      <c r="AJ293" s="492"/>
      <c r="AK293" s="492"/>
      <c r="AL293" s="492"/>
      <c r="AM293" s="492"/>
      <c r="AN293" s="492"/>
    </row>
    <row r="294" spans="1:40" ht="15.75" customHeight="1">
      <c r="A294" s="477" t="s">
        <v>103</v>
      </c>
      <c r="B294" s="492" t="s">
        <v>103</v>
      </c>
      <c r="C294" s="508"/>
      <c r="D294" s="552" t="s">
        <v>84</v>
      </c>
      <c r="E294" s="552" t="s">
        <v>104</v>
      </c>
      <c r="F294" s="633" t="s">
        <v>12</v>
      </c>
      <c r="G294" s="634"/>
      <c r="H294" s="552"/>
      <c r="I294" s="633"/>
      <c r="J294" s="634" t="s">
        <v>84</v>
      </c>
      <c r="K294" s="552" t="s">
        <v>104</v>
      </c>
      <c r="L294" s="633" t="s">
        <v>12</v>
      </c>
      <c r="M294" s="634" t="s">
        <v>40</v>
      </c>
      <c r="N294" s="633" t="s">
        <v>223</v>
      </c>
      <c r="O294" s="552" t="s">
        <v>84</v>
      </c>
      <c r="P294" s="552" t="s">
        <v>104</v>
      </c>
      <c r="Q294" s="633" t="s">
        <v>12</v>
      </c>
      <c r="R294" s="634" t="s">
        <v>85</v>
      </c>
      <c r="S294" s="633" t="s">
        <v>12</v>
      </c>
      <c r="T294" s="492"/>
      <c r="U294" s="492"/>
      <c r="V294" s="492"/>
      <c r="W294" s="492"/>
      <c r="X294" s="492"/>
      <c r="Y294" s="492"/>
      <c r="Z294" s="492"/>
      <c r="AA294" s="492"/>
      <c r="AB294" s="492"/>
      <c r="AC294" s="492"/>
      <c r="AD294" s="492"/>
      <c r="AE294" s="492"/>
      <c r="AF294" s="492"/>
      <c r="AG294" s="492"/>
      <c r="AH294" s="492"/>
      <c r="AI294" s="492"/>
      <c r="AJ294" s="492"/>
      <c r="AK294" s="492"/>
      <c r="AL294" s="492"/>
      <c r="AM294" s="492"/>
      <c r="AN294" s="492"/>
    </row>
    <row r="295" spans="1:40" ht="15.75" customHeight="1">
      <c r="A295" s="477" t="s">
        <v>402</v>
      </c>
      <c r="B295" s="492" t="s">
        <v>103</v>
      </c>
      <c r="C295" s="508" t="s">
        <v>105</v>
      </c>
      <c r="D295" s="550">
        <v>81099.13784000001</v>
      </c>
      <c r="E295" s="623">
        <v>0.35699999999999998</v>
      </c>
      <c r="F295" s="534">
        <v>28952.392208880003</v>
      </c>
      <c r="G295" s="550"/>
      <c r="H295" s="623"/>
      <c r="I295" s="534"/>
      <c r="J295" s="550">
        <v>86276.05</v>
      </c>
      <c r="K295" s="623">
        <v>0.38774375971083513</v>
      </c>
      <c r="L295" s="534">
        <v>33453</v>
      </c>
      <c r="M295" s="554">
        <v>6.3834367391346264E-2</v>
      </c>
      <c r="N295" s="534">
        <v>4500.6077911199973</v>
      </c>
      <c r="O295" s="509">
        <v>101413.079999999</v>
      </c>
      <c r="P295" s="623">
        <v>0.36329633218910484</v>
      </c>
      <c r="Q295" s="534">
        <v>36842.999999999898</v>
      </c>
      <c r="R295" s="554">
        <v>-0.14926112095204233</v>
      </c>
      <c r="S295" s="534">
        <v>-3389.9999999998981</v>
      </c>
      <c r="T295" s="492"/>
      <c r="U295" s="492"/>
      <c r="V295" s="492"/>
      <c r="W295" s="492"/>
      <c r="X295" s="492"/>
      <c r="Y295" s="492"/>
      <c r="Z295" s="492"/>
      <c r="AA295" s="492"/>
      <c r="AB295" s="492"/>
      <c r="AC295" s="492"/>
      <c r="AD295" s="492"/>
      <c r="AE295" s="492"/>
      <c r="AF295" s="492"/>
      <c r="AG295" s="492"/>
      <c r="AH295" s="492"/>
      <c r="AI295" s="492"/>
      <c r="AJ295" s="492"/>
      <c r="AK295" s="492"/>
      <c r="AL295" s="492"/>
      <c r="AM295" s="492"/>
      <c r="AN295" s="492"/>
    </row>
    <row r="296" spans="1:40" ht="15.75" customHeight="1">
      <c r="A296" s="477" t="s">
        <v>403</v>
      </c>
      <c r="B296" s="492" t="s">
        <v>103</v>
      </c>
      <c r="C296" s="508" t="s">
        <v>106</v>
      </c>
      <c r="D296" s="550">
        <v>32400</v>
      </c>
      <c r="E296" s="623">
        <v>0.248</v>
      </c>
      <c r="F296" s="534">
        <v>8035.2</v>
      </c>
      <c r="G296" s="550"/>
      <c r="H296" s="623"/>
      <c r="I296" s="534"/>
      <c r="J296" s="550">
        <v>61917.71</v>
      </c>
      <c r="K296" s="623">
        <v>0.23422248658744002</v>
      </c>
      <c r="L296" s="534">
        <v>14502.52</v>
      </c>
      <c r="M296" s="554">
        <v>0.9110404320987654</v>
      </c>
      <c r="N296" s="534">
        <v>6467.3200000000006</v>
      </c>
      <c r="O296" s="509">
        <v>5342.29</v>
      </c>
      <c r="P296" s="623">
        <v>0.23076620700111561</v>
      </c>
      <c r="Q296" s="534">
        <v>1232.8199999999899</v>
      </c>
      <c r="R296" s="554">
        <v>10.5901064899135</v>
      </c>
      <c r="S296" s="534">
        <v>13269.70000000001</v>
      </c>
      <c r="T296" s="492"/>
      <c r="U296" s="492"/>
      <c r="V296" s="492"/>
      <c r="W296" s="492"/>
      <c r="X296" s="492"/>
      <c r="Y296" s="492"/>
      <c r="Z296" s="492"/>
      <c r="AA296" s="492"/>
      <c r="AB296" s="492"/>
      <c r="AC296" s="492"/>
      <c r="AD296" s="492"/>
      <c r="AE296" s="492"/>
      <c r="AF296" s="492"/>
      <c r="AG296" s="492"/>
      <c r="AH296" s="492"/>
      <c r="AI296" s="492"/>
      <c r="AJ296" s="492"/>
      <c r="AK296" s="492"/>
      <c r="AL296" s="492"/>
      <c r="AM296" s="492"/>
      <c r="AN296" s="492"/>
    </row>
    <row r="297" spans="1:40" ht="15.75" customHeight="1">
      <c r="A297" s="477" t="s">
        <v>404</v>
      </c>
      <c r="B297" s="492" t="s">
        <v>103</v>
      </c>
      <c r="C297" s="508" t="s">
        <v>107</v>
      </c>
      <c r="D297" s="550">
        <v>61405.574999999997</v>
      </c>
      <c r="E297" s="623">
        <v>0.23699999999999996</v>
      </c>
      <c r="F297" s="534">
        <v>14553.121274999998</v>
      </c>
      <c r="G297" s="550"/>
      <c r="H297" s="623"/>
      <c r="I297" s="534"/>
      <c r="J297" s="550">
        <v>97642.15</v>
      </c>
      <c r="K297" s="623">
        <v>0.23087375687651282</v>
      </c>
      <c r="L297" s="534">
        <v>22543.009999999995</v>
      </c>
      <c r="M297" s="554">
        <v>0.59011864965029637</v>
      </c>
      <c r="N297" s="534">
        <v>7989.8887249999971</v>
      </c>
      <c r="O297" s="509">
        <v>58003.13</v>
      </c>
      <c r="P297" s="623">
        <v>0.2284143976368172</v>
      </c>
      <c r="Q297" s="534">
        <v>13248.75</v>
      </c>
      <c r="R297" s="554">
        <v>0.68339449957269549</v>
      </c>
      <c r="S297" s="534">
        <v>9294.2599999999948</v>
      </c>
      <c r="T297" s="492"/>
      <c r="U297" s="492"/>
      <c r="V297" s="492"/>
      <c r="W297" s="492"/>
      <c r="X297" s="492"/>
      <c r="Y297" s="492"/>
      <c r="Z297" s="492"/>
      <c r="AA297" s="492"/>
      <c r="AB297" s="492"/>
      <c r="AC297" s="492"/>
      <c r="AD297" s="492"/>
      <c r="AE297" s="492"/>
      <c r="AF297" s="492"/>
      <c r="AG297" s="492"/>
      <c r="AH297" s="492"/>
      <c r="AI297" s="492"/>
      <c r="AJ297" s="492"/>
      <c r="AK297" s="492"/>
      <c r="AL297" s="492"/>
      <c r="AM297" s="492"/>
      <c r="AN297" s="492"/>
    </row>
    <row r="298" spans="1:40" ht="15.75" customHeight="1">
      <c r="A298" s="477" t="s">
        <v>405</v>
      </c>
      <c r="B298" s="492" t="s">
        <v>103</v>
      </c>
      <c r="C298" s="508" t="s">
        <v>108</v>
      </c>
      <c r="D298" s="550">
        <v>79871.252999999997</v>
      </c>
      <c r="E298" s="623">
        <v>0.29399999999999998</v>
      </c>
      <c r="F298" s="534">
        <v>23482.148381999999</v>
      </c>
      <c r="G298" s="550"/>
      <c r="H298" s="623"/>
      <c r="I298" s="534"/>
      <c r="J298" s="550">
        <v>82005.509999999995</v>
      </c>
      <c r="K298" s="623">
        <v>0.28171643588339368</v>
      </c>
      <c r="L298" s="534">
        <v>23102.299999999996</v>
      </c>
      <c r="M298" s="554">
        <v>2.6721215954881763E-2</v>
      </c>
      <c r="N298" s="534">
        <v>-379.84838200000377</v>
      </c>
      <c r="O298" s="509">
        <v>59684.08</v>
      </c>
      <c r="P298" s="623">
        <v>0.26119310208015267</v>
      </c>
      <c r="Q298" s="534">
        <v>15589.07</v>
      </c>
      <c r="R298" s="554">
        <v>0.37399303130751105</v>
      </c>
      <c r="S298" s="534">
        <v>7513.2299999999959</v>
      </c>
      <c r="T298" s="492"/>
      <c r="U298" s="492"/>
      <c r="V298" s="492"/>
      <c r="W298" s="492"/>
      <c r="X298" s="492"/>
      <c r="Y298" s="492"/>
      <c r="Z298" s="492"/>
      <c r="AA298" s="492"/>
      <c r="AB298" s="492"/>
      <c r="AC298" s="492"/>
      <c r="AD298" s="492"/>
      <c r="AE298" s="492"/>
      <c r="AF298" s="492"/>
      <c r="AG298" s="492"/>
      <c r="AH298" s="492"/>
      <c r="AI298" s="492"/>
      <c r="AJ298" s="492"/>
      <c r="AK298" s="492"/>
      <c r="AL298" s="492"/>
      <c r="AM298" s="492"/>
      <c r="AN298" s="492"/>
    </row>
    <row r="299" spans="1:40" ht="15.75" customHeight="1">
      <c r="A299" s="477" t="s">
        <v>406</v>
      </c>
      <c r="B299" s="492" t="s">
        <v>103</v>
      </c>
      <c r="C299" s="508" t="s">
        <v>109</v>
      </c>
      <c r="D299" s="550">
        <v>23233.344000000001</v>
      </c>
      <c r="E299" s="623">
        <v>0.27700000000000002</v>
      </c>
      <c r="F299" s="534">
        <v>6435.6362880000006</v>
      </c>
      <c r="G299" s="550"/>
      <c r="H299" s="623"/>
      <c r="I299" s="534"/>
      <c r="J299" s="550">
        <v>25579.81</v>
      </c>
      <c r="K299" s="623">
        <v>0.29575669248520614</v>
      </c>
      <c r="L299" s="534">
        <v>7565.4000000000015</v>
      </c>
      <c r="M299" s="554">
        <v>0.10099562077675948</v>
      </c>
      <c r="N299" s="534">
        <v>1129.7637120000009</v>
      </c>
      <c r="O299" s="509">
        <v>21856.25</v>
      </c>
      <c r="P299" s="623">
        <v>0.24229270803545894</v>
      </c>
      <c r="Q299" s="534">
        <v>5295.61</v>
      </c>
      <c r="R299" s="554">
        <v>0.17036591364026316</v>
      </c>
      <c r="S299" s="534">
        <v>2269.7900000000018</v>
      </c>
      <c r="T299" s="492"/>
      <c r="U299" s="492"/>
      <c r="V299" s="492"/>
      <c r="W299" s="492"/>
      <c r="X299" s="492"/>
      <c r="Y299" s="492"/>
      <c r="Z299" s="492"/>
      <c r="AA299" s="492"/>
      <c r="AB299" s="492"/>
      <c r="AC299" s="492"/>
      <c r="AD299" s="492"/>
      <c r="AE299" s="492"/>
      <c r="AF299" s="492"/>
      <c r="AG299" s="492"/>
      <c r="AH299" s="492"/>
      <c r="AI299" s="492"/>
      <c r="AJ299" s="492"/>
      <c r="AK299" s="492"/>
      <c r="AL299" s="492"/>
      <c r="AM299" s="492"/>
      <c r="AN299" s="492"/>
    </row>
    <row r="300" spans="1:40" ht="15.75" customHeight="1">
      <c r="A300" s="477" t="s">
        <v>407</v>
      </c>
      <c r="B300" s="492" t="s">
        <v>103</v>
      </c>
      <c r="C300" s="508" t="s">
        <v>110</v>
      </c>
      <c r="D300" s="550">
        <v>165831.261</v>
      </c>
      <c r="E300" s="623">
        <v>0.13500000000000001</v>
      </c>
      <c r="F300" s="534">
        <v>22387.220235000001</v>
      </c>
      <c r="G300" s="550"/>
      <c r="H300" s="623"/>
      <c r="I300" s="534"/>
      <c r="J300" s="550">
        <v>193165.16</v>
      </c>
      <c r="K300" s="623">
        <v>0.12674071245560023</v>
      </c>
      <c r="L300" s="534">
        <v>24481.89000000001</v>
      </c>
      <c r="M300" s="554">
        <v>0.16482959144838202</v>
      </c>
      <c r="N300" s="534">
        <v>2094.6697650000096</v>
      </c>
      <c r="O300" s="509">
        <v>155623.24</v>
      </c>
      <c r="P300" s="623">
        <v>0.14075224240286929</v>
      </c>
      <c r="Q300" s="534">
        <v>21904.319999999901</v>
      </c>
      <c r="R300" s="554">
        <v>0.24123594907804269</v>
      </c>
      <c r="S300" s="534">
        <v>2577.5700000001088</v>
      </c>
      <c r="T300" s="492"/>
      <c r="U300" s="492"/>
      <c r="V300" s="492"/>
      <c r="W300" s="492"/>
      <c r="X300" s="492"/>
      <c r="Y300" s="492"/>
      <c r="Z300" s="492"/>
      <c r="AA300" s="492"/>
      <c r="AB300" s="492"/>
      <c r="AC300" s="492"/>
      <c r="AD300" s="492"/>
      <c r="AE300" s="492"/>
      <c r="AF300" s="492"/>
      <c r="AG300" s="492"/>
      <c r="AH300" s="492"/>
      <c r="AI300" s="492"/>
      <c r="AJ300" s="492"/>
      <c r="AK300" s="492"/>
      <c r="AL300" s="492"/>
      <c r="AM300" s="492"/>
      <c r="AN300" s="492"/>
    </row>
    <row r="301" spans="1:40" ht="15.75" hidden="1" customHeight="1">
      <c r="A301" s="477" t="s">
        <v>408</v>
      </c>
      <c r="B301" s="492" t="s">
        <v>103</v>
      </c>
      <c r="C301" s="508" t="s">
        <v>20</v>
      </c>
      <c r="D301" s="550">
        <v>0</v>
      </c>
      <c r="E301" s="623">
        <v>0</v>
      </c>
      <c r="F301" s="534">
        <v>0</v>
      </c>
      <c r="G301" s="550"/>
      <c r="H301" s="623"/>
      <c r="I301" s="534"/>
      <c r="J301" s="550">
        <v>0</v>
      </c>
      <c r="K301" s="623">
        <v>0</v>
      </c>
      <c r="L301" s="534">
        <v>0</v>
      </c>
      <c r="M301" s="554" t="e">
        <v>#DIV/0!</v>
      </c>
      <c r="N301" s="534">
        <v>0</v>
      </c>
      <c r="O301" s="509">
        <v>0</v>
      </c>
      <c r="P301" s="623">
        <v>0</v>
      </c>
      <c r="Q301" s="534">
        <v>0</v>
      </c>
      <c r="R301" s="554">
        <v>0</v>
      </c>
      <c r="S301" s="534">
        <v>0</v>
      </c>
      <c r="T301" s="492"/>
      <c r="U301" s="492"/>
      <c r="V301" s="492"/>
      <c r="W301" s="492"/>
      <c r="X301" s="492"/>
      <c r="Y301" s="492"/>
      <c r="Z301" s="492"/>
      <c r="AA301" s="492"/>
      <c r="AB301" s="492"/>
      <c r="AC301" s="492"/>
      <c r="AD301" s="492"/>
      <c r="AE301" s="492"/>
      <c r="AF301" s="492"/>
      <c r="AG301" s="492"/>
      <c r="AH301" s="492"/>
      <c r="AI301" s="492"/>
      <c r="AJ301" s="492"/>
      <c r="AK301" s="492"/>
      <c r="AL301" s="492"/>
      <c r="AM301" s="492"/>
      <c r="AN301" s="492"/>
    </row>
    <row r="302" spans="1:40" ht="15.75" customHeight="1">
      <c r="A302" s="477" t="s">
        <v>409</v>
      </c>
      <c r="B302" s="492" t="s">
        <v>103</v>
      </c>
      <c r="C302" s="508" t="s">
        <v>111</v>
      </c>
      <c r="D302" s="550">
        <v>0</v>
      </c>
      <c r="E302" s="623">
        <v>0</v>
      </c>
      <c r="F302" s="534">
        <v>11379.257020077523</v>
      </c>
      <c r="G302" s="550"/>
      <c r="H302" s="623"/>
      <c r="I302" s="534"/>
      <c r="J302" s="550">
        <v>0</v>
      </c>
      <c r="K302" s="623">
        <v>0</v>
      </c>
      <c r="L302" s="534">
        <v>6967.79</v>
      </c>
      <c r="M302" s="554"/>
      <c r="N302" s="534">
        <v>-4411.4670200775226</v>
      </c>
      <c r="O302" s="509">
        <v>0</v>
      </c>
      <c r="P302" s="623">
        <v>0</v>
      </c>
      <c r="Q302" s="534">
        <v>3470.01</v>
      </c>
      <c r="R302" s="554">
        <v>0</v>
      </c>
      <c r="S302" s="534">
        <v>3497.7799999999997</v>
      </c>
      <c r="T302" s="492"/>
      <c r="U302" s="492"/>
      <c r="V302" s="492"/>
      <c r="W302" s="492"/>
      <c r="X302" s="492"/>
      <c r="Y302" s="492"/>
      <c r="Z302" s="492"/>
      <c r="AA302" s="492"/>
      <c r="AB302" s="492"/>
      <c r="AC302" s="492"/>
      <c r="AD302" s="492"/>
      <c r="AE302" s="492"/>
      <c r="AF302" s="492"/>
      <c r="AG302" s="492"/>
      <c r="AH302" s="492"/>
      <c r="AI302" s="492"/>
      <c r="AJ302" s="492"/>
      <c r="AK302" s="492"/>
      <c r="AL302" s="492"/>
      <c r="AM302" s="492"/>
      <c r="AN302" s="492"/>
    </row>
    <row r="303" spans="1:40" ht="15.75" customHeight="1">
      <c r="A303" s="477" t="s">
        <v>410</v>
      </c>
      <c r="B303" s="492" t="s">
        <v>103</v>
      </c>
      <c r="C303" s="501" t="s">
        <v>112</v>
      </c>
      <c r="D303" s="550">
        <v>0</v>
      </c>
      <c r="E303" s="623">
        <v>0</v>
      </c>
      <c r="F303" s="534">
        <v>0</v>
      </c>
      <c r="G303" s="550"/>
      <c r="H303" s="623"/>
      <c r="I303" s="534"/>
      <c r="J303" s="550">
        <v>0</v>
      </c>
      <c r="K303" s="623">
        <v>0</v>
      </c>
      <c r="L303" s="534">
        <v>0</v>
      </c>
      <c r="M303" s="554"/>
      <c r="N303" s="534">
        <v>0</v>
      </c>
      <c r="O303" s="509">
        <v>0</v>
      </c>
      <c r="P303" s="623">
        <v>0</v>
      </c>
      <c r="Q303" s="534">
        <v>0</v>
      </c>
      <c r="R303" s="554">
        <v>0</v>
      </c>
      <c r="S303" s="534">
        <v>0</v>
      </c>
      <c r="T303" s="492"/>
      <c r="U303" s="492"/>
      <c r="V303" s="492"/>
      <c r="W303" s="492"/>
      <c r="X303" s="492"/>
      <c r="Y303" s="492"/>
      <c r="Z303" s="492"/>
      <c r="AA303" s="492"/>
      <c r="AB303" s="492"/>
      <c r="AC303" s="492"/>
      <c r="AD303" s="492"/>
      <c r="AE303" s="492"/>
      <c r="AF303" s="492"/>
      <c r="AG303" s="492"/>
      <c r="AH303" s="492"/>
      <c r="AI303" s="492"/>
      <c r="AJ303" s="492"/>
      <c r="AK303" s="492"/>
      <c r="AL303" s="492"/>
      <c r="AM303" s="492"/>
      <c r="AN303" s="492"/>
    </row>
    <row r="304" spans="1:40" ht="15.75" customHeight="1">
      <c r="A304" s="477" t="s">
        <v>411</v>
      </c>
      <c r="B304" s="492" t="s">
        <v>103</v>
      </c>
      <c r="C304" s="527" t="s">
        <v>113</v>
      </c>
      <c r="D304" s="663">
        <v>443840.57084</v>
      </c>
      <c r="E304" s="682">
        <v>0.25960892937499158</v>
      </c>
      <c r="F304" s="665">
        <v>115224.97540895751</v>
      </c>
      <c r="G304" s="663"/>
      <c r="H304" s="682"/>
      <c r="I304" s="665"/>
      <c r="J304" s="663">
        <v>546586.39</v>
      </c>
      <c r="K304" s="682">
        <v>0.2426257082617809</v>
      </c>
      <c r="L304" s="665">
        <v>132615.91</v>
      </c>
      <c r="M304" s="683">
        <v>0.23149262575421217</v>
      </c>
      <c r="N304" s="665">
        <v>17390.934591042489</v>
      </c>
      <c r="O304" s="663">
        <v>401922.06999999896</v>
      </c>
      <c r="P304" s="682">
        <v>0.24279229055523138</v>
      </c>
      <c r="Q304" s="665">
        <v>97583.579999999798</v>
      </c>
      <c r="R304" s="683">
        <v>0.35993126727278607</v>
      </c>
      <c r="S304" s="665">
        <v>35032.330000000205</v>
      </c>
      <c r="T304" s="492"/>
      <c r="U304" s="492"/>
      <c r="V304" s="492"/>
      <c r="W304" s="492"/>
      <c r="X304" s="492"/>
      <c r="Y304" s="492"/>
      <c r="Z304" s="492"/>
      <c r="AA304" s="492"/>
      <c r="AB304" s="492"/>
      <c r="AC304" s="492"/>
      <c r="AD304" s="492"/>
      <c r="AE304" s="492"/>
      <c r="AF304" s="492"/>
      <c r="AG304" s="492"/>
      <c r="AH304" s="492"/>
      <c r="AI304" s="492"/>
      <c r="AJ304" s="492"/>
      <c r="AK304" s="492"/>
      <c r="AL304" s="492"/>
      <c r="AM304" s="492"/>
      <c r="AN304" s="492"/>
    </row>
    <row r="305" spans="1:40" ht="15.75" customHeight="1">
      <c r="A305" s="477" t="s">
        <v>103</v>
      </c>
      <c r="B305" s="492" t="s">
        <v>103</v>
      </c>
      <c r="C305" s="508"/>
      <c r="D305" s="492"/>
      <c r="E305" s="492"/>
      <c r="F305" s="518"/>
      <c r="G305" s="508"/>
      <c r="H305" s="492"/>
      <c r="I305" s="518"/>
      <c r="J305" s="508"/>
      <c r="K305" s="492"/>
      <c r="L305" s="518"/>
      <c r="M305" s="508"/>
      <c r="N305" s="526">
        <v>0.15093025213777159</v>
      </c>
      <c r="O305" s="508"/>
      <c r="P305" s="492"/>
      <c r="Q305" s="518"/>
      <c r="R305" s="508"/>
      <c r="S305" s="526">
        <v>0.35899820441103186</v>
      </c>
      <c r="T305" s="492"/>
      <c r="U305" s="492"/>
      <c r="V305" s="492"/>
      <c r="W305" s="492"/>
      <c r="X305" s="492"/>
      <c r="Y305" s="492"/>
      <c r="Z305" s="492"/>
      <c r="AA305" s="492"/>
      <c r="AB305" s="492"/>
      <c r="AC305" s="492"/>
      <c r="AD305" s="492"/>
      <c r="AE305" s="492"/>
      <c r="AF305" s="492"/>
      <c r="AG305" s="492"/>
      <c r="AH305" s="492"/>
      <c r="AI305" s="492"/>
      <c r="AJ305" s="492"/>
      <c r="AK305" s="492"/>
      <c r="AL305" s="492"/>
      <c r="AM305" s="492"/>
      <c r="AN305" s="492"/>
    </row>
    <row r="306" spans="1:40" ht="15.75" customHeight="1">
      <c r="A306" s="477" t="s">
        <v>103</v>
      </c>
      <c r="B306" s="492" t="s">
        <v>103</v>
      </c>
      <c r="C306" s="501"/>
      <c r="D306" s="583"/>
      <c r="E306" s="583"/>
      <c r="F306" s="684"/>
      <c r="G306" s="501"/>
      <c r="H306" s="583"/>
      <c r="I306" s="684"/>
      <c r="J306" s="501"/>
      <c r="K306" s="583"/>
      <c r="L306" s="684"/>
      <c r="M306" s="501"/>
      <c r="N306" s="643"/>
      <c r="O306" s="501"/>
      <c r="P306" s="583"/>
      <c r="Q306" s="684"/>
      <c r="R306" s="501"/>
      <c r="S306" s="643"/>
      <c r="T306" s="492"/>
      <c r="U306" s="492"/>
      <c r="V306" s="492"/>
      <c r="W306" s="492"/>
      <c r="X306" s="492"/>
      <c r="Y306" s="492"/>
      <c r="Z306" s="492"/>
      <c r="AA306" s="492"/>
      <c r="AB306" s="492"/>
      <c r="AC306" s="492"/>
      <c r="AD306" s="492"/>
      <c r="AE306" s="492"/>
      <c r="AF306" s="492"/>
      <c r="AG306" s="492"/>
      <c r="AH306" s="492"/>
      <c r="AI306" s="492"/>
      <c r="AJ306" s="492"/>
      <c r="AK306" s="492"/>
      <c r="AL306" s="492"/>
      <c r="AM306" s="492"/>
      <c r="AN306" s="492"/>
    </row>
    <row r="307" spans="1:40" ht="15.75" customHeight="1">
      <c r="A307" s="477" t="s">
        <v>412</v>
      </c>
      <c r="B307" s="492" t="s">
        <v>103</v>
      </c>
      <c r="C307" s="508" t="s">
        <v>114</v>
      </c>
      <c r="D307" s="550">
        <v>28768.550000000003</v>
      </c>
      <c r="E307" s="623">
        <v>0.17100000000000001</v>
      </c>
      <c r="F307" s="582">
        <v>4919.422050000001</v>
      </c>
      <c r="G307" s="550"/>
      <c r="H307" s="623"/>
      <c r="I307" s="582"/>
      <c r="J307" s="509">
        <v>40681.85</v>
      </c>
      <c r="K307" s="623">
        <v>0.1991182800192223</v>
      </c>
      <c r="L307" s="582">
        <v>8100.4999999999982</v>
      </c>
      <c r="M307" s="554">
        <v>0.41410846219222014</v>
      </c>
      <c r="N307" s="534">
        <v>3181.0779499999971</v>
      </c>
      <c r="O307" s="509">
        <v>27866.12</v>
      </c>
      <c r="P307" s="623">
        <v>0.12803648301234619</v>
      </c>
      <c r="Q307" s="582">
        <v>3567.88</v>
      </c>
      <c r="R307" s="554">
        <v>0.45990363925799499</v>
      </c>
      <c r="S307" s="534">
        <v>4532.6199999999981</v>
      </c>
      <c r="T307" s="492"/>
      <c r="U307" s="492"/>
      <c r="V307" s="492"/>
      <c r="W307" s="492"/>
      <c r="X307" s="492"/>
      <c r="Y307" s="492"/>
      <c r="Z307" s="492"/>
      <c r="AA307" s="492"/>
      <c r="AB307" s="492"/>
      <c r="AC307" s="492"/>
      <c r="AD307" s="492"/>
      <c r="AE307" s="492"/>
      <c r="AF307" s="492"/>
      <c r="AG307" s="492"/>
      <c r="AH307" s="492"/>
      <c r="AI307" s="492"/>
      <c r="AJ307" s="492"/>
      <c r="AK307" s="492"/>
      <c r="AL307" s="492"/>
      <c r="AM307" s="492"/>
      <c r="AN307" s="492"/>
    </row>
    <row r="308" spans="1:40" ht="15.75" customHeight="1">
      <c r="A308" s="477" t="s">
        <v>413</v>
      </c>
      <c r="B308" s="492" t="s">
        <v>103</v>
      </c>
      <c r="C308" s="501" t="s">
        <v>115</v>
      </c>
      <c r="D308" s="550">
        <v>17871.087457177095</v>
      </c>
      <c r="E308" s="623">
        <v>0.25600000000000001</v>
      </c>
      <c r="F308" s="559">
        <v>4574.998389037336</v>
      </c>
      <c r="G308" s="550"/>
      <c r="H308" s="623"/>
      <c r="I308" s="559"/>
      <c r="J308" s="509">
        <v>23823.07</v>
      </c>
      <c r="K308" s="623">
        <v>0.28768542425472449</v>
      </c>
      <c r="L308" s="559">
        <v>6853.5499999999993</v>
      </c>
      <c r="M308" s="554">
        <v>0.33305094371481947</v>
      </c>
      <c r="N308" s="534">
        <v>2278.5516109626633</v>
      </c>
      <c r="O308" s="509">
        <v>22140.26</v>
      </c>
      <c r="P308" s="623">
        <v>0.25765144582764571</v>
      </c>
      <c r="Q308" s="559">
        <v>5704.4699999999903</v>
      </c>
      <c r="R308" s="554">
        <v>7.6006785828170109E-2</v>
      </c>
      <c r="S308" s="534">
        <v>1149.080000000009</v>
      </c>
      <c r="T308" s="492"/>
      <c r="U308" s="492"/>
      <c r="V308" s="492"/>
      <c r="W308" s="492"/>
      <c r="X308" s="492"/>
      <c r="Y308" s="492"/>
      <c r="Z308" s="492"/>
      <c r="AA308" s="492"/>
      <c r="AB308" s="492"/>
      <c r="AC308" s="492"/>
      <c r="AD308" s="492"/>
      <c r="AE308" s="492"/>
      <c r="AF308" s="492"/>
      <c r="AG308" s="492"/>
      <c r="AH308" s="492"/>
      <c r="AI308" s="492"/>
      <c r="AJ308" s="492"/>
      <c r="AK308" s="492"/>
      <c r="AL308" s="492"/>
      <c r="AM308" s="492"/>
      <c r="AN308" s="492"/>
    </row>
    <row r="309" spans="1:40" ht="15.75" customHeight="1">
      <c r="A309" s="477" t="s">
        <v>414</v>
      </c>
      <c r="B309" s="492" t="s">
        <v>103</v>
      </c>
      <c r="C309" s="527" t="s">
        <v>116</v>
      </c>
      <c r="D309" s="663">
        <v>490480.2082971771</v>
      </c>
      <c r="E309" s="682">
        <v>0.25428018039910105</v>
      </c>
      <c r="F309" s="665">
        <v>124719.39584799485</v>
      </c>
      <c r="G309" s="666"/>
      <c r="H309" s="682"/>
      <c r="I309" s="665"/>
      <c r="J309" s="666">
        <v>611091.30999999994</v>
      </c>
      <c r="K309" s="682">
        <v>0.24148594094718842</v>
      </c>
      <c r="L309" s="665">
        <v>147569.96</v>
      </c>
      <c r="M309" s="683">
        <v>0.24590411531905434</v>
      </c>
      <c r="N309" s="665">
        <v>22850.564152005143</v>
      </c>
      <c r="O309" s="666">
        <v>451928.44999999896</v>
      </c>
      <c r="P309" s="682">
        <v>0.236444353082883</v>
      </c>
      <c r="Q309" s="665">
        <v>106855.92999999979</v>
      </c>
      <c r="R309" s="683">
        <v>0.35218597103147931</v>
      </c>
      <c r="S309" s="665">
        <v>40714.030000000203</v>
      </c>
      <c r="T309" s="492"/>
      <c r="U309" s="550"/>
      <c r="V309" s="492"/>
      <c r="W309" s="492"/>
      <c r="X309" s="492"/>
      <c r="Y309" s="492"/>
      <c r="Z309" s="492"/>
      <c r="AA309" s="492"/>
      <c r="AB309" s="492"/>
      <c r="AC309" s="492"/>
      <c r="AD309" s="492"/>
      <c r="AE309" s="492"/>
      <c r="AF309" s="492"/>
      <c r="AG309" s="492"/>
      <c r="AH309" s="492"/>
      <c r="AI309" s="492"/>
      <c r="AJ309" s="492"/>
      <c r="AK309" s="492"/>
      <c r="AL309" s="492"/>
      <c r="AM309" s="492"/>
      <c r="AN309" s="492"/>
    </row>
    <row r="310" spans="1:40" ht="15.75" customHeight="1">
      <c r="A310" s="477" t="s">
        <v>103</v>
      </c>
      <c r="B310" s="492" t="s">
        <v>103</v>
      </c>
      <c r="C310" s="508"/>
      <c r="D310" s="492"/>
      <c r="E310" s="492"/>
      <c r="F310" s="518"/>
      <c r="G310" s="508"/>
      <c r="H310" s="492"/>
      <c r="I310" s="518"/>
      <c r="J310" s="508"/>
      <c r="K310" s="492"/>
      <c r="L310" s="518"/>
      <c r="M310" s="508"/>
      <c r="N310" s="526">
        <v>0.18321580213437602</v>
      </c>
      <c r="O310" s="508"/>
      <c r="P310" s="492"/>
      <c r="Q310" s="518"/>
      <c r="R310" s="508"/>
      <c r="S310" s="526">
        <v>0.38101797438850876</v>
      </c>
      <c r="T310" s="492"/>
      <c r="U310" s="492"/>
      <c r="V310" s="492"/>
      <c r="W310" s="492"/>
      <c r="X310" s="492"/>
      <c r="Y310" s="492"/>
      <c r="Z310" s="492"/>
      <c r="AA310" s="492"/>
      <c r="AB310" s="492"/>
      <c r="AC310" s="492"/>
      <c r="AD310" s="492"/>
      <c r="AE310" s="492"/>
      <c r="AF310" s="492"/>
      <c r="AG310" s="492"/>
      <c r="AH310" s="492"/>
      <c r="AI310" s="492"/>
      <c r="AJ310" s="492"/>
      <c r="AK310" s="492"/>
      <c r="AL310" s="492"/>
      <c r="AM310" s="492"/>
      <c r="AN310" s="492"/>
    </row>
    <row r="311" spans="1:40" ht="15.75" customHeight="1">
      <c r="A311" s="477" t="s">
        <v>103</v>
      </c>
      <c r="B311" s="492" t="s">
        <v>103</v>
      </c>
      <c r="C311" s="508"/>
      <c r="D311" s="492"/>
      <c r="E311" s="492"/>
      <c r="F311" s="518"/>
      <c r="G311" s="508"/>
      <c r="H311" s="492"/>
      <c r="I311" s="518"/>
      <c r="J311" s="508"/>
      <c r="K311" s="492"/>
      <c r="L311" s="518"/>
      <c r="M311" s="508"/>
      <c r="N311" s="526"/>
      <c r="O311" s="508"/>
      <c r="P311" s="492"/>
      <c r="Q311" s="518"/>
      <c r="R311" s="508"/>
      <c r="S311" s="526"/>
      <c r="T311" s="492"/>
      <c r="U311" s="492"/>
      <c r="V311" s="492"/>
      <c r="W311" s="492"/>
      <c r="X311" s="492"/>
      <c r="Y311" s="492"/>
      <c r="Z311" s="492"/>
      <c r="AA311" s="492"/>
      <c r="AB311" s="492"/>
      <c r="AC311" s="492"/>
      <c r="AD311" s="492"/>
      <c r="AE311" s="492"/>
      <c r="AF311" s="492"/>
      <c r="AG311" s="492"/>
      <c r="AH311" s="492"/>
      <c r="AI311" s="492"/>
      <c r="AJ311" s="492"/>
      <c r="AK311" s="492"/>
      <c r="AL311" s="492"/>
      <c r="AM311" s="492"/>
      <c r="AN311" s="492"/>
    </row>
    <row r="312" spans="1:40" ht="15.75" customHeight="1">
      <c r="A312" s="477" t="s">
        <v>415</v>
      </c>
      <c r="B312" s="492" t="s">
        <v>103</v>
      </c>
      <c r="C312" s="501" t="s">
        <v>117</v>
      </c>
      <c r="D312" s="557">
        <v>0</v>
      </c>
      <c r="E312" s="685">
        <v>0</v>
      </c>
      <c r="F312" s="559">
        <v>0</v>
      </c>
      <c r="G312" s="638"/>
      <c r="H312" s="685"/>
      <c r="I312" s="559"/>
      <c r="J312" s="522">
        <v>0</v>
      </c>
      <c r="K312" s="685">
        <v>0</v>
      </c>
      <c r="L312" s="503">
        <v>0</v>
      </c>
      <c r="M312" s="685">
        <v>0</v>
      </c>
      <c r="N312" s="559">
        <v>0</v>
      </c>
      <c r="O312" s="522">
        <v>0</v>
      </c>
      <c r="P312" s="685">
        <v>0</v>
      </c>
      <c r="Q312" s="503">
        <v>0</v>
      </c>
      <c r="R312" s="685">
        <v>0</v>
      </c>
      <c r="S312" s="559">
        <v>0</v>
      </c>
      <c r="T312" s="492"/>
      <c r="U312" s="550"/>
      <c r="V312" s="492"/>
      <c r="W312" s="492"/>
      <c r="X312" s="492"/>
      <c r="Y312" s="492"/>
      <c r="Z312" s="492"/>
      <c r="AA312" s="492"/>
      <c r="AB312" s="492"/>
      <c r="AC312" s="492"/>
      <c r="AD312" s="492"/>
      <c r="AE312" s="492"/>
      <c r="AF312" s="492"/>
      <c r="AG312" s="492"/>
      <c r="AH312" s="492"/>
      <c r="AI312" s="492"/>
      <c r="AJ312" s="492"/>
      <c r="AK312" s="492"/>
      <c r="AL312" s="492"/>
      <c r="AM312" s="492"/>
      <c r="AN312" s="492"/>
    </row>
    <row r="313" spans="1:40" ht="15.75" customHeight="1" thickBot="1">
      <c r="A313" s="477" t="s">
        <v>103</v>
      </c>
      <c r="B313" s="492" t="s">
        <v>103</v>
      </c>
      <c r="C313" s="508"/>
      <c r="D313" s="550"/>
      <c r="E313" s="623"/>
      <c r="F313" s="534"/>
      <c r="G313" s="535"/>
      <c r="H313" s="623"/>
      <c r="I313" s="534"/>
      <c r="J313" s="535"/>
      <c r="K313" s="623"/>
      <c r="L313" s="534"/>
      <c r="M313" s="554"/>
      <c r="N313" s="534"/>
      <c r="O313" s="535"/>
      <c r="P313" s="623"/>
      <c r="Q313" s="534"/>
      <c r="R313" s="554"/>
      <c r="S313" s="534"/>
      <c r="T313" s="492"/>
      <c r="U313" s="492"/>
      <c r="V313" s="492"/>
      <c r="W313" s="492"/>
      <c r="X313" s="492"/>
      <c r="Y313" s="492"/>
      <c r="Z313" s="492"/>
      <c r="AA313" s="492"/>
      <c r="AB313" s="492"/>
      <c r="AC313" s="492"/>
      <c r="AD313" s="492"/>
      <c r="AE313" s="492"/>
      <c r="AF313" s="492"/>
      <c r="AG313" s="492"/>
      <c r="AH313" s="492"/>
      <c r="AI313" s="492"/>
      <c r="AJ313" s="492"/>
      <c r="AK313" s="492"/>
      <c r="AL313" s="492"/>
      <c r="AM313" s="492"/>
      <c r="AN313" s="492"/>
    </row>
    <row r="314" spans="1:40" ht="15.75" customHeight="1" thickTop="1">
      <c r="A314" s="477" t="s">
        <v>416</v>
      </c>
      <c r="B314" s="492" t="s">
        <v>103</v>
      </c>
      <c r="C314" s="536" t="s">
        <v>118</v>
      </c>
      <c r="D314" s="537">
        <v>490480.2082971771</v>
      </c>
      <c r="E314" s="686">
        <v>0.25428018039910105</v>
      </c>
      <c r="F314" s="539">
        <v>124719.39584799485</v>
      </c>
      <c r="G314" s="540"/>
      <c r="H314" s="686"/>
      <c r="I314" s="539"/>
      <c r="J314" s="540">
        <v>611091.30999999994</v>
      </c>
      <c r="K314" s="686">
        <v>0.24148594094718842</v>
      </c>
      <c r="L314" s="539">
        <v>147569.96</v>
      </c>
      <c r="M314" s="687">
        <v>0.24590411531905434</v>
      </c>
      <c r="N314" s="688">
        <v>22850.564152005143</v>
      </c>
      <c r="O314" s="540">
        <v>451928.44999999896</v>
      </c>
      <c r="P314" s="686">
        <v>0.236444353082883</v>
      </c>
      <c r="Q314" s="539">
        <v>106855.92999999979</v>
      </c>
      <c r="R314" s="687">
        <v>0.35218597103147931</v>
      </c>
      <c r="S314" s="688">
        <v>40714.030000000203</v>
      </c>
      <c r="T314" s="492"/>
      <c r="U314" s="632"/>
      <c r="V314" s="550"/>
      <c r="W314" s="550"/>
      <c r="X314" s="492"/>
      <c r="Y314" s="492"/>
      <c r="Z314" s="492"/>
      <c r="AA314" s="492"/>
      <c r="AB314" s="492"/>
      <c r="AC314" s="492"/>
      <c r="AD314" s="492"/>
      <c r="AE314" s="492"/>
      <c r="AF314" s="492"/>
      <c r="AG314" s="492"/>
      <c r="AH314" s="492"/>
      <c r="AI314" s="492"/>
      <c r="AJ314" s="492"/>
      <c r="AK314" s="492"/>
      <c r="AL314" s="492"/>
      <c r="AM314" s="492"/>
      <c r="AN314" s="492"/>
    </row>
    <row r="315" spans="1:40" ht="15.75" customHeight="1" thickBot="1">
      <c r="A315" s="477" t="s">
        <v>103</v>
      </c>
      <c r="B315" s="492" t="s">
        <v>103</v>
      </c>
      <c r="C315" s="600"/>
      <c r="D315" s="689"/>
      <c r="E315" s="690"/>
      <c r="F315" s="603"/>
      <c r="G315" s="691"/>
      <c r="H315" s="690"/>
      <c r="I315" s="603"/>
      <c r="J315" s="691"/>
      <c r="K315" s="690"/>
      <c r="L315" s="692">
        <v>1.1832158021343759</v>
      </c>
      <c r="M315" s="693"/>
      <c r="N315" s="547">
        <v>0.18321580213437602</v>
      </c>
      <c r="O315" s="691"/>
      <c r="P315" s="690"/>
      <c r="Q315" s="603"/>
      <c r="R315" s="693"/>
      <c r="S315" s="547">
        <v>0.38101797438850876</v>
      </c>
      <c r="T315" s="492"/>
      <c r="U315" s="489"/>
      <c r="V315" s="492"/>
      <c r="W315" s="492"/>
      <c r="X315" s="492"/>
      <c r="Y315" s="492"/>
      <c r="Z315" s="492"/>
      <c r="AA315" s="492"/>
      <c r="AB315" s="492"/>
      <c r="AC315" s="492"/>
      <c r="AD315" s="492"/>
      <c r="AE315" s="492"/>
      <c r="AF315" s="492"/>
      <c r="AG315" s="492"/>
      <c r="AH315" s="492"/>
      <c r="AI315" s="492"/>
      <c r="AJ315" s="492"/>
      <c r="AK315" s="492"/>
      <c r="AL315" s="492"/>
      <c r="AM315" s="492"/>
      <c r="AN315" s="492"/>
    </row>
    <row r="316" spans="1:40" ht="15.75" customHeight="1" thickTop="1">
      <c r="A316" s="477" t="s">
        <v>103</v>
      </c>
      <c r="B316" s="492" t="s">
        <v>103</v>
      </c>
      <c r="C316" s="527"/>
      <c r="D316" s="584"/>
      <c r="E316" s="645"/>
      <c r="F316" s="647"/>
      <c r="G316" s="646"/>
      <c r="H316" s="645"/>
      <c r="I316" s="647"/>
      <c r="J316" s="646"/>
      <c r="K316" s="645"/>
      <c r="L316" s="647"/>
      <c r="M316" s="508"/>
      <c r="N316" s="526"/>
      <c r="O316" s="646"/>
      <c r="P316" s="645"/>
      <c r="Q316" s="647"/>
      <c r="R316" s="508"/>
      <c r="S316" s="526"/>
      <c r="T316" s="492"/>
      <c r="U316" s="489"/>
      <c r="V316" s="492"/>
      <c r="W316" s="492"/>
      <c r="X316" s="492"/>
      <c r="Y316" s="492"/>
      <c r="Z316" s="492"/>
      <c r="AA316" s="492"/>
      <c r="AB316" s="492"/>
      <c r="AC316" s="492"/>
      <c r="AD316" s="492"/>
      <c r="AE316" s="492"/>
      <c r="AF316" s="492"/>
      <c r="AG316" s="492"/>
      <c r="AH316" s="492"/>
      <c r="AI316" s="492"/>
      <c r="AJ316" s="492"/>
      <c r="AK316" s="492"/>
      <c r="AL316" s="492"/>
      <c r="AM316" s="492"/>
      <c r="AN316" s="492"/>
    </row>
    <row r="317" spans="1:40" ht="15.75" customHeight="1">
      <c r="A317" s="477" t="s">
        <v>417</v>
      </c>
      <c r="B317" s="492" t="s">
        <v>103</v>
      </c>
      <c r="C317" s="551" t="s">
        <v>30</v>
      </c>
      <c r="D317" s="492"/>
      <c r="E317" s="492"/>
      <c r="F317" s="534"/>
      <c r="G317" s="508"/>
      <c r="H317" s="492"/>
      <c r="I317" s="534"/>
      <c r="J317" s="508"/>
      <c r="K317" s="492"/>
      <c r="L317" s="518"/>
      <c r="M317" s="508"/>
      <c r="N317" s="518"/>
      <c r="O317" s="508"/>
      <c r="P317" s="492"/>
      <c r="Q317" s="518"/>
      <c r="R317" s="508"/>
      <c r="S317" s="518"/>
      <c r="T317" s="492"/>
      <c r="U317" s="489"/>
      <c r="V317" s="492"/>
      <c r="W317" s="492"/>
      <c r="X317" s="492"/>
      <c r="Y317" s="492"/>
      <c r="Z317" s="492"/>
      <c r="AA317" s="492"/>
      <c r="AB317" s="492"/>
      <c r="AC317" s="492"/>
      <c r="AD317" s="492"/>
      <c r="AE317" s="492"/>
      <c r="AF317" s="492"/>
      <c r="AG317" s="492"/>
      <c r="AH317" s="492"/>
      <c r="AI317" s="492"/>
      <c r="AJ317" s="492"/>
      <c r="AK317" s="492"/>
      <c r="AL317" s="492"/>
      <c r="AM317" s="492"/>
      <c r="AN317" s="492"/>
    </row>
    <row r="318" spans="1:40" ht="15.75" customHeight="1">
      <c r="A318" s="477" t="s">
        <v>418</v>
      </c>
      <c r="B318" s="492" t="s">
        <v>103</v>
      </c>
      <c r="C318" s="576" t="s">
        <v>41</v>
      </c>
      <c r="D318" s="492"/>
      <c r="E318" s="492"/>
      <c r="F318" s="509">
        <v>8192.0423076923089</v>
      </c>
      <c r="G318" s="508"/>
      <c r="H318" s="492"/>
      <c r="I318" s="509"/>
      <c r="J318" s="508"/>
      <c r="K318" s="492"/>
      <c r="L318" s="511">
        <v>5167.18</v>
      </c>
      <c r="M318" s="508"/>
      <c r="N318" s="511">
        <v>-3024.8623076923086</v>
      </c>
      <c r="O318" s="508"/>
      <c r="P318" s="492"/>
      <c r="Q318" s="511">
        <v>9024.27</v>
      </c>
      <c r="R318" s="508"/>
      <c r="S318" s="511">
        <v>-3857.09</v>
      </c>
      <c r="T318" s="492"/>
      <c r="U318" s="489"/>
      <c r="V318" s="492"/>
      <c r="W318" s="492"/>
      <c r="X318" s="492"/>
      <c r="Y318" s="492"/>
      <c r="Z318" s="492"/>
      <c r="AA318" s="492"/>
      <c r="AB318" s="492"/>
      <c r="AC318" s="492"/>
      <c r="AD318" s="492"/>
      <c r="AE318" s="492"/>
      <c r="AF318" s="492"/>
      <c r="AG318" s="492"/>
      <c r="AH318" s="492"/>
      <c r="AI318" s="492"/>
      <c r="AJ318" s="492"/>
      <c r="AK318" s="492"/>
      <c r="AL318" s="492"/>
      <c r="AM318" s="492"/>
      <c r="AN318" s="492"/>
    </row>
    <row r="319" spans="1:40" ht="15.75" customHeight="1">
      <c r="A319" s="477" t="s">
        <v>419</v>
      </c>
      <c r="B319" s="492" t="s">
        <v>103</v>
      </c>
      <c r="C319" s="578" t="s">
        <v>42</v>
      </c>
      <c r="D319" s="561"/>
      <c r="E319" s="492"/>
      <c r="F319" s="503">
        <v>32608.030153846154</v>
      </c>
      <c r="G319" s="562"/>
      <c r="H319" s="492"/>
      <c r="I319" s="503"/>
      <c r="J319" s="508"/>
      <c r="K319" s="492"/>
      <c r="L319" s="511">
        <v>25984.86</v>
      </c>
      <c r="M319" s="508"/>
      <c r="N319" s="511">
        <v>-6623.170153846153</v>
      </c>
      <c r="O319" s="508"/>
      <c r="P319" s="492"/>
      <c r="Q319" s="511">
        <v>26468.2</v>
      </c>
      <c r="R319" s="508"/>
      <c r="S319" s="534">
        <v>-483.34000000000015</v>
      </c>
      <c r="T319" s="492"/>
      <c r="U319" s="489"/>
      <c r="V319" s="492"/>
      <c r="W319" s="492"/>
      <c r="X319" s="492"/>
      <c r="Y319" s="492"/>
      <c r="Z319" s="492"/>
      <c r="AA319" s="492"/>
      <c r="AB319" s="492"/>
      <c r="AC319" s="492"/>
      <c r="AD319" s="492"/>
      <c r="AE319" s="492"/>
      <c r="AF319" s="492"/>
      <c r="AG319" s="492"/>
      <c r="AH319" s="492"/>
      <c r="AI319" s="492"/>
      <c r="AJ319" s="492"/>
      <c r="AK319" s="492"/>
      <c r="AL319" s="492"/>
      <c r="AM319" s="492"/>
      <c r="AN319" s="492"/>
    </row>
    <row r="320" spans="1:40" ht="15.75" customHeight="1">
      <c r="A320" s="477" t="s">
        <v>420</v>
      </c>
      <c r="B320" s="492" t="s">
        <v>103</v>
      </c>
      <c r="C320" s="576" t="s">
        <v>43</v>
      </c>
      <c r="D320" s="579"/>
      <c r="E320" s="580"/>
      <c r="F320" s="509">
        <v>175.30769230769232</v>
      </c>
      <c r="G320" s="581"/>
      <c r="H320" s="580"/>
      <c r="I320" s="509"/>
      <c r="J320" s="496"/>
      <c r="K320" s="580"/>
      <c r="L320" s="530">
        <v>113.92</v>
      </c>
      <c r="M320" s="496"/>
      <c r="N320" s="530">
        <v>-61.387692307692319</v>
      </c>
      <c r="O320" s="496"/>
      <c r="P320" s="580"/>
      <c r="Q320" s="530">
        <v>113.92</v>
      </c>
      <c r="R320" s="496"/>
      <c r="S320" s="582">
        <v>0</v>
      </c>
      <c r="T320" s="492"/>
      <c r="U320" s="694"/>
      <c r="V320" s="695"/>
      <c r="W320" s="492"/>
      <c r="X320" s="492"/>
      <c r="Y320" s="492"/>
      <c r="Z320" s="492"/>
      <c r="AA320" s="492"/>
      <c r="AB320" s="492"/>
      <c r="AC320" s="492"/>
      <c r="AD320" s="492"/>
      <c r="AE320" s="492"/>
      <c r="AF320" s="492"/>
      <c r="AG320" s="492"/>
      <c r="AH320" s="492"/>
      <c r="AI320" s="492"/>
      <c r="AJ320" s="492"/>
      <c r="AK320" s="492"/>
      <c r="AL320" s="492"/>
      <c r="AM320" s="492"/>
      <c r="AN320" s="492"/>
    </row>
    <row r="321" spans="1:40" ht="15.75" customHeight="1">
      <c r="A321" s="477" t="s">
        <v>421</v>
      </c>
      <c r="B321" s="492" t="s">
        <v>103</v>
      </c>
      <c r="C321" s="576" t="s">
        <v>44</v>
      </c>
      <c r="D321" s="561"/>
      <c r="E321" s="492"/>
      <c r="F321" s="509">
        <v>0</v>
      </c>
      <c r="G321" s="562"/>
      <c r="H321" s="492"/>
      <c r="I321" s="509"/>
      <c r="J321" s="508"/>
      <c r="K321" s="492"/>
      <c r="L321" s="511">
        <v>0</v>
      </c>
      <c r="M321" s="508"/>
      <c r="N321" s="511">
        <v>0</v>
      </c>
      <c r="O321" s="508"/>
      <c r="P321" s="492"/>
      <c r="Q321" s="511">
        <v>0</v>
      </c>
      <c r="R321" s="508"/>
      <c r="S321" s="534">
        <v>0</v>
      </c>
      <c r="T321" s="492"/>
      <c r="U321" s="489"/>
      <c r="V321" s="492"/>
      <c r="W321" s="492"/>
      <c r="X321" s="492"/>
      <c r="Y321" s="492"/>
      <c r="Z321" s="492"/>
      <c r="AA321" s="492"/>
      <c r="AB321" s="492"/>
      <c r="AC321" s="492"/>
      <c r="AD321" s="492"/>
      <c r="AE321" s="492"/>
      <c r="AF321" s="492"/>
      <c r="AG321" s="492"/>
      <c r="AH321" s="492"/>
      <c r="AI321" s="492"/>
      <c r="AJ321" s="492"/>
      <c r="AK321" s="492"/>
      <c r="AL321" s="492"/>
      <c r="AM321" s="492"/>
      <c r="AN321" s="492"/>
    </row>
    <row r="322" spans="1:40" ht="15.75" hidden="1" customHeight="1">
      <c r="A322" s="477" t="s">
        <v>408</v>
      </c>
      <c r="B322" s="492" t="s">
        <v>103</v>
      </c>
      <c r="C322" s="508" t="s">
        <v>20</v>
      </c>
      <c r="D322" s="561"/>
      <c r="E322" s="492"/>
      <c r="F322" s="509">
        <v>0</v>
      </c>
      <c r="G322" s="562"/>
      <c r="H322" s="492"/>
      <c r="I322" s="509"/>
      <c r="J322" s="508"/>
      <c r="K322" s="492"/>
      <c r="L322" s="511">
        <v>0</v>
      </c>
      <c r="M322" s="508"/>
      <c r="N322" s="511">
        <v>0</v>
      </c>
      <c r="O322" s="508"/>
      <c r="P322" s="492"/>
      <c r="Q322" s="511">
        <v>0</v>
      </c>
      <c r="R322" s="508"/>
      <c r="S322" s="534">
        <v>0</v>
      </c>
      <c r="T322" s="492"/>
      <c r="U322" s="489"/>
      <c r="V322" s="492"/>
      <c r="W322" s="492"/>
      <c r="X322" s="492"/>
      <c r="Y322" s="492"/>
      <c r="Z322" s="492"/>
      <c r="AA322" s="492"/>
      <c r="AB322" s="492"/>
      <c r="AC322" s="492"/>
      <c r="AD322" s="492"/>
      <c r="AE322" s="492"/>
      <c r="AF322" s="492"/>
      <c r="AG322" s="492"/>
      <c r="AH322" s="492"/>
      <c r="AI322" s="492"/>
      <c r="AJ322" s="492"/>
      <c r="AK322" s="492"/>
      <c r="AL322" s="492"/>
      <c r="AM322" s="492"/>
      <c r="AN322" s="492"/>
    </row>
    <row r="323" spans="1:40" ht="15.75" hidden="1" customHeight="1">
      <c r="A323" s="477" t="s">
        <v>408</v>
      </c>
      <c r="B323" s="492" t="s">
        <v>103</v>
      </c>
      <c r="C323" s="508" t="s">
        <v>20</v>
      </c>
      <c r="D323" s="561"/>
      <c r="E323" s="492"/>
      <c r="F323" s="509">
        <v>0</v>
      </c>
      <c r="G323" s="562"/>
      <c r="H323" s="492"/>
      <c r="I323" s="509"/>
      <c r="J323" s="508"/>
      <c r="K323" s="492"/>
      <c r="L323" s="511">
        <v>0</v>
      </c>
      <c r="M323" s="508"/>
      <c r="N323" s="511">
        <v>0</v>
      </c>
      <c r="O323" s="508"/>
      <c r="P323" s="492"/>
      <c r="Q323" s="511">
        <v>0</v>
      </c>
      <c r="R323" s="508"/>
      <c r="S323" s="534">
        <v>0</v>
      </c>
      <c r="T323" s="492"/>
      <c r="U323" s="489"/>
      <c r="V323" s="492"/>
      <c r="W323" s="492"/>
      <c r="X323" s="492"/>
      <c r="Y323" s="492"/>
      <c r="Z323" s="492"/>
      <c r="AA323" s="492"/>
      <c r="AB323" s="492"/>
      <c r="AC323" s="492"/>
      <c r="AD323" s="492"/>
      <c r="AE323" s="492"/>
      <c r="AF323" s="492"/>
      <c r="AG323" s="492"/>
      <c r="AH323" s="492"/>
      <c r="AI323" s="492"/>
      <c r="AJ323" s="492"/>
      <c r="AK323" s="492"/>
      <c r="AL323" s="492"/>
      <c r="AM323" s="492"/>
      <c r="AN323" s="492"/>
    </row>
    <row r="324" spans="1:40" ht="15.75" hidden="1" customHeight="1">
      <c r="A324" s="477" t="s">
        <v>408</v>
      </c>
      <c r="B324" s="492" t="s">
        <v>103</v>
      </c>
      <c r="C324" s="508" t="s">
        <v>20</v>
      </c>
      <c r="D324" s="561"/>
      <c r="E324" s="492"/>
      <c r="F324" s="509">
        <v>0</v>
      </c>
      <c r="G324" s="562"/>
      <c r="H324" s="492"/>
      <c r="I324" s="509"/>
      <c r="J324" s="508"/>
      <c r="K324" s="492"/>
      <c r="L324" s="511">
        <v>0</v>
      </c>
      <c r="M324" s="508"/>
      <c r="N324" s="511">
        <v>0</v>
      </c>
      <c r="O324" s="508"/>
      <c r="P324" s="492"/>
      <c r="Q324" s="511">
        <v>0</v>
      </c>
      <c r="R324" s="508"/>
      <c r="S324" s="534">
        <v>0</v>
      </c>
      <c r="T324" s="492"/>
      <c r="U324" s="489"/>
      <c r="V324" s="492"/>
      <c r="W324" s="492"/>
      <c r="X324" s="492"/>
      <c r="Y324" s="492"/>
      <c r="Z324" s="492"/>
      <c r="AA324" s="492"/>
      <c r="AB324" s="492"/>
      <c r="AC324" s="492"/>
      <c r="AD324" s="492"/>
      <c r="AE324" s="492"/>
      <c r="AF324" s="492"/>
      <c r="AG324" s="492"/>
      <c r="AH324" s="492"/>
      <c r="AI324" s="492"/>
      <c r="AJ324" s="492"/>
      <c r="AK324" s="492"/>
      <c r="AL324" s="492"/>
      <c r="AM324" s="492"/>
      <c r="AN324" s="492"/>
    </row>
    <row r="325" spans="1:40" ht="15.75" customHeight="1">
      <c r="A325" s="477" t="s">
        <v>422</v>
      </c>
      <c r="B325" s="492" t="s">
        <v>103</v>
      </c>
      <c r="C325" s="578" t="s">
        <v>45</v>
      </c>
      <c r="D325" s="561"/>
      <c r="E325" s="492"/>
      <c r="F325" s="503">
        <v>5047.9207243846158</v>
      </c>
      <c r="G325" s="562"/>
      <c r="H325" s="492"/>
      <c r="I325" s="503"/>
      <c r="J325" s="508"/>
      <c r="K325" s="492"/>
      <c r="L325" s="511">
        <v>5519.03</v>
      </c>
      <c r="M325" s="508"/>
      <c r="N325" s="511">
        <v>471.10927561538392</v>
      </c>
      <c r="O325" s="508"/>
      <c r="P325" s="492"/>
      <c r="Q325" s="511">
        <v>2859.89</v>
      </c>
      <c r="R325" s="508"/>
      <c r="S325" s="534">
        <v>2659.14</v>
      </c>
      <c r="T325" s="492"/>
      <c r="U325" s="489"/>
      <c r="V325" s="492"/>
      <c r="W325" s="492"/>
      <c r="X325" s="492"/>
      <c r="Y325" s="492"/>
      <c r="Z325" s="492"/>
      <c r="AA325" s="492"/>
      <c r="AB325" s="492"/>
      <c r="AC325" s="492"/>
      <c r="AD325" s="492"/>
      <c r="AE325" s="492"/>
      <c r="AF325" s="492"/>
      <c r="AG325" s="492"/>
      <c r="AH325" s="492"/>
      <c r="AI325" s="492"/>
      <c r="AJ325" s="492"/>
      <c r="AK325" s="492"/>
      <c r="AL325" s="492"/>
      <c r="AM325" s="492"/>
      <c r="AN325" s="492"/>
    </row>
    <row r="326" spans="1:40" ht="15.75" customHeight="1">
      <c r="A326" s="477" t="s">
        <v>423</v>
      </c>
      <c r="B326" s="492" t="s">
        <v>103</v>
      </c>
      <c r="C326" s="576" t="s">
        <v>46</v>
      </c>
      <c r="D326" s="579"/>
      <c r="E326" s="580"/>
      <c r="F326" s="509">
        <v>6137.5599996923083</v>
      </c>
      <c r="G326" s="581"/>
      <c r="H326" s="580"/>
      <c r="I326" s="509"/>
      <c r="J326" s="496"/>
      <c r="K326" s="580"/>
      <c r="L326" s="530">
        <v>7301.86</v>
      </c>
      <c r="M326" s="496"/>
      <c r="N326" s="530">
        <v>1164.3000003076913</v>
      </c>
      <c r="O326" s="496"/>
      <c r="P326" s="580"/>
      <c r="Q326" s="530">
        <v>8251.7099999999991</v>
      </c>
      <c r="R326" s="496"/>
      <c r="S326" s="582">
        <v>-949.84999999999945</v>
      </c>
      <c r="T326" s="492"/>
      <c r="U326" s="489"/>
      <c r="V326" s="492"/>
      <c r="W326" s="492"/>
      <c r="X326" s="492"/>
      <c r="Y326" s="492"/>
      <c r="Z326" s="492"/>
      <c r="AA326" s="492"/>
      <c r="AB326" s="492"/>
      <c r="AC326" s="492"/>
      <c r="AD326" s="492"/>
      <c r="AE326" s="492"/>
      <c r="AF326" s="492"/>
      <c r="AG326" s="492"/>
      <c r="AH326" s="492"/>
      <c r="AI326" s="492"/>
      <c r="AJ326" s="492"/>
      <c r="AK326" s="492"/>
      <c r="AL326" s="492"/>
      <c r="AM326" s="492"/>
      <c r="AN326" s="492"/>
    </row>
    <row r="327" spans="1:40" ht="15.75" customHeight="1">
      <c r="A327" s="477" t="s">
        <v>424</v>
      </c>
      <c r="B327" s="492" t="s">
        <v>103</v>
      </c>
      <c r="C327" s="576" t="s">
        <v>47</v>
      </c>
      <c r="D327" s="561"/>
      <c r="E327" s="492"/>
      <c r="F327" s="509">
        <v>3162.1776520153844</v>
      </c>
      <c r="G327" s="562"/>
      <c r="H327" s="492"/>
      <c r="I327" s="509"/>
      <c r="J327" s="508"/>
      <c r="K327" s="492"/>
      <c r="L327" s="511">
        <v>1554.18</v>
      </c>
      <c r="M327" s="508"/>
      <c r="N327" s="511">
        <v>-1607.9976520153843</v>
      </c>
      <c r="O327" s="508"/>
      <c r="P327" s="492"/>
      <c r="Q327" s="511">
        <v>1698.17</v>
      </c>
      <c r="R327" s="508"/>
      <c r="S327" s="534">
        <v>-143.99</v>
      </c>
      <c r="T327" s="492"/>
      <c r="U327" s="489"/>
      <c r="V327" s="492"/>
      <c r="W327" s="492"/>
      <c r="X327" s="492"/>
      <c r="Y327" s="492"/>
      <c r="Z327" s="492"/>
      <c r="AA327" s="492"/>
      <c r="AB327" s="492"/>
      <c r="AC327" s="492"/>
      <c r="AD327" s="492"/>
      <c r="AE327" s="492"/>
      <c r="AF327" s="492"/>
      <c r="AG327" s="492"/>
      <c r="AH327" s="492"/>
      <c r="AI327" s="492"/>
      <c r="AJ327" s="492"/>
      <c r="AK327" s="492"/>
      <c r="AL327" s="492"/>
      <c r="AM327" s="492"/>
      <c r="AN327" s="492"/>
    </row>
    <row r="328" spans="1:40" ht="15.75" customHeight="1">
      <c r="A328" s="477" t="s">
        <v>425</v>
      </c>
      <c r="B328" s="492" t="s">
        <v>103</v>
      </c>
      <c r="C328" s="576" t="s">
        <v>48</v>
      </c>
      <c r="D328" s="561"/>
      <c r="E328" s="492"/>
      <c r="F328" s="509">
        <v>1378.7272463076922</v>
      </c>
      <c r="G328" s="562"/>
      <c r="H328" s="492"/>
      <c r="I328" s="509"/>
      <c r="J328" s="508"/>
      <c r="K328" s="492"/>
      <c r="L328" s="511">
        <v>695.16</v>
      </c>
      <c r="M328" s="508"/>
      <c r="N328" s="511">
        <v>-683.56724630769224</v>
      </c>
      <c r="O328" s="508"/>
      <c r="P328" s="492"/>
      <c r="Q328" s="511">
        <v>1640.79</v>
      </c>
      <c r="R328" s="508"/>
      <c r="S328" s="534">
        <v>-945.63</v>
      </c>
      <c r="T328" s="492"/>
      <c r="U328" s="489"/>
      <c r="V328" s="492"/>
      <c r="W328" s="492"/>
      <c r="X328" s="492"/>
      <c r="Y328" s="492"/>
      <c r="Z328" s="492"/>
      <c r="AA328" s="492"/>
      <c r="AB328" s="492"/>
      <c r="AC328" s="492"/>
      <c r="AD328" s="492"/>
      <c r="AE328" s="492"/>
      <c r="AF328" s="492"/>
      <c r="AG328" s="492"/>
      <c r="AH328" s="492"/>
      <c r="AI328" s="492"/>
      <c r="AJ328" s="492"/>
      <c r="AK328" s="492"/>
      <c r="AL328" s="492"/>
      <c r="AM328" s="492"/>
      <c r="AN328" s="492"/>
    </row>
    <row r="329" spans="1:40" ht="15.75" hidden="1" customHeight="1">
      <c r="A329" s="477" t="s">
        <v>408</v>
      </c>
      <c r="B329" s="492" t="s">
        <v>103</v>
      </c>
      <c r="C329" s="508" t="s">
        <v>20</v>
      </c>
      <c r="D329" s="563"/>
      <c r="E329" s="583"/>
      <c r="F329" s="509">
        <v>0</v>
      </c>
      <c r="G329" s="564"/>
      <c r="H329" s="583"/>
      <c r="I329" s="509"/>
      <c r="J329" s="501"/>
      <c r="K329" s="583"/>
      <c r="L329" s="511">
        <v>0</v>
      </c>
      <c r="M329" s="501"/>
      <c r="N329" s="559">
        <v>0</v>
      </c>
      <c r="O329" s="501"/>
      <c r="P329" s="583"/>
      <c r="Q329" s="511">
        <v>0</v>
      </c>
      <c r="R329" s="501"/>
      <c r="S329" s="559">
        <v>0</v>
      </c>
      <c r="T329" s="492"/>
      <c r="U329" s="489"/>
      <c r="V329" s="492"/>
      <c r="W329" s="492"/>
      <c r="X329" s="492"/>
      <c r="Y329" s="492"/>
      <c r="Z329" s="492"/>
      <c r="AA329" s="492"/>
      <c r="AB329" s="492"/>
      <c r="AC329" s="492"/>
      <c r="AD329" s="492"/>
      <c r="AE329" s="492"/>
      <c r="AF329" s="492"/>
      <c r="AG329" s="492"/>
      <c r="AH329" s="492"/>
      <c r="AI329" s="492"/>
      <c r="AJ329" s="492"/>
      <c r="AK329" s="492"/>
      <c r="AL329" s="492"/>
      <c r="AM329" s="492"/>
      <c r="AN329" s="492"/>
    </row>
    <row r="330" spans="1:40" ht="15.75" customHeight="1">
      <c r="A330" s="477" t="s">
        <v>426</v>
      </c>
      <c r="B330" s="492" t="s">
        <v>103</v>
      </c>
      <c r="C330" s="568" t="s">
        <v>49</v>
      </c>
      <c r="D330" s="569" t="s">
        <v>39</v>
      </c>
      <c r="E330" s="570">
        <v>0.45463470529758648</v>
      </c>
      <c r="F330" s="571">
        <v>56701.765776246168</v>
      </c>
      <c r="G330" s="572"/>
      <c r="H330" s="570"/>
      <c r="I330" s="571"/>
      <c r="J330" s="572" t="s">
        <v>39</v>
      </c>
      <c r="K330" s="570">
        <v>0.31399473171911141</v>
      </c>
      <c r="L330" s="571">
        <v>46336.19</v>
      </c>
      <c r="M330" s="625"/>
      <c r="N330" s="585">
        <v>-10365.575776246165</v>
      </c>
      <c r="O330" s="572" t="s">
        <v>39</v>
      </c>
      <c r="P330" s="570">
        <v>0.46845271011164374</v>
      </c>
      <c r="Q330" s="571">
        <v>50056.95</v>
      </c>
      <c r="R330" s="625"/>
      <c r="S330" s="585">
        <v>-3720.7599999999948</v>
      </c>
      <c r="T330" s="492"/>
      <c r="U330" s="489"/>
      <c r="V330" s="492"/>
      <c r="W330" s="492"/>
      <c r="X330" s="492"/>
      <c r="Y330" s="492"/>
      <c r="Z330" s="492"/>
      <c r="AA330" s="492"/>
      <c r="AB330" s="492"/>
      <c r="AC330" s="492"/>
      <c r="AD330" s="492"/>
      <c r="AE330" s="492"/>
      <c r="AF330" s="492"/>
      <c r="AG330" s="492"/>
      <c r="AH330" s="492"/>
      <c r="AI330" s="492"/>
      <c r="AJ330" s="492"/>
      <c r="AK330" s="492"/>
      <c r="AL330" s="492"/>
      <c r="AM330" s="492"/>
      <c r="AN330" s="492"/>
    </row>
    <row r="331" spans="1:40" ht="15.75" customHeight="1">
      <c r="A331" s="477" t="s">
        <v>427</v>
      </c>
      <c r="B331" s="492" t="s">
        <v>103</v>
      </c>
      <c r="C331" s="681" t="s">
        <v>50</v>
      </c>
      <c r="D331" s="561"/>
      <c r="E331" s="492"/>
      <c r="F331" s="509">
        <v>2577.5928555269834</v>
      </c>
      <c r="G331" s="562"/>
      <c r="H331" s="492"/>
      <c r="I331" s="509"/>
      <c r="J331" s="508"/>
      <c r="K331" s="492"/>
      <c r="L331" s="511">
        <v>85.99</v>
      </c>
      <c r="M331" s="508"/>
      <c r="N331" s="534">
        <v>-2491.6028555269836</v>
      </c>
      <c r="O331" s="508"/>
      <c r="P331" s="492"/>
      <c r="Q331" s="511">
        <v>3417.43</v>
      </c>
      <c r="R331" s="508"/>
      <c r="S331" s="534">
        <v>-3331.44</v>
      </c>
      <c r="T331" s="492"/>
      <c r="U331" s="489"/>
      <c r="V331" s="492"/>
      <c r="W331" s="550"/>
      <c r="X331" s="492"/>
      <c r="Y331" s="492"/>
      <c r="Z331" s="492"/>
      <c r="AA331" s="492"/>
      <c r="AB331" s="492"/>
      <c r="AC331" s="492"/>
      <c r="AD331" s="492"/>
      <c r="AE331" s="492"/>
      <c r="AF331" s="492"/>
      <c r="AG331" s="492"/>
      <c r="AH331" s="492"/>
      <c r="AI331" s="492"/>
      <c r="AJ331" s="492"/>
      <c r="AK331" s="492"/>
      <c r="AL331" s="492"/>
      <c r="AM331" s="492"/>
      <c r="AN331" s="492"/>
    </row>
    <row r="332" spans="1:40" ht="15.75" customHeight="1">
      <c r="A332" s="477" t="s">
        <v>428</v>
      </c>
      <c r="B332" s="492" t="s">
        <v>103</v>
      </c>
      <c r="C332" s="576" t="s">
        <v>51</v>
      </c>
      <c r="D332" s="561"/>
      <c r="E332" s="492"/>
      <c r="F332" s="509">
        <v>561.52577820142733</v>
      </c>
      <c r="G332" s="562"/>
      <c r="H332" s="492"/>
      <c r="I332" s="509"/>
      <c r="J332" s="508"/>
      <c r="K332" s="492"/>
      <c r="L332" s="511">
        <v>-678.09</v>
      </c>
      <c r="M332" s="508"/>
      <c r="N332" s="534">
        <v>-1239.6157782014275</v>
      </c>
      <c r="O332" s="508"/>
      <c r="P332" s="492"/>
      <c r="Q332" s="511">
        <v>712.76</v>
      </c>
      <c r="R332" s="508"/>
      <c r="S332" s="534">
        <v>-1390.85</v>
      </c>
      <c r="T332" s="492"/>
      <c r="U332" s="489"/>
      <c r="V332" s="492"/>
      <c r="W332" s="492"/>
      <c r="X332" s="492"/>
      <c r="Y332" s="492"/>
      <c r="Z332" s="492"/>
      <c r="AA332" s="492"/>
      <c r="AB332" s="492"/>
      <c r="AC332" s="492"/>
      <c r="AD332" s="492"/>
      <c r="AE332" s="492"/>
      <c r="AF332" s="492"/>
      <c r="AG332" s="492"/>
      <c r="AH332" s="492"/>
      <c r="AI332" s="492"/>
      <c r="AJ332" s="492"/>
      <c r="AK332" s="492"/>
      <c r="AL332" s="492"/>
      <c r="AM332" s="492"/>
      <c r="AN332" s="492"/>
    </row>
    <row r="333" spans="1:40" ht="15.75" customHeight="1">
      <c r="A333" s="477" t="s">
        <v>429</v>
      </c>
      <c r="B333" s="492" t="s">
        <v>103</v>
      </c>
      <c r="C333" s="578" t="s">
        <v>52</v>
      </c>
      <c r="D333" s="563"/>
      <c r="E333" s="583"/>
      <c r="F333" s="503">
        <v>1264.3204888888893</v>
      </c>
      <c r="G333" s="564"/>
      <c r="H333" s="583"/>
      <c r="I333" s="503"/>
      <c r="J333" s="501"/>
      <c r="K333" s="583"/>
      <c r="L333" s="511">
        <v>1006.91</v>
      </c>
      <c r="M333" s="501"/>
      <c r="N333" s="559">
        <v>-257.41048888888929</v>
      </c>
      <c r="O333" s="501"/>
      <c r="P333" s="583"/>
      <c r="Q333" s="511">
        <v>1351.28</v>
      </c>
      <c r="R333" s="501"/>
      <c r="S333" s="559">
        <v>-344.37</v>
      </c>
      <c r="T333" s="492"/>
      <c r="U333" s="489"/>
      <c r="V333" s="492"/>
      <c r="W333" s="492"/>
      <c r="X333" s="492"/>
      <c r="Y333" s="492"/>
      <c r="Z333" s="492"/>
      <c r="AA333" s="492"/>
      <c r="AB333" s="492"/>
      <c r="AC333" s="492"/>
      <c r="AD333" s="492"/>
      <c r="AE333" s="492"/>
      <c r="AF333" s="492"/>
      <c r="AG333" s="492"/>
      <c r="AH333" s="492"/>
      <c r="AI333" s="492"/>
      <c r="AJ333" s="492"/>
      <c r="AK333" s="492"/>
      <c r="AL333" s="492"/>
      <c r="AM333" s="492"/>
      <c r="AN333" s="492"/>
    </row>
    <row r="334" spans="1:40" ht="15.75" customHeight="1">
      <c r="A334" s="477" t="s">
        <v>430</v>
      </c>
      <c r="B334" s="492" t="s">
        <v>103</v>
      </c>
      <c r="C334" s="576" t="s">
        <v>53</v>
      </c>
      <c r="D334" s="561"/>
      <c r="E334" s="492"/>
      <c r="F334" s="509">
        <v>4449.6567389444454</v>
      </c>
      <c r="G334" s="562"/>
      <c r="H334" s="492"/>
      <c r="I334" s="509"/>
      <c r="J334" s="508"/>
      <c r="K334" s="492"/>
      <c r="L334" s="530">
        <v>5342.43</v>
      </c>
      <c r="M334" s="508"/>
      <c r="N334" s="534">
        <v>892.77326105555494</v>
      </c>
      <c r="O334" s="508"/>
      <c r="P334" s="492"/>
      <c r="Q334" s="530">
        <v>5565.64</v>
      </c>
      <c r="R334" s="508"/>
      <c r="S334" s="534">
        <v>-223.21000000000004</v>
      </c>
      <c r="T334" s="492"/>
      <c r="U334" s="489"/>
      <c r="V334" s="492"/>
      <c r="W334" s="492"/>
      <c r="X334" s="492"/>
      <c r="Y334" s="492"/>
      <c r="Z334" s="492"/>
      <c r="AA334" s="492"/>
      <c r="AB334" s="492"/>
      <c r="AC334" s="492"/>
      <c r="AD334" s="492"/>
      <c r="AE334" s="492"/>
      <c r="AF334" s="492"/>
      <c r="AG334" s="492"/>
      <c r="AH334" s="492"/>
      <c r="AI334" s="492"/>
      <c r="AJ334" s="492"/>
      <c r="AK334" s="492"/>
      <c r="AL334" s="492"/>
      <c r="AM334" s="492"/>
      <c r="AN334" s="492"/>
    </row>
    <row r="335" spans="1:40" ht="15.75" customHeight="1">
      <c r="A335" s="477" t="s">
        <v>431</v>
      </c>
      <c r="B335" s="492" t="s">
        <v>103</v>
      </c>
      <c r="C335" s="576" t="s">
        <v>54</v>
      </c>
      <c r="D335" s="561"/>
      <c r="E335" s="492"/>
      <c r="F335" s="509">
        <v>818.27646887680896</v>
      </c>
      <c r="G335" s="562"/>
      <c r="H335" s="492"/>
      <c r="I335" s="509"/>
      <c r="J335" s="508"/>
      <c r="K335" s="492"/>
      <c r="L335" s="511">
        <v>665.2</v>
      </c>
      <c r="M335" s="508"/>
      <c r="N335" s="534">
        <v>-153.07646887680892</v>
      </c>
      <c r="O335" s="508"/>
      <c r="P335" s="492"/>
      <c r="Q335" s="511">
        <v>905.44</v>
      </c>
      <c r="R335" s="508"/>
      <c r="S335" s="534">
        <v>-240.24</v>
      </c>
      <c r="T335" s="492"/>
      <c r="U335" s="489"/>
      <c r="V335" s="492"/>
      <c r="W335" s="492"/>
      <c r="X335" s="492"/>
      <c r="Y335" s="492"/>
      <c r="Z335" s="492"/>
      <c r="AA335" s="492"/>
      <c r="AB335" s="492"/>
      <c r="AC335" s="492"/>
      <c r="AD335" s="492"/>
      <c r="AE335" s="492"/>
      <c r="AF335" s="492"/>
      <c r="AG335" s="492"/>
      <c r="AH335" s="492"/>
      <c r="AI335" s="492"/>
      <c r="AJ335" s="492"/>
      <c r="AK335" s="492"/>
      <c r="AL335" s="492"/>
      <c r="AM335" s="492"/>
      <c r="AN335" s="492"/>
    </row>
    <row r="336" spans="1:40" ht="15.75" customHeight="1">
      <c r="A336" s="477" t="s">
        <v>432</v>
      </c>
      <c r="B336" s="492" t="s">
        <v>103</v>
      </c>
      <c r="C336" s="578" t="s">
        <v>55</v>
      </c>
      <c r="D336" s="563"/>
      <c r="E336" s="583"/>
      <c r="F336" s="503">
        <v>12488.085877265243</v>
      </c>
      <c r="G336" s="564"/>
      <c r="H336" s="583"/>
      <c r="I336" s="503"/>
      <c r="J336" s="501"/>
      <c r="K336" s="583"/>
      <c r="L336" s="503">
        <v>16464.14</v>
      </c>
      <c r="M336" s="501"/>
      <c r="N336" s="559">
        <v>3976.0541227347567</v>
      </c>
      <c r="O336" s="501"/>
      <c r="P336" s="583"/>
      <c r="Q336" s="503">
        <v>11251.54</v>
      </c>
      <c r="R336" s="501"/>
      <c r="S336" s="559">
        <v>5212.5999999999985</v>
      </c>
      <c r="T336" s="492"/>
      <c r="U336" s="489"/>
      <c r="V336" s="492"/>
      <c r="W336" s="492"/>
      <c r="X336" s="492"/>
      <c r="Y336" s="492"/>
      <c r="Z336" s="492"/>
      <c r="AA336" s="492"/>
      <c r="AB336" s="492"/>
      <c r="AC336" s="492"/>
      <c r="AD336" s="492"/>
      <c r="AE336" s="492"/>
      <c r="AF336" s="492"/>
      <c r="AG336" s="492"/>
      <c r="AH336" s="492"/>
      <c r="AI336" s="492"/>
      <c r="AJ336" s="492"/>
      <c r="AK336" s="492"/>
      <c r="AL336" s="492"/>
      <c r="AM336" s="492"/>
      <c r="AN336" s="492"/>
    </row>
    <row r="337" spans="1:40" ht="15.75" customHeight="1">
      <c r="A337" s="477" t="s">
        <v>433</v>
      </c>
      <c r="B337" s="492" t="s">
        <v>103</v>
      </c>
      <c r="C337" s="576" t="s">
        <v>98</v>
      </c>
      <c r="D337" s="561"/>
      <c r="E337" s="492"/>
      <c r="F337" s="509"/>
      <c r="G337" s="562"/>
      <c r="H337" s="492"/>
      <c r="I337" s="509"/>
      <c r="J337" s="508"/>
      <c r="K337" s="492"/>
      <c r="L337" s="511">
        <v>0</v>
      </c>
      <c r="M337" s="508"/>
      <c r="N337" s="534">
        <v>0</v>
      </c>
      <c r="O337" s="508"/>
      <c r="P337" s="492"/>
      <c r="Q337" s="511">
        <v>0</v>
      </c>
      <c r="R337" s="508"/>
      <c r="S337" s="534">
        <v>0</v>
      </c>
      <c r="T337" s="492"/>
      <c r="U337" s="489"/>
      <c r="V337" s="492"/>
      <c r="W337" s="492"/>
      <c r="X337" s="492"/>
      <c r="Y337" s="492"/>
      <c r="Z337" s="492"/>
      <c r="AA337" s="492"/>
      <c r="AB337" s="492"/>
      <c r="AC337" s="492"/>
      <c r="AD337" s="492"/>
      <c r="AE337" s="492"/>
      <c r="AF337" s="492"/>
      <c r="AG337" s="492"/>
      <c r="AH337" s="492"/>
      <c r="AI337" s="492"/>
      <c r="AJ337" s="492"/>
      <c r="AK337" s="492"/>
      <c r="AL337" s="492"/>
      <c r="AM337" s="492"/>
      <c r="AN337" s="492"/>
    </row>
    <row r="338" spans="1:40" ht="15.75" customHeight="1">
      <c r="A338" s="477" t="s">
        <v>434</v>
      </c>
      <c r="B338" s="492" t="s">
        <v>103</v>
      </c>
      <c r="C338" s="576" t="s">
        <v>56</v>
      </c>
      <c r="D338" s="561"/>
      <c r="E338" s="492"/>
      <c r="F338" s="509">
        <v>255.67533333333333</v>
      </c>
      <c r="G338" s="562"/>
      <c r="H338" s="492"/>
      <c r="I338" s="509"/>
      <c r="J338" s="508"/>
      <c r="K338" s="492"/>
      <c r="L338" s="511">
        <v>20.04</v>
      </c>
      <c r="M338" s="508"/>
      <c r="N338" s="534">
        <v>-235.63533333333334</v>
      </c>
      <c r="O338" s="508"/>
      <c r="P338" s="492"/>
      <c r="Q338" s="511">
        <v>759.58</v>
      </c>
      <c r="R338" s="508"/>
      <c r="S338" s="534">
        <v>-739.54000000000008</v>
      </c>
      <c r="T338" s="492"/>
      <c r="U338" s="489"/>
      <c r="V338" s="492"/>
      <c r="W338" s="492"/>
      <c r="X338" s="492"/>
      <c r="Y338" s="492"/>
      <c r="Z338" s="492"/>
      <c r="AA338" s="492"/>
      <c r="AB338" s="492"/>
      <c r="AC338" s="492"/>
      <c r="AD338" s="492"/>
      <c r="AE338" s="492"/>
      <c r="AF338" s="492"/>
      <c r="AG338" s="492"/>
      <c r="AH338" s="492"/>
      <c r="AI338" s="492"/>
      <c r="AJ338" s="492"/>
      <c r="AK338" s="492"/>
      <c r="AL338" s="492"/>
      <c r="AM338" s="492"/>
      <c r="AN338" s="492"/>
    </row>
    <row r="339" spans="1:40" ht="15.75" customHeight="1">
      <c r="A339" s="477" t="s">
        <v>435</v>
      </c>
      <c r="B339" s="492" t="s">
        <v>103</v>
      </c>
      <c r="C339" s="576" t="s">
        <v>57</v>
      </c>
      <c r="D339" s="561"/>
      <c r="E339" s="492"/>
      <c r="F339" s="509">
        <v>28.333333333333332</v>
      </c>
      <c r="G339" s="562"/>
      <c r="H339" s="492"/>
      <c r="I339" s="509"/>
      <c r="J339" s="508"/>
      <c r="K339" s="492"/>
      <c r="L339" s="511">
        <v>0</v>
      </c>
      <c r="M339" s="508"/>
      <c r="N339" s="534">
        <v>-28.333333333333332</v>
      </c>
      <c r="O339" s="508"/>
      <c r="P339" s="492"/>
      <c r="Q339" s="511">
        <v>0</v>
      </c>
      <c r="R339" s="508"/>
      <c r="S339" s="534">
        <v>0</v>
      </c>
      <c r="T339" s="492"/>
      <c r="U339" s="489"/>
      <c r="V339" s="492"/>
      <c r="W339" s="492"/>
      <c r="X339" s="492"/>
      <c r="Y339" s="492"/>
      <c r="Z339" s="492"/>
      <c r="AA339" s="492"/>
      <c r="AB339" s="492"/>
      <c r="AC339" s="492"/>
      <c r="AD339" s="492"/>
      <c r="AE339" s="492"/>
      <c r="AF339" s="492"/>
      <c r="AG339" s="492"/>
      <c r="AH339" s="492"/>
      <c r="AI339" s="492"/>
      <c r="AJ339" s="492"/>
      <c r="AK339" s="492"/>
      <c r="AL339" s="492"/>
      <c r="AM339" s="492"/>
      <c r="AN339" s="492"/>
    </row>
    <row r="340" spans="1:40" ht="15.75" customHeight="1">
      <c r="A340" s="477" t="s">
        <v>436</v>
      </c>
      <c r="B340" s="492" t="s">
        <v>103</v>
      </c>
      <c r="C340" s="576" t="s">
        <v>58</v>
      </c>
      <c r="D340" s="561"/>
      <c r="E340" s="492"/>
      <c r="F340" s="509">
        <v>716.40904661649995</v>
      </c>
      <c r="G340" s="562"/>
      <c r="H340" s="492"/>
      <c r="I340" s="509"/>
      <c r="J340" s="508"/>
      <c r="K340" s="492"/>
      <c r="L340" s="511">
        <v>234.02</v>
      </c>
      <c r="M340" s="508"/>
      <c r="N340" s="534">
        <v>-482.38904661649997</v>
      </c>
      <c r="O340" s="508"/>
      <c r="P340" s="492"/>
      <c r="Q340" s="511">
        <v>2867.51</v>
      </c>
      <c r="R340" s="508"/>
      <c r="S340" s="534">
        <v>-2633.4900000000002</v>
      </c>
      <c r="T340" s="492"/>
      <c r="U340" s="489"/>
      <c r="V340" s="492"/>
      <c r="W340" s="492"/>
      <c r="X340" s="492"/>
      <c r="Y340" s="492"/>
      <c r="Z340" s="492"/>
      <c r="AA340" s="492"/>
      <c r="AB340" s="492"/>
      <c r="AC340" s="492"/>
      <c r="AD340" s="492"/>
      <c r="AE340" s="492"/>
      <c r="AF340" s="492"/>
      <c r="AG340" s="492"/>
      <c r="AH340" s="492"/>
      <c r="AI340" s="492"/>
      <c r="AJ340" s="492"/>
      <c r="AK340" s="492"/>
      <c r="AL340" s="492"/>
      <c r="AM340" s="492"/>
      <c r="AN340" s="492"/>
    </row>
    <row r="341" spans="1:40" ht="15.75" customHeight="1">
      <c r="A341" s="477" t="s">
        <v>437</v>
      </c>
      <c r="B341" s="492" t="s">
        <v>103</v>
      </c>
      <c r="C341" s="576" t="s">
        <v>59</v>
      </c>
      <c r="D341" s="561"/>
      <c r="E341" s="492"/>
      <c r="F341" s="509">
        <v>115.54074359217363</v>
      </c>
      <c r="G341" s="562"/>
      <c r="H341" s="492"/>
      <c r="I341" s="509"/>
      <c r="J341" s="508"/>
      <c r="K341" s="492"/>
      <c r="L341" s="511">
        <v>94.15</v>
      </c>
      <c r="M341" s="508"/>
      <c r="N341" s="534">
        <v>-21.390743592173621</v>
      </c>
      <c r="O341" s="508"/>
      <c r="P341" s="492"/>
      <c r="Q341" s="511">
        <v>158.07</v>
      </c>
      <c r="R341" s="508"/>
      <c r="S341" s="534">
        <v>-63.919999999999987</v>
      </c>
      <c r="T341" s="492"/>
      <c r="U341" s="489"/>
      <c r="V341" s="492"/>
      <c r="W341" s="492"/>
      <c r="X341" s="492"/>
      <c r="Y341" s="492"/>
      <c r="Z341" s="492"/>
      <c r="AA341" s="492"/>
      <c r="AB341" s="492"/>
      <c r="AC341" s="492"/>
      <c r="AD341" s="492"/>
      <c r="AE341" s="492"/>
      <c r="AF341" s="492"/>
      <c r="AG341" s="492"/>
      <c r="AH341" s="492"/>
      <c r="AI341" s="492"/>
      <c r="AJ341" s="492"/>
      <c r="AK341" s="492"/>
      <c r="AL341" s="492"/>
      <c r="AM341" s="492"/>
      <c r="AN341" s="492"/>
    </row>
    <row r="342" spans="1:40" ht="15.75" customHeight="1">
      <c r="A342" s="477" t="s">
        <v>438</v>
      </c>
      <c r="B342" s="492" t="s">
        <v>103</v>
      </c>
      <c r="C342" s="576" t="s">
        <v>60</v>
      </c>
      <c r="D342" s="561"/>
      <c r="E342" s="492"/>
      <c r="F342" s="509">
        <v>-31.110347462173621</v>
      </c>
      <c r="G342" s="562"/>
      <c r="H342" s="492"/>
      <c r="I342" s="509"/>
      <c r="J342" s="508"/>
      <c r="K342" s="492"/>
      <c r="L342" s="511">
        <v>-2231.29</v>
      </c>
      <c r="M342" s="508"/>
      <c r="N342" s="534">
        <v>-2200.1796525378263</v>
      </c>
      <c r="O342" s="508"/>
      <c r="P342" s="492"/>
      <c r="Q342" s="511">
        <v>-398.91</v>
      </c>
      <c r="R342" s="508"/>
      <c r="S342" s="534">
        <v>-1832.3799999999999</v>
      </c>
      <c r="T342" s="492"/>
      <c r="U342" s="489"/>
      <c r="V342" s="492"/>
      <c r="W342" s="492"/>
      <c r="X342" s="492"/>
      <c r="Y342" s="492"/>
      <c r="Z342" s="492"/>
      <c r="AA342" s="492"/>
      <c r="AB342" s="492"/>
      <c r="AC342" s="492"/>
      <c r="AD342" s="492"/>
      <c r="AE342" s="492"/>
      <c r="AF342" s="492"/>
      <c r="AG342" s="492"/>
      <c r="AH342" s="492"/>
      <c r="AI342" s="492"/>
      <c r="AJ342" s="492"/>
      <c r="AK342" s="492"/>
      <c r="AL342" s="492"/>
      <c r="AM342" s="492"/>
      <c r="AN342" s="492"/>
    </row>
    <row r="343" spans="1:40" ht="15.75" customHeight="1">
      <c r="A343" s="477" t="s">
        <v>439</v>
      </c>
      <c r="B343" s="492" t="s">
        <v>103</v>
      </c>
      <c r="C343" s="576" t="s">
        <v>61</v>
      </c>
      <c r="D343" s="561"/>
      <c r="E343" s="492"/>
      <c r="F343" s="509">
        <v>156.51117666245145</v>
      </c>
      <c r="G343" s="562"/>
      <c r="H343" s="492"/>
      <c r="I343" s="509"/>
      <c r="J343" s="508"/>
      <c r="K343" s="492"/>
      <c r="L343" s="511">
        <v>49</v>
      </c>
      <c r="M343" s="508"/>
      <c r="N343" s="534">
        <v>-107.51117666245145</v>
      </c>
      <c r="O343" s="508"/>
      <c r="P343" s="492"/>
      <c r="Q343" s="511">
        <v>40.99</v>
      </c>
      <c r="R343" s="508"/>
      <c r="S343" s="534">
        <v>8.009999999999998</v>
      </c>
      <c r="T343" s="492"/>
      <c r="U343" s="489"/>
      <c r="V343" s="492"/>
      <c r="W343" s="492"/>
      <c r="X343" s="492"/>
      <c r="Y343" s="492"/>
      <c r="Z343" s="492"/>
      <c r="AA343" s="492"/>
      <c r="AB343" s="492"/>
      <c r="AC343" s="492"/>
      <c r="AD343" s="492"/>
      <c r="AE343" s="492"/>
      <c r="AF343" s="492"/>
      <c r="AG343" s="492"/>
      <c r="AH343" s="492"/>
      <c r="AI343" s="492"/>
      <c r="AJ343" s="492"/>
      <c r="AK343" s="492"/>
      <c r="AL343" s="492"/>
      <c r="AM343" s="492"/>
      <c r="AN343" s="492"/>
    </row>
    <row r="344" spans="1:40" ht="15.75" customHeight="1">
      <c r="A344" s="477" t="s">
        <v>440</v>
      </c>
      <c r="B344" s="492" t="s">
        <v>103</v>
      </c>
      <c r="C344" s="576" t="s">
        <v>62</v>
      </c>
      <c r="D344" s="561"/>
      <c r="E344" s="492"/>
      <c r="F344" s="509">
        <v>378.95432121431327</v>
      </c>
      <c r="G344" s="562"/>
      <c r="H344" s="492"/>
      <c r="I344" s="509"/>
      <c r="J344" s="508"/>
      <c r="K344" s="492"/>
      <c r="L344" s="511">
        <v>323.68</v>
      </c>
      <c r="M344" s="508"/>
      <c r="N344" s="534">
        <v>-55.274321214313261</v>
      </c>
      <c r="O344" s="508"/>
      <c r="P344" s="492"/>
      <c r="Q344" s="511">
        <v>79.75</v>
      </c>
      <c r="R344" s="508"/>
      <c r="S344" s="534">
        <v>243.93</v>
      </c>
      <c r="T344" s="492"/>
      <c r="U344" s="696"/>
      <c r="X344" s="492"/>
      <c r="Y344" s="492"/>
      <c r="Z344" s="492"/>
      <c r="AA344" s="492"/>
      <c r="AB344" s="492"/>
      <c r="AC344" s="492"/>
      <c r="AD344" s="492"/>
      <c r="AE344" s="492"/>
      <c r="AF344" s="492"/>
      <c r="AG344" s="492"/>
      <c r="AH344" s="492"/>
      <c r="AI344" s="492"/>
      <c r="AJ344" s="492"/>
      <c r="AK344" s="492"/>
      <c r="AL344" s="492"/>
      <c r="AM344" s="492"/>
      <c r="AN344" s="492"/>
    </row>
    <row r="345" spans="1:40" ht="15.75" customHeight="1">
      <c r="A345" s="477" t="s">
        <v>441</v>
      </c>
      <c r="B345" s="492" t="s">
        <v>103</v>
      </c>
      <c r="C345" s="576" t="s">
        <v>63</v>
      </c>
      <c r="D345" s="561"/>
      <c r="E345" s="492"/>
      <c r="F345" s="509">
        <v>1727.6594672908991</v>
      </c>
      <c r="G345" s="562"/>
      <c r="H345" s="492"/>
      <c r="I345" s="509"/>
      <c r="J345" s="508"/>
      <c r="K345" s="492"/>
      <c r="L345" s="511">
        <v>1785.08</v>
      </c>
      <c r="M345" s="508"/>
      <c r="N345" s="534">
        <v>57.420532709100826</v>
      </c>
      <c r="O345" s="508"/>
      <c r="P345" s="492"/>
      <c r="Q345" s="511">
        <v>1589.41</v>
      </c>
      <c r="R345" s="508"/>
      <c r="S345" s="534">
        <v>195.66999999999985</v>
      </c>
      <c r="T345" s="492"/>
      <c r="U345" s="696"/>
      <c r="X345" s="492"/>
      <c r="Y345" s="492"/>
      <c r="Z345" s="492"/>
      <c r="AA345" s="492"/>
      <c r="AB345" s="492"/>
      <c r="AC345" s="492"/>
      <c r="AD345" s="492"/>
      <c r="AE345" s="492"/>
      <c r="AF345" s="492"/>
      <c r="AG345" s="492"/>
      <c r="AH345" s="492"/>
      <c r="AI345" s="492"/>
      <c r="AJ345" s="492"/>
      <c r="AK345" s="492"/>
      <c r="AL345" s="492"/>
      <c r="AM345" s="492"/>
      <c r="AN345" s="492"/>
    </row>
    <row r="346" spans="1:40" ht="15.75" hidden="1" customHeight="1">
      <c r="A346" s="477" t="s">
        <v>408</v>
      </c>
      <c r="B346" s="492" t="s">
        <v>103</v>
      </c>
      <c r="C346" s="576" t="s">
        <v>20</v>
      </c>
      <c r="D346" s="561"/>
      <c r="E346" s="492"/>
      <c r="F346" s="509">
        <v>0</v>
      </c>
      <c r="G346" s="562"/>
      <c r="H346" s="492"/>
      <c r="I346" s="509"/>
      <c r="J346" s="508"/>
      <c r="K346" s="492"/>
      <c r="L346" s="511">
        <v>0</v>
      </c>
      <c r="M346" s="508"/>
      <c r="N346" s="534">
        <v>0</v>
      </c>
      <c r="O346" s="508"/>
      <c r="P346" s="492"/>
      <c r="Q346" s="511">
        <v>0</v>
      </c>
      <c r="R346" s="508"/>
      <c r="S346" s="534">
        <v>0</v>
      </c>
      <c r="T346" s="492"/>
      <c r="U346" s="696"/>
      <c r="X346" s="492"/>
      <c r="Y346" s="492"/>
      <c r="Z346" s="492"/>
      <c r="AA346" s="492"/>
      <c r="AB346" s="492"/>
      <c r="AC346" s="492"/>
      <c r="AD346" s="492"/>
      <c r="AE346" s="492"/>
      <c r="AF346" s="492"/>
      <c r="AG346" s="492"/>
      <c r="AH346" s="492"/>
      <c r="AI346" s="492"/>
      <c r="AJ346" s="492"/>
      <c r="AK346" s="492"/>
      <c r="AL346" s="492"/>
      <c r="AM346" s="492"/>
      <c r="AN346" s="492"/>
    </row>
    <row r="347" spans="1:40" ht="15.75" hidden="1" customHeight="1">
      <c r="A347" s="477" t="s">
        <v>408</v>
      </c>
      <c r="B347" s="492" t="s">
        <v>103</v>
      </c>
      <c r="C347" s="576" t="s">
        <v>20</v>
      </c>
      <c r="D347" s="561"/>
      <c r="E347" s="492"/>
      <c r="F347" s="509">
        <v>0</v>
      </c>
      <c r="G347" s="562"/>
      <c r="H347" s="492"/>
      <c r="I347" s="509"/>
      <c r="J347" s="508"/>
      <c r="K347" s="492"/>
      <c r="L347" s="511">
        <v>0</v>
      </c>
      <c r="M347" s="508"/>
      <c r="N347" s="534">
        <v>0</v>
      </c>
      <c r="O347" s="508"/>
      <c r="P347" s="492"/>
      <c r="Q347" s="511">
        <v>0</v>
      </c>
      <c r="R347" s="508"/>
      <c r="S347" s="534">
        <v>0</v>
      </c>
      <c r="T347" s="492"/>
      <c r="U347" s="696"/>
      <c r="X347" s="492"/>
      <c r="Y347" s="492"/>
      <c r="Z347" s="492"/>
      <c r="AA347" s="492"/>
      <c r="AB347" s="492"/>
      <c r="AC347" s="492"/>
      <c r="AD347" s="492"/>
      <c r="AE347" s="492"/>
      <c r="AF347" s="492"/>
      <c r="AG347" s="492"/>
      <c r="AH347" s="492"/>
      <c r="AI347" s="492"/>
      <c r="AJ347" s="492"/>
      <c r="AK347" s="492"/>
      <c r="AL347" s="492"/>
      <c r="AM347" s="492"/>
      <c r="AN347" s="492"/>
    </row>
    <row r="348" spans="1:40" ht="15.75" hidden="1" customHeight="1">
      <c r="A348" s="477" t="s">
        <v>408</v>
      </c>
      <c r="B348" s="492" t="s">
        <v>103</v>
      </c>
      <c r="C348" s="576" t="s">
        <v>20</v>
      </c>
      <c r="D348" s="561"/>
      <c r="E348" s="492"/>
      <c r="F348" s="509">
        <v>0</v>
      </c>
      <c r="G348" s="562"/>
      <c r="H348" s="492"/>
      <c r="I348" s="509"/>
      <c r="J348" s="508"/>
      <c r="K348" s="492"/>
      <c r="L348" s="511">
        <v>0</v>
      </c>
      <c r="M348" s="508"/>
      <c r="N348" s="534">
        <v>0</v>
      </c>
      <c r="O348" s="508"/>
      <c r="P348" s="492"/>
      <c r="Q348" s="511">
        <v>0</v>
      </c>
      <c r="R348" s="508"/>
      <c r="S348" s="534">
        <v>0</v>
      </c>
      <c r="T348" s="492"/>
      <c r="U348" s="696"/>
      <c r="X348" s="492"/>
      <c r="Y348" s="492"/>
      <c r="Z348" s="492"/>
      <c r="AA348" s="492"/>
      <c r="AB348" s="492"/>
      <c r="AC348" s="492"/>
      <c r="AD348" s="492"/>
      <c r="AE348" s="492"/>
      <c r="AF348" s="492"/>
      <c r="AG348" s="492"/>
      <c r="AH348" s="492"/>
      <c r="AI348" s="492"/>
      <c r="AJ348" s="492"/>
      <c r="AK348" s="492"/>
      <c r="AL348" s="492"/>
      <c r="AM348" s="492"/>
      <c r="AN348" s="492"/>
    </row>
    <row r="349" spans="1:40" ht="15.75" customHeight="1">
      <c r="B349" s="486"/>
      <c r="C349" s="568" t="s">
        <v>64</v>
      </c>
      <c r="D349" s="569" t="s">
        <v>39</v>
      </c>
      <c r="E349" s="570">
        <v>0.20451856031577079</v>
      </c>
      <c r="F349" s="571">
        <v>25507.431282284626</v>
      </c>
      <c r="G349" s="572"/>
      <c r="H349" s="570"/>
      <c r="I349" s="571"/>
      <c r="J349" s="572" t="s">
        <v>39</v>
      </c>
      <c r="K349" s="570">
        <v>0.15695104884490044</v>
      </c>
      <c r="L349" s="571">
        <v>23161.260000000002</v>
      </c>
      <c r="M349" s="575"/>
      <c r="N349" s="571">
        <v>-2346.171282284628</v>
      </c>
      <c r="O349" s="572" t="s">
        <v>39</v>
      </c>
      <c r="P349" s="570">
        <v>0.26484716384013562</v>
      </c>
      <c r="Q349" s="571">
        <v>28300.490000000009</v>
      </c>
      <c r="R349" s="575"/>
      <c r="S349" s="571">
        <v>-5139.2300000000005</v>
      </c>
      <c r="T349" s="492"/>
      <c r="U349" s="696"/>
      <c r="X349" s="492"/>
      <c r="Y349" s="492"/>
      <c r="Z349" s="492"/>
      <c r="AA349" s="492"/>
      <c r="AB349" s="492"/>
      <c r="AC349" s="492"/>
      <c r="AD349" s="492"/>
      <c r="AE349" s="492"/>
      <c r="AF349" s="492"/>
      <c r="AG349" s="492"/>
      <c r="AH349" s="492"/>
      <c r="AI349" s="492"/>
      <c r="AJ349" s="492"/>
      <c r="AK349" s="492"/>
      <c r="AL349" s="492"/>
      <c r="AM349" s="492"/>
      <c r="AN349" s="492"/>
    </row>
    <row r="350" spans="1:40" ht="15.75" customHeight="1">
      <c r="B350" s="486"/>
      <c r="C350" s="501"/>
      <c r="D350" s="563"/>
      <c r="E350" s="583"/>
      <c r="F350" s="534"/>
      <c r="G350" s="564"/>
      <c r="H350" s="583"/>
      <c r="I350" s="534"/>
      <c r="J350" s="501"/>
      <c r="K350" s="583"/>
      <c r="L350" s="559"/>
      <c r="M350" s="501"/>
      <c r="N350" s="559"/>
      <c r="O350" s="501"/>
      <c r="P350" s="583"/>
      <c r="Q350" s="559"/>
      <c r="R350" s="501"/>
      <c r="S350" s="559"/>
      <c r="T350" s="492"/>
      <c r="U350" s="489"/>
      <c r="V350" s="492"/>
      <c r="W350" s="492"/>
      <c r="X350" s="492"/>
      <c r="Y350" s="492"/>
      <c r="Z350" s="492"/>
      <c r="AA350" s="492"/>
      <c r="AB350" s="492"/>
      <c r="AC350" s="492"/>
      <c r="AD350" s="492"/>
      <c r="AE350" s="492"/>
      <c r="AF350" s="492"/>
      <c r="AG350" s="492"/>
      <c r="AH350" s="492"/>
      <c r="AI350" s="492"/>
      <c r="AJ350" s="492"/>
      <c r="AK350" s="492"/>
      <c r="AL350" s="492"/>
      <c r="AM350" s="492"/>
      <c r="AN350" s="492"/>
    </row>
    <row r="351" spans="1:40" ht="15.75" customHeight="1">
      <c r="B351" s="486"/>
      <c r="C351" s="568" t="s">
        <v>65</v>
      </c>
      <c r="D351" s="569" t="s">
        <v>39</v>
      </c>
      <c r="E351" s="570">
        <v>0.65915326561335719</v>
      </c>
      <c r="F351" s="571">
        <v>82209.197058530786</v>
      </c>
      <c r="G351" s="572"/>
      <c r="H351" s="570"/>
      <c r="I351" s="571"/>
      <c r="J351" s="572" t="s">
        <v>39</v>
      </c>
      <c r="K351" s="570">
        <v>0.47094578056401193</v>
      </c>
      <c r="L351" s="571">
        <v>69497.450000000012</v>
      </c>
      <c r="M351" s="575"/>
      <c r="N351" s="585">
        <v>-12711.747058530775</v>
      </c>
      <c r="O351" s="572" t="s">
        <v>39</v>
      </c>
      <c r="P351" s="570">
        <v>0.73329987395177931</v>
      </c>
      <c r="Q351" s="571">
        <v>78357.440000000002</v>
      </c>
      <c r="R351" s="575"/>
      <c r="S351" s="585">
        <v>-8859.9899999999907</v>
      </c>
      <c r="T351" s="492"/>
      <c r="U351" s="489"/>
      <c r="V351" s="492"/>
      <c r="W351" s="492"/>
      <c r="X351" s="492"/>
      <c r="Y351" s="492"/>
      <c r="Z351" s="492"/>
      <c r="AA351" s="492"/>
      <c r="AB351" s="492"/>
      <c r="AC351" s="492"/>
      <c r="AD351" s="492"/>
      <c r="AE351" s="492"/>
      <c r="AF351" s="492"/>
      <c r="AG351" s="492"/>
      <c r="AH351" s="492"/>
      <c r="AI351" s="492"/>
      <c r="AJ351" s="492"/>
      <c r="AK351" s="492"/>
      <c r="AL351" s="492"/>
      <c r="AM351" s="492"/>
      <c r="AN351" s="492"/>
    </row>
    <row r="352" spans="1:40" ht="15.75" customHeight="1">
      <c r="B352" s="486"/>
      <c r="C352" s="508"/>
      <c r="D352" s="561"/>
      <c r="E352" s="492"/>
      <c r="F352" s="534"/>
      <c r="G352" s="562"/>
      <c r="H352" s="492"/>
      <c r="I352" s="534"/>
      <c r="J352" s="508"/>
      <c r="K352" s="492"/>
      <c r="L352" s="534"/>
      <c r="M352" s="508"/>
      <c r="N352" s="534">
        <v>0</v>
      </c>
      <c r="O352" s="508"/>
      <c r="P352" s="492"/>
      <c r="Q352" s="534"/>
      <c r="R352" s="508"/>
      <c r="S352" s="534"/>
      <c r="T352" s="492"/>
      <c r="U352" s="489"/>
      <c r="V352" s="492"/>
      <c r="W352" s="492"/>
      <c r="X352" s="492"/>
      <c r="Y352" s="492"/>
      <c r="Z352" s="492"/>
      <c r="AA352" s="492"/>
      <c r="AB352" s="492"/>
      <c r="AC352" s="492"/>
      <c r="AD352" s="492"/>
      <c r="AE352" s="492"/>
      <c r="AF352" s="492"/>
      <c r="AG352" s="492"/>
      <c r="AH352" s="492"/>
      <c r="AI352" s="492"/>
      <c r="AJ352" s="492"/>
      <c r="AK352" s="492"/>
      <c r="AL352" s="492"/>
      <c r="AM352" s="492"/>
      <c r="AN352" s="492"/>
    </row>
    <row r="353" spans="1:40" ht="24" customHeight="1" thickBot="1">
      <c r="B353" s="486"/>
      <c r="C353" s="600" t="s">
        <v>72</v>
      </c>
      <c r="D353" s="630"/>
      <c r="E353" s="601"/>
      <c r="F353" s="603">
        <v>42510.198789464062</v>
      </c>
      <c r="G353" s="631"/>
      <c r="H353" s="601"/>
      <c r="I353" s="603"/>
      <c r="J353" s="600"/>
      <c r="K353" s="602"/>
      <c r="L353" s="603">
        <v>78072.50999999998</v>
      </c>
      <c r="M353" s="600"/>
      <c r="N353" s="603">
        <v>35562.311210535918</v>
      </c>
      <c r="O353" s="600"/>
      <c r="P353" s="605">
        <v>6.3059738770594884E-2</v>
      </c>
      <c r="Q353" s="603">
        <v>28498.489999999787</v>
      </c>
      <c r="R353" s="600"/>
      <c r="S353" s="603">
        <v>49574.020000000193</v>
      </c>
      <c r="T353" s="492"/>
      <c r="U353" s="489"/>
      <c r="V353" s="492"/>
      <c r="W353" s="492"/>
      <c r="X353" s="492"/>
      <c r="Y353" s="492"/>
      <c r="Z353" s="492"/>
      <c r="AA353" s="492"/>
      <c r="AB353" s="492"/>
      <c r="AC353" s="492"/>
      <c r="AD353" s="492"/>
      <c r="AE353" s="492"/>
      <c r="AF353" s="492"/>
      <c r="AG353" s="492"/>
      <c r="AH353" s="492"/>
      <c r="AI353" s="492"/>
      <c r="AJ353" s="492"/>
      <c r="AK353" s="492"/>
      <c r="AL353" s="492"/>
      <c r="AM353" s="492"/>
      <c r="AN353" s="492"/>
    </row>
    <row r="354" spans="1:40" ht="15.75" customHeight="1" thickTop="1">
      <c r="B354" s="486"/>
      <c r="C354" s="548"/>
      <c r="D354" s="561"/>
      <c r="E354" s="492"/>
      <c r="F354" s="584"/>
      <c r="G354" s="561"/>
      <c r="H354" s="492"/>
      <c r="I354" s="584"/>
      <c r="J354" s="548"/>
      <c r="K354" s="548"/>
      <c r="L354" s="584"/>
      <c r="M354" s="548"/>
      <c r="N354" s="584"/>
      <c r="O354" s="548"/>
      <c r="P354" s="548"/>
      <c r="Q354" s="584"/>
      <c r="R354" s="548"/>
      <c r="S354" s="584"/>
      <c r="T354" s="492"/>
      <c r="U354" s="492"/>
      <c r="V354" s="492"/>
      <c r="W354" s="492"/>
      <c r="X354" s="492"/>
      <c r="Y354" s="492"/>
      <c r="Z354" s="492"/>
      <c r="AA354" s="492"/>
      <c r="AB354" s="492"/>
      <c r="AC354" s="492"/>
      <c r="AD354" s="492"/>
      <c r="AE354" s="492"/>
      <c r="AF354" s="492"/>
      <c r="AG354" s="492"/>
      <c r="AH354" s="492"/>
      <c r="AI354" s="492"/>
      <c r="AJ354" s="492"/>
      <c r="AK354" s="492"/>
      <c r="AL354" s="492"/>
      <c r="AM354" s="492"/>
      <c r="AN354" s="492"/>
    </row>
    <row r="355" spans="1:40" ht="15.75" hidden="1" customHeight="1">
      <c r="B355" s="486"/>
      <c r="C355" s="548"/>
      <c r="D355" s="561"/>
      <c r="E355" s="492"/>
      <c r="F355" s="584"/>
      <c r="G355" s="561"/>
      <c r="H355" s="492"/>
      <c r="I355" s="584"/>
      <c r="J355" s="548"/>
      <c r="K355" s="548"/>
      <c r="L355" s="584"/>
      <c r="M355" s="548"/>
      <c r="N355" s="584"/>
      <c r="O355" s="548"/>
      <c r="P355" s="548"/>
      <c r="Q355" s="584"/>
      <c r="R355" s="548"/>
      <c r="S355" s="584"/>
      <c r="T355" s="492"/>
      <c r="U355" s="492"/>
      <c r="V355" s="492"/>
      <c r="W355" s="492"/>
      <c r="X355" s="492"/>
      <c r="Y355" s="492"/>
      <c r="Z355" s="492"/>
      <c r="AA355" s="492"/>
      <c r="AB355" s="492"/>
      <c r="AC355" s="492"/>
      <c r="AD355" s="492"/>
      <c r="AE355" s="492"/>
      <c r="AF355" s="492"/>
      <c r="AG355" s="492"/>
      <c r="AH355" s="492"/>
      <c r="AI355" s="492"/>
      <c r="AJ355" s="492"/>
      <c r="AK355" s="492"/>
      <c r="AL355" s="492"/>
      <c r="AM355" s="492"/>
      <c r="AN355" s="492"/>
    </row>
    <row r="356" spans="1:40" ht="34.5" hidden="1" customHeight="1">
      <c r="B356" s="486"/>
      <c r="C356" s="610" t="s">
        <v>478</v>
      </c>
      <c r="D356" s="480"/>
      <c r="E356" s="480"/>
      <c r="F356" s="480"/>
      <c r="G356" s="480"/>
      <c r="H356" s="478"/>
      <c r="I356" s="478"/>
      <c r="J356" s="478"/>
      <c r="K356" s="482" t="s">
        <v>119</v>
      </c>
      <c r="L356" s="480"/>
      <c r="M356" s="480"/>
      <c r="N356" s="478"/>
      <c r="O356" s="478"/>
      <c r="P356" s="480"/>
      <c r="Q356" s="478"/>
      <c r="R356" s="480"/>
      <c r="S356" s="611" t="s">
        <v>481</v>
      </c>
      <c r="T356" s="489"/>
      <c r="U356" s="489"/>
      <c r="V356" s="492"/>
      <c r="W356" s="489"/>
      <c r="X356" s="489"/>
      <c r="Y356" s="489"/>
      <c r="Z356" s="489"/>
      <c r="AA356" s="489"/>
      <c r="AB356" s="489"/>
      <c r="AC356" s="489"/>
      <c r="AD356" s="489"/>
      <c r="AE356" s="489"/>
      <c r="AF356" s="489"/>
      <c r="AG356" s="489"/>
      <c r="AH356" s="489"/>
      <c r="AI356" s="489"/>
      <c r="AJ356" s="489"/>
      <c r="AK356" s="489"/>
      <c r="AL356" s="489"/>
      <c r="AM356" s="489"/>
      <c r="AN356" s="489"/>
    </row>
    <row r="357" spans="1:40" ht="15.75" hidden="1" customHeight="1">
      <c r="B357" s="486"/>
      <c r="C357" s="487"/>
      <c r="D357" s="489"/>
      <c r="E357" s="489"/>
      <c r="F357" s="489"/>
      <c r="G357" s="489"/>
      <c r="H357" s="489"/>
      <c r="I357" s="489"/>
      <c r="J357" s="489"/>
      <c r="K357" s="489"/>
      <c r="L357" s="489"/>
      <c r="M357" s="489"/>
      <c r="N357" s="489"/>
      <c r="O357" s="489"/>
      <c r="P357" s="489"/>
      <c r="Q357" s="489"/>
      <c r="R357" s="489"/>
      <c r="S357" s="489"/>
      <c r="T357" s="489"/>
      <c r="U357" s="489"/>
      <c r="V357" s="492"/>
      <c r="W357" s="489"/>
      <c r="X357" s="489"/>
      <c r="Y357" s="489"/>
      <c r="Z357" s="489"/>
      <c r="AA357" s="489"/>
      <c r="AB357" s="489"/>
      <c r="AC357" s="489"/>
      <c r="AD357" s="489"/>
      <c r="AE357" s="489"/>
      <c r="AF357" s="489"/>
      <c r="AG357" s="489"/>
      <c r="AH357" s="489"/>
      <c r="AI357" s="489"/>
      <c r="AJ357" s="489"/>
      <c r="AK357" s="489"/>
      <c r="AL357" s="489"/>
      <c r="AM357" s="489"/>
      <c r="AN357" s="489"/>
    </row>
    <row r="358" spans="1:40" ht="15.75" hidden="1" customHeight="1">
      <c r="B358" s="486"/>
      <c r="C358" s="493"/>
      <c r="D358" s="879" t="s">
        <v>5</v>
      </c>
      <c r="E358" s="880"/>
      <c r="F358" s="881"/>
      <c r="G358" s="882"/>
      <c r="H358" s="880"/>
      <c r="I358" s="881"/>
      <c r="J358" s="882" t="s">
        <v>7</v>
      </c>
      <c r="K358" s="880"/>
      <c r="L358" s="881"/>
      <c r="M358" s="882"/>
      <c r="N358" s="881"/>
      <c r="O358" s="879" t="s">
        <v>8</v>
      </c>
      <c r="P358" s="880"/>
      <c r="Q358" s="881"/>
      <c r="R358" s="882" t="s">
        <v>9</v>
      </c>
      <c r="S358" s="881"/>
      <c r="T358" s="489"/>
      <c r="U358" s="489"/>
      <c r="V358" s="492"/>
      <c r="W358" s="489"/>
      <c r="X358" s="489"/>
      <c r="Y358" s="489"/>
      <c r="Z358" s="489"/>
      <c r="AA358" s="489"/>
      <c r="AB358" s="489"/>
      <c r="AC358" s="489"/>
      <c r="AD358" s="489"/>
      <c r="AE358" s="489"/>
      <c r="AF358" s="489"/>
      <c r="AG358" s="489"/>
      <c r="AH358" s="489"/>
      <c r="AI358" s="489"/>
      <c r="AJ358" s="489"/>
      <c r="AK358" s="489"/>
      <c r="AL358" s="489"/>
      <c r="AM358" s="489"/>
      <c r="AN358" s="489"/>
    </row>
    <row r="359" spans="1:40" ht="15.75" hidden="1" customHeight="1">
      <c r="A359" s="477" t="s">
        <v>119</v>
      </c>
      <c r="B359" s="492" t="s">
        <v>119</v>
      </c>
      <c r="C359" s="508"/>
      <c r="D359" s="697" t="s">
        <v>84</v>
      </c>
      <c r="E359" s="697" t="s">
        <v>104</v>
      </c>
      <c r="F359" s="698" t="s">
        <v>12</v>
      </c>
      <c r="G359" s="699"/>
      <c r="H359" s="697"/>
      <c r="I359" s="698"/>
      <c r="J359" s="634" t="s">
        <v>84</v>
      </c>
      <c r="K359" s="552" t="s">
        <v>104</v>
      </c>
      <c r="L359" s="633" t="s">
        <v>12</v>
      </c>
      <c r="M359" s="634"/>
      <c r="N359" s="633"/>
      <c r="O359" s="634" t="s">
        <v>84</v>
      </c>
      <c r="P359" s="552" t="s">
        <v>104</v>
      </c>
      <c r="Q359" s="633" t="s">
        <v>12</v>
      </c>
      <c r="R359" s="634" t="s">
        <v>85</v>
      </c>
      <c r="S359" s="633" t="s">
        <v>12</v>
      </c>
      <c r="T359" s="489"/>
      <c r="U359" s="489"/>
      <c r="V359" s="492"/>
      <c r="W359" s="489"/>
      <c r="X359" s="489"/>
      <c r="Y359" s="489"/>
      <c r="Z359" s="489"/>
      <c r="AA359" s="489"/>
      <c r="AB359" s="489"/>
      <c r="AC359" s="489"/>
      <c r="AD359" s="489"/>
      <c r="AE359" s="489"/>
      <c r="AF359" s="489"/>
      <c r="AG359" s="489"/>
      <c r="AH359" s="489"/>
      <c r="AI359" s="489"/>
      <c r="AJ359" s="489"/>
      <c r="AK359" s="489"/>
      <c r="AL359" s="489"/>
      <c r="AM359" s="489"/>
      <c r="AN359" s="489"/>
    </row>
    <row r="360" spans="1:40" ht="15.75" hidden="1" customHeight="1">
      <c r="A360" s="477" t="s">
        <v>442</v>
      </c>
      <c r="B360" s="492" t="s">
        <v>119</v>
      </c>
      <c r="C360" s="536" t="s">
        <v>119</v>
      </c>
      <c r="D360" s="700">
        <v>0</v>
      </c>
      <c r="E360" s="701">
        <v>0</v>
      </c>
      <c r="F360" s="702">
        <v>0</v>
      </c>
      <c r="G360" s="700"/>
      <c r="H360" s="701"/>
      <c r="I360" s="700"/>
      <c r="J360" s="703">
        <v>0</v>
      </c>
      <c r="K360" s="686">
        <v>0</v>
      </c>
      <c r="L360" s="704">
        <v>0</v>
      </c>
      <c r="M360" s="687"/>
      <c r="N360" s="688"/>
      <c r="O360" s="703">
        <v>0</v>
      </c>
      <c r="P360" s="686">
        <v>0</v>
      </c>
      <c r="Q360" s="704">
        <v>0</v>
      </c>
      <c r="R360" s="687">
        <v>0</v>
      </c>
      <c r="S360" s="688">
        <v>0</v>
      </c>
      <c r="T360" s="489"/>
      <c r="U360" s="489"/>
      <c r="V360" s="705"/>
      <c r="W360" s="489"/>
      <c r="X360" s="489"/>
      <c r="Y360" s="489"/>
      <c r="Z360" s="489"/>
      <c r="AA360" s="489"/>
      <c r="AB360" s="489"/>
      <c r="AC360" s="489"/>
      <c r="AD360" s="489"/>
      <c r="AE360" s="489"/>
      <c r="AF360" s="489"/>
      <c r="AG360" s="489"/>
      <c r="AH360" s="489"/>
      <c r="AI360" s="489"/>
      <c r="AJ360" s="489"/>
      <c r="AK360" s="489"/>
      <c r="AL360" s="489"/>
      <c r="AM360" s="489"/>
      <c r="AN360" s="489"/>
    </row>
    <row r="361" spans="1:40" ht="15.75" hidden="1" customHeight="1">
      <c r="A361" s="477" t="s">
        <v>119</v>
      </c>
      <c r="B361" s="492" t="s">
        <v>119</v>
      </c>
      <c r="C361" s="600"/>
      <c r="D361" s="689"/>
      <c r="E361" s="690"/>
      <c r="F361" s="603"/>
      <c r="G361" s="691"/>
      <c r="H361" s="690"/>
      <c r="I361" s="603"/>
      <c r="J361" s="691"/>
      <c r="K361" s="690"/>
      <c r="L361" s="603"/>
      <c r="M361" s="693"/>
      <c r="N361" s="547"/>
      <c r="O361" s="691"/>
      <c r="P361" s="690"/>
      <c r="Q361" s="603"/>
      <c r="R361" s="693"/>
      <c r="S361" s="547"/>
      <c r="T361" s="489"/>
      <c r="U361" s="489"/>
      <c r="V361" s="492"/>
      <c r="W361" s="489"/>
      <c r="X361" s="489"/>
      <c r="Y361" s="489"/>
      <c r="Z361" s="489"/>
      <c r="AA361" s="489"/>
      <c r="AB361" s="489"/>
      <c r="AC361" s="489"/>
      <c r="AD361" s="489"/>
      <c r="AE361" s="489"/>
      <c r="AF361" s="489"/>
      <c r="AG361" s="489"/>
      <c r="AH361" s="489"/>
      <c r="AI361" s="489"/>
      <c r="AJ361" s="489"/>
      <c r="AK361" s="489"/>
      <c r="AL361" s="489"/>
      <c r="AM361" s="489"/>
      <c r="AN361" s="489"/>
    </row>
    <row r="362" spans="1:40" ht="15.75" hidden="1" customHeight="1">
      <c r="A362" s="477" t="s">
        <v>443</v>
      </c>
      <c r="B362" s="492" t="s">
        <v>119</v>
      </c>
      <c r="C362" s="527" t="s">
        <v>120</v>
      </c>
      <c r="D362" s="584">
        <v>0</v>
      </c>
      <c r="E362" s="645">
        <v>0</v>
      </c>
      <c r="F362" s="647">
        <v>0</v>
      </c>
      <c r="G362" s="646"/>
      <c r="H362" s="645"/>
      <c r="I362" s="647"/>
      <c r="J362" s="646">
        <v>0</v>
      </c>
      <c r="K362" s="645">
        <v>0</v>
      </c>
      <c r="L362" s="647">
        <v>0</v>
      </c>
      <c r="M362" s="623"/>
      <c r="N362" s="706"/>
      <c r="O362" s="646">
        <v>0</v>
      </c>
      <c r="P362" s="645">
        <v>0</v>
      </c>
      <c r="Q362" s="647">
        <v>0</v>
      </c>
      <c r="R362" s="508">
        <v>0</v>
      </c>
      <c r="S362" s="526">
        <v>0</v>
      </c>
      <c r="T362" s="489"/>
      <c r="U362" s="489"/>
      <c r="V362" s="492"/>
      <c r="W362" s="489"/>
      <c r="X362" s="489"/>
      <c r="Y362" s="489"/>
      <c r="Z362" s="489"/>
      <c r="AA362" s="489"/>
      <c r="AB362" s="489"/>
      <c r="AC362" s="489"/>
      <c r="AD362" s="489"/>
      <c r="AE362" s="489"/>
      <c r="AF362" s="489"/>
      <c r="AG362" s="489"/>
      <c r="AH362" s="489"/>
      <c r="AI362" s="489"/>
      <c r="AJ362" s="489"/>
      <c r="AK362" s="489"/>
      <c r="AL362" s="489"/>
      <c r="AM362" s="489"/>
      <c r="AN362" s="489"/>
    </row>
    <row r="363" spans="1:40" ht="15.75" hidden="1" customHeight="1">
      <c r="A363" s="477" t="s">
        <v>119</v>
      </c>
      <c r="B363" s="492" t="s">
        <v>119</v>
      </c>
      <c r="C363" s="551"/>
      <c r="D363" s="492"/>
      <c r="E363" s="492"/>
      <c r="F363" s="534"/>
      <c r="G363" s="508"/>
      <c r="H363" s="492"/>
      <c r="I363" s="534"/>
      <c r="J363" s="508"/>
      <c r="K363" s="492"/>
      <c r="L363" s="518"/>
      <c r="M363" s="508"/>
      <c r="N363" s="635"/>
      <c r="O363" s="508"/>
      <c r="P363" s="492"/>
      <c r="Q363" s="518"/>
      <c r="R363" s="508"/>
      <c r="S363" s="518">
        <v>0</v>
      </c>
      <c r="T363" s="489"/>
      <c r="U363" s="489"/>
      <c r="V363" s="492"/>
      <c r="W363" s="489"/>
      <c r="X363" s="489"/>
      <c r="Y363" s="489"/>
      <c r="Z363" s="489"/>
      <c r="AA363" s="489"/>
      <c r="AB363" s="489"/>
      <c r="AC363" s="489"/>
      <c r="AD363" s="489"/>
      <c r="AE363" s="489"/>
      <c r="AF363" s="489"/>
      <c r="AG363" s="489"/>
      <c r="AH363" s="489"/>
      <c r="AI363" s="489"/>
      <c r="AJ363" s="489"/>
      <c r="AK363" s="489"/>
      <c r="AL363" s="489"/>
      <c r="AM363" s="489"/>
      <c r="AN363" s="489"/>
    </row>
    <row r="364" spans="1:40" ht="15.75" hidden="1" customHeight="1">
      <c r="A364" s="477" t="s">
        <v>444</v>
      </c>
      <c r="B364" s="492" t="s">
        <v>119</v>
      </c>
      <c r="C364" s="551" t="s">
        <v>30</v>
      </c>
      <c r="D364" s="492"/>
      <c r="E364" s="492"/>
      <c r="F364" s="534"/>
      <c r="G364" s="508"/>
      <c r="H364" s="492"/>
      <c r="I364" s="534"/>
      <c r="J364" s="508"/>
      <c r="K364" s="492"/>
      <c r="L364" s="518"/>
      <c r="M364" s="508"/>
      <c r="N364" s="518"/>
      <c r="O364" s="508"/>
      <c r="P364" s="492"/>
      <c r="Q364" s="518"/>
      <c r="R364" s="508"/>
      <c r="S364" s="518"/>
      <c r="T364" s="489"/>
      <c r="U364" s="489"/>
      <c r="V364" s="492"/>
      <c r="W364" s="489"/>
      <c r="X364" s="489"/>
      <c r="Y364" s="489"/>
      <c r="Z364" s="489"/>
      <c r="AA364" s="489"/>
      <c r="AB364" s="489"/>
      <c r="AC364" s="489"/>
      <c r="AD364" s="489"/>
      <c r="AE364" s="489"/>
      <c r="AF364" s="489"/>
      <c r="AG364" s="489"/>
      <c r="AH364" s="489"/>
      <c r="AI364" s="489"/>
      <c r="AJ364" s="489"/>
      <c r="AK364" s="489"/>
      <c r="AL364" s="489"/>
      <c r="AM364" s="489"/>
      <c r="AN364" s="489"/>
    </row>
    <row r="365" spans="1:40" ht="15.75" hidden="1" customHeight="1">
      <c r="A365" s="477" t="s">
        <v>445</v>
      </c>
      <c r="B365" s="492" t="s">
        <v>119</v>
      </c>
      <c r="C365" s="576" t="s">
        <v>41</v>
      </c>
      <c r="D365" s="492"/>
      <c r="E365" s="492"/>
      <c r="F365" s="509">
        <v>0</v>
      </c>
      <c r="G365" s="508"/>
      <c r="H365" s="492"/>
      <c r="I365" s="509"/>
      <c r="J365" s="508"/>
      <c r="K365" s="492"/>
      <c r="L365" s="511">
        <v>0</v>
      </c>
      <c r="M365" s="508"/>
      <c r="N365" s="518"/>
      <c r="O365" s="508"/>
      <c r="P365" s="492"/>
      <c r="Q365" s="511">
        <v>0</v>
      </c>
      <c r="R365" s="508"/>
      <c r="S365" s="511">
        <v>0</v>
      </c>
      <c r="T365" s="489"/>
      <c r="U365" s="489"/>
      <c r="V365" s="492"/>
      <c r="W365" s="489"/>
      <c r="X365" s="489"/>
      <c r="Y365" s="489"/>
      <c r="Z365" s="489"/>
      <c r="AA365" s="489"/>
      <c r="AB365" s="489"/>
      <c r="AC365" s="489"/>
      <c r="AD365" s="489"/>
      <c r="AE365" s="489"/>
      <c r="AF365" s="489"/>
      <c r="AG365" s="489"/>
      <c r="AH365" s="489"/>
      <c r="AI365" s="489"/>
      <c r="AJ365" s="489"/>
      <c r="AK365" s="489"/>
      <c r="AL365" s="489"/>
      <c r="AM365" s="489"/>
      <c r="AN365" s="489"/>
    </row>
    <row r="366" spans="1:40" ht="15.75" hidden="1" customHeight="1">
      <c r="A366" s="477" t="s">
        <v>446</v>
      </c>
      <c r="B366" s="492" t="s">
        <v>119</v>
      </c>
      <c r="C366" s="578" t="s">
        <v>42</v>
      </c>
      <c r="D366" s="561"/>
      <c r="E366" s="492"/>
      <c r="F366" s="503">
        <v>0</v>
      </c>
      <c r="G366" s="562"/>
      <c r="H366" s="492"/>
      <c r="I366" s="503"/>
      <c r="J366" s="508"/>
      <c r="K366" s="492"/>
      <c r="L366" s="503">
        <v>0</v>
      </c>
      <c r="M366" s="508"/>
      <c r="N366" s="534"/>
      <c r="O366" s="508"/>
      <c r="P366" s="492"/>
      <c r="Q366" s="503">
        <v>0</v>
      </c>
      <c r="R366" s="508"/>
      <c r="S366" s="534">
        <v>0</v>
      </c>
      <c r="T366" s="489"/>
      <c r="U366" s="489"/>
      <c r="V366" s="492"/>
      <c r="W366" s="489"/>
      <c r="X366" s="489"/>
      <c r="Y366" s="489"/>
      <c r="Z366" s="489"/>
      <c r="AA366" s="489"/>
      <c r="AB366" s="489"/>
      <c r="AC366" s="489"/>
      <c r="AD366" s="489"/>
      <c r="AE366" s="489"/>
      <c r="AF366" s="489"/>
      <c r="AG366" s="489"/>
      <c r="AH366" s="489"/>
      <c r="AI366" s="489"/>
      <c r="AJ366" s="489"/>
      <c r="AK366" s="489"/>
      <c r="AL366" s="489"/>
      <c r="AM366" s="489"/>
      <c r="AN366" s="489"/>
    </row>
    <row r="367" spans="1:40" ht="15.75" hidden="1" customHeight="1">
      <c r="A367" s="477" t="s">
        <v>447</v>
      </c>
      <c r="B367" s="492" t="s">
        <v>119</v>
      </c>
      <c r="C367" s="576" t="s">
        <v>43</v>
      </c>
      <c r="D367" s="579"/>
      <c r="E367" s="580"/>
      <c r="F367" s="509">
        <v>0</v>
      </c>
      <c r="G367" s="581"/>
      <c r="H367" s="580"/>
      <c r="I367" s="509"/>
      <c r="J367" s="496"/>
      <c r="K367" s="580"/>
      <c r="L367" s="511">
        <v>0</v>
      </c>
      <c r="M367" s="496"/>
      <c r="N367" s="582"/>
      <c r="O367" s="496"/>
      <c r="P367" s="580"/>
      <c r="Q367" s="511">
        <v>0</v>
      </c>
      <c r="R367" s="496"/>
      <c r="S367" s="582">
        <v>0</v>
      </c>
      <c r="T367" s="489"/>
      <c r="U367" s="489"/>
      <c r="V367" s="492"/>
      <c r="W367" s="489"/>
      <c r="X367" s="489"/>
      <c r="Y367" s="489"/>
      <c r="Z367" s="489"/>
      <c r="AA367" s="489"/>
      <c r="AB367" s="489"/>
      <c r="AC367" s="489"/>
      <c r="AD367" s="489"/>
      <c r="AE367" s="489"/>
      <c r="AF367" s="489"/>
      <c r="AG367" s="489"/>
      <c r="AH367" s="489"/>
      <c r="AI367" s="489"/>
      <c r="AJ367" s="489"/>
      <c r="AK367" s="489"/>
      <c r="AL367" s="489"/>
      <c r="AM367" s="489"/>
      <c r="AN367" s="489"/>
    </row>
    <row r="368" spans="1:40" ht="15.75" hidden="1" customHeight="1">
      <c r="A368" s="477" t="s">
        <v>448</v>
      </c>
      <c r="B368" s="492" t="s">
        <v>119</v>
      </c>
      <c r="C368" s="576" t="s">
        <v>44</v>
      </c>
      <c r="D368" s="561"/>
      <c r="E368" s="492"/>
      <c r="F368" s="509">
        <v>0</v>
      </c>
      <c r="G368" s="562"/>
      <c r="H368" s="492"/>
      <c r="I368" s="509"/>
      <c r="J368" s="508"/>
      <c r="K368" s="492"/>
      <c r="L368" s="511">
        <v>0</v>
      </c>
      <c r="M368" s="508"/>
      <c r="N368" s="534"/>
      <c r="O368" s="508"/>
      <c r="P368" s="492"/>
      <c r="Q368" s="511">
        <v>0</v>
      </c>
      <c r="R368" s="508"/>
      <c r="S368" s="534">
        <v>0</v>
      </c>
      <c r="T368" s="489"/>
      <c r="U368" s="489"/>
      <c r="V368" s="492"/>
      <c r="W368" s="489"/>
      <c r="X368" s="489"/>
      <c r="Y368" s="489"/>
      <c r="Z368" s="489"/>
      <c r="AA368" s="489"/>
      <c r="AB368" s="489"/>
      <c r="AC368" s="489"/>
      <c r="AD368" s="489"/>
      <c r="AE368" s="489"/>
      <c r="AF368" s="489"/>
      <c r="AG368" s="489"/>
      <c r="AH368" s="489"/>
      <c r="AI368" s="489"/>
      <c r="AJ368" s="489"/>
      <c r="AK368" s="489"/>
      <c r="AL368" s="489"/>
      <c r="AM368" s="489"/>
      <c r="AN368" s="489"/>
    </row>
    <row r="369" spans="1:40" ht="15.75" hidden="1" customHeight="1">
      <c r="A369" s="477" t="s">
        <v>449</v>
      </c>
      <c r="B369" s="492" t="s">
        <v>119</v>
      </c>
      <c r="C369" s="508" t="s">
        <v>20</v>
      </c>
      <c r="D369" s="561"/>
      <c r="E369" s="492"/>
      <c r="F369" s="509">
        <v>0</v>
      </c>
      <c r="G369" s="562"/>
      <c r="H369" s="492"/>
      <c r="I369" s="509"/>
      <c r="J369" s="508"/>
      <c r="K369" s="492"/>
      <c r="L369" s="511">
        <v>0</v>
      </c>
      <c r="M369" s="508"/>
      <c r="N369" s="534"/>
      <c r="O369" s="508"/>
      <c r="P369" s="492"/>
      <c r="Q369" s="511">
        <v>0</v>
      </c>
      <c r="R369" s="508"/>
      <c r="S369" s="534">
        <v>0</v>
      </c>
      <c r="T369" s="489"/>
      <c r="U369" s="489"/>
      <c r="V369" s="492"/>
      <c r="W369" s="489"/>
      <c r="X369" s="489"/>
      <c r="Y369" s="489"/>
      <c r="Z369" s="489"/>
      <c r="AA369" s="489"/>
      <c r="AB369" s="489"/>
      <c r="AC369" s="489"/>
      <c r="AD369" s="489"/>
      <c r="AE369" s="489"/>
      <c r="AF369" s="489"/>
      <c r="AG369" s="489"/>
      <c r="AH369" s="489"/>
      <c r="AI369" s="489"/>
      <c r="AJ369" s="489"/>
      <c r="AK369" s="489"/>
      <c r="AL369" s="489"/>
      <c r="AM369" s="489"/>
      <c r="AN369" s="489"/>
    </row>
    <row r="370" spans="1:40" ht="15.75" hidden="1" customHeight="1">
      <c r="A370" s="477" t="s">
        <v>449</v>
      </c>
      <c r="B370" s="492" t="s">
        <v>119</v>
      </c>
      <c r="C370" s="508" t="s">
        <v>20</v>
      </c>
      <c r="D370" s="561"/>
      <c r="E370" s="492"/>
      <c r="F370" s="509">
        <v>0</v>
      </c>
      <c r="G370" s="562"/>
      <c r="H370" s="492"/>
      <c r="I370" s="509"/>
      <c r="J370" s="508"/>
      <c r="K370" s="492"/>
      <c r="L370" s="511">
        <v>0</v>
      </c>
      <c r="M370" s="508"/>
      <c r="N370" s="534"/>
      <c r="O370" s="508"/>
      <c r="P370" s="492"/>
      <c r="Q370" s="511">
        <v>0</v>
      </c>
      <c r="R370" s="508"/>
      <c r="S370" s="534">
        <v>0</v>
      </c>
      <c r="T370" s="489"/>
      <c r="U370" s="489"/>
      <c r="V370" s="492"/>
      <c r="W370" s="489"/>
      <c r="X370" s="489"/>
      <c r="Y370" s="489"/>
      <c r="Z370" s="489"/>
      <c r="AA370" s="489"/>
      <c r="AB370" s="489"/>
      <c r="AC370" s="489"/>
      <c r="AD370" s="489"/>
      <c r="AE370" s="489"/>
      <c r="AF370" s="489"/>
      <c r="AG370" s="489"/>
      <c r="AH370" s="489"/>
      <c r="AI370" s="489"/>
      <c r="AJ370" s="489"/>
      <c r="AK370" s="489"/>
      <c r="AL370" s="489"/>
      <c r="AM370" s="489"/>
      <c r="AN370" s="489"/>
    </row>
    <row r="371" spans="1:40" ht="15.75" hidden="1" customHeight="1">
      <c r="A371" s="477" t="s">
        <v>449</v>
      </c>
      <c r="B371" s="492" t="s">
        <v>119</v>
      </c>
      <c r="C371" s="508" t="s">
        <v>20</v>
      </c>
      <c r="D371" s="561"/>
      <c r="E371" s="492"/>
      <c r="F371" s="509">
        <v>0</v>
      </c>
      <c r="G371" s="562"/>
      <c r="H371" s="492"/>
      <c r="I371" s="509"/>
      <c r="J371" s="508"/>
      <c r="K371" s="492"/>
      <c r="L371" s="511">
        <v>0</v>
      </c>
      <c r="M371" s="508"/>
      <c r="N371" s="534"/>
      <c r="O371" s="508"/>
      <c r="P371" s="492"/>
      <c r="Q371" s="511">
        <v>0</v>
      </c>
      <c r="R371" s="508"/>
      <c r="S371" s="534">
        <v>0</v>
      </c>
      <c r="T371" s="489"/>
      <c r="U371" s="489"/>
      <c r="V371" s="492"/>
      <c r="W371" s="489"/>
      <c r="X371" s="489"/>
      <c r="Y371" s="489"/>
      <c r="Z371" s="489"/>
      <c r="AA371" s="489"/>
      <c r="AB371" s="489"/>
      <c r="AC371" s="489"/>
      <c r="AD371" s="489"/>
      <c r="AE371" s="489"/>
      <c r="AF371" s="489"/>
      <c r="AG371" s="489"/>
      <c r="AH371" s="489"/>
      <c r="AI371" s="489"/>
      <c r="AJ371" s="489"/>
      <c r="AK371" s="489"/>
      <c r="AL371" s="489"/>
      <c r="AM371" s="489"/>
      <c r="AN371" s="489"/>
    </row>
    <row r="372" spans="1:40" ht="15.75" hidden="1" customHeight="1">
      <c r="A372" s="477" t="s">
        <v>450</v>
      </c>
      <c r="B372" s="492" t="s">
        <v>119</v>
      </c>
      <c r="C372" s="578" t="s">
        <v>45</v>
      </c>
      <c r="D372" s="561"/>
      <c r="E372" s="492"/>
      <c r="F372" s="503">
        <v>0</v>
      </c>
      <c r="G372" s="562"/>
      <c r="H372" s="492"/>
      <c r="I372" s="503"/>
      <c r="J372" s="508"/>
      <c r="K372" s="492"/>
      <c r="L372" s="503">
        <v>0</v>
      </c>
      <c r="M372" s="508"/>
      <c r="N372" s="534"/>
      <c r="O372" s="508"/>
      <c r="P372" s="492"/>
      <c r="Q372" s="503">
        <v>0</v>
      </c>
      <c r="R372" s="508"/>
      <c r="S372" s="534">
        <v>0</v>
      </c>
      <c r="T372" s="489"/>
      <c r="U372" s="489"/>
      <c r="V372" s="492"/>
      <c r="W372" s="489"/>
      <c r="X372" s="489"/>
      <c r="Y372" s="489"/>
      <c r="Z372" s="489"/>
      <c r="AA372" s="489"/>
      <c r="AB372" s="489"/>
      <c r="AC372" s="489"/>
      <c r="AD372" s="489"/>
      <c r="AE372" s="489"/>
      <c r="AF372" s="489"/>
      <c r="AG372" s="489"/>
      <c r="AH372" s="489"/>
      <c r="AI372" s="489"/>
      <c r="AJ372" s="489"/>
      <c r="AK372" s="489"/>
      <c r="AL372" s="489"/>
      <c r="AM372" s="489"/>
      <c r="AN372" s="489"/>
    </row>
    <row r="373" spans="1:40" ht="15.75" hidden="1" customHeight="1">
      <c r="A373" s="477" t="s">
        <v>451</v>
      </c>
      <c r="B373" s="492" t="s">
        <v>119</v>
      </c>
      <c r="C373" s="576" t="s">
        <v>46</v>
      </c>
      <c r="D373" s="579"/>
      <c r="E373" s="580"/>
      <c r="F373" s="509">
        <v>0</v>
      </c>
      <c r="G373" s="581"/>
      <c r="H373" s="580"/>
      <c r="I373" s="509"/>
      <c r="J373" s="496"/>
      <c r="K373" s="580"/>
      <c r="L373" s="511">
        <v>0</v>
      </c>
      <c r="M373" s="496"/>
      <c r="N373" s="582"/>
      <c r="O373" s="496"/>
      <c r="P373" s="580"/>
      <c r="Q373" s="511">
        <v>0</v>
      </c>
      <c r="R373" s="496"/>
      <c r="S373" s="582">
        <v>0</v>
      </c>
      <c r="T373" s="489"/>
      <c r="U373" s="489"/>
      <c r="V373" s="492"/>
      <c r="W373" s="489"/>
      <c r="X373" s="489"/>
      <c r="Y373" s="489"/>
      <c r="Z373" s="489"/>
      <c r="AA373" s="489"/>
      <c r="AB373" s="489"/>
      <c r="AC373" s="489"/>
      <c r="AD373" s="489"/>
      <c r="AE373" s="489"/>
      <c r="AF373" s="489"/>
      <c r="AG373" s="489"/>
      <c r="AH373" s="489"/>
      <c r="AI373" s="489"/>
      <c r="AJ373" s="489"/>
      <c r="AK373" s="489"/>
      <c r="AL373" s="489"/>
      <c r="AM373" s="489"/>
      <c r="AN373" s="489"/>
    </row>
    <row r="374" spans="1:40" ht="15.75" hidden="1" customHeight="1">
      <c r="A374" s="477" t="s">
        <v>452</v>
      </c>
      <c r="B374" s="492" t="s">
        <v>119</v>
      </c>
      <c r="C374" s="576" t="s">
        <v>47</v>
      </c>
      <c r="D374" s="561"/>
      <c r="E374" s="492"/>
      <c r="F374" s="509">
        <v>0</v>
      </c>
      <c r="G374" s="562"/>
      <c r="H374" s="492"/>
      <c r="I374" s="509"/>
      <c r="J374" s="508"/>
      <c r="K374" s="492"/>
      <c r="L374" s="511">
        <v>0</v>
      </c>
      <c r="M374" s="508"/>
      <c r="N374" s="534"/>
      <c r="O374" s="508"/>
      <c r="P374" s="492"/>
      <c r="Q374" s="511">
        <v>0</v>
      </c>
      <c r="R374" s="508"/>
      <c r="S374" s="534">
        <v>0</v>
      </c>
      <c r="T374" s="489"/>
      <c r="U374" s="489"/>
      <c r="V374" s="492"/>
      <c r="W374" s="489"/>
      <c r="X374" s="489"/>
      <c r="Y374" s="489"/>
      <c r="Z374" s="489"/>
      <c r="AA374" s="489"/>
      <c r="AB374" s="489"/>
      <c r="AC374" s="489"/>
      <c r="AD374" s="489"/>
      <c r="AE374" s="489"/>
      <c r="AF374" s="489"/>
      <c r="AG374" s="489"/>
      <c r="AH374" s="489"/>
      <c r="AI374" s="489"/>
      <c r="AJ374" s="489"/>
      <c r="AK374" s="489"/>
      <c r="AL374" s="489"/>
      <c r="AM374" s="489"/>
      <c r="AN374" s="489"/>
    </row>
    <row r="375" spans="1:40" ht="15.75" hidden="1" customHeight="1">
      <c r="A375" s="477" t="s">
        <v>453</v>
      </c>
      <c r="B375" s="492" t="s">
        <v>119</v>
      </c>
      <c r="C375" s="576" t="s">
        <v>48</v>
      </c>
      <c r="D375" s="561"/>
      <c r="E375" s="492"/>
      <c r="F375" s="509">
        <v>0</v>
      </c>
      <c r="G375" s="562"/>
      <c r="H375" s="492"/>
      <c r="I375" s="509"/>
      <c r="J375" s="508"/>
      <c r="K375" s="492"/>
      <c r="L375" s="511">
        <v>0</v>
      </c>
      <c r="M375" s="508"/>
      <c r="N375" s="534"/>
      <c r="O375" s="508"/>
      <c r="P375" s="492"/>
      <c r="Q375" s="511">
        <v>0</v>
      </c>
      <c r="R375" s="508"/>
      <c r="S375" s="534">
        <v>0</v>
      </c>
      <c r="T375" s="489"/>
      <c r="U375" s="489"/>
      <c r="V375" s="492"/>
      <c r="W375" s="489"/>
      <c r="X375" s="489"/>
      <c r="Y375" s="489"/>
      <c r="Z375" s="489"/>
      <c r="AA375" s="489"/>
      <c r="AB375" s="489"/>
      <c r="AC375" s="489"/>
      <c r="AD375" s="489"/>
      <c r="AE375" s="489"/>
      <c r="AF375" s="489"/>
      <c r="AG375" s="489"/>
      <c r="AH375" s="489"/>
      <c r="AI375" s="489"/>
      <c r="AJ375" s="489"/>
      <c r="AK375" s="489"/>
      <c r="AL375" s="489"/>
      <c r="AM375" s="489"/>
      <c r="AN375" s="489"/>
    </row>
    <row r="376" spans="1:40" ht="15.75" hidden="1" customHeight="1">
      <c r="A376" s="477" t="s">
        <v>449</v>
      </c>
      <c r="B376" s="492" t="s">
        <v>119</v>
      </c>
      <c r="C376" s="508" t="s">
        <v>20</v>
      </c>
      <c r="D376" s="563"/>
      <c r="E376" s="583"/>
      <c r="F376" s="509">
        <v>0</v>
      </c>
      <c r="G376" s="564"/>
      <c r="H376" s="583"/>
      <c r="I376" s="509"/>
      <c r="J376" s="501"/>
      <c r="K376" s="583"/>
      <c r="L376" s="511">
        <v>0</v>
      </c>
      <c r="M376" s="501"/>
      <c r="N376" s="559"/>
      <c r="O376" s="501"/>
      <c r="P376" s="583"/>
      <c r="Q376" s="511">
        <v>0</v>
      </c>
      <c r="R376" s="501"/>
      <c r="S376" s="559">
        <v>0</v>
      </c>
      <c r="T376" s="489"/>
      <c r="U376" s="489"/>
      <c r="V376" s="492"/>
      <c r="W376" s="489"/>
      <c r="X376" s="489"/>
      <c r="Y376" s="489"/>
      <c r="Z376" s="489"/>
      <c r="AA376" s="489"/>
      <c r="AB376" s="489"/>
      <c r="AC376" s="489"/>
      <c r="AD376" s="489"/>
      <c r="AE376" s="489"/>
      <c r="AF376" s="489"/>
      <c r="AG376" s="489"/>
      <c r="AH376" s="489"/>
      <c r="AI376" s="489"/>
      <c r="AJ376" s="489"/>
      <c r="AK376" s="489"/>
      <c r="AL376" s="489"/>
      <c r="AM376" s="489"/>
      <c r="AN376" s="489"/>
    </row>
    <row r="377" spans="1:40" ht="15.75" hidden="1" customHeight="1">
      <c r="A377" s="477" t="s">
        <v>454</v>
      </c>
      <c r="B377" s="492" t="s">
        <v>119</v>
      </c>
      <c r="C377" s="568" t="s">
        <v>49</v>
      </c>
      <c r="D377" s="569" t="s">
        <v>39</v>
      </c>
      <c r="E377" s="570">
        <v>0</v>
      </c>
      <c r="F377" s="571">
        <v>0</v>
      </c>
      <c r="G377" s="572"/>
      <c r="H377" s="570"/>
      <c r="I377" s="571"/>
      <c r="J377" s="572" t="s">
        <v>39</v>
      </c>
      <c r="K377" s="570">
        <v>0</v>
      </c>
      <c r="L377" s="571">
        <v>0</v>
      </c>
      <c r="M377" s="625"/>
      <c r="N377" s="585"/>
      <c r="O377" s="572" t="s">
        <v>39</v>
      </c>
      <c r="P377" s="570">
        <v>0</v>
      </c>
      <c r="Q377" s="571">
        <v>0</v>
      </c>
      <c r="R377" s="625"/>
      <c r="S377" s="585">
        <v>0</v>
      </c>
      <c r="T377" s="489"/>
      <c r="U377" s="489"/>
      <c r="V377" s="492"/>
      <c r="W377" s="489"/>
      <c r="X377" s="489"/>
      <c r="Y377" s="489"/>
      <c r="Z377" s="489"/>
      <c r="AA377" s="489"/>
      <c r="AB377" s="489"/>
      <c r="AC377" s="489"/>
      <c r="AD377" s="489"/>
      <c r="AE377" s="489"/>
      <c r="AF377" s="489"/>
      <c r="AG377" s="489"/>
      <c r="AH377" s="489"/>
      <c r="AI377" s="489"/>
      <c r="AJ377" s="489"/>
      <c r="AK377" s="489"/>
      <c r="AL377" s="489"/>
      <c r="AM377" s="489"/>
      <c r="AN377" s="489"/>
    </row>
    <row r="378" spans="1:40" ht="15.75" hidden="1" customHeight="1">
      <c r="A378" s="477" t="s">
        <v>455</v>
      </c>
      <c r="B378" s="492" t="s">
        <v>119</v>
      </c>
      <c r="C378" s="681" t="s">
        <v>50</v>
      </c>
      <c r="D378" s="561"/>
      <c r="E378" s="492"/>
      <c r="F378" s="509">
        <v>0</v>
      </c>
      <c r="G378" s="562"/>
      <c r="H378" s="492"/>
      <c r="I378" s="509"/>
      <c r="J378" s="508"/>
      <c r="K378" s="492"/>
      <c r="L378" s="511">
        <v>0</v>
      </c>
      <c r="M378" s="508"/>
      <c r="N378" s="534"/>
      <c r="O378" s="508"/>
      <c r="P378" s="492"/>
      <c r="Q378" s="511">
        <v>0</v>
      </c>
      <c r="R378" s="508"/>
      <c r="S378" s="534">
        <v>0</v>
      </c>
      <c r="T378" s="489"/>
      <c r="U378" s="489"/>
      <c r="V378" s="492"/>
      <c r="W378" s="489"/>
      <c r="X378" s="489"/>
      <c r="Y378" s="489"/>
      <c r="Z378" s="489"/>
      <c r="AA378" s="489"/>
      <c r="AB378" s="489"/>
      <c r="AC378" s="489"/>
      <c r="AD378" s="489"/>
      <c r="AE378" s="489"/>
      <c r="AF378" s="489"/>
      <c r="AG378" s="489"/>
      <c r="AH378" s="489"/>
      <c r="AI378" s="489"/>
      <c r="AJ378" s="489"/>
      <c r="AK378" s="489"/>
      <c r="AL378" s="489"/>
      <c r="AM378" s="489"/>
      <c r="AN378" s="489"/>
    </row>
    <row r="379" spans="1:40" ht="15.75" hidden="1" customHeight="1">
      <c r="A379" s="477" t="s">
        <v>456</v>
      </c>
      <c r="B379" s="492" t="s">
        <v>119</v>
      </c>
      <c r="C379" s="576" t="s">
        <v>51</v>
      </c>
      <c r="D379" s="561"/>
      <c r="E379" s="492"/>
      <c r="F379" s="509">
        <v>0</v>
      </c>
      <c r="G379" s="562"/>
      <c r="H379" s="492"/>
      <c r="I379" s="509"/>
      <c r="J379" s="508"/>
      <c r="K379" s="492"/>
      <c r="L379" s="511">
        <v>0</v>
      </c>
      <c r="M379" s="508"/>
      <c r="N379" s="534"/>
      <c r="O379" s="508"/>
      <c r="P379" s="492"/>
      <c r="Q379" s="511">
        <v>0</v>
      </c>
      <c r="R379" s="508"/>
      <c r="S379" s="534">
        <v>0</v>
      </c>
      <c r="T379" s="489"/>
      <c r="U379" s="489"/>
      <c r="V379" s="492"/>
      <c r="W379" s="489"/>
      <c r="X379" s="489"/>
      <c r="Y379" s="489"/>
      <c r="Z379" s="489"/>
      <c r="AA379" s="489"/>
      <c r="AB379" s="489"/>
      <c r="AC379" s="489"/>
      <c r="AD379" s="489"/>
      <c r="AE379" s="489"/>
      <c r="AF379" s="489"/>
      <c r="AG379" s="489"/>
      <c r="AH379" s="489"/>
      <c r="AI379" s="489"/>
      <c r="AJ379" s="489"/>
      <c r="AK379" s="489"/>
      <c r="AL379" s="489"/>
      <c r="AM379" s="489"/>
      <c r="AN379" s="489"/>
    </row>
    <row r="380" spans="1:40" ht="15.75" hidden="1" customHeight="1">
      <c r="A380" s="477" t="s">
        <v>457</v>
      </c>
      <c r="B380" s="492" t="s">
        <v>119</v>
      </c>
      <c r="C380" s="578" t="s">
        <v>52</v>
      </c>
      <c r="D380" s="563"/>
      <c r="E380" s="583"/>
      <c r="F380" s="503">
        <v>0</v>
      </c>
      <c r="G380" s="564"/>
      <c r="H380" s="583"/>
      <c r="I380" s="503"/>
      <c r="J380" s="501"/>
      <c r="K380" s="583"/>
      <c r="L380" s="503">
        <v>0</v>
      </c>
      <c r="M380" s="501"/>
      <c r="N380" s="559"/>
      <c r="O380" s="501"/>
      <c r="P380" s="583"/>
      <c r="Q380" s="503">
        <v>0</v>
      </c>
      <c r="R380" s="501"/>
      <c r="S380" s="559">
        <v>0</v>
      </c>
      <c r="T380" s="489"/>
      <c r="U380" s="489"/>
      <c r="V380" s="492"/>
      <c r="W380" s="489"/>
      <c r="X380" s="489"/>
      <c r="Y380" s="489"/>
      <c r="Z380" s="489"/>
      <c r="AA380" s="489"/>
      <c r="AB380" s="489"/>
      <c r="AC380" s="489"/>
      <c r="AD380" s="489"/>
      <c r="AE380" s="489"/>
      <c r="AF380" s="489"/>
      <c r="AG380" s="489"/>
      <c r="AH380" s="489"/>
      <c r="AI380" s="489"/>
      <c r="AJ380" s="489"/>
      <c r="AK380" s="489"/>
      <c r="AL380" s="489"/>
      <c r="AM380" s="489"/>
      <c r="AN380" s="489"/>
    </row>
    <row r="381" spans="1:40" ht="15.75" hidden="1" customHeight="1">
      <c r="A381" s="477" t="s">
        <v>458</v>
      </c>
      <c r="B381" s="492" t="s">
        <v>119</v>
      </c>
      <c r="C381" s="576" t="s">
        <v>53</v>
      </c>
      <c r="D381" s="561"/>
      <c r="E381" s="492"/>
      <c r="F381" s="509">
        <v>0</v>
      </c>
      <c r="G381" s="562"/>
      <c r="H381" s="492"/>
      <c r="I381" s="509"/>
      <c r="J381" s="508"/>
      <c r="K381" s="492"/>
      <c r="L381" s="511">
        <v>0</v>
      </c>
      <c r="M381" s="508"/>
      <c r="N381" s="534"/>
      <c r="O381" s="508"/>
      <c r="P381" s="492"/>
      <c r="Q381" s="511">
        <v>0</v>
      </c>
      <c r="R381" s="508"/>
      <c r="S381" s="534">
        <v>0</v>
      </c>
      <c r="T381" s="489"/>
      <c r="U381" s="489"/>
      <c r="V381" s="492"/>
      <c r="W381" s="489"/>
      <c r="X381" s="489"/>
      <c r="Y381" s="489"/>
      <c r="Z381" s="489"/>
      <c r="AA381" s="489"/>
      <c r="AB381" s="489"/>
      <c r="AC381" s="489"/>
      <c r="AD381" s="489"/>
      <c r="AE381" s="489"/>
      <c r="AF381" s="489"/>
      <c r="AG381" s="489"/>
      <c r="AH381" s="489"/>
      <c r="AI381" s="489"/>
      <c r="AJ381" s="489"/>
      <c r="AK381" s="489"/>
      <c r="AL381" s="489"/>
      <c r="AM381" s="489"/>
      <c r="AN381" s="489"/>
    </row>
    <row r="382" spans="1:40" ht="15.75" hidden="1" customHeight="1">
      <c r="A382" s="477" t="s">
        <v>459</v>
      </c>
      <c r="B382" s="492" t="s">
        <v>119</v>
      </c>
      <c r="C382" s="576" t="s">
        <v>54</v>
      </c>
      <c r="D382" s="561"/>
      <c r="E382" s="492"/>
      <c r="F382" s="509">
        <v>0</v>
      </c>
      <c r="G382" s="562"/>
      <c r="H382" s="492"/>
      <c r="I382" s="509"/>
      <c r="J382" s="508"/>
      <c r="K382" s="492"/>
      <c r="L382" s="511">
        <v>0</v>
      </c>
      <c r="M382" s="508"/>
      <c r="N382" s="534"/>
      <c r="O382" s="508"/>
      <c r="P382" s="492"/>
      <c r="Q382" s="511">
        <v>0</v>
      </c>
      <c r="R382" s="508"/>
      <c r="S382" s="534">
        <v>0</v>
      </c>
      <c r="T382" s="489"/>
      <c r="U382" s="489"/>
      <c r="V382" s="492"/>
      <c r="W382" s="489"/>
      <c r="X382" s="489"/>
      <c r="Y382" s="489"/>
      <c r="Z382" s="489"/>
      <c r="AA382" s="489"/>
      <c r="AB382" s="489"/>
      <c r="AC382" s="489"/>
      <c r="AD382" s="489"/>
      <c r="AE382" s="489"/>
      <c r="AF382" s="489"/>
      <c r="AG382" s="489"/>
      <c r="AH382" s="489"/>
      <c r="AI382" s="489"/>
      <c r="AJ382" s="489"/>
      <c r="AK382" s="489"/>
      <c r="AL382" s="489"/>
      <c r="AM382" s="489"/>
      <c r="AN382" s="489"/>
    </row>
    <row r="383" spans="1:40" ht="15.75" hidden="1" customHeight="1">
      <c r="A383" s="477" t="s">
        <v>460</v>
      </c>
      <c r="B383" s="492" t="s">
        <v>119</v>
      </c>
      <c r="C383" s="576" t="s">
        <v>55</v>
      </c>
      <c r="D383" s="563"/>
      <c r="E383" s="583"/>
      <c r="F383" s="503">
        <v>0</v>
      </c>
      <c r="G383" s="564"/>
      <c r="H383" s="583"/>
      <c r="I383" s="503"/>
      <c r="J383" s="501"/>
      <c r="K383" s="583"/>
      <c r="L383" s="503">
        <v>0</v>
      </c>
      <c r="M383" s="501"/>
      <c r="N383" s="559"/>
      <c r="O383" s="501"/>
      <c r="P383" s="583"/>
      <c r="Q383" s="503">
        <v>0</v>
      </c>
      <c r="R383" s="501"/>
      <c r="S383" s="559">
        <v>0</v>
      </c>
      <c r="T383" s="489"/>
      <c r="U383" s="489"/>
      <c r="V383" s="492"/>
      <c r="W383" s="489"/>
      <c r="X383" s="489"/>
      <c r="Y383" s="489"/>
      <c r="Z383" s="489"/>
      <c r="AA383" s="489"/>
      <c r="AB383" s="489"/>
      <c r="AC383" s="489"/>
      <c r="AD383" s="489"/>
      <c r="AE383" s="489"/>
      <c r="AF383" s="489"/>
      <c r="AG383" s="489"/>
      <c r="AH383" s="489"/>
      <c r="AI383" s="489"/>
      <c r="AJ383" s="489"/>
      <c r="AK383" s="489"/>
      <c r="AL383" s="489"/>
      <c r="AM383" s="489"/>
      <c r="AN383" s="489"/>
    </row>
    <row r="384" spans="1:40" ht="20.25" hidden="1" customHeight="1">
      <c r="A384" s="477" t="s">
        <v>461</v>
      </c>
      <c r="B384" s="492" t="s">
        <v>119</v>
      </c>
      <c r="C384" s="681" t="s">
        <v>56</v>
      </c>
      <c r="D384" s="561"/>
      <c r="E384" s="492"/>
      <c r="F384" s="509">
        <v>0</v>
      </c>
      <c r="G384" s="562"/>
      <c r="H384" s="492"/>
      <c r="I384" s="509"/>
      <c r="J384" s="508"/>
      <c r="K384" s="492"/>
      <c r="L384" s="511">
        <v>0</v>
      </c>
      <c r="M384" s="508"/>
      <c r="N384" s="534"/>
      <c r="O384" s="508"/>
      <c r="P384" s="492"/>
      <c r="Q384" s="511">
        <v>0</v>
      </c>
      <c r="R384" s="508"/>
      <c r="S384" s="534">
        <v>0</v>
      </c>
      <c r="T384" s="489"/>
      <c r="U384" s="489"/>
      <c r="V384" s="492"/>
      <c r="W384" s="489"/>
      <c r="X384" s="489"/>
      <c r="Y384" s="489"/>
      <c r="Z384" s="489"/>
      <c r="AA384" s="489"/>
      <c r="AB384" s="489"/>
      <c r="AC384" s="489"/>
      <c r="AD384" s="489"/>
      <c r="AE384" s="489"/>
      <c r="AF384" s="489"/>
      <c r="AG384" s="489"/>
      <c r="AH384" s="489"/>
      <c r="AI384" s="489"/>
      <c r="AJ384" s="489"/>
      <c r="AK384" s="489"/>
      <c r="AL384" s="489"/>
      <c r="AM384" s="489"/>
      <c r="AN384" s="489"/>
    </row>
    <row r="385" spans="1:40" ht="20.25" hidden="1" customHeight="1">
      <c r="A385" s="477" t="s">
        <v>462</v>
      </c>
      <c r="B385" s="492" t="s">
        <v>119</v>
      </c>
      <c r="C385" s="576" t="s">
        <v>57</v>
      </c>
      <c r="D385" s="561"/>
      <c r="E385" s="492"/>
      <c r="F385" s="509">
        <v>0</v>
      </c>
      <c r="G385" s="562"/>
      <c r="H385" s="492"/>
      <c r="I385" s="509"/>
      <c r="J385" s="508"/>
      <c r="K385" s="492"/>
      <c r="L385" s="511">
        <v>0</v>
      </c>
      <c r="M385" s="508"/>
      <c r="N385" s="534"/>
      <c r="O385" s="508"/>
      <c r="P385" s="492"/>
      <c r="Q385" s="511">
        <v>0</v>
      </c>
      <c r="R385" s="508"/>
      <c r="S385" s="534">
        <v>0</v>
      </c>
      <c r="T385" s="489"/>
      <c r="U385" s="489"/>
      <c r="V385" s="492"/>
      <c r="W385" s="489"/>
      <c r="X385" s="489"/>
      <c r="Y385" s="489"/>
      <c r="Z385" s="489"/>
      <c r="AA385" s="489"/>
      <c r="AB385" s="489"/>
      <c r="AC385" s="489"/>
      <c r="AD385" s="489"/>
      <c r="AE385" s="489"/>
      <c r="AF385" s="489"/>
      <c r="AG385" s="489"/>
      <c r="AH385" s="489"/>
      <c r="AI385" s="489"/>
      <c r="AJ385" s="489"/>
      <c r="AK385" s="489"/>
      <c r="AL385" s="489"/>
      <c r="AM385" s="489"/>
      <c r="AN385" s="489"/>
    </row>
    <row r="386" spans="1:40" ht="20.25" hidden="1" customHeight="1">
      <c r="A386" s="477" t="s">
        <v>463</v>
      </c>
      <c r="B386" s="492" t="s">
        <v>119</v>
      </c>
      <c r="C386" s="576" t="s">
        <v>58</v>
      </c>
      <c r="D386" s="561"/>
      <c r="E386" s="492"/>
      <c r="F386" s="509">
        <v>0</v>
      </c>
      <c r="G386" s="562"/>
      <c r="H386" s="492"/>
      <c r="I386" s="509"/>
      <c r="J386" s="508"/>
      <c r="K386" s="492"/>
      <c r="L386" s="511">
        <v>0</v>
      </c>
      <c r="M386" s="508"/>
      <c r="N386" s="534"/>
      <c r="O386" s="508"/>
      <c r="P386" s="492"/>
      <c r="Q386" s="511">
        <v>0</v>
      </c>
      <c r="R386" s="508"/>
      <c r="S386" s="534">
        <v>0</v>
      </c>
      <c r="T386" s="489"/>
      <c r="U386" s="489"/>
      <c r="V386" s="492"/>
      <c r="W386" s="489"/>
      <c r="X386" s="489"/>
      <c r="Y386" s="489"/>
      <c r="Z386" s="489"/>
      <c r="AA386" s="489"/>
      <c r="AB386" s="489"/>
      <c r="AC386" s="489"/>
      <c r="AD386" s="489"/>
      <c r="AE386" s="489"/>
      <c r="AF386" s="489"/>
      <c r="AG386" s="489"/>
      <c r="AH386" s="489"/>
      <c r="AI386" s="489"/>
      <c r="AJ386" s="489"/>
      <c r="AK386" s="489"/>
      <c r="AL386" s="489"/>
      <c r="AM386" s="489"/>
      <c r="AN386" s="489"/>
    </row>
    <row r="387" spans="1:40" ht="20.25" hidden="1" customHeight="1">
      <c r="A387" s="477" t="s">
        <v>464</v>
      </c>
      <c r="B387" s="492" t="s">
        <v>119</v>
      </c>
      <c r="C387" s="576" t="s">
        <v>59</v>
      </c>
      <c r="D387" s="561"/>
      <c r="E387" s="492"/>
      <c r="F387" s="509">
        <v>0</v>
      </c>
      <c r="G387" s="562"/>
      <c r="H387" s="492"/>
      <c r="I387" s="509"/>
      <c r="J387" s="508"/>
      <c r="K387" s="492"/>
      <c r="L387" s="511">
        <v>0</v>
      </c>
      <c r="M387" s="508"/>
      <c r="N387" s="534"/>
      <c r="O387" s="508"/>
      <c r="P387" s="492"/>
      <c r="Q387" s="511">
        <v>0</v>
      </c>
      <c r="R387" s="508"/>
      <c r="S387" s="534">
        <v>0</v>
      </c>
      <c r="T387" s="489"/>
      <c r="U387" s="489"/>
      <c r="V387" s="492"/>
      <c r="W387" s="489"/>
      <c r="X387" s="489"/>
      <c r="Y387" s="489"/>
      <c r="Z387" s="489"/>
      <c r="AA387" s="489"/>
      <c r="AB387" s="489"/>
      <c r="AC387" s="489"/>
      <c r="AD387" s="489"/>
      <c r="AE387" s="489"/>
      <c r="AF387" s="489"/>
      <c r="AG387" s="489"/>
      <c r="AH387" s="489"/>
      <c r="AI387" s="489"/>
      <c r="AJ387" s="489"/>
      <c r="AK387" s="489"/>
      <c r="AL387" s="489"/>
      <c r="AM387" s="489"/>
      <c r="AN387" s="489"/>
    </row>
    <row r="388" spans="1:40" ht="20.25" hidden="1" customHeight="1">
      <c r="A388" s="477" t="s">
        <v>465</v>
      </c>
      <c r="B388" s="492" t="s">
        <v>119</v>
      </c>
      <c r="C388" s="576" t="s">
        <v>60</v>
      </c>
      <c r="D388" s="561"/>
      <c r="E388" s="492"/>
      <c r="F388" s="509">
        <v>0</v>
      </c>
      <c r="G388" s="562"/>
      <c r="H388" s="492"/>
      <c r="I388" s="509"/>
      <c r="J388" s="508"/>
      <c r="K388" s="492"/>
      <c r="L388" s="511">
        <v>0</v>
      </c>
      <c r="M388" s="508"/>
      <c r="N388" s="534"/>
      <c r="O388" s="508"/>
      <c r="P388" s="492"/>
      <c r="Q388" s="511">
        <v>0</v>
      </c>
      <c r="R388" s="508"/>
      <c r="S388" s="534">
        <v>0</v>
      </c>
      <c r="T388" s="489"/>
      <c r="U388" s="489"/>
      <c r="V388" s="492"/>
      <c r="W388" s="489"/>
      <c r="X388" s="489"/>
      <c r="Y388" s="489"/>
      <c r="Z388" s="489"/>
      <c r="AA388" s="489"/>
      <c r="AB388" s="489"/>
      <c r="AC388" s="489"/>
      <c r="AD388" s="489"/>
      <c r="AE388" s="489"/>
      <c r="AF388" s="489"/>
      <c r="AG388" s="489"/>
      <c r="AH388" s="489"/>
      <c r="AI388" s="489"/>
      <c r="AJ388" s="489"/>
      <c r="AK388" s="489"/>
      <c r="AL388" s="489"/>
      <c r="AM388" s="489"/>
      <c r="AN388" s="489"/>
    </row>
    <row r="389" spans="1:40" ht="20.25" hidden="1" customHeight="1">
      <c r="A389" s="477" t="s">
        <v>466</v>
      </c>
      <c r="B389" s="492" t="s">
        <v>119</v>
      </c>
      <c r="C389" s="576" t="s">
        <v>61</v>
      </c>
      <c r="D389" s="561"/>
      <c r="E389" s="492"/>
      <c r="F389" s="509">
        <v>0</v>
      </c>
      <c r="G389" s="562"/>
      <c r="H389" s="492"/>
      <c r="I389" s="509"/>
      <c r="J389" s="508"/>
      <c r="K389" s="492"/>
      <c r="L389" s="511">
        <v>0</v>
      </c>
      <c r="M389" s="508"/>
      <c r="N389" s="534"/>
      <c r="O389" s="508"/>
      <c r="P389" s="492"/>
      <c r="Q389" s="511">
        <v>0</v>
      </c>
      <c r="R389" s="508"/>
      <c r="S389" s="534">
        <v>0</v>
      </c>
      <c r="T389" s="489"/>
      <c r="U389" s="489"/>
      <c r="V389" s="492"/>
      <c r="W389" s="489"/>
      <c r="X389" s="489"/>
      <c r="Y389" s="489"/>
      <c r="Z389" s="489"/>
      <c r="AA389" s="489"/>
      <c r="AB389" s="489"/>
      <c r="AC389" s="489"/>
      <c r="AD389" s="489"/>
      <c r="AE389" s="489"/>
      <c r="AF389" s="489"/>
      <c r="AG389" s="489"/>
      <c r="AH389" s="489"/>
      <c r="AI389" s="489"/>
      <c r="AJ389" s="489"/>
      <c r="AK389" s="489"/>
      <c r="AL389" s="489"/>
      <c r="AM389" s="489"/>
      <c r="AN389" s="489"/>
    </row>
    <row r="390" spans="1:40" ht="20.25" hidden="1" customHeight="1">
      <c r="A390" s="477" t="s">
        <v>467</v>
      </c>
      <c r="B390" s="492" t="s">
        <v>119</v>
      </c>
      <c r="C390" s="576" t="s">
        <v>62</v>
      </c>
      <c r="D390" s="561"/>
      <c r="E390" s="492"/>
      <c r="F390" s="509">
        <v>0</v>
      </c>
      <c r="G390" s="562"/>
      <c r="H390" s="492"/>
      <c r="I390" s="509"/>
      <c r="J390" s="508"/>
      <c r="K390" s="492"/>
      <c r="L390" s="511">
        <v>0</v>
      </c>
      <c r="M390" s="508"/>
      <c r="N390" s="534"/>
      <c r="O390" s="508"/>
      <c r="P390" s="492"/>
      <c r="Q390" s="511">
        <v>0</v>
      </c>
      <c r="R390" s="508"/>
      <c r="S390" s="534">
        <v>0</v>
      </c>
      <c r="T390" s="489"/>
      <c r="U390" s="489"/>
      <c r="V390" s="492"/>
      <c r="W390" s="489"/>
      <c r="X390" s="489"/>
      <c r="Y390" s="489"/>
      <c r="Z390" s="489"/>
      <c r="AA390" s="489"/>
      <c r="AB390" s="489"/>
      <c r="AC390" s="489"/>
      <c r="AD390" s="489"/>
      <c r="AE390" s="489"/>
      <c r="AF390" s="489"/>
      <c r="AG390" s="489"/>
      <c r="AH390" s="489"/>
      <c r="AI390" s="489"/>
      <c r="AJ390" s="489"/>
      <c r="AK390" s="489"/>
      <c r="AL390" s="489"/>
      <c r="AM390" s="489"/>
      <c r="AN390" s="489"/>
    </row>
    <row r="391" spans="1:40" ht="20.25" hidden="1" customHeight="1">
      <c r="A391" s="477" t="s">
        <v>468</v>
      </c>
      <c r="B391" s="492" t="s">
        <v>119</v>
      </c>
      <c r="C391" s="576" t="s">
        <v>63</v>
      </c>
      <c r="D391" s="561"/>
      <c r="E391" s="492"/>
      <c r="F391" s="509">
        <v>0</v>
      </c>
      <c r="G391" s="562"/>
      <c r="H391" s="492"/>
      <c r="I391" s="509"/>
      <c r="J391" s="508"/>
      <c r="K391" s="492"/>
      <c r="L391" s="511">
        <v>0</v>
      </c>
      <c r="M391" s="508"/>
      <c r="N391" s="534"/>
      <c r="O391" s="508"/>
      <c r="P391" s="492"/>
      <c r="Q391" s="511">
        <v>0</v>
      </c>
      <c r="R391" s="508"/>
      <c r="S391" s="534">
        <v>0</v>
      </c>
      <c r="T391" s="489"/>
      <c r="U391" s="489"/>
      <c r="V391" s="492"/>
      <c r="W391" s="489"/>
      <c r="X391" s="489"/>
      <c r="Y391" s="489"/>
      <c r="Z391" s="489"/>
      <c r="AA391" s="489"/>
      <c r="AB391" s="489"/>
      <c r="AC391" s="489"/>
      <c r="AD391" s="489"/>
      <c r="AE391" s="489"/>
      <c r="AF391" s="489"/>
      <c r="AG391" s="489"/>
      <c r="AH391" s="489"/>
      <c r="AI391" s="489"/>
      <c r="AJ391" s="489"/>
      <c r="AK391" s="489"/>
      <c r="AL391" s="489"/>
      <c r="AM391" s="489"/>
      <c r="AN391" s="489"/>
    </row>
    <row r="392" spans="1:40" ht="15.75" hidden="1" customHeight="1">
      <c r="A392" s="477" t="s">
        <v>449</v>
      </c>
      <c r="B392" s="492" t="s">
        <v>119</v>
      </c>
      <c r="C392" s="576" t="s">
        <v>20</v>
      </c>
      <c r="D392" s="561"/>
      <c r="E392" s="492"/>
      <c r="F392" s="509">
        <v>0</v>
      </c>
      <c r="G392" s="562"/>
      <c r="H392" s="492"/>
      <c r="I392" s="509"/>
      <c r="J392" s="508"/>
      <c r="K392" s="492"/>
      <c r="L392" s="511">
        <v>0</v>
      </c>
      <c r="M392" s="508"/>
      <c r="N392" s="534"/>
      <c r="O392" s="508"/>
      <c r="P392" s="492"/>
      <c r="Q392" s="511">
        <v>0</v>
      </c>
      <c r="R392" s="508"/>
      <c r="S392" s="534">
        <v>0</v>
      </c>
      <c r="T392" s="489"/>
      <c r="U392" s="489"/>
      <c r="V392" s="492"/>
      <c r="W392" s="489"/>
      <c r="X392" s="489"/>
      <c r="Y392" s="489"/>
      <c r="Z392" s="489"/>
      <c r="AA392" s="489"/>
      <c r="AB392" s="489"/>
      <c r="AC392" s="489"/>
      <c r="AD392" s="489"/>
      <c r="AE392" s="489"/>
      <c r="AF392" s="489"/>
      <c r="AG392" s="489"/>
      <c r="AH392" s="489"/>
      <c r="AI392" s="489"/>
      <c r="AJ392" s="489"/>
      <c r="AK392" s="489"/>
      <c r="AL392" s="489"/>
      <c r="AM392" s="489"/>
      <c r="AN392" s="489"/>
    </row>
    <row r="393" spans="1:40" ht="15.75" hidden="1" customHeight="1">
      <c r="A393" s="477" t="s">
        <v>449</v>
      </c>
      <c r="B393" s="492" t="s">
        <v>119</v>
      </c>
      <c r="C393" s="576" t="s">
        <v>20</v>
      </c>
      <c r="D393" s="561"/>
      <c r="E393" s="492"/>
      <c r="F393" s="509">
        <v>0</v>
      </c>
      <c r="G393" s="562"/>
      <c r="H393" s="492"/>
      <c r="I393" s="509"/>
      <c r="J393" s="508"/>
      <c r="K393" s="492"/>
      <c r="L393" s="511">
        <v>0</v>
      </c>
      <c r="M393" s="508"/>
      <c r="N393" s="534"/>
      <c r="O393" s="508"/>
      <c r="P393" s="492"/>
      <c r="Q393" s="511">
        <v>0</v>
      </c>
      <c r="R393" s="508"/>
      <c r="S393" s="534">
        <v>0</v>
      </c>
      <c r="T393" s="489"/>
      <c r="U393" s="489"/>
      <c r="V393" s="492"/>
      <c r="W393" s="489"/>
      <c r="X393" s="489"/>
      <c r="Y393" s="489"/>
      <c r="Z393" s="489"/>
      <c r="AA393" s="489"/>
      <c r="AB393" s="489"/>
      <c r="AC393" s="489"/>
      <c r="AD393" s="489"/>
      <c r="AE393" s="489"/>
      <c r="AF393" s="489"/>
      <c r="AG393" s="489"/>
      <c r="AH393" s="489"/>
      <c r="AI393" s="489"/>
      <c r="AJ393" s="489"/>
      <c r="AK393" s="489"/>
      <c r="AL393" s="489"/>
      <c r="AM393" s="489"/>
      <c r="AN393" s="489"/>
    </row>
    <row r="394" spans="1:40" ht="15.75" hidden="1" customHeight="1">
      <c r="A394" s="477" t="s">
        <v>449</v>
      </c>
      <c r="B394" s="492" t="s">
        <v>119</v>
      </c>
      <c r="C394" s="576" t="s">
        <v>20</v>
      </c>
      <c r="D394" s="563"/>
      <c r="E394" s="583"/>
      <c r="F394" s="509">
        <v>0</v>
      </c>
      <c r="G394" s="564"/>
      <c r="H394" s="583"/>
      <c r="I394" s="509"/>
      <c r="J394" s="501"/>
      <c r="K394" s="583"/>
      <c r="L394" s="511">
        <v>0</v>
      </c>
      <c r="M394" s="501"/>
      <c r="N394" s="559"/>
      <c r="O394" s="501"/>
      <c r="P394" s="583"/>
      <c r="Q394" s="511">
        <v>0</v>
      </c>
      <c r="R394" s="501"/>
      <c r="S394" s="559">
        <v>0</v>
      </c>
      <c r="T394" s="489"/>
      <c r="U394" s="489"/>
      <c r="V394" s="492"/>
      <c r="W394" s="489"/>
      <c r="X394" s="489"/>
      <c r="Y394" s="489"/>
      <c r="Z394" s="489"/>
      <c r="AA394" s="489"/>
      <c r="AB394" s="489"/>
      <c r="AC394" s="489"/>
      <c r="AD394" s="489"/>
      <c r="AE394" s="489"/>
      <c r="AF394" s="489"/>
      <c r="AG394" s="489"/>
      <c r="AH394" s="489"/>
      <c r="AI394" s="489"/>
      <c r="AJ394" s="489"/>
      <c r="AK394" s="489"/>
      <c r="AL394" s="489"/>
      <c r="AM394" s="489"/>
      <c r="AN394" s="489"/>
    </row>
    <row r="395" spans="1:40" ht="15.75" hidden="1" customHeight="1">
      <c r="B395" s="486"/>
      <c r="C395" s="568" t="s">
        <v>64</v>
      </c>
      <c r="D395" s="569" t="s">
        <v>39</v>
      </c>
      <c r="E395" s="570">
        <v>0</v>
      </c>
      <c r="F395" s="571">
        <v>0</v>
      </c>
      <c r="G395" s="572"/>
      <c r="H395" s="570"/>
      <c r="I395" s="571"/>
      <c r="J395" s="572" t="s">
        <v>39</v>
      </c>
      <c r="K395" s="570">
        <v>0</v>
      </c>
      <c r="L395" s="571">
        <v>0</v>
      </c>
      <c r="M395" s="625"/>
      <c r="N395" s="571"/>
      <c r="O395" s="572" t="s">
        <v>39</v>
      </c>
      <c r="P395" s="570">
        <v>0</v>
      </c>
      <c r="Q395" s="571">
        <v>0</v>
      </c>
      <c r="R395" s="625"/>
      <c r="S395" s="585">
        <v>0</v>
      </c>
      <c r="T395" s="489"/>
      <c r="U395" s="489"/>
      <c r="V395" s="492"/>
      <c r="W395" s="489"/>
      <c r="X395" s="489"/>
      <c r="Y395" s="489"/>
      <c r="Z395" s="489"/>
      <c r="AA395" s="489"/>
      <c r="AB395" s="489"/>
      <c r="AC395" s="489"/>
      <c r="AD395" s="489"/>
      <c r="AE395" s="489"/>
      <c r="AF395" s="489"/>
      <c r="AG395" s="489"/>
      <c r="AH395" s="489"/>
      <c r="AI395" s="489"/>
      <c r="AJ395" s="489"/>
      <c r="AK395" s="489"/>
      <c r="AL395" s="489"/>
      <c r="AM395" s="489"/>
      <c r="AN395" s="489"/>
    </row>
    <row r="396" spans="1:40" ht="15.75" hidden="1" customHeight="1">
      <c r="B396" s="486"/>
      <c r="C396" s="508"/>
      <c r="D396" s="492"/>
      <c r="E396" s="492"/>
      <c r="F396" s="518"/>
      <c r="G396" s="508"/>
      <c r="H396" s="492"/>
      <c r="I396" s="518"/>
      <c r="J396" s="508"/>
      <c r="K396" s="492"/>
      <c r="L396" s="518"/>
      <c r="M396" s="527"/>
      <c r="N396" s="549"/>
      <c r="O396" s="508"/>
      <c r="P396" s="492"/>
      <c r="Q396" s="518"/>
      <c r="R396" s="508"/>
      <c r="S396" s="549"/>
      <c r="T396" s="489"/>
      <c r="U396" s="489"/>
      <c r="V396" s="492"/>
      <c r="W396" s="489"/>
      <c r="X396" s="489"/>
      <c r="Y396" s="489"/>
      <c r="Z396" s="489"/>
      <c r="AA396" s="489"/>
      <c r="AB396" s="489"/>
      <c r="AC396" s="489"/>
      <c r="AD396" s="489"/>
      <c r="AE396" s="489"/>
      <c r="AF396" s="489"/>
      <c r="AG396" s="489"/>
      <c r="AH396" s="489"/>
      <c r="AI396" s="489"/>
      <c r="AJ396" s="489"/>
      <c r="AK396" s="489"/>
      <c r="AL396" s="489"/>
      <c r="AM396" s="489"/>
      <c r="AN396" s="489"/>
    </row>
    <row r="397" spans="1:40" ht="15.75" hidden="1" customHeight="1">
      <c r="B397" s="486"/>
      <c r="C397" s="568" t="s">
        <v>65</v>
      </c>
      <c r="D397" s="569" t="s">
        <v>39</v>
      </c>
      <c r="E397" s="570">
        <v>0</v>
      </c>
      <c r="F397" s="571">
        <v>0</v>
      </c>
      <c r="G397" s="572"/>
      <c r="H397" s="570"/>
      <c r="I397" s="571"/>
      <c r="J397" s="572" t="s">
        <v>39</v>
      </c>
      <c r="K397" s="570">
        <v>0</v>
      </c>
      <c r="L397" s="571">
        <v>0</v>
      </c>
      <c r="M397" s="568"/>
      <c r="N397" s="571"/>
      <c r="O397" s="572" t="s">
        <v>39</v>
      </c>
      <c r="P397" s="570">
        <v>0</v>
      </c>
      <c r="Q397" s="571">
        <v>0</v>
      </c>
      <c r="R397" s="575"/>
      <c r="S397" s="571">
        <v>0</v>
      </c>
      <c r="T397" s="489"/>
      <c r="U397" s="489"/>
      <c r="V397" s="492"/>
      <c r="W397" s="489"/>
      <c r="X397" s="489"/>
      <c r="Y397" s="489"/>
      <c r="Z397" s="489"/>
      <c r="AA397" s="489"/>
      <c r="AB397" s="489"/>
      <c r="AC397" s="489"/>
      <c r="AD397" s="489"/>
      <c r="AE397" s="489"/>
      <c r="AF397" s="489"/>
      <c r="AG397" s="489"/>
      <c r="AH397" s="489"/>
      <c r="AI397" s="489"/>
      <c r="AJ397" s="489"/>
      <c r="AK397" s="489"/>
      <c r="AL397" s="489"/>
      <c r="AM397" s="489"/>
      <c r="AN397" s="489"/>
    </row>
    <row r="398" spans="1:40" ht="15.75" hidden="1" customHeight="1">
      <c r="B398" s="486"/>
      <c r="C398" s="508"/>
      <c r="D398" s="492"/>
      <c r="E398" s="492"/>
      <c r="F398" s="534"/>
      <c r="G398" s="508"/>
      <c r="H398" s="492"/>
      <c r="I398" s="534"/>
      <c r="J398" s="508"/>
      <c r="K398" s="492"/>
      <c r="L398" s="534"/>
      <c r="M398" s="527"/>
      <c r="N398" s="549"/>
      <c r="O398" s="508"/>
      <c r="P398" s="492"/>
      <c r="Q398" s="534"/>
      <c r="R398" s="508"/>
      <c r="S398" s="549"/>
      <c r="T398" s="489"/>
      <c r="U398" s="489"/>
      <c r="V398" s="492"/>
      <c r="W398" s="489"/>
      <c r="X398" s="489"/>
      <c r="Y398" s="489"/>
      <c r="Z398" s="489"/>
      <c r="AA398" s="489"/>
      <c r="AB398" s="489"/>
      <c r="AC398" s="489"/>
      <c r="AD398" s="489"/>
      <c r="AE398" s="489"/>
      <c r="AF398" s="489"/>
      <c r="AG398" s="489"/>
      <c r="AH398" s="489"/>
      <c r="AI398" s="489"/>
      <c r="AJ398" s="489"/>
      <c r="AK398" s="489"/>
      <c r="AL398" s="489"/>
      <c r="AM398" s="489"/>
      <c r="AN398" s="489"/>
    </row>
    <row r="399" spans="1:40" ht="15.75" hidden="1" customHeight="1">
      <c r="B399" s="486"/>
      <c r="C399" s="707" t="s">
        <v>72</v>
      </c>
      <c r="D399" s="708"/>
      <c r="E399" s="708"/>
      <c r="F399" s="709">
        <v>0</v>
      </c>
      <c r="G399" s="707"/>
      <c r="H399" s="708"/>
      <c r="I399" s="709"/>
      <c r="J399" s="710"/>
      <c r="K399" s="711"/>
      <c r="L399" s="709">
        <v>0</v>
      </c>
      <c r="M399" s="707"/>
      <c r="N399" s="709"/>
      <c r="O399" s="710"/>
      <c r="P399" s="711"/>
      <c r="Q399" s="709">
        <v>0</v>
      </c>
      <c r="R399" s="710"/>
      <c r="S399" s="709">
        <v>0</v>
      </c>
      <c r="T399" s="489"/>
      <c r="U399" s="489"/>
      <c r="V399" s="492"/>
      <c r="W399" s="489"/>
      <c r="X399" s="489"/>
      <c r="Y399" s="489"/>
      <c r="Z399" s="489"/>
      <c r="AA399" s="489"/>
      <c r="AB399" s="489"/>
      <c r="AC399" s="489"/>
      <c r="AD399" s="489"/>
      <c r="AE399" s="489"/>
      <c r="AF399" s="489"/>
      <c r="AG399" s="489"/>
      <c r="AH399" s="489"/>
      <c r="AI399" s="489"/>
      <c r="AJ399" s="489"/>
      <c r="AK399" s="489"/>
      <c r="AL399" s="489"/>
      <c r="AM399" s="489"/>
      <c r="AN399" s="489"/>
    </row>
    <row r="400" spans="1:40" ht="15.75" customHeight="1">
      <c r="B400" s="486"/>
      <c r="C400" s="548"/>
      <c r="D400" s="712"/>
      <c r="E400" s="492"/>
      <c r="F400" s="584">
        <v>72777.69151643716</v>
      </c>
      <c r="G400" s="561"/>
      <c r="H400" s="492"/>
      <c r="I400" s="584"/>
      <c r="J400" s="712"/>
      <c r="K400" s="548"/>
      <c r="L400" s="584">
        <v>193596.05</v>
      </c>
      <c r="M400" s="548"/>
      <c r="N400" s="584"/>
      <c r="O400" s="548"/>
      <c r="P400" s="548"/>
      <c r="Q400" s="584"/>
      <c r="R400" s="548"/>
      <c r="S400" s="584"/>
      <c r="T400" s="492"/>
      <c r="U400" s="492"/>
      <c r="V400" s="492"/>
      <c r="W400" s="492"/>
      <c r="X400" s="492"/>
      <c r="Y400" s="492"/>
      <c r="Z400" s="492"/>
      <c r="AA400" s="492"/>
      <c r="AB400" s="492"/>
      <c r="AC400" s="492"/>
      <c r="AD400" s="492"/>
      <c r="AE400" s="492"/>
      <c r="AF400" s="492"/>
      <c r="AG400" s="492"/>
      <c r="AH400" s="492"/>
      <c r="AI400" s="492"/>
      <c r="AJ400" s="492"/>
      <c r="AK400" s="492"/>
      <c r="AL400" s="492"/>
      <c r="AM400" s="492"/>
      <c r="AN400" s="492"/>
    </row>
    <row r="401" spans="1:61" ht="15.75" customHeight="1">
      <c r="B401" s="486"/>
      <c r="F401" s="713"/>
      <c r="L401" s="713"/>
      <c r="V401" s="492"/>
      <c r="W401" s="489"/>
      <c r="X401" s="489"/>
      <c r="Y401" s="489"/>
      <c r="Z401" s="489"/>
      <c r="AA401" s="489"/>
      <c r="AB401" s="489"/>
      <c r="AC401" s="489"/>
      <c r="AD401" s="489"/>
      <c r="AE401" s="489"/>
      <c r="AF401" s="489"/>
      <c r="AG401" s="489"/>
      <c r="AH401" s="489"/>
      <c r="AI401" s="489"/>
      <c r="AJ401" s="489"/>
      <c r="AK401" s="489"/>
      <c r="AL401" s="489"/>
      <c r="AM401" s="489"/>
      <c r="AN401" s="489"/>
    </row>
    <row r="402" spans="1:61" ht="35.25">
      <c r="B402" s="486"/>
      <c r="C402" s="714" t="s">
        <v>227</v>
      </c>
      <c r="F402" s="713"/>
      <c r="L402" s="713"/>
      <c r="V402" s="715" t="s">
        <v>478</v>
      </c>
      <c r="W402" s="478"/>
      <c r="X402" s="478"/>
      <c r="Y402" s="478"/>
      <c r="Z402" s="478"/>
      <c r="AA402" s="478"/>
      <c r="AB402" s="478"/>
      <c r="AC402" s="478"/>
      <c r="AD402" s="478"/>
      <c r="AE402" s="480" t="s">
        <v>477</v>
      </c>
      <c r="AF402" s="478"/>
      <c r="AG402" s="478"/>
      <c r="AH402" s="478"/>
      <c r="AI402" s="478"/>
      <c r="AJ402" s="716"/>
      <c r="AK402" s="480"/>
      <c r="AL402" s="478"/>
      <c r="AM402" s="478"/>
      <c r="AN402" s="478"/>
      <c r="AO402" s="716" t="s">
        <v>481</v>
      </c>
      <c r="AP402" s="489"/>
      <c r="AQ402" s="489"/>
      <c r="AR402" s="489"/>
      <c r="AS402" s="489"/>
      <c r="AT402" s="489"/>
      <c r="AU402" s="489"/>
      <c r="AV402" s="489"/>
      <c r="AW402" s="489"/>
      <c r="AX402" s="489"/>
      <c r="AY402" s="489"/>
      <c r="AZ402" s="489"/>
      <c r="BA402" s="489"/>
      <c r="BB402" s="489"/>
      <c r="BC402" s="489"/>
      <c r="BD402" s="489"/>
      <c r="BE402" s="489"/>
      <c r="BF402" s="489"/>
      <c r="BG402" s="489"/>
      <c r="BH402" s="489"/>
      <c r="BI402" s="489"/>
    </row>
    <row r="403" spans="1:61" ht="15.75" customHeight="1" thickBot="1">
      <c r="B403" s="486"/>
      <c r="C403" s="714" t="s">
        <v>227</v>
      </c>
      <c r="V403" s="717"/>
      <c r="W403" s="488"/>
      <c r="X403" s="488"/>
      <c r="Y403" s="488"/>
      <c r="Z403" s="488"/>
      <c r="AA403" s="488"/>
      <c r="AB403" s="488"/>
      <c r="AC403" s="488"/>
      <c r="AD403" s="488"/>
      <c r="AE403" s="488"/>
      <c r="AF403" s="488"/>
      <c r="AG403" s="488"/>
      <c r="AH403" s="488"/>
      <c r="AI403" s="488"/>
      <c r="AJ403" s="488"/>
      <c r="AK403" s="488"/>
      <c r="AL403" s="489"/>
      <c r="AM403" s="489"/>
      <c r="AN403" s="489"/>
      <c r="AO403" s="489"/>
      <c r="AP403" s="489"/>
      <c r="AQ403" s="489"/>
      <c r="AR403" s="489"/>
      <c r="AS403" s="489"/>
      <c r="AT403" s="489"/>
      <c r="AU403" s="489"/>
      <c r="AV403" s="489"/>
      <c r="AW403" s="489"/>
      <c r="AX403" s="489"/>
      <c r="AY403" s="489"/>
      <c r="AZ403" s="489"/>
      <c r="BA403" s="489"/>
      <c r="BB403" s="489"/>
      <c r="BC403" s="489"/>
      <c r="BD403" s="489"/>
      <c r="BE403" s="489"/>
      <c r="BF403" s="489"/>
      <c r="BG403" s="489"/>
      <c r="BH403" s="489"/>
      <c r="BI403" s="489"/>
    </row>
    <row r="404" spans="1:61" ht="15.75" customHeight="1" thickTop="1" thickBot="1">
      <c r="A404" s="477" t="s">
        <v>469</v>
      </c>
      <c r="B404" s="486"/>
      <c r="C404" s="714" t="s">
        <v>227</v>
      </c>
      <c r="V404" s="718"/>
      <c r="W404" s="719"/>
      <c r="X404" s="874" t="s">
        <v>122</v>
      </c>
      <c r="Y404" s="875"/>
      <c r="Z404" s="876"/>
      <c r="AA404" s="877"/>
      <c r="AB404" s="875"/>
      <c r="AC404" s="876"/>
      <c r="AD404" s="877" t="s">
        <v>7</v>
      </c>
      <c r="AE404" s="875"/>
      <c r="AF404" s="876"/>
      <c r="AG404" s="877" t="s">
        <v>220</v>
      </c>
      <c r="AH404" s="875"/>
      <c r="AI404" s="876"/>
      <c r="AJ404" s="877" t="s">
        <v>123</v>
      </c>
      <c r="AK404" s="875"/>
      <c r="AL404" s="875"/>
      <c r="AM404" s="877" t="s">
        <v>124</v>
      </c>
      <c r="AN404" s="875"/>
      <c r="AO404" s="878"/>
      <c r="AP404" s="489"/>
      <c r="AQ404" s="489"/>
      <c r="AR404" s="489"/>
      <c r="AS404" s="489"/>
      <c r="AT404" s="489"/>
      <c r="AU404" s="489"/>
      <c r="AV404" s="489"/>
      <c r="AW404" s="489"/>
      <c r="AX404" s="489"/>
      <c r="AY404" s="489"/>
      <c r="AZ404" s="489"/>
      <c r="BA404" s="489"/>
      <c r="BB404" s="489"/>
      <c r="BC404" s="489"/>
      <c r="BD404" s="489"/>
      <c r="BE404" s="489"/>
      <c r="BF404" s="489"/>
      <c r="BG404" s="489"/>
      <c r="BH404" s="489"/>
      <c r="BI404" s="489"/>
    </row>
    <row r="405" spans="1:61" ht="15.75" customHeight="1">
      <c r="A405" s="477" t="s">
        <v>469</v>
      </c>
      <c r="B405" s="486"/>
      <c r="C405" s="714" t="s">
        <v>227</v>
      </c>
      <c r="V405" s="501"/>
      <c r="W405" s="676" t="s">
        <v>125</v>
      </c>
      <c r="X405" s="676" t="s">
        <v>126</v>
      </c>
      <c r="Y405" s="676" t="s">
        <v>127</v>
      </c>
      <c r="Z405" s="720" t="s">
        <v>128</v>
      </c>
      <c r="AA405" s="676"/>
      <c r="AB405" s="676"/>
      <c r="AC405" s="720"/>
      <c r="AD405" s="721" t="s">
        <v>126</v>
      </c>
      <c r="AE405" s="676" t="s">
        <v>127</v>
      </c>
      <c r="AF405" s="676" t="s">
        <v>128</v>
      </c>
      <c r="AG405" s="721" t="s">
        <v>129</v>
      </c>
      <c r="AH405" s="676" t="s">
        <v>130</v>
      </c>
      <c r="AI405" s="676" t="s">
        <v>131</v>
      </c>
      <c r="AJ405" s="721" t="s">
        <v>126</v>
      </c>
      <c r="AK405" s="676" t="s">
        <v>127</v>
      </c>
      <c r="AL405" s="676" t="s">
        <v>128</v>
      </c>
      <c r="AM405" s="722" t="s">
        <v>129</v>
      </c>
      <c r="AN405" s="676" t="s">
        <v>130</v>
      </c>
      <c r="AO405" s="613" t="s">
        <v>131</v>
      </c>
      <c r="AP405" s="489"/>
      <c r="AQ405" s="489"/>
      <c r="AR405" s="489"/>
      <c r="AS405" s="489"/>
      <c r="AT405" s="489"/>
      <c r="AU405" s="489"/>
      <c r="AV405" s="489"/>
      <c r="AW405" s="489"/>
      <c r="AX405" s="489"/>
      <c r="AY405" s="489"/>
      <c r="AZ405" s="489"/>
      <c r="BA405" s="489"/>
      <c r="BB405" s="489"/>
      <c r="BC405" s="489"/>
      <c r="BD405" s="489"/>
      <c r="BE405" s="489"/>
      <c r="BF405" s="489"/>
      <c r="BG405" s="489"/>
      <c r="BH405" s="489"/>
      <c r="BI405" s="489"/>
    </row>
    <row r="406" spans="1:61" ht="15.75" customHeight="1">
      <c r="A406" s="477" t="s">
        <v>15</v>
      </c>
      <c r="B406" s="486"/>
      <c r="C406" s="714" t="s">
        <v>227</v>
      </c>
      <c r="V406" s="578" t="s">
        <v>15</v>
      </c>
      <c r="W406" s="723"/>
      <c r="X406" s="723"/>
      <c r="Y406" s="723"/>
      <c r="Z406" s="724">
        <v>6998856.7929928433</v>
      </c>
      <c r="AA406" s="723"/>
      <c r="AB406" s="723"/>
      <c r="AC406" s="724"/>
      <c r="AD406" s="725"/>
      <c r="AE406" s="726"/>
      <c r="AF406" s="726">
        <v>5643349.1000000006</v>
      </c>
      <c r="AG406" s="725"/>
      <c r="AH406" s="726"/>
      <c r="AI406" s="727"/>
      <c r="AJ406" s="725"/>
      <c r="AK406" s="726"/>
      <c r="AL406" s="726">
        <v>6465509.5399999889</v>
      </c>
      <c r="AM406" s="728"/>
      <c r="AN406" s="726"/>
      <c r="AO406" s="729"/>
      <c r="AP406" s="489"/>
      <c r="AQ406" s="489"/>
      <c r="AR406" s="489"/>
      <c r="AS406" s="489"/>
      <c r="AT406" s="489"/>
      <c r="AU406" s="489"/>
      <c r="AV406" s="489"/>
      <c r="AW406" s="489"/>
      <c r="AX406" s="489"/>
      <c r="AY406" s="489"/>
      <c r="AZ406" s="489"/>
      <c r="BA406" s="489"/>
      <c r="BB406" s="489"/>
      <c r="BC406" s="489"/>
      <c r="BD406" s="489"/>
      <c r="BE406" s="489"/>
      <c r="BF406" s="489"/>
      <c r="BG406" s="489"/>
      <c r="BH406" s="489"/>
      <c r="BI406" s="489"/>
    </row>
    <row r="407" spans="1:61" ht="15.75" customHeight="1">
      <c r="A407" s="477" t="s">
        <v>132</v>
      </c>
      <c r="B407" s="486"/>
      <c r="C407" s="714" t="s">
        <v>227</v>
      </c>
      <c r="V407" s="730" t="s">
        <v>132</v>
      </c>
      <c r="W407" s="731"/>
      <c r="X407" s="732">
        <v>0.11086360208222565</v>
      </c>
      <c r="Y407" s="731"/>
      <c r="Z407" s="733">
        <v>775918.47452884051</v>
      </c>
      <c r="AA407" s="731"/>
      <c r="AB407" s="731"/>
      <c r="AC407" s="733"/>
      <c r="AD407" s="732">
        <v>0.12653806938861892</v>
      </c>
      <c r="AE407" s="734"/>
      <c r="AF407" s="733">
        <v>714098.50000000012</v>
      </c>
      <c r="AG407" s="735"/>
      <c r="AH407" s="734">
        <v>-61819.974528840394</v>
      </c>
      <c r="AI407" s="736">
        <v>-7.9673285993582268E-2</v>
      </c>
      <c r="AJ407" s="732">
        <v>9.9089741657081995E-2</v>
      </c>
      <c r="AK407" s="734"/>
      <c r="AL407" s="734">
        <v>640665.66999999795</v>
      </c>
      <c r="AM407" s="737"/>
      <c r="AN407" s="734">
        <v>73432.83000000217</v>
      </c>
      <c r="AO407" s="738">
        <v>0.11461957997531287</v>
      </c>
      <c r="AP407" s="489"/>
      <c r="AQ407" s="489"/>
      <c r="AR407" s="489"/>
      <c r="AS407" s="489"/>
      <c r="AT407" s="489"/>
      <c r="AU407" s="489"/>
      <c r="AV407" s="489"/>
      <c r="AW407" s="489"/>
      <c r="AX407" s="489"/>
      <c r="AY407" s="489"/>
      <c r="AZ407" s="489"/>
      <c r="BA407" s="489"/>
      <c r="BB407" s="489"/>
      <c r="BC407" s="489"/>
      <c r="BD407" s="489"/>
      <c r="BE407" s="489"/>
      <c r="BF407" s="489"/>
      <c r="BG407" s="489"/>
      <c r="BH407" s="489"/>
      <c r="BI407" s="489"/>
    </row>
    <row r="408" spans="1:61" ht="15.75" customHeight="1">
      <c r="A408" s="477" t="s">
        <v>133</v>
      </c>
      <c r="B408" s="486"/>
      <c r="C408" s="714" t="s">
        <v>227</v>
      </c>
      <c r="V408" s="739" t="s">
        <v>133</v>
      </c>
      <c r="W408" s="740"/>
      <c r="X408" s="740"/>
      <c r="Y408" s="740"/>
      <c r="Z408" s="741"/>
      <c r="AA408" s="740"/>
      <c r="AB408" s="740"/>
      <c r="AC408" s="741"/>
      <c r="AD408" s="742"/>
      <c r="AE408" s="740"/>
      <c r="AF408" s="743"/>
      <c r="AG408" s="742"/>
      <c r="AH408" s="743"/>
      <c r="AI408" s="744"/>
      <c r="AJ408" s="742"/>
      <c r="AK408" s="740"/>
      <c r="AL408" s="743"/>
      <c r="AM408" s="745"/>
      <c r="AN408" s="743"/>
      <c r="AO408" s="746"/>
      <c r="AP408" s="489"/>
      <c r="AQ408" s="489"/>
      <c r="AR408" s="489"/>
      <c r="AS408" s="489"/>
      <c r="AT408" s="489"/>
      <c r="AU408" s="489"/>
      <c r="AV408" s="489"/>
      <c r="AW408" s="489"/>
      <c r="AX408" s="489"/>
      <c r="AY408" s="489"/>
      <c r="AZ408" s="489"/>
      <c r="BA408" s="489"/>
      <c r="BB408" s="489"/>
      <c r="BC408" s="489"/>
      <c r="BD408" s="489"/>
      <c r="BE408" s="489"/>
      <c r="BF408" s="489"/>
      <c r="BG408" s="489"/>
      <c r="BH408" s="489"/>
      <c r="BI408" s="489"/>
    </row>
    <row r="409" spans="1:61" ht="15.75" customHeight="1">
      <c r="A409" s="477" t="s">
        <v>31</v>
      </c>
      <c r="B409" s="486"/>
      <c r="C409" s="714" t="s">
        <v>227</v>
      </c>
      <c r="V409" s="576" t="s">
        <v>31</v>
      </c>
      <c r="W409" s="747" t="s">
        <v>134</v>
      </c>
      <c r="X409" s="740"/>
      <c r="Y409" s="748">
        <v>706.55789613616662</v>
      </c>
      <c r="Z409" s="741">
        <v>80547.60015952299</v>
      </c>
      <c r="AA409" s="740"/>
      <c r="AB409" s="748"/>
      <c r="AC409" s="741"/>
      <c r="AD409" s="749"/>
      <c r="AE409" s="748">
        <v>572.61318181818183</v>
      </c>
      <c r="AF409" s="741">
        <v>50389.96</v>
      </c>
      <c r="AG409" s="742">
        <v>-133.94471431798479</v>
      </c>
      <c r="AH409" s="743">
        <v>-30157.640159522991</v>
      </c>
      <c r="AI409" s="744">
        <v>-0.37440768067324609</v>
      </c>
      <c r="AJ409" s="750">
        <v>0.12142408067533922</v>
      </c>
      <c r="AK409" s="743">
        <v>733.88905660377361</v>
      </c>
      <c r="AL409" s="741">
        <v>77792.240000000005</v>
      </c>
      <c r="AM409" s="745">
        <v>-133.94471431798479</v>
      </c>
      <c r="AN409" s="743">
        <v>-27402.280000000006</v>
      </c>
      <c r="AO409" s="751">
        <v>-0.3522495302873398</v>
      </c>
      <c r="AP409" s="489"/>
      <c r="AQ409" s="489"/>
      <c r="AR409" s="486"/>
      <c r="AS409" s="489"/>
      <c r="AT409" s="489"/>
      <c r="AU409" s="489"/>
      <c r="AV409" s="489"/>
      <c r="AW409" s="489"/>
      <c r="AX409" s="489"/>
      <c r="AY409" s="489"/>
      <c r="AZ409" s="489"/>
      <c r="BA409" s="489"/>
      <c r="BB409" s="489"/>
      <c r="BC409" s="489"/>
      <c r="BD409" s="489"/>
      <c r="BE409" s="489"/>
      <c r="BF409" s="489"/>
      <c r="BG409" s="489"/>
      <c r="BH409" s="489"/>
      <c r="BI409" s="489"/>
    </row>
    <row r="410" spans="1:61" ht="15.75" customHeight="1">
      <c r="A410" s="477" t="s">
        <v>32</v>
      </c>
      <c r="B410" s="486"/>
      <c r="C410" s="714" t="s">
        <v>227</v>
      </c>
      <c r="V410" s="578" t="s">
        <v>32</v>
      </c>
      <c r="W410" s="752" t="s">
        <v>135</v>
      </c>
      <c r="X410" s="723"/>
      <c r="Y410" s="753">
        <v>366.14035087719299</v>
      </c>
      <c r="Z410" s="724">
        <v>41740</v>
      </c>
      <c r="AA410" s="723"/>
      <c r="AB410" s="753"/>
      <c r="AC410" s="724"/>
      <c r="AD410" s="754"/>
      <c r="AE410" s="753">
        <v>58.218636363636342</v>
      </c>
      <c r="AF410" s="724">
        <v>5123.239999999998</v>
      </c>
      <c r="AG410" s="725">
        <v>-307.92171451355665</v>
      </c>
      <c r="AH410" s="726">
        <v>-36616.76</v>
      </c>
      <c r="AI410" s="755">
        <v>-0.87725826545280317</v>
      </c>
      <c r="AJ410" s="756">
        <v>4.4739200712908642E-2</v>
      </c>
      <c r="AK410" s="726">
        <v>270.40443396226419</v>
      </c>
      <c r="AL410" s="724">
        <v>28662.870000000003</v>
      </c>
      <c r="AM410" s="728">
        <v>-307.92171451355665</v>
      </c>
      <c r="AN410" s="726">
        <v>-23539.630000000005</v>
      </c>
      <c r="AO410" s="729">
        <v>-0.8212586527448229</v>
      </c>
      <c r="AP410" s="489"/>
      <c r="AQ410" s="489"/>
      <c r="AR410" s="492"/>
      <c r="AS410" s="489"/>
      <c r="AT410" s="489"/>
      <c r="AU410" s="489"/>
      <c r="AV410" s="489"/>
      <c r="AW410" s="489"/>
      <c r="AX410" s="489"/>
      <c r="AY410" s="489"/>
      <c r="AZ410" s="489"/>
      <c r="BA410" s="489"/>
      <c r="BB410" s="489"/>
      <c r="BC410" s="489"/>
      <c r="BD410" s="489"/>
      <c r="BE410" s="489"/>
      <c r="BF410" s="489"/>
      <c r="BG410" s="489"/>
      <c r="BH410" s="489"/>
      <c r="BI410" s="489"/>
    </row>
    <row r="411" spans="1:61" ht="15.75" customHeight="1">
      <c r="A411" s="477" t="s">
        <v>33</v>
      </c>
      <c r="B411" s="486"/>
      <c r="C411" s="714" t="s">
        <v>227</v>
      </c>
      <c r="V411" s="576" t="s">
        <v>33</v>
      </c>
      <c r="W411" s="747" t="s">
        <v>136</v>
      </c>
      <c r="X411" s="740"/>
      <c r="Y411" s="748">
        <v>90.877192982456137</v>
      </c>
      <c r="Z411" s="741">
        <v>10360</v>
      </c>
      <c r="AA411" s="740"/>
      <c r="AB411" s="748"/>
      <c r="AC411" s="741"/>
      <c r="AD411" s="749"/>
      <c r="AE411" s="748">
        <v>-2.7401136363636325</v>
      </c>
      <c r="AF411" s="741">
        <v>-241.12999999999965</v>
      </c>
      <c r="AG411" s="742">
        <v>-93.617306618819768</v>
      </c>
      <c r="AH411" s="743">
        <v>-10601.13</v>
      </c>
      <c r="AI411" s="744">
        <v>-1.0232750965250965</v>
      </c>
      <c r="AJ411" s="750">
        <v>1.6311487394041316E-2</v>
      </c>
      <c r="AK411" s="743">
        <v>98.586886792452844</v>
      </c>
      <c r="AL411" s="741">
        <v>10450.210000000001</v>
      </c>
      <c r="AM411" s="745">
        <v>-93.617306618819768</v>
      </c>
      <c r="AN411" s="743">
        <v>-10691.34</v>
      </c>
      <c r="AO411" s="751">
        <v>-1.0230741774567209</v>
      </c>
      <c r="AP411" s="489"/>
      <c r="AQ411" s="489"/>
      <c r="AR411" s="492"/>
      <c r="AS411" s="489"/>
      <c r="AT411" s="489"/>
      <c r="AU411" s="489"/>
      <c r="AV411" s="489"/>
      <c r="AW411" s="489"/>
      <c r="AX411" s="489"/>
      <c r="AY411" s="489"/>
      <c r="AZ411" s="489"/>
      <c r="BA411" s="489"/>
      <c r="BB411" s="489"/>
      <c r="BC411" s="489"/>
      <c r="BD411" s="489"/>
      <c r="BE411" s="489"/>
      <c r="BF411" s="489"/>
      <c r="BG411" s="489"/>
      <c r="BH411" s="489"/>
      <c r="BI411" s="489"/>
    </row>
    <row r="412" spans="1:61" ht="15.75" customHeight="1">
      <c r="A412" s="477" t="s">
        <v>34</v>
      </c>
      <c r="B412" s="486"/>
      <c r="C412" s="714" t="s">
        <v>227</v>
      </c>
      <c r="V412" s="576" t="s">
        <v>34</v>
      </c>
      <c r="W412" s="747" t="s">
        <v>137</v>
      </c>
      <c r="X412" s="740"/>
      <c r="Y412" s="748">
        <v>19.561403508771932</v>
      </c>
      <c r="Z412" s="741">
        <v>2230</v>
      </c>
      <c r="AA412" s="740"/>
      <c r="AB412" s="748"/>
      <c r="AC412" s="741"/>
      <c r="AD412" s="749"/>
      <c r="AE412" s="748">
        <v>29.074545454545454</v>
      </c>
      <c r="AF412" s="741">
        <v>2558.56</v>
      </c>
      <c r="AG412" s="742">
        <v>9.5131419457735227</v>
      </c>
      <c r="AH412" s="743">
        <v>328.55999999999995</v>
      </c>
      <c r="AI412" s="744">
        <v>0.14733632286995513</v>
      </c>
      <c r="AJ412" s="750">
        <v>6.7327940328065555E-3</v>
      </c>
      <c r="AK412" s="743">
        <v>40.693113207547171</v>
      </c>
      <c r="AL412" s="741">
        <v>4313.47</v>
      </c>
      <c r="AM412" s="745">
        <v>9.5131419457735227</v>
      </c>
      <c r="AN412" s="743">
        <v>-1754.9100000000003</v>
      </c>
      <c r="AO412" s="751">
        <v>-0.40684414172348488</v>
      </c>
      <c r="AP412" s="489"/>
      <c r="AQ412" s="489"/>
      <c r="AR412" s="492"/>
      <c r="AS412" s="489"/>
      <c r="AT412" s="489"/>
      <c r="AU412" s="489"/>
      <c r="AV412" s="489"/>
      <c r="AW412" s="489"/>
      <c r="AX412" s="489"/>
      <c r="AY412" s="489"/>
      <c r="AZ412" s="489"/>
      <c r="BA412" s="489"/>
      <c r="BB412" s="489"/>
      <c r="BC412" s="489"/>
      <c r="BD412" s="489"/>
      <c r="BE412" s="489"/>
      <c r="BF412" s="489"/>
      <c r="BG412" s="489"/>
      <c r="BH412" s="489"/>
      <c r="BI412" s="489"/>
    </row>
    <row r="413" spans="1:61" ht="15.75" customHeight="1">
      <c r="A413" s="477" t="s">
        <v>35</v>
      </c>
      <c r="B413" s="486"/>
      <c r="C413" s="714" t="s">
        <v>227</v>
      </c>
      <c r="V413" s="578" t="s">
        <v>35</v>
      </c>
      <c r="W413" s="752"/>
      <c r="X413" s="723"/>
      <c r="Y413" s="753">
        <v>135.31578947368422</v>
      </c>
      <c r="Z413" s="724">
        <v>15426</v>
      </c>
      <c r="AA413" s="723"/>
      <c r="AB413" s="753"/>
      <c r="AC413" s="724"/>
      <c r="AD413" s="754"/>
      <c r="AE413" s="753">
        <v>127.69909090909091</v>
      </c>
      <c r="AF413" s="724">
        <v>11237.52</v>
      </c>
      <c r="AG413" s="725">
        <v>-7.6166985645933067</v>
      </c>
      <c r="AH413" s="726">
        <v>-4188.4799999999996</v>
      </c>
      <c r="AI413" s="755">
        <v>-0.27152080902372616</v>
      </c>
      <c r="AJ413" s="756">
        <v>1.6242106432829514E-2</v>
      </c>
      <c r="AK413" s="726">
        <v>98.1675471698113</v>
      </c>
      <c r="AL413" s="724">
        <v>10405.759999999998</v>
      </c>
      <c r="AM413" s="728">
        <v>-7.6166985645933067</v>
      </c>
      <c r="AN413" s="726">
        <v>831.76000000000204</v>
      </c>
      <c r="AO413" s="729">
        <v>7.9932652684667163E-2</v>
      </c>
      <c r="AP413" s="489"/>
      <c r="AQ413" s="489"/>
      <c r="AR413" s="492"/>
      <c r="AS413" s="489"/>
      <c r="AT413" s="489"/>
      <c r="AU413" s="489"/>
      <c r="AV413" s="489"/>
      <c r="AW413" s="489"/>
      <c r="AX413" s="489"/>
      <c r="AY413" s="489"/>
      <c r="AZ413" s="489"/>
      <c r="BA413" s="489"/>
      <c r="BB413" s="489"/>
      <c r="BC413" s="489"/>
      <c r="BD413" s="489"/>
      <c r="BE413" s="489"/>
      <c r="BF413" s="489"/>
      <c r="BG413" s="489"/>
      <c r="BH413" s="489"/>
      <c r="BI413" s="489"/>
    </row>
    <row r="414" spans="1:61" ht="15.75" customHeight="1">
      <c r="A414" s="477" t="s">
        <v>36</v>
      </c>
      <c r="B414" s="486"/>
      <c r="C414" s="714" t="s">
        <v>227</v>
      </c>
      <c r="V414" s="576" t="s">
        <v>36</v>
      </c>
      <c r="W414" s="747" t="s">
        <v>138</v>
      </c>
      <c r="X414" s="744"/>
      <c r="Y414" s="748">
        <v>131.08771929824562</v>
      </c>
      <c r="Z414" s="741">
        <v>14944</v>
      </c>
      <c r="AA414" s="744"/>
      <c r="AB414" s="748"/>
      <c r="AC414" s="741"/>
      <c r="AD414" s="749"/>
      <c r="AE414" s="748">
        <v>207.28647727272727</v>
      </c>
      <c r="AF414" s="741">
        <v>18241.21</v>
      </c>
      <c r="AG414" s="742">
        <v>76.198757974481651</v>
      </c>
      <c r="AH414" s="743">
        <v>3297.2099999999991</v>
      </c>
      <c r="AI414" s="744">
        <v>0.22063771413276226</v>
      </c>
      <c r="AJ414" s="750">
        <v>1.7748430316236605E-2</v>
      </c>
      <c r="AK414" s="743">
        <v>107.27179245283018</v>
      </c>
      <c r="AL414" s="741">
        <v>11370.81</v>
      </c>
      <c r="AM414" s="745">
        <v>76.198757974481651</v>
      </c>
      <c r="AN414" s="743">
        <v>6870.4</v>
      </c>
      <c r="AO414" s="751">
        <v>0.60421377193005599</v>
      </c>
      <c r="AP414" s="489"/>
      <c r="AQ414" s="489"/>
      <c r="AR414" s="492"/>
      <c r="AS414" s="489"/>
      <c r="AT414" s="489"/>
      <c r="AU414" s="489"/>
      <c r="AV414" s="489"/>
      <c r="AW414" s="489"/>
      <c r="AX414" s="489"/>
      <c r="AY414" s="489"/>
      <c r="AZ414" s="489"/>
      <c r="BA414" s="489"/>
      <c r="BB414" s="489"/>
      <c r="BC414" s="489"/>
      <c r="BD414" s="489"/>
      <c r="BE414" s="489"/>
      <c r="BF414" s="489"/>
      <c r="BG414" s="489"/>
      <c r="BH414" s="489"/>
      <c r="BI414" s="489"/>
    </row>
    <row r="415" spans="1:61" ht="15.75" customHeight="1">
      <c r="A415" s="477" t="s">
        <v>37</v>
      </c>
      <c r="B415" s="486"/>
      <c r="C415" s="714" t="s">
        <v>227</v>
      </c>
      <c r="V415" s="576" t="s">
        <v>37</v>
      </c>
      <c r="W415" s="747" t="s">
        <v>139</v>
      </c>
      <c r="X415" s="740"/>
      <c r="Y415" s="748">
        <v>376.25564431455683</v>
      </c>
      <c r="Z415" s="741">
        <v>42893.143451859476</v>
      </c>
      <c r="AA415" s="740"/>
      <c r="AB415" s="748"/>
      <c r="AC415" s="741"/>
      <c r="AD415" s="749"/>
      <c r="AE415" s="748">
        <v>206.50119047619049</v>
      </c>
      <c r="AF415" s="741">
        <v>26019.15</v>
      </c>
      <c r="AG415" s="742">
        <v>-169.75445383836635</v>
      </c>
      <c r="AH415" s="743">
        <v>-16873.993451859475</v>
      </c>
      <c r="AI415" s="744">
        <v>-0.39339605573085978</v>
      </c>
      <c r="AJ415" s="750">
        <v>5.7371858242381113E-2</v>
      </c>
      <c r="AK415" s="743">
        <v>346.75641509433962</v>
      </c>
      <c r="AL415" s="741">
        <v>36756.18</v>
      </c>
      <c r="AM415" s="745">
        <v>-169.75445383836635</v>
      </c>
      <c r="AN415" s="743">
        <v>-10737.029999999999</v>
      </c>
      <c r="AO415" s="751">
        <v>-0.29211495862736547</v>
      </c>
      <c r="AP415" s="489"/>
      <c r="AQ415" s="489"/>
      <c r="AR415" s="492"/>
      <c r="AS415" s="489"/>
      <c r="AT415" s="489"/>
      <c r="AU415" s="489"/>
      <c r="AV415" s="489"/>
      <c r="AW415" s="489"/>
      <c r="AX415" s="489"/>
      <c r="AY415" s="489"/>
      <c r="AZ415" s="489"/>
      <c r="BA415" s="489"/>
      <c r="BB415" s="489"/>
      <c r="BC415" s="489"/>
      <c r="BD415" s="489"/>
      <c r="BE415" s="489"/>
      <c r="BF415" s="489"/>
      <c r="BG415" s="489"/>
      <c r="BH415" s="489"/>
      <c r="BI415" s="489"/>
    </row>
    <row r="416" spans="1:61" ht="15.75" hidden="1" customHeight="1">
      <c r="A416" s="477" t="s">
        <v>20</v>
      </c>
      <c r="B416" s="486"/>
      <c r="C416" s="714" t="s">
        <v>227</v>
      </c>
      <c r="V416" s="576" t="s">
        <v>20</v>
      </c>
      <c r="W416" s="747"/>
      <c r="X416" s="744"/>
      <c r="Y416" s="748">
        <v>0</v>
      </c>
      <c r="Z416" s="741">
        <v>0</v>
      </c>
      <c r="AA416" s="740"/>
      <c r="AB416" s="748"/>
      <c r="AC416" s="741"/>
      <c r="AD416" s="749"/>
      <c r="AE416" s="748">
        <v>0</v>
      </c>
      <c r="AF416" s="741">
        <v>0</v>
      </c>
      <c r="AG416" s="742">
        <v>0</v>
      </c>
      <c r="AH416" s="743">
        <v>0</v>
      </c>
      <c r="AI416" s="744">
        <v>0</v>
      </c>
      <c r="AJ416" s="749"/>
      <c r="AK416" s="743">
        <v>0</v>
      </c>
      <c r="AL416" s="741">
        <v>0</v>
      </c>
      <c r="AM416" s="745">
        <v>0</v>
      </c>
      <c r="AN416" s="743">
        <v>0</v>
      </c>
      <c r="AO416" s="751">
        <v>0</v>
      </c>
      <c r="AP416" s="489"/>
      <c r="AQ416" s="489"/>
      <c r="AR416" s="492"/>
      <c r="AS416" s="489"/>
      <c r="AT416" s="489"/>
      <c r="AU416" s="489"/>
      <c r="AV416" s="489"/>
      <c r="AW416" s="489"/>
      <c r="AX416" s="489"/>
      <c r="AY416" s="489"/>
      <c r="AZ416" s="489"/>
      <c r="BA416" s="489"/>
      <c r="BB416" s="489"/>
      <c r="BC416" s="489"/>
      <c r="BD416" s="489"/>
      <c r="BE416" s="489"/>
      <c r="BF416" s="489"/>
      <c r="BG416" s="489"/>
      <c r="BH416" s="489"/>
      <c r="BI416" s="489"/>
    </row>
    <row r="417" spans="1:61" ht="15.75" hidden="1" customHeight="1">
      <c r="A417" s="477" t="s">
        <v>20</v>
      </c>
      <c r="B417" s="486"/>
      <c r="C417" s="714" t="s">
        <v>227</v>
      </c>
      <c r="V417" s="576" t="s">
        <v>20</v>
      </c>
      <c r="W417" s="747"/>
      <c r="X417" s="744"/>
      <c r="Y417" s="748">
        <v>0</v>
      </c>
      <c r="Z417" s="741">
        <v>0</v>
      </c>
      <c r="AA417" s="740"/>
      <c r="AB417" s="748"/>
      <c r="AC417" s="741"/>
      <c r="AD417" s="749"/>
      <c r="AE417" s="748">
        <v>0</v>
      </c>
      <c r="AF417" s="741">
        <v>0</v>
      </c>
      <c r="AG417" s="742">
        <v>0</v>
      </c>
      <c r="AH417" s="743">
        <v>0</v>
      </c>
      <c r="AI417" s="744">
        <v>0</v>
      </c>
      <c r="AJ417" s="749"/>
      <c r="AK417" s="743">
        <v>0</v>
      </c>
      <c r="AL417" s="741">
        <v>0</v>
      </c>
      <c r="AM417" s="745">
        <v>0</v>
      </c>
      <c r="AN417" s="743">
        <v>0</v>
      </c>
      <c r="AO417" s="751">
        <v>0</v>
      </c>
      <c r="AP417" s="489"/>
      <c r="AQ417" s="489"/>
      <c r="AR417" s="492"/>
      <c r="AS417" s="489"/>
      <c r="AT417" s="489"/>
      <c r="AU417" s="489"/>
      <c r="AV417" s="489"/>
      <c r="AW417" s="489"/>
      <c r="AX417" s="489"/>
      <c r="AY417" s="489"/>
      <c r="AZ417" s="489"/>
      <c r="BA417" s="489"/>
      <c r="BB417" s="489"/>
      <c r="BC417" s="489"/>
      <c r="BD417" s="489"/>
      <c r="BE417" s="489"/>
      <c r="BF417" s="489"/>
      <c r="BG417" s="489"/>
      <c r="BH417" s="489"/>
      <c r="BI417" s="489"/>
    </row>
    <row r="418" spans="1:61" ht="15.75" hidden="1" customHeight="1">
      <c r="A418" s="477" t="s">
        <v>20</v>
      </c>
      <c r="B418" s="486"/>
      <c r="C418" s="714" t="s">
        <v>227</v>
      </c>
      <c r="V418" s="576" t="s">
        <v>20</v>
      </c>
      <c r="W418" s="747" t="s">
        <v>139</v>
      </c>
      <c r="X418" s="740"/>
      <c r="Y418" s="748">
        <v>0</v>
      </c>
      <c r="Z418" s="741">
        <v>0</v>
      </c>
      <c r="AA418" s="740"/>
      <c r="AB418" s="748"/>
      <c r="AC418" s="741"/>
      <c r="AD418" s="749"/>
      <c r="AE418" s="748">
        <v>0</v>
      </c>
      <c r="AF418" s="741">
        <v>0</v>
      </c>
      <c r="AG418" s="742">
        <v>0</v>
      </c>
      <c r="AH418" s="743">
        <v>0</v>
      </c>
      <c r="AI418" s="744">
        <v>0</v>
      </c>
      <c r="AJ418" s="749"/>
      <c r="AK418" s="743">
        <v>0</v>
      </c>
      <c r="AL418" s="741">
        <v>0</v>
      </c>
      <c r="AM418" s="745">
        <v>0</v>
      </c>
      <c r="AN418" s="743">
        <v>0</v>
      </c>
      <c r="AO418" s="751">
        <v>0</v>
      </c>
      <c r="AP418" s="489"/>
      <c r="AQ418" s="489"/>
      <c r="AR418" s="492"/>
      <c r="AS418" s="489"/>
      <c r="AT418" s="489"/>
      <c r="AU418" s="489"/>
      <c r="AV418" s="489"/>
      <c r="AW418" s="489"/>
      <c r="AX418" s="489"/>
      <c r="AY418" s="489"/>
      <c r="AZ418" s="489"/>
      <c r="BA418" s="489"/>
      <c r="BB418" s="489"/>
      <c r="BC418" s="489"/>
      <c r="BD418" s="489"/>
      <c r="BE418" s="489"/>
      <c r="BF418" s="489"/>
      <c r="BG418" s="489"/>
      <c r="BH418" s="489"/>
      <c r="BI418" s="489"/>
    </row>
    <row r="419" spans="1:61" ht="15.75" customHeight="1">
      <c r="A419" s="477" t="s">
        <v>38</v>
      </c>
      <c r="B419" s="486"/>
      <c r="C419" s="714" t="s">
        <v>227</v>
      </c>
      <c r="V419" s="757" t="s">
        <v>38</v>
      </c>
      <c r="W419" s="758"/>
      <c r="X419" s="759">
        <v>0.26825078979820832</v>
      </c>
      <c r="Y419" s="758"/>
      <c r="Z419" s="760">
        <v>208140.74361138247</v>
      </c>
      <c r="AA419" s="759"/>
      <c r="AB419" s="758"/>
      <c r="AC419" s="760"/>
      <c r="AD419" s="761">
        <v>0.15870150966568333</v>
      </c>
      <c r="AE419" s="758"/>
      <c r="AF419" s="760">
        <v>113328.50999999998</v>
      </c>
      <c r="AG419" s="762"/>
      <c r="AH419" s="763">
        <v>-94812.233611382486</v>
      </c>
      <c r="AI419" s="759">
        <v>-0.45551981782291251</v>
      </c>
      <c r="AJ419" s="761">
        <v>0.28056995780654298</v>
      </c>
      <c r="AK419" s="758"/>
      <c r="AL419" s="760">
        <v>179751.54</v>
      </c>
      <c r="AM419" s="764"/>
      <c r="AN419" s="763">
        <v>-66423.030000000028</v>
      </c>
      <c r="AO419" s="738">
        <v>-0.36952690363598567</v>
      </c>
      <c r="AP419" s="489"/>
      <c r="AQ419" s="489"/>
      <c r="AR419" s="492"/>
      <c r="AS419" s="489"/>
      <c r="AT419" s="489"/>
      <c r="AU419" s="489"/>
      <c r="AV419" s="489"/>
      <c r="AW419" s="489"/>
      <c r="AX419" s="489"/>
      <c r="AY419" s="489"/>
      <c r="AZ419" s="489"/>
      <c r="BA419" s="489"/>
      <c r="BB419" s="489"/>
      <c r="BC419" s="489"/>
      <c r="BD419" s="489"/>
      <c r="BE419" s="489"/>
      <c r="BF419" s="489"/>
      <c r="BG419" s="489"/>
      <c r="BH419" s="489"/>
      <c r="BI419" s="489"/>
    </row>
    <row r="420" spans="1:61" ht="15.75" customHeight="1">
      <c r="A420" s="477" t="s">
        <v>140</v>
      </c>
      <c r="B420" s="486"/>
      <c r="C420" s="714" t="s">
        <v>227</v>
      </c>
      <c r="V420" s="576" t="s">
        <v>140</v>
      </c>
      <c r="W420" s="747" t="s">
        <v>141</v>
      </c>
      <c r="X420" s="740"/>
      <c r="Y420" s="740"/>
      <c r="Z420" s="741">
        <v>17433.836538461539</v>
      </c>
      <c r="AA420" s="740"/>
      <c r="AB420" s="740"/>
      <c r="AC420" s="741"/>
      <c r="AD420" s="749"/>
      <c r="AE420" s="748"/>
      <c r="AF420" s="741">
        <v>15260.759999999998</v>
      </c>
      <c r="AG420" s="742"/>
      <c r="AH420" s="743">
        <v>-2173.0765384615406</v>
      </c>
      <c r="AI420" s="744">
        <v>-0.12464706398201122</v>
      </c>
      <c r="AJ420" s="749"/>
      <c r="AK420" s="740"/>
      <c r="AL420" s="741">
        <v>13875.31</v>
      </c>
      <c r="AM420" s="745"/>
      <c r="AN420" s="743">
        <v>1385.4499999999989</v>
      </c>
      <c r="AO420" s="751">
        <v>9.9850021368891859E-2</v>
      </c>
      <c r="AP420" s="489"/>
      <c r="AQ420" s="489"/>
      <c r="AR420" s="489"/>
      <c r="AS420" s="489"/>
      <c r="AT420" s="489"/>
      <c r="AU420" s="489"/>
      <c r="AV420" s="489"/>
      <c r="AW420" s="489"/>
      <c r="AX420" s="489"/>
      <c r="AY420" s="489"/>
      <c r="AZ420" s="489"/>
      <c r="BA420" s="489"/>
      <c r="BB420" s="489"/>
      <c r="BC420" s="489"/>
      <c r="BD420" s="489"/>
      <c r="BE420" s="489"/>
      <c r="BF420" s="489"/>
      <c r="BG420" s="489"/>
      <c r="BH420" s="489"/>
      <c r="BI420" s="489"/>
    </row>
    <row r="421" spans="1:61" ht="15.75" customHeight="1">
      <c r="A421" s="477" t="s">
        <v>41</v>
      </c>
      <c r="B421" s="486"/>
      <c r="C421" s="714" t="s">
        <v>227</v>
      </c>
      <c r="V421" s="576" t="s">
        <v>41</v>
      </c>
      <c r="W421" s="747" t="s">
        <v>142</v>
      </c>
      <c r="X421" s="740"/>
      <c r="Y421" s="740"/>
      <c r="Z421" s="741">
        <v>66080.858974358984</v>
      </c>
      <c r="AA421" s="740"/>
      <c r="AB421" s="740"/>
      <c r="AC421" s="741"/>
      <c r="AD421" s="749"/>
      <c r="AE421" s="748"/>
      <c r="AF421" s="741">
        <v>33414.61</v>
      </c>
      <c r="AG421" s="742"/>
      <c r="AH421" s="743">
        <v>-32666.248974358983</v>
      </c>
      <c r="AI421" s="744">
        <v>-0.49433753557946786</v>
      </c>
      <c r="AJ421" s="749"/>
      <c r="AK421" s="740"/>
      <c r="AL421" s="741">
        <v>51795.89</v>
      </c>
      <c r="AM421" s="745"/>
      <c r="AN421" s="743">
        <v>-18381.28</v>
      </c>
      <c r="AO421" s="751">
        <v>-0.35487912264853444</v>
      </c>
      <c r="AP421" s="489"/>
      <c r="AQ421" s="489"/>
      <c r="AR421" s="489"/>
      <c r="AS421" s="489"/>
      <c r="AT421" s="489"/>
      <c r="AU421" s="489"/>
      <c r="AV421" s="489"/>
      <c r="AW421" s="489"/>
      <c r="AX421" s="489"/>
      <c r="AY421" s="489"/>
      <c r="AZ421" s="489"/>
      <c r="BA421" s="489"/>
      <c r="BB421" s="489"/>
      <c r="BC421" s="489"/>
      <c r="BD421" s="489"/>
      <c r="BE421" s="489"/>
      <c r="BF421" s="489"/>
      <c r="BG421" s="489"/>
      <c r="BH421" s="489"/>
      <c r="BI421" s="489"/>
    </row>
    <row r="422" spans="1:61" ht="15.75" customHeight="1">
      <c r="A422" s="477" t="s">
        <v>42</v>
      </c>
      <c r="B422" s="486"/>
      <c r="C422" s="714" t="s">
        <v>227</v>
      </c>
      <c r="V422" s="578" t="s">
        <v>42</v>
      </c>
      <c r="W422" s="752" t="s">
        <v>143</v>
      </c>
      <c r="X422" s="723"/>
      <c r="Y422" s="723"/>
      <c r="Z422" s="724">
        <v>76615.390769230769</v>
      </c>
      <c r="AA422" s="723"/>
      <c r="AB422" s="723"/>
      <c r="AC422" s="724"/>
      <c r="AD422" s="754"/>
      <c r="AE422" s="753"/>
      <c r="AF422" s="724">
        <v>62478.62</v>
      </c>
      <c r="AG422" s="725"/>
      <c r="AH422" s="726">
        <v>-14136.770769230767</v>
      </c>
      <c r="AI422" s="755">
        <v>-0.18451606951678154</v>
      </c>
      <c r="AJ422" s="754"/>
      <c r="AK422" s="723"/>
      <c r="AL422" s="724">
        <v>49307.78</v>
      </c>
      <c r="AM422" s="728"/>
      <c r="AN422" s="726">
        <v>13170.840000000004</v>
      </c>
      <c r="AO422" s="729">
        <v>0.26711484475675046</v>
      </c>
      <c r="AP422" s="489"/>
      <c r="AQ422" s="489"/>
      <c r="AR422" s="489"/>
      <c r="AS422" s="489"/>
      <c r="AT422" s="489"/>
      <c r="AU422" s="489"/>
      <c r="AV422" s="489"/>
      <c r="AW422" s="489"/>
      <c r="AX422" s="489"/>
      <c r="AY422" s="489"/>
      <c r="AZ422" s="489"/>
      <c r="BA422" s="489"/>
      <c r="BB422" s="489"/>
      <c r="BC422" s="489"/>
      <c r="BD422" s="489"/>
      <c r="BE422" s="489"/>
      <c r="BF422" s="489"/>
      <c r="BG422" s="489"/>
      <c r="BH422" s="489"/>
      <c r="BI422" s="489"/>
    </row>
    <row r="423" spans="1:61" ht="15.75" customHeight="1">
      <c r="A423" s="477" t="s">
        <v>43</v>
      </c>
      <c r="B423" s="486"/>
      <c r="C423" s="714" t="s">
        <v>227</v>
      </c>
      <c r="V423" s="576" t="s">
        <v>43</v>
      </c>
      <c r="W423" s="747" t="s">
        <v>144</v>
      </c>
      <c r="X423" s="740"/>
      <c r="Y423" s="740"/>
      <c r="Z423" s="741">
        <v>24357.5</v>
      </c>
      <c r="AA423" s="740"/>
      <c r="AB423" s="740"/>
      <c r="AC423" s="741"/>
      <c r="AD423" s="749"/>
      <c r="AE423" s="748"/>
      <c r="AF423" s="741">
        <v>19889.45</v>
      </c>
      <c r="AG423" s="742"/>
      <c r="AH423" s="743">
        <v>-4468.0499999999993</v>
      </c>
      <c r="AI423" s="744">
        <v>-0.18343631325053883</v>
      </c>
      <c r="AJ423" s="749"/>
      <c r="AK423" s="740"/>
      <c r="AL423" s="741">
        <v>28541</v>
      </c>
      <c r="AM423" s="745"/>
      <c r="AN423" s="743">
        <v>-8651.5499999999993</v>
      </c>
      <c r="AO423" s="751">
        <v>-0.30312708034056268</v>
      </c>
      <c r="AP423" s="489"/>
      <c r="AQ423" s="489"/>
      <c r="AR423" s="489"/>
      <c r="AS423" s="489"/>
      <c r="AT423" s="489"/>
      <c r="AU423" s="489"/>
      <c r="AV423" s="489"/>
      <c r="AW423" s="489"/>
      <c r="AX423" s="489"/>
      <c r="AY423" s="489"/>
      <c r="AZ423" s="489"/>
      <c r="BA423" s="489"/>
      <c r="BB423" s="489"/>
      <c r="BC423" s="489"/>
      <c r="BD423" s="489"/>
      <c r="BE423" s="489"/>
      <c r="BF423" s="489"/>
      <c r="BG423" s="489"/>
      <c r="BH423" s="489"/>
      <c r="BI423" s="489"/>
    </row>
    <row r="424" spans="1:61" ht="15.75" customHeight="1">
      <c r="A424" s="477" t="s">
        <v>44</v>
      </c>
      <c r="B424" s="486"/>
      <c r="C424" s="714" t="s">
        <v>227</v>
      </c>
      <c r="V424" s="576" t="s">
        <v>44</v>
      </c>
      <c r="W424" s="747" t="s">
        <v>145</v>
      </c>
      <c r="X424" s="740"/>
      <c r="Y424" s="740"/>
      <c r="Z424" s="741">
        <v>29954.927347692312</v>
      </c>
      <c r="AA424" s="740"/>
      <c r="AB424" s="740"/>
      <c r="AC424" s="741"/>
      <c r="AD424" s="749"/>
      <c r="AE424" s="748"/>
      <c r="AF424" s="741">
        <v>11549.49</v>
      </c>
      <c r="AG424" s="742"/>
      <c r="AH424" s="743">
        <v>-18405.437347692314</v>
      </c>
      <c r="AI424" s="744">
        <v>-0.61443772285130394</v>
      </c>
      <c r="AJ424" s="749"/>
      <c r="AK424" s="740"/>
      <c r="AL424" s="741">
        <v>32163.66</v>
      </c>
      <c r="AM424" s="745"/>
      <c r="AN424" s="743">
        <v>-20614.169999999998</v>
      </c>
      <c r="AO424" s="751">
        <v>-0.64091493318857362</v>
      </c>
      <c r="AP424" s="489"/>
      <c r="AQ424" s="489"/>
      <c r="AR424" s="489"/>
      <c r="AS424" s="489"/>
      <c r="AT424" s="489"/>
      <c r="AU424" s="489"/>
      <c r="AV424" s="489"/>
      <c r="AW424" s="489"/>
      <c r="AX424" s="489"/>
      <c r="AY424" s="489"/>
      <c r="AZ424" s="489"/>
      <c r="BA424" s="489"/>
      <c r="BB424" s="489"/>
      <c r="BC424" s="489"/>
      <c r="BD424" s="489"/>
      <c r="BE424" s="489"/>
      <c r="BF424" s="489"/>
      <c r="BG424" s="489"/>
      <c r="BH424" s="489"/>
      <c r="BI424" s="489"/>
    </row>
    <row r="425" spans="1:61" ht="15.75" hidden="1" customHeight="1">
      <c r="A425" s="477" t="s">
        <v>20</v>
      </c>
      <c r="B425" s="486"/>
      <c r="C425" s="714" t="s">
        <v>227</v>
      </c>
      <c r="V425" s="576" t="s">
        <v>20</v>
      </c>
      <c r="W425" s="747"/>
      <c r="X425" s="740"/>
      <c r="Y425" s="740"/>
      <c r="Z425" s="741">
        <v>0</v>
      </c>
      <c r="AA425" s="740"/>
      <c r="AB425" s="740"/>
      <c r="AC425" s="741"/>
      <c r="AD425" s="749"/>
      <c r="AE425" s="748"/>
      <c r="AF425" s="741">
        <v>0</v>
      </c>
      <c r="AG425" s="742"/>
      <c r="AH425" s="743">
        <v>0</v>
      </c>
      <c r="AI425" s="744">
        <v>0</v>
      </c>
      <c r="AJ425" s="749"/>
      <c r="AK425" s="740"/>
      <c r="AL425" s="741">
        <v>0</v>
      </c>
      <c r="AM425" s="745"/>
      <c r="AN425" s="743">
        <v>0</v>
      </c>
      <c r="AO425" s="751">
        <v>0</v>
      </c>
      <c r="AP425" s="489"/>
      <c r="AQ425" s="489"/>
      <c r="AR425" s="489"/>
      <c r="AS425" s="489"/>
      <c r="AT425" s="489"/>
      <c r="AU425" s="489"/>
      <c r="AV425" s="489"/>
      <c r="AW425" s="489"/>
      <c r="AX425" s="489"/>
      <c r="AY425" s="489"/>
      <c r="AZ425" s="489"/>
      <c r="BA425" s="489"/>
      <c r="BB425" s="489"/>
      <c r="BC425" s="489"/>
      <c r="BD425" s="489"/>
      <c r="BE425" s="489"/>
      <c r="BF425" s="489"/>
      <c r="BG425" s="489"/>
      <c r="BH425" s="489"/>
      <c r="BI425" s="489"/>
    </row>
    <row r="426" spans="1:61" ht="15.75" hidden="1" customHeight="1">
      <c r="A426" s="477" t="s">
        <v>20</v>
      </c>
      <c r="B426" s="486"/>
      <c r="C426" s="714" t="s">
        <v>227</v>
      </c>
      <c r="V426" s="576" t="s">
        <v>20</v>
      </c>
      <c r="W426" s="747"/>
      <c r="X426" s="740"/>
      <c r="Y426" s="740"/>
      <c r="Z426" s="741">
        <v>0</v>
      </c>
      <c r="AA426" s="740"/>
      <c r="AB426" s="740"/>
      <c r="AC426" s="741"/>
      <c r="AD426" s="749"/>
      <c r="AE426" s="748"/>
      <c r="AF426" s="741">
        <v>0</v>
      </c>
      <c r="AG426" s="742"/>
      <c r="AH426" s="743">
        <v>0</v>
      </c>
      <c r="AI426" s="744">
        <v>0</v>
      </c>
      <c r="AJ426" s="749"/>
      <c r="AK426" s="740"/>
      <c r="AL426" s="741">
        <v>0</v>
      </c>
      <c r="AM426" s="745"/>
      <c r="AN426" s="743">
        <v>0</v>
      </c>
      <c r="AO426" s="751">
        <v>0</v>
      </c>
      <c r="AP426" s="489"/>
      <c r="AQ426" s="489"/>
      <c r="AR426" s="489"/>
      <c r="AS426" s="489"/>
      <c r="AT426" s="489"/>
      <c r="AU426" s="489"/>
      <c r="AV426" s="489"/>
      <c r="AW426" s="489"/>
      <c r="AX426" s="489"/>
      <c r="AY426" s="489"/>
      <c r="AZ426" s="489"/>
      <c r="BA426" s="489"/>
      <c r="BB426" s="489"/>
      <c r="BC426" s="489"/>
      <c r="BD426" s="489"/>
      <c r="BE426" s="489"/>
      <c r="BF426" s="489"/>
      <c r="BG426" s="489"/>
      <c r="BH426" s="489"/>
      <c r="BI426" s="489"/>
    </row>
    <row r="427" spans="1:61" ht="15.75" hidden="1" customHeight="1">
      <c r="A427" s="477" t="s">
        <v>20</v>
      </c>
      <c r="B427" s="486"/>
      <c r="C427" s="714" t="s">
        <v>227</v>
      </c>
      <c r="V427" s="576" t="s">
        <v>20</v>
      </c>
      <c r="W427" s="747"/>
      <c r="X427" s="740"/>
      <c r="Y427" s="740"/>
      <c r="Z427" s="741">
        <v>0</v>
      </c>
      <c r="AA427" s="740"/>
      <c r="AB427" s="740"/>
      <c r="AC427" s="741"/>
      <c r="AD427" s="749"/>
      <c r="AE427" s="748"/>
      <c r="AF427" s="741">
        <v>0</v>
      </c>
      <c r="AG427" s="742"/>
      <c r="AH427" s="743">
        <v>0</v>
      </c>
      <c r="AI427" s="744">
        <v>0</v>
      </c>
      <c r="AJ427" s="749"/>
      <c r="AK427" s="740"/>
      <c r="AL427" s="741">
        <v>0</v>
      </c>
      <c r="AM427" s="745"/>
      <c r="AN427" s="743">
        <v>0</v>
      </c>
      <c r="AO427" s="751">
        <v>0</v>
      </c>
      <c r="AP427" s="489"/>
      <c r="AQ427" s="489"/>
      <c r="AR427" s="489"/>
      <c r="AS427" s="489"/>
      <c r="AT427" s="489"/>
      <c r="AU427" s="489"/>
      <c r="AV427" s="489"/>
      <c r="AW427" s="489"/>
      <c r="AX427" s="489"/>
      <c r="AY427" s="489"/>
      <c r="AZ427" s="489"/>
      <c r="BA427" s="489"/>
      <c r="BB427" s="489"/>
      <c r="BC427" s="489"/>
      <c r="BD427" s="489"/>
      <c r="BE427" s="489"/>
      <c r="BF427" s="489"/>
      <c r="BG427" s="489"/>
      <c r="BH427" s="489"/>
      <c r="BI427" s="489"/>
    </row>
    <row r="428" spans="1:61" ht="15.75" customHeight="1">
      <c r="A428" s="477" t="s">
        <v>45</v>
      </c>
      <c r="B428" s="486"/>
      <c r="C428" s="714" t="s">
        <v>227</v>
      </c>
      <c r="V428" s="578" t="s">
        <v>45</v>
      </c>
      <c r="W428" s="752" t="s">
        <v>146</v>
      </c>
      <c r="X428" s="723"/>
      <c r="Y428" s="765">
        <v>0.10464298644455408</v>
      </c>
      <c r="Z428" s="724">
        <v>45615.408166221452</v>
      </c>
      <c r="AA428" s="723"/>
      <c r="AB428" s="723"/>
      <c r="AC428" s="724"/>
      <c r="AD428" s="754"/>
      <c r="AE428" s="753"/>
      <c r="AF428" s="724">
        <v>37895.01</v>
      </c>
      <c r="AG428" s="725"/>
      <c r="AH428" s="726">
        <v>-7720.3981662214501</v>
      </c>
      <c r="AI428" s="755">
        <v>-0.16924978809985664</v>
      </c>
      <c r="AJ428" s="754"/>
      <c r="AK428" s="723"/>
      <c r="AL428" s="724">
        <v>37628.219999999994</v>
      </c>
      <c r="AM428" s="728"/>
      <c r="AN428" s="726">
        <v>266.79000000000815</v>
      </c>
      <c r="AO428" s="729">
        <v>7.0901573340436562E-3</v>
      </c>
      <c r="AP428" s="489"/>
      <c r="AQ428" s="489"/>
      <c r="AR428" s="489"/>
      <c r="AS428" s="489"/>
      <c r="AT428" s="489"/>
      <c r="AU428" s="489"/>
      <c r="AV428" s="489"/>
      <c r="AW428" s="489"/>
      <c r="AX428" s="489"/>
      <c r="AY428" s="489"/>
      <c r="AZ428" s="489"/>
      <c r="BA428" s="489"/>
      <c r="BB428" s="489"/>
      <c r="BC428" s="489"/>
      <c r="BD428" s="489"/>
      <c r="BE428" s="489"/>
      <c r="BF428" s="489"/>
      <c r="BG428" s="489"/>
      <c r="BH428" s="489"/>
      <c r="BI428" s="489"/>
    </row>
    <row r="429" spans="1:61" ht="15.75" customHeight="1">
      <c r="A429" s="477" t="s">
        <v>46</v>
      </c>
      <c r="B429" s="486"/>
      <c r="C429" s="714" t="s">
        <v>227</v>
      </c>
      <c r="V429" s="576" t="s">
        <v>46</v>
      </c>
      <c r="W429" s="747" t="s">
        <v>147</v>
      </c>
      <c r="X429" s="740"/>
      <c r="Y429" s="766">
        <v>0.12723112008236531</v>
      </c>
      <c r="Z429" s="741">
        <v>55461.905964216392</v>
      </c>
      <c r="AA429" s="740"/>
      <c r="AB429" s="740"/>
      <c r="AC429" s="741"/>
      <c r="AD429" s="749"/>
      <c r="AE429" s="748"/>
      <c r="AF429" s="741">
        <v>49777.53</v>
      </c>
      <c r="AG429" s="742"/>
      <c r="AH429" s="743">
        <v>-5684.3759642163932</v>
      </c>
      <c r="AI429" s="744">
        <v>-0.10249153658519976</v>
      </c>
      <c r="AJ429" s="749"/>
      <c r="AK429" s="740"/>
      <c r="AL429" s="741">
        <v>53895.83</v>
      </c>
      <c r="AM429" s="745"/>
      <c r="AN429" s="743">
        <v>-4118.3000000000029</v>
      </c>
      <c r="AO429" s="751">
        <v>-7.6412219646677729E-2</v>
      </c>
      <c r="AP429" s="489"/>
      <c r="AQ429" s="489"/>
      <c r="AR429" s="489"/>
      <c r="AS429" s="489"/>
      <c r="AT429" s="489"/>
      <c r="AU429" s="489"/>
      <c r="AV429" s="489"/>
      <c r="AW429" s="489"/>
      <c r="AX429" s="489"/>
      <c r="AY429" s="489"/>
      <c r="AZ429" s="489"/>
      <c r="BA429" s="489"/>
      <c r="BB429" s="489"/>
      <c r="BC429" s="489"/>
      <c r="BD429" s="489"/>
      <c r="BE429" s="489"/>
      <c r="BF429" s="489"/>
      <c r="BG429" s="489"/>
      <c r="BH429" s="489"/>
      <c r="BI429" s="489"/>
    </row>
    <row r="430" spans="1:61" ht="15.75" customHeight="1">
      <c r="A430" s="477" t="s">
        <v>47</v>
      </c>
      <c r="B430" s="486"/>
      <c r="C430" s="714" t="s">
        <v>227</v>
      </c>
      <c r="V430" s="576" t="s">
        <v>47</v>
      </c>
      <c r="W430" s="747" t="s">
        <v>148</v>
      </c>
      <c r="X430" s="740"/>
      <c r="Y430" s="766">
        <v>6.5551685781566463E-2</v>
      </c>
      <c r="Z430" s="741">
        <v>28574.938507650611</v>
      </c>
      <c r="AA430" s="740"/>
      <c r="AB430" s="740"/>
      <c r="AC430" s="741"/>
      <c r="AD430" s="749"/>
      <c r="AE430" s="748"/>
      <c r="AF430" s="741">
        <v>21778.959999999999</v>
      </c>
      <c r="AG430" s="742"/>
      <c r="AH430" s="743">
        <v>-6795.9785076506123</v>
      </c>
      <c r="AI430" s="744">
        <v>-0.23783003087936891</v>
      </c>
      <c r="AJ430" s="749"/>
      <c r="AK430" s="740"/>
      <c r="AL430" s="741">
        <v>25654.83</v>
      </c>
      <c r="AM430" s="745"/>
      <c r="AN430" s="743">
        <v>-3875.8700000000026</v>
      </c>
      <c r="AO430" s="751">
        <v>-0.1510775943555269</v>
      </c>
      <c r="AP430" s="489"/>
      <c r="AQ430" s="489"/>
      <c r="AR430" s="489"/>
      <c r="AS430" s="489"/>
      <c r="AT430" s="489"/>
      <c r="AU430" s="489"/>
      <c r="AV430" s="489"/>
      <c r="AW430" s="489"/>
      <c r="AX430" s="489"/>
      <c r="AY430" s="489"/>
      <c r="AZ430" s="489"/>
      <c r="BA430" s="489"/>
      <c r="BB430" s="489"/>
      <c r="BC430" s="489"/>
      <c r="BD430" s="489"/>
      <c r="BE430" s="489"/>
      <c r="BF430" s="489"/>
      <c r="BG430" s="489"/>
      <c r="BH430" s="489"/>
      <c r="BI430" s="489"/>
    </row>
    <row r="431" spans="1:61" ht="15.75" customHeight="1">
      <c r="A431" s="477" t="s">
        <v>48</v>
      </c>
      <c r="B431" s="486"/>
      <c r="C431" s="714" t="s">
        <v>227</v>
      </c>
      <c r="V431" s="576" t="s">
        <v>48</v>
      </c>
      <c r="W431" s="747"/>
      <c r="X431" s="740"/>
      <c r="Y431" s="740"/>
      <c r="Z431" s="741">
        <v>12458.833948483389</v>
      </c>
      <c r="AA431" s="740"/>
      <c r="AB431" s="740"/>
      <c r="AC431" s="741"/>
      <c r="AD431" s="749"/>
      <c r="AE431" s="748"/>
      <c r="AF431" s="741">
        <v>7547.8899999999994</v>
      </c>
      <c r="AG431" s="742"/>
      <c r="AH431" s="743">
        <v>-4910.9439484833892</v>
      </c>
      <c r="AI431" s="767">
        <v>-0.394173641673842</v>
      </c>
      <c r="AJ431" s="749"/>
      <c r="AK431" s="740"/>
      <c r="AL431" s="741">
        <v>11755.279999999999</v>
      </c>
      <c r="AM431" s="745"/>
      <c r="AN431" s="743">
        <v>-4207.3899999999994</v>
      </c>
      <c r="AO431" s="751">
        <v>-0.35791491142703535</v>
      </c>
      <c r="AP431" s="489"/>
      <c r="AQ431" s="489"/>
      <c r="AR431" s="489"/>
      <c r="AS431" s="489"/>
      <c r="AT431" s="489"/>
      <c r="AU431" s="489"/>
      <c r="AV431" s="489"/>
      <c r="AW431" s="489"/>
      <c r="AX431" s="489"/>
      <c r="AY431" s="489"/>
      <c r="AZ431" s="489"/>
      <c r="BA431" s="489"/>
      <c r="BB431" s="489"/>
      <c r="BC431" s="489"/>
      <c r="BD431" s="489"/>
      <c r="BE431" s="489"/>
      <c r="BF431" s="489"/>
      <c r="BG431" s="489"/>
      <c r="BH431" s="489"/>
      <c r="BI431" s="489"/>
    </row>
    <row r="432" spans="1:61" ht="15.75" hidden="1" customHeight="1">
      <c r="A432" s="477" t="s">
        <v>20</v>
      </c>
      <c r="B432" s="486"/>
      <c r="C432" s="714" t="s">
        <v>227</v>
      </c>
      <c r="V432" s="508" t="s">
        <v>20</v>
      </c>
      <c r="W432" s="747"/>
      <c r="X432" s="740"/>
      <c r="Y432" s="748"/>
      <c r="Z432" s="741">
        <v>0</v>
      </c>
      <c r="AA432" s="740"/>
      <c r="AB432" s="740"/>
      <c r="AC432" s="741"/>
      <c r="AD432" s="749"/>
      <c r="AE432" s="748"/>
      <c r="AF432" s="741">
        <v>0</v>
      </c>
      <c r="AG432" s="742"/>
      <c r="AH432" s="743">
        <v>0</v>
      </c>
      <c r="AI432" s="744">
        <v>0</v>
      </c>
      <c r="AJ432" s="749"/>
      <c r="AK432" s="740"/>
      <c r="AL432" s="741">
        <v>0</v>
      </c>
      <c r="AM432" s="745"/>
      <c r="AN432" s="743"/>
      <c r="AO432" s="729"/>
      <c r="AP432" s="489"/>
      <c r="AQ432" s="489"/>
      <c r="AR432" s="489"/>
      <c r="AS432" s="489"/>
      <c r="AT432" s="489"/>
      <c r="AU432" s="489"/>
      <c r="AV432" s="489"/>
      <c r="AW432" s="489"/>
      <c r="AX432" s="489"/>
      <c r="AY432" s="489"/>
      <c r="AZ432" s="489"/>
      <c r="BA432" s="489"/>
      <c r="BB432" s="489"/>
      <c r="BC432" s="489"/>
      <c r="BD432" s="489"/>
      <c r="BE432" s="489"/>
      <c r="BF432" s="489"/>
      <c r="BG432" s="489"/>
      <c r="BH432" s="489"/>
      <c r="BI432" s="489"/>
    </row>
    <row r="433" spans="1:62" ht="15.75" customHeight="1">
      <c r="A433" s="477" t="s">
        <v>49</v>
      </c>
      <c r="B433" s="486"/>
      <c r="C433" s="714" t="s">
        <v>227</v>
      </c>
      <c r="V433" s="757" t="s">
        <v>49</v>
      </c>
      <c r="W433" s="758"/>
      <c r="X433" s="759">
        <v>0.45952456594466945</v>
      </c>
      <c r="Y433" s="758"/>
      <c r="Z433" s="760">
        <v>356553.60021631548</v>
      </c>
      <c r="AA433" s="759"/>
      <c r="AB433" s="758"/>
      <c r="AC433" s="760"/>
      <c r="AD433" s="761">
        <v>0.36352452777873073</v>
      </c>
      <c r="AE433" s="768"/>
      <c r="AF433" s="760">
        <v>259592.32000000001</v>
      </c>
      <c r="AG433" s="762"/>
      <c r="AH433" s="763">
        <v>-96961.28021631547</v>
      </c>
      <c r="AI433" s="759">
        <v>-0.27194026412155309</v>
      </c>
      <c r="AJ433" s="761">
        <v>0.47547077089365664</v>
      </c>
      <c r="AK433" s="758"/>
      <c r="AL433" s="760">
        <v>304617.80000000005</v>
      </c>
      <c r="AM433" s="769"/>
      <c r="AN433" s="763">
        <v>-45025.48000000004</v>
      </c>
      <c r="AO433" s="738">
        <v>-0.14780974716513623</v>
      </c>
      <c r="AP433" s="489"/>
      <c r="AQ433" s="489"/>
      <c r="AR433" s="489"/>
      <c r="AS433" s="489"/>
      <c r="AT433" s="489"/>
      <c r="AU433" s="489"/>
      <c r="AV433" s="489"/>
      <c r="AW433" s="489"/>
      <c r="AX433" s="489"/>
      <c r="AY433" s="489"/>
      <c r="AZ433" s="489"/>
      <c r="BA433" s="489"/>
      <c r="BB433" s="489"/>
      <c r="BC433" s="489"/>
      <c r="BD433" s="489"/>
      <c r="BE433" s="489"/>
      <c r="BF433" s="489"/>
      <c r="BG433" s="489"/>
      <c r="BH433" s="489"/>
      <c r="BI433" s="489"/>
    </row>
    <row r="434" spans="1:62" ht="15.75" customHeight="1">
      <c r="A434" s="477" t="s">
        <v>50</v>
      </c>
      <c r="B434" s="486"/>
      <c r="C434" s="714" t="s">
        <v>227</v>
      </c>
      <c r="V434" s="681" t="s">
        <v>50</v>
      </c>
      <c r="W434" s="770" t="s">
        <v>138</v>
      </c>
      <c r="X434" s="771"/>
      <c r="Y434" s="771"/>
      <c r="Z434" s="772">
        <v>12171.456516376076</v>
      </c>
      <c r="AA434" s="771"/>
      <c r="AB434" s="771"/>
      <c r="AC434" s="772"/>
      <c r="AD434" s="773"/>
      <c r="AE434" s="774"/>
      <c r="AF434" s="772">
        <v>6763.62</v>
      </c>
      <c r="AG434" s="773"/>
      <c r="AH434" s="775">
        <v>-5407.8365163760764</v>
      </c>
      <c r="AI434" s="776">
        <v>-0.44430479697315661</v>
      </c>
      <c r="AJ434" s="773"/>
      <c r="AK434" s="771"/>
      <c r="AL434" s="772">
        <v>13400.82</v>
      </c>
      <c r="AM434" s="777"/>
      <c r="AN434" s="775">
        <v>-6637.2</v>
      </c>
      <c r="AO434" s="746">
        <v>-0.49528312446551775</v>
      </c>
      <c r="AP434" s="489"/>
      <c r="AQ434" s="489"/>
      <c r="AR434" s="489"/>
      <c r="AS434" s="489"/>
      <c r="AT434" s="489"/>
      <c r="AU434" s="489"/>
      <c r="AV434" s="489"/>
      <c r="AW434" s="489"/>
      <c r="AX434" s="489"/>
      <c r="AY434" s="489"/>
      <c r="AZ434" s="489"/>
      <c r="BA434" s="489"/>
      <c r="BB434" s="489"/>
      <c r="BC434" s="489"/>
      <c r="BD434" s="489"/>
      <c r="BE434" s="489"/>
      <c r="BF434" s="489"/>
      <c r="BG434" s="489"/>
      <c r="BH434" s="489"/>
      <c r="BI434" s="489"/>
    </row>
    <row r="435" spans="1:62" ht="15.75" customHeight="1">
      <c r="A435" s="477" t="s">
        <v>51</v>
      </c>
      <c r="B435" s="486"/>
      <c r="C435" s="714" t="s">
        <v>227</v>
      </c>
      <c r="V435" s="576" t="s">
        <v>51</v>
      </c>
      <c r="W435" s="747" t="s">
        <v>149</v>
      </c>
      <c r="X435" s="740"/>
      <c r="Y435" s="740"/>
      <c r="Z435" s="741">
        <v>4545.3811628057083</v>
      </c>
      <c r="AA435" s="740"/>
      <c r="AB435" s="740"/>
      <c r="AC435" s="741"/>
      <c r="AD435" s="749"/>
      <c r="AE435" s="748"/>
      <c r="AF435" s="741">
        <v>1662.6499999999996</v>
      </c>
      <c r="AG435" s="742"/>
      <c r="AH435" s="743">
        <v>-2882.7311628057087</v>
      </c>
      <c r="AI435" s="744">
        <v>-0.63421109463706615</v>
      </c>
      <c r="AJ435" s="749"/>
      <c r="AK435" s="740"/>
      <c r="AL435" s="741">
        <v>4493.88</v>
      </c>
      <c r="AM435" s="745"/>
      <c r="AN435" s="743">
        <v>-2831.2300000000005</v>
      </c>
      <c r="AO435" s="751">
        <v>-0.63001904812767595</v>
      </c>
      <c r="AP435" s="489"/>
      <c r="AQ435" s="489"/>
      <c r="AR435" s="489"/>
      <c r="AS435" s="489"/>
      <c r="AT435" s="489"/>
      <c r="AU435" s="489"/>
      <c r="AV435" s="489"/>
      <c r="AW435" s="489"/>
      <c r="AX435" s="489"/>
      <c r="AY435" s="489"/>
      <c r="AZ435" s="489"/>
      <c r="BA435" s="489"/>
      <c r="BB435" s="489"/>
      <c r="BC435" s="489"/>
      <c r="BD435" s="489"/>
      <c r="BE435" s="489"/>
      <c r="BF435" s="489"/>
      <c r="BG435" s="489"/>
      <c r="BH435" s="489"/>
      <c r="BI435" s="489"/>
    </row>
    <row r="436" spans="1:62" ht="15.75" customHeight="1">
      <c r="A436" s="477" t="s">
        <v>52</v>
      </c>
      <c r="B436" s="486"/>
      <c r="C436" s="714" t="s">
        <v>227</v>
      </c>
      <c r="U436" s="778"/>
      <c r="V436" s="578" t="s">
        <v>52</v>
      </c>
      <c r="W436" s="752" t="s">
        <v>150</v>
      </c>
      <c r="X436" s="723"/>
      <c r="Y436" s="723"/>
      <c r="Z436" s="724">
        <v>22709.26466666667</v>
      </c>
      <c r="AA436" s="723"/>
      <c r="AB436" s="723"/>
      <c r="AC436" s="724"/>
      <c r="AD436" s="754"/>
      <c r="AE436" s="753"/>
      <c r="AF436" s="724">
        <v>8208.36</v>
      </c>
      <c r="AG436" s="725"/>
      <c r="AH436" s="726">
        <v>-14500.904666666669</v>
      </c>
      <c r="AI436" s="755">
        <v>-0.63854576004618613</v>
      </c>
      <c r="AJ436" s="754"/>
      <c r="AK436" s="723"/>
      <c r="AL436" s="724">
        <v>26004.389999999996</v>
      </c>
      <c r="AM436" s="728"/>
      <c r="AN436" s="726">
        <v>-17796.029999999995</v>
      </c>
      <c r="AO436" s="729">
        <v>-0.68434714292471377</v>
      </c>
      <c r="AP436" s="489"/>
      <c r="AQ436" s="489"/>
      <c r="AR436" s="489"/>
      <c r="AS436" s="489"/>
      <c r="AT436" s="489"/>
      <c r="AU436" s="489"/>
      <c r="AV436" s="489"/>
      <c r="AW436" s="489"/>
      <c r="AX436" s="489"/>
      <c r="AY436" s="489"/>
      <c r="AZ436" s="489"/>
      <c r="BA436" s="489"/>
      <c r="BB436" s="489"/>
      <c r="BC436" s="489"/>
      <c r="BD436" s="489"/>
      <c r="BE436" s="489"/>
      <c r="BF436" s="489"/>
      <c r="BG436" s="489"/>
      <c r="BH436" s="489"/>
      <c r="BI436" s="489"/>
    </row>
    <row r="437" spans="1:62" ht="15.75" customHeight="1">
      <c r="A437" s="477" t="s">
        <v>53</v>
      </c>
      <c r="B437" s="486"/>
      <c r="C437" s="714" t="s">
        <v>227</v>
      </c>
      <c r="U437" s="778"/>
      <c r="V437" s="576" t="s">
        <v>53</v>
      </c>
      <c r="W437" s="747" t="s">
        <v>151</v>
      </c>
      <c r="X437" s="740"/>
      <c r="Y437" s="740"/>
      <c r="Z437" s="741">
        <v>22402.080143777777</v>
      </c>
      <c r="AA437" s="740"/>
      <c r="AB437" s="740"/>
      <c r="AC437" s="741"/>
      <c r="AD437" s="749"/>
      <c r="AE437" s="748"/>
      <c r="AF437" s="741">
        <v>20494.47</v>
      </c>
      <c r="AG437" s="742"/>
      <c r="AH437" s="779">
        <v>-1907.6101437777761</v>
      </c>
      <c r="AI437" s="744">
        <v>-8.515325949798544E-2</v>
      </c>
      <c r="AJ437" s="749"/>
      <c r="AK437" s="740"/>
      <c r="AL437" s="741">
        <v>26430.91</v>
      </c>
      <c r="AM437" s="745"/>
      <c r="AN437" s="743">
        <v>-5936.4399999999987</v>
      </c>
      <c r="AO437" s="751">
        <v>-0.22460217979630662</v>
      </c>
      <c r="AP437" s="489"/>
      <c r="AQ437" s="489"/>
      <c r="AR437" s="489"/>
      <c r="AS437" s="489"/>
      <c r="AT437" s="489"/>
      <c r="AU437" s="489"/>
      <c r="AV437" s="489"/>
      <c r="AW437" s="489"/>
      <c r="AX437" s="489"/>
      <c r="AY437" s="489"/>
      <c r="AZ437" s="489"/>
      <c r="BA437" s="489"/>
      <c r="BB437" s="489"/>
      <c r="BC437" s="489"/>
      <c r="BD437" s="489"/>
      <c r="BE437" s="489"/>
      <c r="BF437" s="489"/>
      <c r="BG437" s="489"/>
      <c r="BH437" s="489"/>
      <c r="BI437" s="489"/>
    </row>
    <row r="438" spans="1:62" ht="15.75" customHeight="1">
      <c r="A438" s="477" t="s">
        <v>54</v>
      </c>
      <c r="B438" s="486"/>
      <c r="C438" s="714" t="s">
        <v>227</v>
      </c>
      <c r="U438" s="778"/>
      <c r="V438" s="576" t="s">
        <v>54</v>
      </c>
      <c r="W438" s="747" t="s">
        <v>152</v>
      </c>
      <c r="X438" s="740"/>
      <c r="Y438" s="740"/>
      <c r="Z438" s="741">
        <v>3905.5576324861113</v>
      </c>
      <c r="AA438" s="740"/>
      <c r="AB438" s="740"/>
      <c r="AC438" s="741"/>
      <c r="AD438" s="749"/>
      <c r="AE438" s="748"/>
      <c r="AF438" s="741">
        <v>2756.59</v>
      </c>
      <c r="AG438" s="742"/>
      <c r="AH438" s="743">
        <v>-1148.9676324861111</v>
      </c>
      <c r="AI438" s="744">
        <v>-0.29418785756202692</v>
      </c>
      <c r="AJ438" s="749"/>
      <c r="AK438" s="740"/>
      <c r="AL438" s="741">
        <v>3954.6700000000005</v>
      </c>
      <c r="AM438" s="745"/>
      <c r="AN438" s="743">
        <v>-1198.0800000000004</v>
      </c>
      <c r="AO438" s="751">
        <v>-0.30295321733545411</v>
      </c>
      <c r="AP438" s="489"/>
      <c r="AQ438" s="489"/>
      <c r="AR438" s="489"/>
      <c r="AS438" s="489"/>
      <c r="AT438" s="489"/>
      <c r="AU438" s="489"/>
      <c r="AV438" s="489"/>
      <c r="AW438" s="489"/>
      <c r="AX438" s="489"/>
      <c r="AY438" s="489"/>
      <c r="AZ438" s="489"/>
      <c r="BA438" s="489"/>
      <c r="BB438" s="489"/>
      <c r="BC438" s="489"/>
      <c r="BD438" s="489"/>
      <c r="BE438" s="489"/>
      <c r="BF438" s="489"/>
      <c r="BG438" s="489"/>
      <c r="BH438" s="489"/>
      <c r="BI438" s="489"/>
    </row>
    <row r="439" spans="1:62" ht="15.75" customHeight="1">
      <c r="A439" s="477" t="s">
        <v>55</v>
      </c>
      <c r="B439" s="486"/>
      <c r="C439" s="714" t="s">
        <v>227</v>
      </c>
      <c r="V439" s="576" t="s">
        <v>55</v>
      </c>
      <c r="W439" s="747" t="s">
        <v>153</v>
      </c>
      <c r="X439" s="740"/>
      <c r="Y439" s="740"/>
      <c r="Z439" s="741">
        <v>36918.054597609284</v>
      </c>
      <c r="AA439" s="740"/>
      <c r="AB439" s="740"/>
      <c r="AC439" s="741"/>
      <c r="AD439" s="749"/>
      <c r="AE439" s="748"/>
      <c r="AF439" s="741">
        <v>41805.72</v>
      </c>
      <c r="AG439" s="742"/>
      <c r="AH439" s="743">
        <v>4887.6654023907176</v>
      </c>
      <c r="AI439" s="744">
        <v>0.13239227948666693</v>
      </c>
      <c r="AJ439" s="749"/>
      <c r="AK439" s="740"/>
      <c r="AL439" s="741">
        <v>35276</v>
      </c>
      <c r="AM439" s="745"/>
      <c r="AN439" s="743">
        <v>6529.7200000000012</v>
      </c>
      <c r="AO439" s="751">
        <v>0.18510375326000683</v>
      </c>
      <c r="AP439" s="489"/>
      <c r="AQ439" s="489"/>
      <c r="AR439" s="489"/>
      <c r="AS439" s="489"/>
      <c r="AT439" s="489"/>
      <c r="AU439" s="489"/>
      <c r="AV439" s="489"/>
      <c r="AW439" s="489"/>
      <c r="AX439" s="489"/>
      <c r="AY439" s="489"/>
      <c r="AZ439" s="489"/>
      <c r="BA439" s="489"/>
      <c r="BB439" s="489"/>
      <c r="BC439" s="489"/>
      <c r="BD439" s="489"/>
      <c r="BE439" s="489"/>
      <c r="BF439" s="489"/>
      <c r="BG439" s="489"/>
      <c r="BH439" s="489"/>
      <c r="BI439" s="489"/>
    </row>
    <row r="440" spans="1:62" ht="15.75" customHeight="1">
      <c r="B440" s="486"/>
      <c r="C440" s="714" t="s">
        <v>227</v>
      </c>
      <c r="V440" s="681" t="s">
        <v>98</v>
      </c>
      <c r="W440" s="770"/>
      <c r="X440" s="771"/>
      <c r="Y440" s="771"/>
      <c r="Z440" s="772">
        <v>0</v>
      </c>
      <c r="AA440" s="771"/>
      <c r="AB440" s="771"/>
      <c r="AC440" s="772"/>
      <c r="AD440" s="773"/>
      <c r="AE440" s="774"/>
      <c r="AF440" s="772">
        <v>0</v>
      </c>
      <c r="AG440" s="780"/>
      <c r="AH440" s="775">
        <v>0</v>
      </c>
      <c r="AI440" s="776">
        <v>0</v>
      </c>
      <c r="AJ440" s="773"/>
      <c r="AK440" s="771"/>
      <c r="AL440" s="772">
        <v>0</v>
      </c>
      <c r="AM440" s="777"/>
      <c r="AN440" s="775">
        <v>0</v>
      </c>
      <c r="AO440" s="746">
        <v>0</v>
      </c>
      <c r="AP440" s="489"/>
      <c r="AQ440" s="489"/>
      <c r="AR440" s="489"/>
      <c r="AS440" s="489"/>
      <c r="AT440" s="489"/>
      <c r="AU440" s="489"/>
      <c r="AV440" s="489"/>
      <c r="AW440" s="489"/>
      <c r="AX440" s="489"/>
      <c r="AY440" s="489"/>
      <c r="AZ440" s="489"/>
      <c r="BA440" s="489"/>
      <c r="BB440" s="489"/>
      <c r="BC440" s="489"/>
      <c r="BD440" s="489"/>
      <c r="BE440" s="489"/>
      <c r="BF440" s="489"/>
      <c r="BG440" s="489"/>
      <c r="BH440" s="489"/>
      <c r="BI440" s="489"/>
    </row>
    <row r="441" spans="1:62" ht="15.75" customHeight="1">
      <c r="A441" s="477" t="s">
        <v>56</v>
      </c>
      <c r="B441" s="486"/>
      <c r="C441" s="714" t="s">
        <v>227</v>
      </c>
      <c r="V441" s="576" t="s">
        <v>56</v>
      </c>
      <c r="W441" s="747" t="s">
        <v>154</v>
      </c>
      <c r="X441" s="740"/>
      <c r="Y441" s="748"/>
      <c r="Z441" s="741">
        <v>5252.6901555555569</v>
      </c>
      <c r="AA441" s="740"/>
      <c r="AB441" s="748"/>
      <c r="AC441" s="741"/>
      <c r="AD441" s="749"/>
      <c r="AE441" s="748"/>
      <c r="AF441" s="741">
        <v>4330.37</v>
      </c>
      <c r="AG441" s="742"/>
      <c r="AH441" s="743">
        <v>-922.32015555555699</v>
      </c>
      <c r="AI441" s="744">
        <v>-0.17559005542713318</v>
      </c>
      <c r="AJ441" s="749"/>
      <c r="AK441" s="740"/>
      <c r="AL441" s="741">
        <v>5399.2</v>
      </c>
      <c r="AM441" s="745"/>
      <c r="AN441" s="743">
        <v>-1068.83</v>
      </c>
      <c r="AO441" s="751">
        <v>-0.19796080900874202</v>
      </c>
      <c r="AP441" s="489"/>
      <c r="AQ441" s="489"/>
      <c r="AR441" s="489"/>
      <c r="AS441" s="489"/>
      <c r="AT441" s="489"/>
      <c r="AU441" s="489"/>
      <c r="AV441" s="489"/>
      <c r="AW441" s="489"/>
      <c r="AX441" s="489"/>
      <c r="AY441" s="489"/>
      <c r="AZ441" s="489"/>
      <c r="BA441" s="489"/>
      <c r="BB441" s="489"/>
      <c r="BC441" s="489"/>
      <c r="BD441" s="489"/>
      <c r="BE441" s="489"/>
      <c r="BF441" s="489"/>
      <c r="BG441" s="489"/>
      <c r="BH441" s="489"/>
      <c r="BI441" s="489"/>
      <c r="BJ441" s="489"/>
    </row>
    <row r="442" spans="1:62" ht="15.75" customHeight="1">
      <c r="A442" s="477" t="s">
        <v>57</v>
      </c>
      <c r="B442" s="486"/>
      <c r="C442" s="714" t="s">
        <v>227</v>
      </c>
      <c r="U442" s="489"/>
      <c r="V442" s="576" t="s">
        <v>57</v>
      </c>
      <c r="W442" s="747" t="s">
        <v>155</v>
      </c>
      <c r="X442" s="740"/>
      <c r="Y442" s="740"/>
      <c r="Z442" s="741">
        <v>1333.7987401197504</v>
      </c>
      <c r="AA442" s="740"/>
      <c r="AB442" s="740"/>
      <c r="AC442" s="741"/>
      <c r="AD442" s="749"/>
      <c r="AE442" s="748"/>
      <c r="AF442" s="741">
        <v>1000.92</v>
      </c>
      <c r="AG442" s="742"/>
      <c r="AH442" s="743">
        <v>-332.87874011975043</v>
      </c>
      <c r="AI442" s="767">
        <v>-0.24957194073362529</v>
      </c>
      <c r="AJ442" s="749"/>
      <c r="AK442" s="740"/>
      <c r="AL442" s="741">
        <v>583.12</v>
      </c>
      <c r="AM442" s="745"/>
      <c r="AN442" s="743">
        <v>417.79999999999995</v>
      </c>
      <c r="AO442" s="751">
        <v>0.71649060227740424</v>
      </c>
      <c r="AP442" s="489"/>
      <c r="AQ442" s="489"/>
      <c r="AR442" s="489"/>
      <c r="AS442" s="489"/>
      <c r="AT442" s="489"/>
      <c r="AU442" s="489"/>
      <c r="AV442" s="489"/>
      <c r="AW442" s="489"/>
      <c r="AX442" s="489"/>
      <c r="AY442" s="489"/>
      <c r="AZ442" s="489"/>
      <c r="BA442" s="489"/>
      <c r="BB442" s="489"/>
      <c r="BC442" s="489"/>
      <c r="BD442" s="489"/>
      <c r="BE442" s="489"/>
      <c r="BF442" s="489"/>
      <c r="BG442" s="489"/>
      <c r="BH442" s="489"/>
      <c r="BI442" s="489"/>
      <c r="BJ442" s="489"/>
    </row>
    <row r="443" spans="1:62" ht="15.75" customHeight="1">
      <c r="A443" s="477" t="s">
        <v>58</v>
      </c>
      <c r="B443" s="486"/>
      <c r="C443" s="714" t="s">
        <v>227</v>
      </c>
      <c r="T443" s="489"/>
      <c r="U443" s="489"/>
      <c r="V443" s="576" t="s">
        <v>58</v>
      </c>
      <c r="W443" s="747" t="s">
        <v>156</v>
      </c>
      <c r="X443" s="740"/>
      <c r="Y443" s="740"/>
      <c r="Z443" s="741">
        <v>2760.7503854659999</v>
      </c>
      <c r="AA443" s="740"/>
      <c r="AB443" s="740"/>
      <c r="AC443" s="741"/>
      <c r="AD443" s="749"/>
      <c r="AE443" s="748"/>
      <c r="AF443" s="741">
        <v>936.06</v>
      </c>
      <c r="AG443" s="742"/>
      <c r="AH443" s="743">
        <v>-1824.690385466</v>
      </c>
      <c r="AI443" s="744">
        <v>-0.66094000930765129</v>
      </c>
      <c r="AJ443" s="749"/>
      <c r="AK443" s="740"/>
      <c r="AL443" s="741">
        <v>7677.95</v>
      </c>
      <c r="AM443" s="745"/>
      <c r="AN443" s="743">
        <v>-6741.8899999999994</v>
      </c>
      <c r="AO443" s="751">
        <v>-0.8780846449898736</v>
      </c>
      <c r="AP443" s="489"/>
      <c r="AQ443" s="489"/>
      <c r="AR443" s="489"/>
      <c r="AS443" s="489"/>
      <c r="AT443" s="489"/>
      <c r="AU443" s="489"/>
      <c r="AV443" s="489"/>
      <c r="AW443" s="489"/>
      <c r="AX443" s="489"/>
      <c r="AY443" s="489"/>
      <c r="AZ443" s="489"/>
      <c r="BA443" s="489"/>
      <c r="BB443" s="489"/>
      <c r="BC443" s="489"/>
      <c r="BD443" s="489"/>
      <c r="BE443" s="489"/>
      <c r="BF443" s="489"/>
      <c r="BG443" s="489"/>
      <c r="BH443" s="489"/>
      <c r="BI443" s="489"/>
      <c r="BJ443" s="489"/>
    </row>
    <row r="444" spans="1:62" ht="15.75" customHeight="1">
      <c r="A444" s="477" t="s">
        <v>59</v>
      </c>
      <c r="B444" s="486"/>
      <c r="C444" s="714" t="s">
        <v>227</v>
      </c>
      <c r="T444" s="489"/>
      <c r="U444" s="489"/>
      <c r="V444" s="576" t="s">
        <v>59</v>
      </c>
      <c r="W444" s="747" t="s">
        <v>157</v>
      </c>
      <c r="X444" s="740"/>
      <c r="Y444" s="740"/>
      <c r="Z444" s="741">
        <v>734.68076036869445</v>
      </c>
      <c r="AA444" s="740"/>
      <c r="AB444" s="740"/>
      <c r="AC444" s="741"/>
      <c r="AD444" s="749"/>
      <c r="AE444" s="748"/>
      <c r="AF444" s="741">
        <v>772.14</v>
      </c>
      <c r="AG444" s="742"/>
      <c r="AH444" s="743">
        <v>37.459239631305536</v>
      </c>
      <c r="AI444" s="767">
        <v>5.0987097596658003E-2</v>
      </c>
      <c r="AJ444" s="749"/>
      <c r="AK444" s="740"/>
      <c r="AL444" s="741">
        <v>917.09999999999991</v>
      </c>
      <c r="AM444" s="745"/>
      <c r="AN444" s="743">
        <v>-144.95999999999992</v>
      </c>
      <c r="AO444" s="751">
        <v>-0.15806346090938822</v>
      </c>
      <c r="AP444" s="489"/>
      <c r="AQ444" s="489"/>
      <c r="AR444" s="489"/>
      <c r="AS444" s="489"/>
      <c r="AT444" s="489"/>
      <c r="AU444" s="489"/>
      <c r="AV444" s="489"/>
      <c r="AW444" s="489"/>
      <c r="AX444" s="489"/>
      <c r="AY444" s="489"/>
      <c r="AZ444" s="489"/>
      <c r="BA444" s="489"/>
      <c r="BB444" s="489"/>
      <c r="BC444" s="489"/>
      <c r="BD444" s="489"/>
      <c r="BE444" s="489"/>
      <c r="BF444" s="489"/>
      <c r="BG444" s="489"/>
      <c r="BH444" s="489"/>
      <c r="BI444" s="489"/>
      <c r="BJ444" s="489"/>
    </row>
    <row r="445" spans="1:62" ht="15.75" customHeight="1">
      <c r="A445" s="477" t="s">
        <v>60</v>
      </c>
      <c r="B445" s="486"/>
      <c r="C445" s="714" t="s">
        <v>227</v>
      </c>
      <c r="T445" s="489"/>
      <c r="U445" s="489"/>
      <c r="V445" s="576" t="s">
        <v>60</v>
      </c>
      <c r="W445" s="747" t="s">
        <v>158</v>
      </c>
      <c r="X445" s="740"/>
      <c r="Y445" s="740"/>
      <c r="Z445" s="741">
        <v>235.21156215130546</v>
      </c>
      <c r="AA445" s="740"/>
      <c r="AB445" s="740"/>
      <c r="AC445" s="741"/>
      <c r="AD445" s="749"/>
      <c r="AE445" s="748"/>
      <c r="AF445" s="741">
        <v>-2048.06</v>
      </c>
      <c r="AG445" s="742"/>
      <c r="AH445" s="743">
        <v>-2283.2715621513053</v>
      </c>
      <c r="AI445" s="744">
        <v>-9.7073100542673849</v>
      </c>
      <c r="AJ445" s="749"/>
      <c r="AK445" s="740"/>
      <c r="AL445" s="741">
        <v>-374.16</v>
      </c>
      <c r="AM445" s="745"/>
      <c r="AN445" s="743">
        <v>-1673.8999999999999</v>
      </c>
      <c r="AO445" s="751">
        <v>4.4737545435107968</v>
      </c>
      <c r="AP445" s="489"/>
      <c r="AQ445" s="489"/>
      <c r="AR445" s="489"/>
      <c r="AS445" s="489"/>
      <c r="AT445" s="489"/>
      <c r="AU445" s="489"/>
      <c r="AV445" s="489"/>
      <c r="AW445" s="489"/>
      <c r="AX445" s="489"/>
      <c r="AY445" s="489"/>
      <c r="AZ445" s="489"/>
      <c r="BA445" s="489"/>
      <c r="BB445" s="489"/>
      <c r="BC445" s="489"/>
      <c r="BD445" s="489"/>
      <c r="BE445" s="489"/>
      <c r="BF445" s="489"/>
      <c r="BG445" s="489"/>
      <c r="BH445" s="489"/>
      <c r="BI445" s="489"/>
      <c r="BJ445" s="489"/>
    </row>
    <row r="446" spans="1:62" ht="15.75" customHeight="1">
      <c r="A446" s="477" t="s">
        <v>61</v>
      </c>
      <c r="B446" s="486"/>
      <c r="C446" s="714" t="s">
        <v>227</v>
      </c>
      <c r="T446" s="489"/>
      <c r="U446" s="489"/>
      <c r="V446" s="576" t="s">
        <v>61</v>
      </c>
      <c r="W446" s="747" t="s">
        <v>159</v>
      </c>
      <c r="X446" s="740"/>
      <c r="Y446" s="748"/>
      <c r="Z446" s="741">
        <v>720.38919864980562</v>
      </c>
      <c r="AA446" s="740"/>
      <c r="AB446" s="748"/>
      <c r="AC446" s="741"/>
      <c r="AD446" s="749"/>
      <c r="AE446" s="748"/>
      <c r="AF446" s="741">
        <v>196</v>
      </c>
      <c r="AG446" s="742"/>
      <c r="AH446" s="743">
        <v>-524.38919864980562</v>
      </c>
      <c r="AI446" s="767">
        <v>-0.72792484900196397</v>
      </c>
      <c r="AJ446" s="749"/>
      <c r="AK446" s="740"/>
      <c r="AL446" s="741">
        <v>163.98</v>
      </c>
      <c r="AM446" s="745"/>
      <c r="AN446" s="743">
        <v>32.02000000000001</v>
      </c>
      <c r="AO446" s="751">
        <v>0.19526771557507019</v>
      </c>
      <c r="AP446" s="489"/>
      <c r="AQ446" s="489"/>
      <c r="AR446" s="489"/>
      <c r="AS446" s="489"/>
      <c r="AT446" s="489"/>
      <c r="AU446" s="489"/>
      <c r="AV446" s="489"/>
      <c r="AW446" s="489"/>
      <c r="AX446" s="489"/>
      <c r="AY446" s="489"/>
      <c r="AZ446" s="489"/>
      <c r="BA446" s="489"/>
      <c r="BB446" s="489"/>
      <c r="BC446" s="489"/>
      <c r="BD446" s="489"/>
      <c r="BE446" s="489"/>
      <c r="BF446" s="489"/>
      <c r="BG446" s="489"/>
      <c r="BH446" s="489"/>
      <c r="BI446" s="489"/>
      <c r="BJ446" s="489"/>
    </row>
    <row r="447" spans="1:62" ht="15.75" customHeight="1">
      <c r="A447" s="477" t="s">
        <v>62</v>
      </c>
      <c r="B447" s="486"/>
      <c r="C447" s="714" t="s">
        <v>227</v>
      </c>
      <c r="T447" s="489"/>
      <c r="U447" s="489"/>
      <c r="V447" s="576" t="s">
        <v>62</v>
      </c>
      <c r="W447" s="747" t="s">
        <v>160</v>
      </c>
      <c r="X447" s="740"/>
      <c r="Y447" s="748"/>
      <c r="Z447" s="741">
        <v>5774.1370435507661</v>
      </c>
      <c r="AA447" s="740"/>
      <c r="AB447" s="748"/>
      <c r="AC447" s="741"/>
      <c r="AD447" s="749"/>
      <c r="AE447" s="748"/>
      <c r="AF447" s="741">
        <v>2396.3199999999997</v>
      </c>
      <c r="AG447" s="742"/>
      <c r="AH447" s="743">
        <v>-3377.8170435507664</v>
      </c>
      <c r="AI447" s="744">
        <v>-0.58499079915734054</v>
      </c>
      <c r="AJ447" s="749"/>
      <c r="AK447" s="740"/>
      <c r="AL447" s="741">
        <v>5711.08</v>
      </c>
      <c r="AM447" s="745"/>
      <c r="AN447" s="743">
        <v>-3314.76</v>
      </c>
      <c r="AO447" s="751">
        <v>-0.58040860922977799</v>
      </c>
      <c r="AQ447" s="489"/>
      <c r="AR447" s="489"/>
      <c r="AS447" s="489"/>
      <c r="AT447" s="489"/>
      <c r="AU447" s="489"/>
      <c r="AV447" s="489"/>
      <c r="AW447" s="489"/>
      <c r="AX447" s="489"/>
      <c r="AY447" s="489"/>
      <c r="AZ447" s="489"/>
      <c r="BA447" s="489"/>
      <c r="BB447" s="489"/>
      <c r="BC447" s="489"/>
      <c r="BD447" s="489"/>
      <c r="BE447" s="489"/>
      <c r="BF447" s="489"/>
      <c r="BG447" s="489"/>
      <c r="BH447" s="489"/>
      <c r="BI447" s="489"/>
      <c r="BJ447" s="489"/>
    </row>
    <row r="448" spans="1:62" ht="15.75" customHeight="1">
      <c r="A448" s="477" t="s">
        <v>63</v>
      </c>
      <c r="B448" s="486"/>
      <c r="C448" s="714" t="s">
        <v>227</v>
      </c>
      <c r="T448" s="489"/>
      <c r="U448" s="489"/>
      <c r="V448" s="576" t="s">
        <v>63</v>
      </c>
      <c r="W448" s="747" t="s">
        <v>161</v>
      </c>
      <c r="X448" s="740"/>
      <c r="Y448" s="766">
        <v>1.2557632300549822E-3</v>
      </c>
      <c r="Z448" s="741">
        <v>8788.9070130609471</v>
      </c>
      <c r="AA448" s="740"/>
      <c r="AB448" s="748"/>
      <c r="AC448" s="741"/>
      <c r="AD448" s="749"/>
      <c r="AE448" s="748"/>
      <c r="AF448" s="741">
        <v>8925.4599999999991</v>
      </c>
      <c r="AG448" s="742"/>
      <c r="AH448" s="743">
        <v>136.55298693905206</v>
      </c>
      <c r="AI448" s="744">
        <v>1.5536970266737891E-2</v>
      </c>
      <c r="AJ448" s="749"/>
      <c r="AK448" s="740"/>
      <c r="AL448" s="741">
        <v>7961.99</v>
      </c>
      <c r="AM448" s="745"/>
      <c r="AN448" s="743">
        <v>963.46999999999935</v>
      </c>
      <c r="AO448" s="751">
        <v>0.12100869255048038</v>
      </c>
      <c r="AQ448" s="489"/>
      <c r="AR448" s="489"/>
      <c r="AS448" s="489"/>
      <c r="AT448" s="489"/>
      <c r="AU448" s="489"/>
      <c r="AV448" s="489"/>
      <c r="AW448" s="489"/>
      <c r="AX448" s="489"/>
      <c r="AY448" s="489"/>
      <c r="AZ448" s="489"/>
      <c r="BA448" s="489"/>
      <c r="BB448" s="489"/>
      <c r="BC448" s="489"/>
      <c r="BD448" s="489"/>
      <c r="BE448" s="489"/>
      <c r="BF448" s="489"/>
      <c r="BG448" s="489"/>
      <c r="BH448" s="489"/>
      <c r="BI448" s="489"/>
      <c r="BJ448" s="489"/>
    </row>
    <row r="449" spans="1:62" ht="15.75" hidden="1" customHeight="1">
      <c r="A449" s="477" t="s">
        <v>20</v>
      </c>
      <c r="B449" s="486"/>
      <c r="C449" s="714" t="s">
        <v>227</v>
      </c>
      <c r="T449" s="489"/>
      <c r="U449" s="489"/>
      <c r="V449" s="576" t="s">
        <v>20</v>
      </c>
      <c r="W449" s="747"/>
      <c r="X449" s="740"/>
      <c r="Y449" s="748"/>
      <c r="Z449" s="741">
        <v>0</v>
      </c>
      <c r="AA449" s="740"/>
      <c r="AB449" s="740"/>
      <c r="AC449" s="741"/>
      <c r="AD449" s="749"/>
      <c r="AE449" s="748"/>
      <c r="AF449" s="741">
        <v>0</v>
      </c>
      <c r="AG449" s="742"/>
      <c r="AH449" s="743">
        <v>0</v>
      </c>
      <c r="AI449" s="744">
        <v>0</v>
      </c>
      <c r="AJ449" s="749"/>
      <c r="AK449" s="740"/>
      <c r="AL449" s="741">
        <v>0</v>
      </c>
      <c r="AM449" s="745"/>
      <c r="AN449" s="743">
        <v>0</v>
      </c>
      <c r="AO449" s="751">
        <v>0</v>
      </c>
      <c r="AP449" s="489"/>
      <c r="AQ449" s="489"/>
      <c r="AR449" s="489"/>
      <c r="AS449" s="489"/>
      <c r="AT449" s="489"/>
      <c r="AU449" s="489"/>
      <c r="AV449" s="489"/>
      <c r="AW449" s="489"/>
      <c r="AX449" s="489"/>
      <c r="AY449" s="489"/>
      <c r="AZ449" s="489"/>
      <c r="BA449" s="489"/>
      <c r="BB449" s="489"/>
      <c r="BC449" s="489"/>
      <c r="BD449" s="489"/>
      <c r="BE449" s="489"/>
      <c r="BF449" s="489"/>
      <c r="BG449" s="489"/>
      <c r="BH449" s="489"/>
      <c r="BI449" s="489"/>
      <c r="BJ449" s="489"/>
    </row>
    <row r="450" spans="1:62" ht="15.75" hidden="1" customHeight="1">
      <c r="A450" s="477" t="s">
        <v>20</v>
      </c>
      <c r="B450" s="486"/>
      <c r="C450" s="714" t="s">
        <v>227</v>
      </c>
      <c r="T450" s="489"/>
      <c r="U450" s="489"/>
      <c r="V450" s="576" t="s">
        <v>20</v>
      </c>
      <c r="W450" s="747"/>
      <c r="X450" s="740"/>
      <c r="Y450" s="748"/>
      <c r="Z450" s="741">
        <v>0</v>
      </c>
      <c r="AA450" s="740"/>
      <c r="AB450" s="740"/>
      <c r="AC450" s="741"/>
      <c r="AD450" s="749"/>
      <c r="AE450" s="748"/>
      <c r="AF450" s="741">
        <v>0</v>
      </c>
      <c r="AG450" s="742"/>
      <c r="AH450" s="743">
        <v>0</v>
      </c>
      <c r="AI450" s="744">
        <v>0</v>
      </c>
      <c r="AJ450" s="749"/>
      <c r="AK450" s="740"/>
      <c r="AL450" s="741">
        <v>0</v>
      </c>
      <c r="AM450" s="745"/>
      <c r="AN450" s="743">
        <v>0</v>
      </c>
      <c r="AO450" s="751">
        <v>0</v>
      </c>
      <c r="AP450" s="489"/>
      <c r="AQ450" s="489"/>
      <c r="AR450" s="489"/>
      <c r="AS450" s="489"/>
      <c r="AT450" s="489"/>
      <c r="AU450" s="489"/>
      <c r="AV450" s="489"/>
      <c r="AW450" s="489"/>
      <c r="AX450" s="489"/>
      <c r="AY450" s="489"/>
      <c r="AZ450" s="489"/>
      <c r="BA450" s="489"/>
      <c r="BB450" s="489"/>
      <c r="BC450" s="489"/>
      <c r="BD450" s="489"/>
      <c r="BE450" s="489"/>
      <c r="BF450" s="489"/>
      <c r="BG450" s="489"/>
      <c r="BH450" s="489"/>
      <c r="BI450" s="489"/>
      <c r="BJ450" s="489"/>
    </row>
    <row r="451" spans="1:62" ht="15.75" hidden="1" customHeight="1">
      <c r="A451" s="477" t="s">
        <v>20</v>
      </c>
      <c r="B451" s="486"/>
      <c r="C451" s="714" t="s">
        <v>227</v>
      </c>
      <c r="T451" s="489"/>
      <c r="U451" s="489"/>
      <c r="V451" s="576" t="s">
        <v>20</v>
      </c>
      <c r="W451" s="747"/>
      <c r="X451" s="740"/>
      <c r="Y451" s="748"/>
      <c r="Z451" s="741">
        <v>0</v>
      </c>
      <c r="AA451" s="740"/>
      <c r="AB451" s="740"/>
      <c r="AC451" s="741"/>
      <c r="AD451" s="749"/>
      <c r="AE451" s="748"/>
      <c r="AF451" s="741">
        <v>0</v>
      </c>
      <c r="AG451" s="742"/>
      <c r="AH451" s="743">
        <v>0</v>
      </c>
      <c r="AI451" s="744">
        <v>0</v>
      </c>
      <c r="AJ451" s="749"/>
      <c r="AK451" s="740"/>
      <c r="AL451" s="741">
        <v>0</v>
      </c>
      <c r="AM451" s="745"/>
      <c r="AN451" s="743">
        <v>0</v>
      </c>
      <c r="AO451" s="751">
        <v>0</v>
      </c>
      <c r="AP451" s="489"/>
      <c r="AQ451" s="489"/>
      <c r="AR451" s="489"/>
      <c r="AS451" s="489"/>
      <c r="AT451" s="489"/>
      <c r="AU451" s="489"/>
      <c r="AV451" s="489"/>
      <c r="AW451" s="489"/>
      <c r="AX451" s="489"/>
      <c r="AY451" s="489"/>
      <c r="AZ451" s="489"/>
      <c r="BA451" s="489"/>
      <c r="BB451" s="489"/>
      <c r="BC451" s="489"/>
      <c r="BD451" s="489"/>
      <c r="BE451" s="489"/>
      <c r="BF451" s="489"/>
      <c r="BG451" s="489"/>
      <c r="BH451" s="489"/>
      <c r="BI451" s="489"/>
      <c r="BJ451" s="489"/>
    </row>
    <row r="452" spans="1:62" ht="15.75" customHeight="1">
      <c r="A452" s="477" t="s">
        <v>64</v>
      </c>
      <c r="B452" s="486"/>
      <c r="C452" s="714" t="s">
        <v>227</v>
      </c>
      <c r="T452" s="489"/>
      <c r="U452" s="489"/>
      <c r="V452" s="757" t="s">
        <v>64</v>
      </c>
      <c r="W452" s="781"/>
      <c r="X452" s="759">
        <v>0.16529102449393654</v>
      </c>
      <c r="Y452" s="758"/>
      <c r="Z452" s="760">
        <v>128252.35957864445</v>
      </c>
      <c r="AA452" s="759"/>
      <c r="AB452" s="758"/>
      <c r="AC452" s="760"/>
      <c r="AD452" s="761">
        <v>0.13751691118242088</v>
      </c>
      <c r="AE452" s="758"/>
      <c r="AF452" s="760">
        <v>98200.62</v>
      </c>
      <c r="AG452" s="782"/>
      <c r="AH452" s="783">
        <v>-30051.739578644454</v>
      </c>
      <c r="AI452" s="759">
        <v>-0.23431724513588154</v>
      </c>
      <c r="AJ452" s="761">
        <v>0.21477806045078152</v>
      </c>
      <c r="AK452" s="759"/>
      <c r="AL452" s="760">
        <v>137600.93</v>
      </c>
      <c r="AM452" s="769"/>
      <c r="AN452" s="763">
        <v>-39400.31</v>
      </c>
      <c r="AO452" s="784">
        <v>-0.28633752693386594</v>
      </c>
      <c r="AP452" s="489"/>
      <c r="AQ452" s="489"/>
      <c r="AR452" s="489"/>
      <c r="AS452" s="489"/>
      <c r="AT452" s="489"/>
      <c r="AU452" s="489"/>
      <c r="AV452" s="489"/>
      <c r="AW452" s="489"/>
      <c r="AX452" s="489"/>
      <c r="AY452" s="489"/>
      <c r="AZ452" s="489"/>
      <c r="BA452" s="489"/>
      <c r="BB452" s="489"/>
      <c r="BC452" s="489"/>
      <c r="BD452" s="489"/>
      <c r="BE452" s="489"/>
      <c r="BF452" s="489"/>
      <c r="BG452" s="489"/>
      <c r="BH452" s="489"/>
      <c r="BI452" s="489"/>
      <c r="BJ452" s="489"/>
    </row>
    <row r="453" spans="1:62" ht="15.75" customHeight="1">
      <c r="A453" s="477" t="s">
        <v>162</v>
      </c>
      <c r="B453" s="486"/>
      <c r="C453" s="714" t="s">
        <v>227</v>
      </c>
      <c r="D453" s="489"/>
      <c r="E453" s="489"/>
      <c r="F453" s="489"/>
      <c r="G453" s="489"/>
      <c r="H453" s="489"/>
      <c r="I453" s="489"/>
      <c r="J453" s="489"/>
      <c r="K453" s="489"/>
      <c r="L453" s="489"/>
      <c r="M453" s="489"/>
      <c r="N453" s="489"/>
      <c r="O453" s="489"/>
      <c r="P453" s="489"/>
      <c r="Q453" s="489"/>
      <c r="R453" s="489"/>
      <c r="S453" s="489"/>
      <c r="T453" s="489"/>
      <c r="U453" s="489"/>
      <c r="V453" s="576" t="s">
        <v>162</v>
      </c>
      <c r="W453" s="747" t="s">
        <v>163</v>
      </c>
      <c r="X453" s="740"/>
      <c r="Y453" s="748"/>
      <c r="Z453" s="741">
        <v>36000</v>
      </c>
      <c r="AA453" s="740"/>
      <c r="AB453" s="748"/>
      <c r="AC453" s="741"/>
      <c r="AD453" s="749"/>
      <c r="AE453" s="748"/>
      <c r="AF453" s="741">
        <v>36000</v>
      </c>
      <c r="AG453" s="742"/>
      <c r="AH453" s="743">
        <v>0</v>
      </c>
      <c r="AI453" s="744">
        <v>0</v>
      </c>
      <c r="AJ453" s="749"/>
      <c r="AK453" s="740"/>
      <c r="AL453" s="741">
        <v>36000</v>
      </c>
      <c r="AM453" s="745"/>
      <c r="AN453" s="743">
        <v>0</v>
      </c>
      <c r="AO453" s="751">
        <v>0</v>
      </c>
      <c r="AP453" s="489"/>
      <c r="AQ453" s="489"/>
      <c r="AR453" s="489"/>
      <c r="AS453" s="489"/>
      <c r="AT453" s="489"/>
      <c r="AU453" s="489"/>
      <c r="AV453" s="489"/>
      <c r="AW453" s="489"/>
      <c r="AX453" s="489"/>
      <c r="AY453" s="489"/>
      <c r="AZ453" s="489"/>
      <c r="BA453" s="489"/>
      <c r="BB453" s="489"/>
      <c r="BC453" s="489"/>
      <c r="BD453" s="489"/>
      <c r="BE453" s="489"/>
      <c r="BF453" s="489"/>
      <c r="BG453" s="489"/>
      <c r="BH453" s="489"/>
      <c r="BI453" s="489"/>
      <c r="BJ453" s="489"/>
    </row>
    <row r="454" spans="1:62" ht="15.75" customHeight="1">
      <c r="A454" s="477" t="s">
        <v>164</v>
      </c>
      <c r="B454" s="486"/>
      <c r="C454" s="714" t="s">
        <v>227</v>
      </c>
      <c r="D454" s="489"/>
      <c r="E454" s="489"/>
      <c r="F454" s="489"/>
      <c r="G454" s="489"/>
      <c r="H454" s="489"/>
      <c r="I454" s="489"/>
      <c r="J454" s="489"/>
      <c r="K454" s="489"/>
      <c r="L454" s="489"/>
      <c r="M454" s="489"/>
      <c r="N454" s="489"/>
      <c r="O454" s="489"/>
      <c r="P454" s="489"/>
      <c r="Q454" s="489"/>
      <c r="R454" s="489"/>
      <c r="S454" s="489"/>
      <c r="T454" s="489"/>
      <c r="U454" s="489"/>
      <c r="V454" s="576" t="s">
        <v>164</v>
      </c>
      <c r="W454" s="747" t="s">
        <v>165</v>
      </c>
      <c r="X454" s="740"/>
      <c r="Y454" s="748"/>
      <c r="Z454" s="741">
        <v>5423.4400000000005</v>
      </c>
      <c r="AA454" s="740"/>
      <c r="AB454" s="748"/>
      <c r="AC454" s="741"/>
      <c r="AD454" s="749"/>
      <c r="AE454" s="748"/>
      <c r="AF454" s="741">
        <v>5423</v>
      </c>
      <c r="AG454" s="742"/>
      <c r="AH454" s="743">
        <v>-0.44000000000050932</v>
      </c>
      <c r="AI454" s="744">
        <v>-8.1129320136391167E-5</v>
      </c>
      <c r="AJ454" s="749"/>
      <c r="AK454" s="740"/>
      <c r="AL454" s="741">
        <v>5177</v>
      </c>
      <c r="AM454" s="745"/>
      <c r="AN454" s="743">
        <v>246</v>
      </c>
      <c r="AO454" s="751">
        <v>4.7517867490824803E-2</v>
      </c>
      <c r="AP454" s="489"/>
      <c r="AQ454" s="489"/>
      <c r="AR454" s="489"/>
      <c r="AS454" s="489"/>
      <c r="AT454" s="489"/>
      <c r="AU454" s="489"/>
      <c r="AV454" s="489"/>
      <c r="AW454" s="489"/>
      <c r="AX454" s="489"/>
      <c r="AY454" s="489"/>
      <c r="AZ454" s="489"/>
      <c r="BA454" s="489"/>
      <c r="BB454" s="489"/>
      <c r="BC454" s="489"/>
      <c r="BD454" s="489"/>
      <c r="BE454" s="489"/>
      <c r="BF454" s="489"/>
      <c r="BG454" s="489"/>
      <c r="BH454" s="489"/>
      <c r="BI454" s="489"/>
      <c r="BJ454" s="489"/>
    </row>
    <row r="455" spans="1:62" ht="15.75" customHeight="1">
      <c r="A455" s="477" t="s">
        <v>166</v>
      </c>
      <c r="B455" s="486"/>
      <c r="C455" s="714" t="s">
        <v>227</v>
      </c>
      <c r="D455" s="489"/>
      <c r="E455" s="489"/>
      <c r="F455" s="489"/>
      <c r="G455" s="489"/>
      <c r="H455" s="489"/>
      <c r="I455" s="489"/>
      <c r="J455" s="489"/>
      <c r="K455" s="489"/>
      <c r="L455" s="489"/>
      <c r="M455" s="489"/>
      <c r="N455" s="489"/>
      <c r="O455" s="489"/>
      <c r="P455" s="489"/>
      <c r="Q455" s="489"/>
      <c r="R455" s="489"/>
      <c r="S455" s="489"/>
      <c r="T455" s="489"/>
      <c r="U455" s="489"/>
      <c r="V455" s="578" t="s">
        <v>166</v>
      </c>
      <c r="W455" s="752" t="s">
        <v>167</v>
      </c>
      <c r="X455" s="723"/>
      <c r="Y455" s="753"/>
      <c r="Z455" s="724">
        <v>3608.8800000000006</v>
      </c>
      <c r="AA455" s="723"/>
      <c r="AB455" s="753"/>
      <c r="AC455" s="724"/>
      <c r="AD455" s="754"/>
      <c r="AE455" s="753"/>
      <c r="AF455" s="724">
        <v>3609</v>
      </c>
      <c r="AG455" s="725"/>
      <c r="AH455" s="726">
        <v>0.11999999999943611</v>
      </c>
      <c r="AI455" s="755">
        <v>3.3251313426724106E-5</v>
      </c>
      <c r="AJ455" s="754"/>
      <c r="AK455" s="723"/>
      <c r="AL455" s="724">
        <v>3445</v>
      </c>
      <c r="AM455" s="728"/>
      <c r="AN455" s="726">
        <v>164</v>
      </c>
      <c r="AO455" s="729">
        <v>4.7605224963715533E-2</v>
      </c>
      <c r="AP455" s="489"/>
      <c r="AQ455" s="489"/>
      <c r="AR455" s="489"/>
      <c r="AS455" s="489"/>
      <c r="AT455" s="489"/>
      <c r="AU455" s="489"/>
      <c r="AV455" s="489"/>
      <c r="AW455" s="489"/>
      <c r="AX455" s="489"/>
      <c r="AY455" s="489"/>
      <c r="AZ455" s="489"/>
      <c r="BA455" s="489"/>
      <c r="BB455" s="489"/>
      <c r="BC455" s="489"/>
      <c r="BD455" s="489"/>
      <c r="BE455" s="489"/>
      <c r="BF455" s="489"/>
      <c r="BG455" s="489"/>
      <c r="BH455" s="489"/>
      <c r="BI455" s="489"/>
      <c r="BJ455" s="489"/>
    </row>
    <row r="456" spans="1:62" ht="15.75" customHeight="1">
      <c r="A456" s="477" t="s">
        <v>168</v>
      </c>
      <c r="B456" s="486"/>
      <c r="C456" s="714" t="s">
        <v>227</v>
      </c>
      <c r="D456" s="489"/>
      <c r="E456" s="489"/>
      <c r="F456" s="489"/>
      <c r="G456" s="489"/>
      <c r="H456" s="489"/>
      <c r="I456" s="489"/>
      <c r="J456" s="489"/>
      <c r="K456" s="489"/>
      <c r="L456" s="489"/>
      <c r="M456" s="489"/>
      <c r="N456" s="489"/>
      <c r="O456" s="489"/>
      <c r="P456" s="489"/>
      <c r="Q456" s="489"/>
      <c r="R456" s="489"/>
      <c r="S456" s="489"/>
      <c r="T456" s="489"/>
      <c r="U456" s="489"/>
      <c r="V456" s="576" t="s">
        <v>168</v>
      </c>
      <c r="W456" s="747"/>
      <c r="X456" s="740"/>
      <c r="Y456" s="748"/>
      <c r="Z456" s="741">
        <v>0</v>
      </c>
      <c r="AA456" s="740"/>
      <c r="AB456" s="748"/>
      <c r="AC456" s="741"/>
      <c r="AD456" s="749"/>
      <c r="AE456" s="748"/>
      <c r="AF456" s="741">
        <v>0</v>
      </c>
      <c r="AG456" s="742"/>
      <c r="AH456" s="743">
        <v>0</v>
      </c>
      <c r="AI456" s="744">
        <v>0</v>
      </c>
      <c r="AJ456" s="749"/>
      <c r="AK456" s="740"/>
      <c r="AL456" s="741">
        <v>0</v>
      </c>
      <c r="AM456" s="745"/>
      <c r="AN456" s="743">
        <v>0</v>
      </c>
      <c r="AO456" s="751">
        <v>0</v>
      </c>
      <c r="AP456" s="489"/>
      <c r="AQ456" s="489"/>
      <c r="AR456" s="489"/>
      <c r="AS456" s="489"/>
      <c r="AT456" s="489"/>
      <c r="AU456" s="489"/>
      <c r="AV456" s="489"/>
      <c r="AW456" s="489"/>
      <c r="AX456" s="489"/>
      <c r="AY456" s="489"/>
      <c r="AZ456" s="489"/>
      <c r="BA456" s="489"/>
      <c r="BB456" s="489"/>
      <c r="BC456" s="489"/>
      <c r="BD456" s="489"/>
      <c r="BE456" s="489"/>
      <c r="BF456" s="489"/>
      <c r="BG456" s="489"/>
      <c r="BH456" s="489"/>
      <c r="BI456" s="489"/>
      <c r="BJ456" s="489"/>
    </row>
    <row r="457" spans="1:62" ht="15.75" customHeight="1">
      <c r="A457" s="477" t="s">
        <v>169</v>
      </c>
      <c r="B457" s="486"/>
      <c r="C457" s="714" t="s">
        <v>227</v>
      </c>
      <c r="D457" s="489"/>
      <c r="E457" s="489"/>
      <c r="F457" s="489"/>
      <c r="G457" s="489"/>
      <c r="H457" s="489"/>
      <c r="I457" s="489"/>
      <c r="J457" s="489"/>
      <c r="K457" s="489"/>
      <c r="L457" s="489"/>
      <c r="M457" s="489"/>
      <c r="N457" s="489"/>
      <c r="O457" s="489"/>
      <c r="P457" s="489"/>
      <c r="Q457" s="489"/>
      <c r="R457" s="489"/>
      <c r="S457" s="489"/>
      <c r="T457" s="489"/>
      <c r="U457" s="489"/>
      <c r="V457" s="578" t="s">
        <v>169</v>
      </c>
      <c r="W457" s="752" t="s">
        <v>170</v>
      </c>
      <c r="X457" s="723"/>
      <c r="Y457" s="753"/>
      <c r="Z457" s="724">
        <v>4344.25</v>
      </c>
      <c r="AA457" s="723"/>
      <c r="AB457" s="753"/>
      <c r="AC457" s="724"/>
      <c r="AD457" s="754"/>
      <c r="AE457" s="753"/>
      <c r="AF457" s="724">
        <v>4344.25</v>
      </c>
      <c r="AG457" s="725"/>
      <c r="AH457" s="726">
        <v>0</v>
      </c>
      <c r="AI457" s="755">
        <v>0</v>
      </c>
      <c r="AJ457" s="754"/>
      <c r="AK457" s="723"/>
      <c r="AL457" s="724">
        <v>3893.08</v>
      </c>
      <c r="AM457" s="728"/>
      <c r="AN457" s="726">
        <v>451.17000000000007</v>
      </c>
      <c r="AO457" s="729">
        <v>0.11589024628314858</v>
      </c>
      <c r="AP457" s="489"/>
      <c r="AQ457" s="489"/>
      <c r="AR457" s="489"/>
      <c r="AS457" s="489"/>
      <c r="AT457" s="489"/>
      <c r="AU457" s="489"/>
      <c r="AV457" s="489"/>
      <c r="AW457" s="489"/>
      <c r="AX457" s="489"/>
      <c r="AY457" s="489"/>
      <c r="AZ457" s="489"/>
      <c r="BA457" s="489"/>
      <c r="BB457" s="489"/>
      <c r="BC457" s="489"/>
      <c r="BD457" s="489"/>
      <c r="BE457" s="489"/>
      <c r="BF457" s="489"/>
      <c r="BG457" s="489"/>
      <c r="BH457" s="489"/>
      <c r="BI457" s="489"/>
      <c r="BJ457" s="489"/>
    </row>
    <row r="458" spans="1:62" ht="15.75" customHeight="1">
      <c r="A458" s="477" t="s">
        <v>171</v>
      </c>
      <c r="B458" s="486"/>
      <c r="C458" s="714" t="s">
        <v>227</v>
      </c>
      <c r="D458" s="489"/>
      <c r="E458" s="489"/>
      <c r="F458" s="489"/>
      <c r="G458" s="489"/>
      <c r="H458" s="489"/>
      <c r="I458" s="489"/>
      <c r="J458" s="489"/>
      <c r="K458" s="489"/>
      <c r="L458" s="489"/>
      <c r="M458" s="489"/>
      <c r="N458" s="489"/>
      <c r="O458" s="489"/>
      <c r="P458" s="489"/>
      <c r="Q458" s="489"/>
      <c r="R458" s="489"/>
      <c r="S458" s="489"/>
      <c r="T458" s="489"/>
      <c r="U458" s="489"/>
      <c r="V458" s="576" t="s">
        <v>171</v>
      </c>
      <c r="W458" s="747" t="s">
        <v>172</v>
      </c>
      <c r="X458" s="785"/>
      <c r="Y458" s="786"/>
      <c r="Z458" s="741">
        <v>3700</v>
      </c>
      <c r="AA458" s="785"/>
      <c r="AB458" s="786"/>
      <c r="AC458" s="741"/>
      <c r="AD458" s="749"/>
      <c r="AE458" s="748"/>
      <c r="AF458" s="787">
        <v>5126.26</v>
      </c>
      <c r="AG458" s="742"/>
      <c r="AH458" s="743">
        <v>1426.2600000000002</v>
      </c>
      <c r="AI458" s="744">
        <v>0.38547567567567576</v>
      </c>
      <c r="AJ458" s="749"/>
      <c r="AK458" s="740"/>
      <c r="AL458" s="741">
        <v>3536.68</v>
      </c>
      <c r="AM458" s="745"/>
      <c r="AN458" s="743">
        <v>1589.5800000000004</v>
      </c>
      <c r="AO458" s="751">
        <v>0.44945542146872219</v>
      </c>
      <c r="AP458" s="489"/>
      <c r="AQ458" s="489"/>
      <c r="AR458" s="489"/>
      <c r="AS458" s="489"/>
      <c r="AT458" s="489"/>
      <c r="AU458" s="489"/>
      <c r="AV458" s="489"/>
      <c r="AW458" s="489"/>
      <c r="AX458" s="489"/>
      <c r="AY458" s="489"/>
      <c r="AZ458" s="489"/>
      <c r="BA458" s="489"/>
      <c r="BB458" s="489"/>
      <c r="BC458" s="489"/>
      <c r="BD458" s="489"/>
      <c r="BE458" s="489"/>
      <c r="BF458" s="489"/>
      <c r="BG458" s="489"/>
      <c r="BH458" s="489"/>
      <c r="BI458" s="489"/>
      <c r="BJ458" s="489"/>
    </row>
    <row r="459" spans="1:62" ht="15.75" customHeight="1">
      <c r="A459" s="477" t="s">
        <v>173</v>
      </c>
      <c r="B459" s="486"/>
      <c r="C459" s="714" t="s">
        <v>227</v>
      </c>
      <c r="D459" s="489"/>
      <c r="E459" s="489"/>
      <c r="F459" s="489"/>
      <c r="G459" s="489"/>
      <c r="H459" s="489"/>
      <c r="I459" s="489"/>
      <c r="J459" s="489"/>
      <c r="K459" s="489"/>
      <c r="L459" s="489"/>
      <c r="M459" s="489"/>
      <c r="N459" s="489"/>
      <c r="O459" s="489"/>
      <c r="P459" s="489"/>
      <c r="Q459" s="489"/>
      <c r="R459" s="489"/>
      <c r="S459" s="489"/>
      <c r="T459" s="489"/>
      <c r="U459" s="489"/>
      <c r="V459" s="576" t="s">
        <v>173</v>
      </c>
      <c r="W459" s="747" t="s">
        <v>174</v>
      </c>
      <c r="X459" s="740"/>
      <c r="Y459" s="748"/>
      <c r="Z459" s="741">
        <v>6784.05</v>
      </c>
      <c r="AA459" s="740"/>
      <c r="AB459" s="748"/>
      <c r="AC459" s="741"/>
      <c r="AD459" s="749"/>
      <c r="AE459" s="748"/>
      <c r="AF459" s="741">
        <v>6423.329999999999</v>
      </c>
      <c r="AG459" s="742"/>
      <c r="AH459" s="743">
        <v>-360.72000000000116</v>
      </c>
      <c r="AI459" s="744">
        <v>-5.3171777920269038E-2</v>
      </c>
      <c r="AJ459" s="749"/>
      <c r="AK459" s="740"/>
      <c r="AL459" s="741">
        <v>7223.3299999999899</v>
      </c>
      <c r="AM459" s="745"/>
      <c r="AN459" s="743">
        <v>-799.99999999999091</v>
      </c>
      <c r="AO459" s="751">
        <v>-0.11075224307902201</v>
      </c>
      <c r="AP459" s="489"/>
      <c r="AQ459" s="489"/>
      <c r="AR459" s="489"/>
      <c r="AS459" s="489"/>
      <c r="AT459" s="489"/>
      <c r="AU459" s="489"/>
      <c r="AV459" s="489"/>
      <c r="AW459" s="489"/>
      <c r="AX459" s="489"/>
      <c r="AY459" s="489"/>
      <c r="AZ459" s="489"/>
      <c r="BA459" s="489"/>
      <c r="BB459" s="489"/>
      <c r="BC459" s="489"/>
      <c r="BD459" s="489"/>
      <c r="BE459" s="489"/>
      <c r="BF459" s="489"/>
      <c r="BG459" s="489"/>
      <c r="BH459" s="489"/>
      <c r="BI459" s="489"/>
      <c r="BJ459" s="489"/>
    </row>
    <row r="460" spans="1:62" ht="15.75" customHeight="1">
      <c r="A460" s="477" t="s">
        <v>175</v>
      </c>
      <c r="B460" s="486"/>
      <c r="C460" s="714" t="s">
        <v>227</v>
      </c>
      <c r="D460" s="489"/>
      <c r="E460" s="489"/>
      <c r="F460" s="489"/>
      <c r="G460" s="489"/>
      <c r="H460" s="489"/>
      <c r="I460" s="489"/>
      <c r="J460" s="489"/>
      <c r="K460" s="489"/>
      <c r="L460" s="489"/>
      <c r="M460" s="489"/>
      <c r="N460" s="489"/>
      <c r="O460" s="489"/>
      <c r="P460" s="489"/>
      <c r="Q460" s="489"/>
      <c r="R460" s="489"/>
      <c r="S460" s="489"/>
      <c r="T460" s="489"/>
      <c r="U460" s="489"/>
      <c r="V460" s="578" t="s">
        <v>175</v>
      </c>
      <c r="W460" s="752" t="s">
        <v>176</v>
      </c>
      <c r="X460" s="723"/>
      <c r="Y460" s="753"/>
      <c r="Z460" s="724">
        <v>1364.5623407645369</v>
      </c>
      <c r="AA460" s="723"/>
      <c r="AB460" s="753"/>
      <c r="AC460" s="724"/>
      <c r="AD460" s="754"/>
      <c r="AE460" s="753"/>
      <c r="AF460" s="724">
        <v>342.85</v>
      </c>
      <c r="AG460" s="725"/>
      <c r="AH460" s="726">
        <v>-1021.7123407645369</v>
      </c>
      <c r="AI460" s="755">
        <v>-0.74874727979968436</v>
      </c>
      <c r="AJ460" s="754"/>
      <c r="AK460" s="723"/>
      <c r="AL460" s="724">
        <v>4436.45</v>
      </c>
      <c r="AM460" s="728"/>
      <c r="AN460" s="726">
        <v>-4093.6</v>
      </c>
      <c r="AO460" s="729">
        <v>-0.92271974213616748</v>
      </c>
      <c r="AP460" s="489"/>
      <c r="AQ460" s="489"/>
      <c r="AR460" s="489"/>
      <c r="AS460" s="489"/>
      <c r="AT460" s="489"/>
      <c r="AU460" s="489"/>
      <c r="AV460" s="489"/>
      <c r="AW460" s="489"/>
      <c r="AX460" s="489"/>
      <c r="AY460" s="489"/>
      <c r="AZ460" s="489"/>
      <c r="BA460" s="489"/>
      <c r="BB460" s="489"/>
      <c r="BC460" s="489"/>
      <c r="BD460" s="489"/>
      <c r="BE460" s="489"/>
      <c r="BF460" s="489"/>
      <c r="BG460" s="489"/>
      <c r="BH460" s="489"/>
      <c r="BI460" s="489"/>
      <c r="BJ460" s="489"/>
    </row>
    <row r="461" spans="1:62" ht="15.75" customHeight="1">
      <c r="A461" s="477" t="s">
        <v>177</v>
      </c>
      <c r="B461" s="486"/>
      <c r="C461" s="714" t="s">
        <v>227</v>
      </c>
      <c r="D461" s="489"/>
      <c r="E461" s="489"/>
      <c r="F461" s="489"/>
      <c r="G461" s="489"/>
      <c r="H461" s="489"/>
      <c r="I461" s="489"/>
      <c r="J461" s="489"/>
      <c r="K461" s="489"/>
      <c r="L461" s="489"/>
      <c r="M461" s="489"/>
      <c r="N461" s="489"/>
      <c r="O461" s="489"/>
      <c r="P461" s="489"/>
      <c r="Q461" s="489"/>
      <c r="R461" s="489"/>
      <c r="S461" s="489"/>
      <c r="T461" s="489"/>
      <c r="U461" s="788"/>
      <c r="V461" s="576" t="s">
        <v>177</v>
      </c>
      <c r="W461" s="747" t="s">
        <v>178</v>
      </c>
      <c r="X461" s="740"/>
      <c r="Y461" s="748"/>
      <c r="Z461" s="741">
        <v>1000</v>
      </c>
      <c r="AA461" s="740"/>
      <c r="AB461" s="748"/>
      <c r="AC461" s="741"/>
      <c r="AD461" s="749"/>
      <c r="AE461" s="748"/>
      <c r="AF461" s="741">
        <v>907.04</v>
      </c>
      <c r="AG461" s="742"/>
      <c r="AH461" s="743">
        <v>-92.960000000000036</v>
      </c>
      <c r="AI461" s="789">
        <v>-9.2960000000000043E-2</v>
      </c>
      <c r="AJ461" s="740"/>
      <c r="AK461" s="740"/>
      <c r="AL461" s="741">
        <v>1171.24</v>
      </c>
      <c r="AM461" s="745"/>
      <c r="AN461" s="743">
        <v>-264.20000000000005</v>
      </c>
      <c r="AO461" s="751">
        <v>-0.2255728971005089</v>
      </c>
      <c r="AP461" s="489"/>
      <c r="AQ461" s="489"/>
      <c r="AR461" s="489"/>
      <c r="AS461" s="489"/>
      <c r="AT461" s="489"/>
      <c r="AU461" s="489"/>
      <c r="AV461" s="489"/>
      <c r="AW461" s="489"/>
      <c r="AX461" s="489"/>
      <c r="AY461" s="489"/>
      <c r="AZ461" s="489"/>
      <c r="BA461" s="489"/>
      <c r="BB461" s="489"/>
      <c r="BC461" s="489"/>
      <c r="BD461" s="489"/>
      <c r="BE461" s="489"/>
      <c r="BF461" s="489"/>
      <c r="BG461" s="489"/>
      <c r="BH461" s="489"/>
      <c r="BI461" s="489"/>
      <c r="BJ461" s="489"/>
    </row>
    <row r="462" spans="1:62" ht="15.75" customHeight="1">
      <c r="A462" s="477" t="s">
        <v>179</v>
      </c>
      <c r="B462" s="486"/>
      <c r="C462" s="714" t="s">
        <v>227</v>
      </c>
      <c r="D462" s="489"/>
      <c r="E462" s="489"/>
      <c r="F462" s="489"/>
      <c r="G462" s="489"/>
      <c r="H462" s="489"/>
      <c r="I462" s="489"/>
      <c r="J462" s="489"/>
      <c r="K462" s="489"/>
      <c r="L462" s="489"/>
      <c r="M462" s="489"/>
      <c r="N462" s="489"/>
      <c r="O462" s="489"/>
      <c r="P462" s="489"/>
      <c r="Q462" s="489"/>
      <c r="R462" s="489"/>
      <c r="S462" s="489"/>
      <c r="T462" s="489"/>
      <c r="U462" s="788"/>
      <c r="V462" s="576" t="s">
        <v>179</v>
      </c>
      <c r="W462" s="747" t="s">
        <v>180</v>
      </c>
      <c r="X462" s="740"/>
      <c r="Y462" s="748"/>
      <c r="Z462" s="741">
        <v>0</v>
      </c>
      <c r="AA462" s="740"/>
      <c r="AB462" s="748"/>
      <c r="AC462" s="741"/>
      <c r="AD462" s="749"/>
      <c r="AE462" s="748"/>
      <c r="AF462" s="741">
        <v>0</v>
      </c>
      <c r="AG462" s="742"/>
      <c r="AH462" s="743">
        <v>0</v>
      </c>
      <c r="AI462" s="767">
        <v>0</v>
      </c>
      <c r="AJ462" s="740"/>
      <c r="AK462" s="740"/>
      <c r="AL462" s="741">
        <v>0</v>
      </c>
      <c r="AM462" s="745"/>
      <c r="AN462" s="743">
        <v>0</v>
      </c>
      <c r="AO462" s="751">
        <v>0</v>
      </c>
      <c r="AP462" s="489"/>
      <c r="AQ462" s="489"/>
      <c r="AR462" s="489"/>
      <c r="AS462" s="489"/>
      <c r="AT462" s="489"/>
      <c r="AU462" s="489"/>
      <c r="AV462" s="489"/>
      <c r="AW462" s="489"/>
      <c r="AX462" s="489"/>
      <c r="AY462" s="489"/>
      <c r="AZ462" s="489"/>
      <c r="BA462" s="489"/>
      <c r="BB462" s="489"/>
      <c r="BC462" s="489"/>
      <c r="BD462" s="489"/>
      <c r="BE462" s="489"/>
      <c r="BF462" s="489"/>
      <c r="BG462" s="489"/>
      <c r="BH462" s="489"/>
      <c r="BI462" s="489"/>
      <c r="BJ462" s="489"/>
    </row>
    <row r="463" spans="1:62" ht="15.75" hidden="1" customHeight="1">
      <c r="A463" s="477" t="s">
        <v>20</v>
      </c>
      <c r="B463" s="486"/>
      <c r="C463" s="714" t="s">
        <v>227</v>
      </c>
      <c r="D463" s="489"/>
      <c r="E463" s="489"/>
      <c r="F463" s="489"/>
      <c r="G463" s="489"/>
      <c r="H463" s="489"/>
      <c r="I463" s="489"/>
      <c r="J463" s="489"/>
      <c r="K463" s="489"/>
      <c r="L463" s="489"/>
      <c r="M463" s="489"/>
      <c r="N463" s="489"/>
      <c r="O463" s="489"/>
      <c r="P463" s="489"/>
      <c r="Q463" s="489"/>
      <c r="R463" s="489"/>
      <c r="S463" s="489"/>
      <c r="T463" s="489"/>
      <c r="U463" s="788"/>
      <c r="V463" s="576" t="s">
        <v>20</v>
      </c>
      <c r="W463" s="747"/>
      <c r="X463" s="740"/>
      <c r="Y463" s="748"/>
      <c r="Z463" s="741">
        <v>0</v>
      </c>
      <c r="AA463" s="740"/>
      <c r="AB463" s="740"/>
      <c r="AC463" s="741"/>
      <c r="AD463" s="749"/>
      <c r="AE463" s="748"/>
      <c r="AF463" s="741">
        <v>0</v>
      </c>
      <c r="AG463" s="742"/>
      <c r="AH463" s="743">
        <v>0</v>
      </c>
      <c r="AI463" s="744">
        <v>0</v>
      </c>
      <c r="AJ463" s="749"/>
      <c r="AK463" s="740"/>
      <c r="AL463" s="741">
        <v>0</v>
      </c>
      <c r="AM463" s="745"/>
      <c r="AN463" s="743">
        <v>0</v>
      </c>
      <c r="AO463" s="751">
        <v>1</v>
      </c>
      <c r="AP463" s="489"/>
      <c r="AQ463" s="489"/>
      <c r="AR463" s="489"/>
      <c r="AS463" s="489"/>
      <c r="AT463" s="489"/>
      <c r="AU463" s="489"/>
      <c r="AV463" s="489"/>
      <c r="AW463" s="489"/>
      <c r="AX463" s="489"/>
      <c r="AY463" s="489"/>
      <c r="AZ463" s="489"/>
      <c r="BA463" s="489"/>
      <c r="BB463" s="489"/>
      <c r="BC463" s="489"/>
      <c r="BD463" s="489"/>
      <c r="BE463" s="489"/>
      <c r="BF463" s="489"/>
      <c r="BG463" s="489"/>
      <c r="BH463" s="489"/>
      <c r="BI463" s="489"/>
      <c r="BJ463" s="489"/>
    </row>
    <row r="464" spans="1:62" ht="15.75" hidden="1" customHeight="1">
      <c r="A464" s="477" t="s">
        <v>20</v>
      </c>
      <c r="B464" s="486"/>
      <c r="C464" s="714" t="s">
        <v>227</v>
      </c>
      <c r="D464" s="489"/>
      <c r="E464" s="489"/>
      <c r="F464" s="489"/>
      <c r="G464" s="489"/>
      <c r="H464" s="489"/>
      <c r="I464" s="489"/>
      <c r="J464" s="489"/>
      <c r="K464" s="489"/>
      <c r="L464" s="489"/>
      <c r="M464" s="489"/>
      <c r="N464" s="489"/>
      <c r="O464" s="489"/>
      <c r="P464" s="489"/>
      <c r="Q464" s="489"/>
      <c r="R464" s="489"/>
      <c r="S464" s="489"/>
      <c r="T464" s="489"/>
      <c r="U464" s="788"/>
      <c r="V464" s="576" t="s">
        <v>20</v>
      </c>
      <c r="W464" s="747"/>
      <c r="X464" s="740"/>
      <c r="Y464" s="748"/>
      <c r="Z464" s="741">
        <v>0</v>
      </c>
      <c r="AA464" s="740"/>
      <c r="AB464" s="740"/>
      <c r="AC464" s="741"/>
      <c r="AD464" s="749"/>
      <c r="AE464" s="748"/>
      <c r="AF464" s="741">
        <v>0</v>
      </c>
      <c r="AG464" s="742"/>
      <c r="AH464" s="743">
        <v>0</v>
      </c>
      <c r="AI464" s="744">
        <v>0</v>
      </c>
      <c r="AJ464" s="749"/>
      <c r="AK464" s="740"/>
      <c r="AL464" s="741">
        <v>0</v>
      </c>
      <c r="AM464" s="745"/>
      <c r="AN464" s="743">
        <v>0</v>
      </c>
      <c r="AO464" s="751">
        <v>2</v>
      </c>
      <c r="AP464" s="489"/>
      <c r="AQ464" s="489"/>
      <c r="AR464" s="489"/>
      <c r="AS464" s="489"/>
      <c r="AT464" s="489"/>
      <c r="AU464" s="489"/>
      <c r="AV464" s="489"/>
      <c r="AW464" s="489"/>
      <c r="AX464" s="489"/>
      <c r="AY464" s="489"/>
      <c r="AZ464" s="489"/>
      <c r="BA464" s="489"/>
      <c r="BB464" s="489"/>
      <c r="BC464" s="489"/>
      <c r="BD464" s="489"/>
      <c r="BE464" s="489"/>
      <c r="BF464" s="489"/>
      <c r="BG464" s="489"/>
      <c r="BH464" s="489"/>
      <c r="BI464" s="489"/>
      <c r="BJ464" s="489"/>
    </row>
    <row r="465" spans="1:62" ht="15.75" hidden="1" customHeight="1">
      <c r="A465" s="477" t="s">
        <v>20</v>
      </c>
      <c r="B465" s="486"/>
      <c r="C465" s="714" t="s">
        <v>227</v>
      </c>
      <c r="D465" s="489"/>
      <c r="E465" s="489"/>
      <c r="F465" s="489"/>
      <c r="G465" s="489"/>
      <c r="H465" s="489"/>
      <c r="I465" s="489"/>
      <c r="J465" s="489"/>
      <c r="K465" s="489"/>
      <c r="L465" s="489"/>
      <c r="M465" s="489"/>
      <c r="N465" s="489"/>
      <c r="O465" s="489"/>
      <c r="P465" s="489"/>
      <c r="Q465" s="489"/>
      <c r="R465" s="489"/>
      <c r="S465" s="489"/>
      <c r="T465" s="489"/>
      <c r="U465" s="489"/>
      <c r="V465" s="576" t="s">
        <v>20</v>
      </c>
      <c r="W465" s="747"/>
      <c r="X465" s="740"/>
      <c r="Y465" s="748"/>
      <c r="Z465" s="741">
        <v>0</v>
      </c>
      <c r="AA465" s="740"/>
      <c r="AB465" s="740"/>
      <c r="AC465" s="741"/>
      <c r="AD465" s="749"/>
      <c r="AE465" s="748"/>
      <c r="AF465" s="741">
        <v>0</v>
      </c>
      <c r="AG465" s="742"/>
      <c r="AH465" s="743">
        <v>0</v>
      </c>
      <c r="AI465" s="744">
        <v>0</v>
      </c>
      <c r="AJ465" s="749"/>
      <c r="AK465" s="740"/>
      <c r="AL465" s="741">
        <v>0</v>
      </c>
      <c r="AM465" s="745"/>
      <c r="AN465" s="743">
        <v>0</v>
      </c>
      <c r="AO465" s="751">
        <v>3</v>
      </c>
      <c r="AP465" s="489"/>
      <c r="AQ465" s="489"/>
      <c r="AR465" s="489"/>
      <c r="AS465" s="489"/>
      <c r="AT465" s="489"/>
      <c r="AU465" s="489"/>
      <c r="AV465" s="489"/>
      <c r="AW465" s="489"/>
      <c r="AX465" s="489"/>
      <c r="AY465" s="489"/>
      <c r="AZ465" s="489"/>
      <c r="BA465" s="489"/>
      <c r="BB465" s="489"/>
      <c r="BC465" s="489"/>
      <c r="BD465" s="489"/>
      <c r="BE465" s="489"/>
      <c r="BF465" s="489"/>
      <c r="BG465" s="489"/>
      <c r="BH465" s="489"/>
      <c r="BI465" s="489"/>
      <c r="BJ465" s="489"/>
    </row>
    <row r="466" spans="1:62" ht="15.75" customHeight="1">
      <c r="A466" s="477" t="s">
        <v>181</v>
      </c>
      <c r="B466" s="486"/>
      <c r="C466" s="714" t="s">
        <v>227</v>
      </c>
      <c r="D466" s="489"/>
      <c r="E466" s="489"/>
      <c r="F466" s="489"/>
      <c r="G466" s="489"/>
      <c r="H466" s="489"/>
      <c r="I466" s="489"/>
      <c r="J466" s="489"/>
      <c r="K466" s="489"/>
      <c r="L466" s="489"/>
      <c r="M466" s="489"/>
      <c r="N466" s="489"/>
      <c r="O466" s="489"/>
      <c r="P466" s="489"/>
      <c r="Q466" s="489"/>
      <c r="R466" s="489"/>
      <c r="S466" s="489"/>
      <c r="T466" s="489"/>
      <c r="U466" s="489"/>
      <c r="V466" s="757" t="s">
        <v>181</v>
      </c>
      <c r="W466" s="758"/>
      <c r="X466" s="759">
        <v>8.0195515873686882E-2</v>
      </c>
      <c r="Y466" s="758"/>
      <c r="Z466" s="760">
        <v>62225.182340764542</v>
      </c>
      <c r="AA466" s="759"/>
      <c r="AB466" s="758"/>
      <c r="AC466" s="760"/>
      <c r="AD466" s="761">
        <v>8.7068842743683109E-2</v>
      </c>
      <c r="AE466" s="758"/>
      <c r="AF466" s="760">
        <v>62175.73</v>
      </c>
      <c r="AG466" s="782"/>
      <c r="AH466" s="783">
        <v>-49.452340764538917</v>
      </c>
      <c r="AI466" s="759">
        <v>-7.9473195423875888E-4</v>
      </c>
      <c r="AJ466" s="761">
        <v>0.10127400770514236</v>
      </c>
      <c r="AK466" s="759"/>
      <c r="AL466" s="760">
        <v>64882.779999999984</v>
      </c>
      <c r="AM466" s="769"/>
      <c r="AN466" s="763">
        <v>-2707.0499999999902</v>
      </c>
      <c r="AO466" s="784">
        <v>-4.1722164185936404E-2</v>
      </c>
      <c r="AP466" s="489"/>
      <c r="AQ466" s="489"/>
      <c r="AR466" s="489"/>
      <c r="AS466" s="489"/>
      <c r="AT466" s="489"/>
      <c r="AU466" s="489"/>
      <c r="AV466" s="489"/>
      <c r="AW466" s="489"/>
      <c r="AX466" s="489"/>
      <c r="AY466" s="489"/>
      <c r="AZ466" s="489"/>
      <c r="BA466" s="489"/>
      <c r="BB466" s="489"/>
      <c r="BC466" s="489"/>
      <c r="BD466" s="489"/>
      <c r="BE466" s="489"/>
      <c r="BF466" s="489"/>
      <c r="BG466" s="489"/>
      <c r="BH466" s="489"/>
      <c r="BI466" s="489"/>
      <c r="BJ466" s="489"/>
    </row>
    <row r="467" spans="1:62" ht="15.75" customHeight="1">
      <c r="A467" s="477" t="s">
        <v>469</v>
      </c>
      <c r="B467" s="486"/>
      <c r="C467" s="714" t="s">
        <v>227</v>
      </c>
      <c r="D467" s="489"/>
      <c r="E467" s="489"/>
      <c r="F467" s="489"/>
      <c r="G467" s="489"/>
      <c r="H467" s="489"/>
      <c r="I467" s="489"/>
      <c r="J467" s="489"/>
      <c r="K467" s="489"/>
      <c r="L467" s="489"/>
      <c r="M467" s="489"/>
      <c r="N467" s="489"/>
      <c r="O467" s="489"/>
      <c r="P467" s="489"/>
      <c r="Q467" s="489"/>
      <c r="R467" s="489"/>
      <c r="S467" s="489"/>
      <c r="T467" s="489"/>
      <c r="U467" s="489"/>
      <c r="V467" s="576"/>
      <c r="W467" s="740"/>
      <c r="X467" s="740"/>
      <c r="Y467" s="740"/>
      <c r="Z467" s="790"/>
      <c r="AA467" s="740"/>
      <c r="AB467" s="740"/>
      <c r="AC467" s="790"/>
      <c r="AD467" s="749"/>
      <c r="AE467" s="740"/>
      <c r="AF467" s="790"/>
      <c r="AG467" s="749"/>
      <c r="AH467" s="743">
        <v>0</v>
      </c>
      <c r="AI467" s="744"/>
      <c r="AJ467" s="749"/>
      <c r="AK467" s="740"/>
      <c r="AL467" s="790"/>
      <c r="AM467" s="791"/>
      <c r="AN467" s="743">
        <v>0</v>
      </c>
      <c r="AO467" s="792">
        <v>0</v>
      </c>
      <c r="AP467" s="489"/>
      <c r="AQ467" s="489"/>
      <c r="AR467" s="489"/>
      <c r="AS467" s="489"/>
      <c r="AT467" s="489"/>
      <c r="AU467" s="489"/>
      <c r="AV467" s="489"/>
      <c r="AW467" s="489"/>
      <c r="AX467" s="489"/>
      <c r="AY467" s="489"/>
      <c r="AZ467" s="489"/>
      <c r="BA467" s="489"/>
      <c r="BB467" s="489"/>
      <c r="BC467" s="489"/>
      <c r="BD467" s="489"/>
      <c r="BE467" s="489"/>
      <c r="BF467" s="489"/>
      <c r="BG467" s="489"/>
      <c r="BH467" s="489"/>
      <c r="BI467" s="489"/>
      <c r="BJ467" s="489"/>
    </row>
    <row r="468" spans="1:62" ht="15.75" customHeight="1">
      <c r="A468" s="477" t="s">
        <v>65</v>
      </c>
      <c r="B468" s="486"/>
      <c r="C468" s="714" t="s">
        <v>227</v>
      </c>
      <c r="D468" s="489"/>
      <c r="E468" s="489"/>
      <c r="F468" s="489"/>
      <c r="G468" s="489"/>
      <c r="H468" s="489"/>
      <c r="I468" s="489"/>
      <c r="J468" s="489"/>
      <c r="K468" s="489"/>
      <c r="L468" s="489"/>
      <c r="M468" s="489"/>
      <c r="N468" s="489"/>
      <c r="O468" s="489"/>
      <c r="P468" s="489"/>
      <c r="Q468" s="489"/>
      <c r="R468" s="489"/>
      <c r="S468" s="489"/>
      <c r="T468" s="489"/>
      <c r="U468" s="489"/>
      <c r="V468" s="757" t="s">
        <v>65</v>
      </c>
      <c r="W468" s="758"/>
      <c r="X468" s="759">
        <v>0.97326189611050107</v>
      </c>
      <c r="Y468" s="758"/>
      <c r="Z468" s="760">
        <v>755171.88574710686</v>
      </c>
      <c r="AA468" s="759"/>
      <c r="AB468" s="758"/>
      <c r="AC468" s="760"/>
      <c r="AD468" s="761">
        <v>0.74681179137051801</v>
      </c>
      <c r="AE468" s="758"/>
      <c r="AF468" s="760">
        <v>533297.17999999993</v>
      </c>
      <c r="AG468" s="782"/>
      <c r="AH468" s="783">
        <v>-221874.70574710693</v>
      </c>
      <c r="AI468" s="759">
        <v>-0.29380689341685673</v>
      </c>
      <c r="AJ468" s="761">
        <v>1.0720927968561236</v>
      </c>
      <c r="AK468" s="759"/>
      <c r="AL468" s="760">
        <v>686853.05</v>
      </c>
      <c r="AM468" s="769"/>
      <c r="AN468" s="763">
        <v>-153555.87000000011</v>
      </c>
      <c r="AO468" s="738">
        <v>-0.22356437086506364</v>
      </c>
      <c r="AP468" s="489"/>
      <c r="AQ468" s="489"/>
      <c r="AR468" s="489"/>
      <c r="AS468" s="489"/>
      <c r="AT468" s="489"/>
      <c r="AU468" s="489"/>
      <c r="AV468" s="489"/>
      <c r="AW468" s="489"/>
      <c r="AX468" s="489"/>
      <c r="AY468" s="489"/>
      <c r="AZ468" s="489"/>
      <c r="BA468" s="489"/>
      <c r="BB468" s="489"/>
      <c r="BC468" s="489"/>
      <c r="BD468" s="489"/>
      <c r="BE468" s="489"/>
      <c r="BF468" s="489"/>
      <c r="BG468" s="489"/>
      <c r="BH468" s="489"/>
      <c r="BI468" s="489"/>
      <c r="BJ468" s="489"/>
    </row>
    <row r="469" spans="1:62" ht="15.75" customHeight="1">
      <c r="A469" s="477" t="s">
        <v>182</v>
      </c>
      <c r="B469" s="486"/>
      <c r="C469" s="714" t="s">
        <v>227</v>
      </c>
      <c r="D469" s="489"/>
      <c r="E469" s="489"/>
      <c r="F469" s="489"/>
      <c r="G469" s="489"/>
      <c r="H469" s="489"/>
      <c r="I469" s="489"/>
      <c r="J469" s="489"/>
      <c r="K469" s="489"/>
      <c r="L469" s="489"/>
      <c r="M469" s="489"/>
      <c r="N469" s="489"/>
      <c r="O469" s="489"/>
      <c r="P469" s="489"/>
      <c r="Q469" s="489"/>
      <c r="R469" s="489"/>
      <c r="S469" s="489"/>
      <c r="T469" s="489"/>
      <c r="U469" s="489"/>
      <c r="V469" s="576" t="s">
        <v>182</v>
      </c>
      <c r="W469" s="786"/>
      <c r="X469" s="786"/>
      <c r="Y469" s="740"/>
      <c r="Z469" s="772">
        <v>0</v>
      </c>
      <c r="AA469" s="793"/>
      <c r="AB469" s="794"/>
      <c r="AC469" s="772"/>
      <c r="AD469" s="795"/>
      <c r="AE469" s="794"/>
      <c r="AF469" s="741">
        <v>-3.89</v>
      </c>
      <c r="AG469" s="796"/>
      <c r="AH469" s="743">
        <v>-3.89</v>
      </c>
      <c r="AI469" s="789" t="e">
        <v>#DIV/0!</v>
      </c>
      <c r="AJ469" s="795"/>
      <c r="AK469" s="793"/>
      <c r="AL469" s="797">
        <v>19034.12</v>
      </c>
      <c r="AM469" s="798"/>
      <c r="AN469" s="743">
        <v>-19038.009999999998</v>
      </c>
      <c r="AO469" s="751">
        <v>-1.0002043698369034</v>
      </c>
      <c r="AP469" s="489"/>
      <c r="AQ469" s="489"/>
      <c r="AR469" s="489"/>
      <c r="AS469" s="489"/>
      <c r="AT469" s="489"/>
      <c r="AU469" s="489"/>
      <c r="AV469" s="489"/>
      <c r="AW469" s="489"/>
      <c r="AX469" s="489"/>
      <c r="AY469" s="489"/>
      <c r="AZ469" s="489"/>
      <c r="BA469" s="489"/>
      <c r="BB469" s="489"/>
      <c r="BC469" s="489"/>
      <c r="BD469" s="489"/>
      <c r="BE469" s="489"/>
      <c r="BF469" s="489"/>
      <c r="BG469" s="489"/>
      <c r="BH469" s="489"/>
      <c r="BI469" s="489"/>
      <c r="BJ469" s="489"/>
    </row>
    <row r="470" spans="1:62" ht="15.75" customHeight="1">
      <c r="A470" s="477" t="s">
        <v>69</v>
      </c>
      <c r="B470" s="486"/>
      <c r="C470" s="714" t="s">
        <v>227</v>
      </c>
      <c r="D470" s="489"/>
      <c r="E470" s="489"/>
      <c r="F470" s="489"/>
      <c r="G470" s="489"/>
      <c r="H470" s="489"/>
      <c r="I470" s="489"/>
      <c r="J470" s="489"/>
      <c r="K470" s="489"/>
      <c r="L470" s="489"/>
      <c r="M470" s="489"/>
      <c r="N470" s="489"/>
      <c r="O470" s="489"/>
      <c r="P470" s="489"/>
      <c r="Q470" s="489"/>
      <c r="R470" s="489"/>
      <c r="S470" s="489"/>
      <c r="T470" s="489"/>
      <c r="U470" s="489"/>
      <c r="V470" s="576" t="s">
        <v>69</v>
      </c>
      <c r="W470" s="740"/>
      <c r="X470" s="740"/>
      <c r="Y470" s="740"/>
      <c r="Z470" s="741">
        <v>128159.89584664126</v>
      </c>
      <c r="AA470" s="785"/>
      <c r="AB470" s="743"/>
      <c r="AC470" s="741"/>
      <c r="AD470" s="799"/>
      <c r="AE470" s="800"/>
      <c r="AF470" s="741">
        <v>75174</v>
      </c>
      <c r="AG470" s="801"/>
      <c r="AH470" s="743">
        <v>-52985.895846641259</v>
      </c>
      <c r="AI470" s="767">
        <v>-0.41343585289773693</v>
      </c>
      <c r="AJ470" s="802"/>
      <c r="AK470" s="785"/>
      <c r="AL470" s="803">
        <v>110039</v>
      </c>
      <c r="AM470" s="799"/>
      <c r="AN470" s="743">
        <v>-34865</v>
      </c>
      <c r="AO470" s="751">
        <v>-0.31684221048900846</v>
      </c>
      <c r="AP470" s="489"/>
      <c r="AQ470" s="489"/>
      <c r="AR470" s="489"/>
      <c r="AS470" s="489"/>
      <c r="AT470" s="489"/>
      <c r="AU470" s="489"/>
      <c r="AV470" s="489"/>
      <c r="AW470" s="489"/>
      <c r="AX470" s="489"/>
      <c r="AY470" s="489"/>
      <c r="AZ470" s="489"/>
      <c r="BA470" s="489"/>
      <c r="BB470" s="489"/>
      <c r="BC470" s="489"/>
      <c r="BD470" s="489"/>
      <c r="BE470" s="489"/>
      <c r="BF470" s="489"/>
      <c r="BG470" s="489"/>
      <c r="BH470" s="489"/>
      <c r="BI470" s="489"/>
      <c r="BJ470" s="489"/>
    </row>
    <row r="471" spans="1:62" ht="15.75" customHeight="1">
      <c r="A471" s="477" t="s">
        <v>197</v>
      </c>
      <c r="B471" s="486"/>
      <c r="C471" s="714" t="s">
        <v>227</v>
      </c>
      <c r="D471" s="489"/>
      <c r="E471" s="489"/>
      <c r="F471" s="489"/>
      <c r="G471" s="489"/>
      <c r="H471" s="489"/>
      <c r="I471" s="489"/>
      <c r="J471" s="489"/>
      <c r="K471" s="489"/>
      <c r="L471" s="489"/>
      <c r="M471" s="489"/>
      <c r="N471" s="489"/>
      <c r="O471" s="489"/>
      <c r="P471" s="489"/>
      <c r="Q471" s="489"/>
      <c r="R471" s="489"/>
      <c r="S471" s="489"/>
      <c r="T471" s="489"/>
      <c r="U471" s="489"/>
      <c r="V471" s="576" t="s">
        <v>197</v>
      </c>
      <c r="W471" s="740"/>
      <c r="X471" s="740"/>
      <c r="Y471" s="740"/>
      <c r="Z471" s="741">
        <v>0</v>
      </c>
      <c r="AA471" s="785"/>
      <c r="AB471" s="786"/>
      <c r="AC471" s="741"/>
      <c r="AD471" s="802"/>
      <c r="AF471" s="741">
        <v>0</v>
      </c>
      <c r="AG471" s="801"/>
      <c r="AH471" s="743">
        <v>0</v>
      </c>
      <c r="AI471" s="767">
        <v>0</v>
      </c>
      <c r="AJ471" s="802"/>
      <c r="AK471" s="785"/>
      <c r="AL471" s="803">
        <v>0</v>
      </c>
      <c r="AM471" s="799"/>
      <c r="AN471" s="743">
        <v>0</v>
      </c>
      <c r="AO471" s="751">
        <v>0</v>
      </c>
      <c r="AP471" s="489"/>
      <c r="AQ471" s="489"/>
      <c r="AR471" s="489"/>
      <c r="AS471" s="489"/>
      <c r="AT471" s="489"/>
      <c r="AU471" s="489"/>
      <c r="AV471" s="489"/>
      <c r="AW471" s="489"/>
      <c r="AX471" s="489"/>
      <c r="AY471" s="489"/>
      <c r="AZ471" s="489"/>
      <c r="BA471" s="489"/>
      <c r="BB471" s="489"/>
      <c r="BC471" s="489"/>
      <c r="BD471" s="489"/>
      <c r="BE471" s="489"/>
      <c r="BF471" s="489"/>
      <c r="BG471" s="489"/>
      <c r="BH471" s="489"/>
      <c r="BI471" s="489"/>
      <c r="BJ471" s="489"/>
    </row>
    <row r="472" spans="1:62" ht="15.75" customHeight="1">
      <c r="A472" s="477" t="s">
        <v>194</v>
      </c>
      <c r="B472" s="486"/>
      <c r="C472" s="714" t="s">
        <v>227</v>
      </c>
      <c r="D472" s="489"/>
      <c r="E472" s="489"/>
      <c r="F472" s="489"/>
      <c r="G472" s="489"/>
      <c r="H472" s="489"/>
      <c r="I472" s="489"/>
      <c r="J472" s="489"/>
      <c r="K472" s="489"/>
      <c r="L472" s="489"/>
      <c r="M472" s="489"/>
      <c r="N472" s="489"/>
      <c r="O472" s="489"/>
      <c r="P472" s="489"/>
      <c r="Q472" s="489"/>
      <c r="R472" s="489"/>
      <c r="S472" s="489"/>
      <c r="T472" s="489"/>
      <c r="U472" s="489"/>
      <c r="V472" s="576" t="s">
        <v>194</v>
      </c>
      <c r="W472" s="740"/>
      <c r="X472" s="740"/>
      <c r="Y472" s="740"/>
      <c r="Z472" s="741">
        <v>0</v>
      </c>
      <c r="AA472" s="785"/>
      <c r="AB472" s="786"/>
      <c r="AC472" s="741"/>
      <c r="AD472" s="802"/>
      <c r="AE472" s="786"/>
      <c r="AF472" s="741">
        <v>0</v>
      </c>
      <c r="AG472" s="801"/>
      <c r="AH472" s="743">
        <v>0</v>
      </c>
      <c r="AI472" s="767">
        <v>0</v>
      </c>
      <c r="AJ472" s="802"/>
      <c r="AK472" s="785"/>
      <c r="AL472" s="803">
        <v>0</v>
      </c>
      <c r="AM472" s="799"/>
      <c r="AN472" s="743">
        <v>0</v>
      </c>
      <c r="AO472" s="751">
        <v>0</v>
      </c>
      <c r="AP472" s="489"/>
      <c r="AQ472" s="489"/>
      <c r="AR472" s="489"/>
      <c r="AS472" s="489"/>
      <c r="AT472" s="489"/>
      <c r="AU472" s="489"/>
      <c r="AV472" s="489"/>
      <c r="AW472" s="489"/>
      <c r="AX472" s="489"/>
      <c r="AY472" s="489"/>
      <c r="AZ472" s="489"/>
      <c r="BA472" s="489"/>
      <c r="BB472" s="489"/>
      <c r="BC472" s="489"/>
      <c r="BD472" s="489"/>
      <c r="BE472" s="489"/>
      <c r="BF472" s="489"/>
      <c r="BG472" s="489"/>
      <c r="BH472" s="489"/>
      <c r="BI472" s="489"/>
      <c r="BJ472" s="489"/>
    </row>
    <row r="473" spans="1:62" ht="15.75" customHeight="1">
      <c r="A473" s="477" t="s">
        <v>68</v>
      </c>
      <c r="B473" s="486"/>
      <c r="C473" s="714" t="s">
        <v>227</v>
      </c>
      <c r="D473" s="489"/>
      <c r="E473" s="489"/>
      <c r="F473" s="489"/>
      <c r="G473" s="489"/>
      <c r="H473" s="489"/>
      <c r="I473" s="489"/>
      <c r="J473" s="489"/>
      <c r="K473" s="489"/>
      <c r="L473" s="489"/>
      <c r="M473" s="489"/>
      <c r="N473" s="489"/>
      <c r="O473" s="489"/>
      <c r="P473" s="489"/>
      <c r="Q473" s="489"/>
      <c r="R473" s="489"/>
      <c r="S473" s="489"/>
      <c r="T473" s="489"/>
      <c r="U473" s="489"/>
      <c r="V473" s="576" t="s">
        <v>68</v>
      </c>
      <c r="W473" s="740"/>
      <c r="X473" s="740"/>
      <c r="Y473" s="740"/>
      <c r="Z473" s="741">
        <v>0</v>
      </c>
      <c r="AA473" s="785"/>
      <c r="AB473" s="786"/>
      <c r="AC473" s="741"/>
      <c r="AD473" s="802"/>
      <c r="AE473" s="786"/>
      <c r="AF473" s="741">
        <v>0</v>
      </c>
      <c r="AG473" s="801"/>
      <c r="AH473" s="743">
        <v>0</v>
      </c>
      <c r="AI473" s="767">
        <v>0</v>
      </c>
      <c r="AJ473" s="802"/>
      <c r="AK473" s="785"/>
      <c r="AL473" s="803">
        <v>0</v>
      </c>
      <c r="AM473" s="799"/>
      <c r="AN473" s="743">
        <v>0</v>
      </c>
      <c r="AO473" s="751">
        <v>0</v>
      </c>
      <c r="AP473" s="489"/>
      <c r="AQ473" s="489"/>
      <c r="AR473" s="489"/>
      <c r="AS473" s="489"/>
      <c r="AT473" s="489"/>
      <c r="AU473" s="489"/>
      <c r="AV473" s="489"/>
      <c r="AW473" s="489"/>
      <c r="AX473" s="489"/>
      <c r="AY473" s="489"/>
      <c r="AZ473" s="489"/>
      <c r="BA473" s="489"/>
      <c r="BB473" s="489"/>
      <c r="BC473" s="489"/>
      <c r="BD473" s="489"/>
      <c r="BE473" s="489"/>
      <c r="BF473" s="489"/>
      <c r="BG473" s="489"/>
      <c r="BH473" s="489"/>
      <c r="BI473" s="489"/>
      <c r="BJ473" s="489"/>
    </row>
    <row r="474" spans="1:62" ht="15.75" customHeight="1">
      <c r="A474" s="477" t="s">
        <v>225</v>
      </c>
      <c r="B474" s="486"/>
      <c r="C474" s="714" t="s">
        <v>227</v>
      </c>
      <c r="D474" s="489"/>
      <c r="E474" s="489"/>
      <c r="F474" s="489"/>
      <c r="G474" s="489"/>
      <c r="H474" s="489"/>
      <c r="I474" s="489"/>
      <c r="J474" s="489"/>
      <c r="K474" s="489"/>
      <c r="L474" s="489"/>
      <c r="M474" s="489"/>
      <c r="N474" s="489"/>
      <c r="O474" s="489"/>
      <c r="P474" s="489"/>
      <c r="Q474" s="489"/>
      <c r="R474" s="489"/>
      <c r="S474" s="489"/>
      <c r="T474" s="489"/>
      <c r="U474" s="489"/>
      <c r="V474" s="576" t="s">
        <v>225</v>
      </c>
      <c r="W474" s="740"/>
      <c r="X474" s="740"/>
      <c r="Y474" s="740"/>
      <c r="Z474" s="741">
        <v>0</v>
      </c>
      <c r="AA474" s="785"/>
      <c r="AB474" s="786"/>
      <c r="AC474" s="741"/>
      <c r="AD474" s="802"/>
      <c r="AE474" s="786"/>
      <c r="AF474" s="741">
        <v>0</v>
      </c>
      <c r="AG474" s="801"/>
      <c r="AH474" s="743">
        <v>0</v>
      </c>
      <c r="AI474" s="767">
        <v>0</v>
      </c>
      <c r="AJ474" s="802"/>
      <c r="AK474" s="785"/>
      <c r="AL474" s="803">
        <v>0</v>
      </c>
      <c r="AM474" s="799"/>
      <c r="AN474" s="743">
        <v>0</v>
      </c>
      <c r="AO474" s="751">
        <v>0</v>
      </c>
      <c r="AP474" s="489"/>
      <c r="AQ474" s="489"/>
      <c r="AR474" s="489"/>
      <c r="AS474" s="489"/>
      <c r="AT474" s="489"/>
      <c r="AU474" s="489"/>
      <c r="AV474" s="489"/>
      <c r="AW474" s="489"/>
      <c r="AX474" s="489"/>
      <c r="AY474" s="489"/>
      <c r="AZ474" s="489"/>
      <c r="BA474" s="489"/>
      <c r="BB474" s="489"/>
      <c r="BC474" s="489"/>
      <c r="BD474" s="489"/>
      <c r="BE474" s="489"/>
      <c r="BF474" s="489"/>
      <c r="BG474" s="489"/>
      <c r="BH474" s="489"/>
      <c r="BI474" s="489"/>
      <c r="BJ474" s="489"/>
    </row>
    <row r="475" spans="1:62" ht="15.75" customHeight="1">
      <c r="A475" s="477" t="s">
        <v>81</v>
      </c>
      <c r="B475" s="486"/>
      <c r="C475" s="714" t="s">
        <v>227</v>
      </c>
      <c r="D475" s="489"/>
      <c r="E475" s="489"/>
      <c r="F475" s="489"/>
      <c r="G475" s="489"/>
      <c r="H475" s="489"/>
      <c r="I475" s="489"/>
      <c r="J475" s="489"/>
      <c r="K475" s="489"/>
      <c r="L475" s="489"/>
      <c r="M475" s="489"/>
      <c r="N475" s="489"/>
      <c r="O475" s="489"/>
      <c r="P475" s="489"/>
      <c r="Q475" s="489"/>
      <c r="R475" s="489"/>
      <c r="S475" s="489"/>
      <c r="T475" s="489"/>
      <c r="U475" s="489"/>
      <c r="V475" s="576" t="s">
        <v>81</v>
      </c>
      <c r="W475" s="740"/>
      <c r="X475" s="740"/>
      <c r="Y475" s="740"/>
      <c r="Z475" s="741">
        <v>0</v>
      </c>
      <c r="AA475" s="785"/>
      <c r="AB475" s="786"/>
      <c r="AC475" s="741"/>
      <c r="AD475" s="802"/>
      <c r="AE475" s="786"/>
      <c r="AF475" s="741">
        <v>0</v>
      </c>
      <c r="AG475" s="801"/>
      <c r="AH475" s="743">
        <v>0</v>
      </c>
      <c r="AI475" s="767">
        <v>0</v>
      </c>
      <c r="AJ475" s="802"/>
      <c r="AK475" s="785"/>
      <c r="AL475" s="803">
        <v>0</v>
      </c>
      <c r="AM475" s="799"/>
      <c r="AN475" s="743">
        <v>0</v>
      </c>
      <c r="AO475" s="751">
        <v>0</v>
      </c>
      <c r="AP475" s="489"/>
      <c r="AQ475" s="489"/>
      <c r="AR475" s="489"/>
      <c r="AS475" s="489"/>
      <c r="AT475" s="489"/>
      <c r="AU475" s="489"/>
      <c r="AV475" s="489"/>
      <c r="AW475" s="489"/>
      <c r="AX475" s="489"/>
      <c r="AY475" s="489"/>
      <c r="AZ475" s="489"/>
      <c r="BA475" s="489"/>
      <c r="BB475" s="489"/>
      <c r="BC475" s="489"/>
      <c r="BD475" s="489"/>
      <c r="BE475" s="489"/>
      <c r="BF475" s="489"/>
      <c r="BG475" s="489"/>
      <c r="BH475" s="489"/>
      <c r="BI475" s="489"/>
      <c r="BJ475" s="489"/>
    </row>
    <row r="476" spans="1:62" ht="15.75" customHeight="1">
      <c r="A476" s="477" t="s">
        <v>82</v>
      </c>
      <c r="B476" s="486"/>
      <c r="C476" s="714" t="s">
        <v>227</v>
      </c>
      <c r="D476" s="489"/>
      <c r="E476" s="489"/>
      <c r="F476" s="489"/>
      <c r="G476" s="489"/>
      <c r="H476" s="489"/>
      <c r="I476" s="489"/>
      <c r="J476" s="489"/>
      <c r="K476" s="489"/>
      <c r="L476" s="489"/>
      <c r="M476" s="489"/>
      <c r="N476" s="489"/>
      <c r="O476" s="489"/>
      <c r="P476" s="489"/>
      <c r="Q476" s="489"/>
      <c r="R476" s="489"/>
      <c r="S476" s="489"/>
      <c r="T476" s="489"/>
      <c r="U476" s="489"/>
      <c r="V476" s="576" t="s">
        <v>82</v>
      </c>
      <c r="W476" s="740"/>
      <c r="X476" s="740"/>
      <c r="Y476" s="740"/>
      <c r="Z476" s="741">
        <v>0</v>
      </c>
      <c r="AA476" s="785"/>
      <c r="AB476" s="786"/>
      <c r="AC476" s="741"/>
      <c r="AD476" s="802"/>
      <c r="AE476" s="786"/>
      <c r="AF476" s="741">
        <v>0</v>
      </c>
      <c r="AG476" s="801"/>
      <c r="AH476" s="743">
        <v>0</v>
      </c>
      <c r="AI476" s="767">
        <v>0</v>
      </c>
      <c r="AJ476" s="802"/>
      <c r="AK476" s="785"/>
      <c r="AL476" s="803">
        <v>0</v>
      </c>
      <c r="AM476" s="799"/>
      <c r="AN476" s="743">
        <v>0</v>
      </c>
      <c r="AO476" s="751">
        <v>0</v>
      </c>
      <c r="AP476" s="489"/>
      <c r="AQ476" s="489"/>
      <c r="AR476" s="489"/>
      <c r="AS476" s="489"/>
      <c r="AT476" s="489"/>
      <c r="AU476" s="489"/>
      <c r="AV476" s="489"/>
      <c r="AW476" s="489"/>
      <c r="AX476" s="489"/>
      <c r="AY476" s="489"/>
      <c r="AZ476" s="489"/>
      <c r="BA476" s="489"/>
      <c r="BB476" s="489"/>
      <c r="BC476" s="489"/>
      <c r="BD476" s="489"/>
      <c r="BE476" s="489"/>
      <c r="BF476" s="489"/>
      <c r="BG476" s="489"/>
      <c r="BH476" s="489"/>
      <c r="BI476" s="489"/>
      <c r="BJ476" s="489"/>
    </row>
    <row r="477" spans="1:62" ht="15.75" hidden="1" customHeight="1">
      <c r="A477" s="477" t="s">
        <v>20</v>
      </c>
      <c r="B477" s="486"/>
      <c r="C477" s="714" t="s">
        <v>227</v>
      </c>
      <c r="D477" s="489"/>
      <c r="E477" s="489"/>
      <c r="F477" s="489"/>
      <c r="G477" s="489"/>
      <c r="H477" s="489"/>
      <c r="I477" s="489"/>
      <c r="J477" s="489"/>
      <c r="K477" s="489"/>
      <c r="L477" s="489"/>
      <c r="M477" s="489"/>
      <c r="N477" s="489"/>
      <c r="O477" s="489"/>
      <c r="P477" s="489"/>
      <c r="Q477" s="489"/>
      <c r="R477" s="489"/>
      <c r="S477" s="489"/>
      <c r="T477" s="489"/>
      <c r="U477" s="489"/>
      <c r="V477" s="576" t="s">
        <v>20</v>
      </c>
      <c r="W477" s="740"/>
      <c r="X477" s="740"/>
      <c r="Y477" s="740"/>
      <c r="Z477" s="741">
        <v>0</v>
      </c>
      <c r="AA477" s="740"/>
      <c r="AB477" s="740"/>
      <c r="AC477" s="741"/>
      <c r="AD477" s="749"/>
      <c r="AE477" s="748"/>
      <c r="AF477" s="741">
        <v>0</v>
      </c>
      <c r="AG477" s="742"/>
      <c r="AH477" s="743">
        <v>0</v>
      </c>
      <c r="AI477" s="744">
        <v>0</v>
      </c>
      <c r="AJ477" s="749"/>
      <c r="AK477" s="740"/>
      <c r="AL477" s="741">
        <v>0</v>
      </c>
      <c r="AM477" s="799"/>
      <c r="AN477" s="743">
        <v>0</v>
      </c>
      <c r="AO477" s="751">
        <v>0</v>
      </c>
      <c r="AP477" s="489"/>
      <c r="AQ477" s="489"/>
      <c r="AR477" s="489"/>
      <c r="AS477" s="489"/>
      <c r="AT477" s="489"/>
      <c r="AU477" s="489"/>
      <c r="AV477" s="489"/>
      <c r="AW477" s="489"/>
      <c r="AX477" s="489"/>
      <c r="AY477" s="489"/>
      <c r="AZ477" s="489"/>
      <c r="BA477" s="489"/>
      <c r="BB477" s="489"/>
      <c r="BC477" s="489"/>
      <c r="BD477" s="489"/>
      <c r="BE477" s="489"/>
      <c r="BF477" s="489"/>
      <c r="BG477" s="489"/>
      <c r="BH477" s="489"/>
      <c r="BI477" s="489"/>
      <c r="BJ477" s="489"/>
    </row>
    <row r="478" spans="1:62" ht="15.75" hidden="1" customHeight="1">
      <c r="A478" s="477" t="s">
        <v>20</v>
      </c>
      <c r="B478" s="486"/>
      <c r="C478" s="714" t="s">
        <v>227</v>
      </c>
      <c r="D478" s="489"/>
      <c r="E478" s="489"/>
      <c r="F478" s="489"/>
      <c r="G478" s="489"/>
      <c r="H478" s="489"/>
      <c r="I478" s="489"/>
      <c r="J478" s="489"/>
      <c r="K478" s="489"/>
      <c r="L478" s="489"/>
      <c r="M478" s="489"/>
      <c r="N478" s="489"/>
      <c r="O478" s="489"/>
      <c r="P478" s="489"/>
      <c r="Q478" s="489"/>
      <c r="R478" s="489"/>
      <c r="S478" s="489"/>
      <c r="T478" s="489"/>
      <c r="U478" s="489"/>
      <c r="V478" s="576" t="s">
        <v>20</v>
      </c>
      <c r="W478" s="740"/>
      <c r="X478" s="740"/>
      <c r="Y478" s="740"/>
      <c r="Z478" s="741">
        <v>0</v>
      </c>
      <c r="AA478" s="740"/>
      <c r="AB478" s="740"/>
      <c r="AC478" s="741"/>
      <c r="AD478" s="749"/>
      <c r="AE478" s="748"/>
      <c r="AF478" s="741">
        <v>0</v>
      </c>
      <c r="AG478" s="742"/>
      <c r="AH478" s="743">
        <v>0</v>
      </c>
      <c r="AI478" s="744">
        <v>0</v>
      </c>
      <c r="AJ478" s="749"/>
      <c r="AK478" s="740"/>
      <c r="AL478" s="741">
        <v>0</v>
      </c>
      <c r="AM478" s="799"/>
      <c r="AN478" s="743">
        <v>0</v>
      </c>
      <c r="AO478" s="751">
        <v>0</v>
      </c>
      <c r="AP478" s="489"/>
      <c r="AQ478" s="489"/>
      <c r="AR478" s="489"/>
      <c r="AS478" s="489"/>
      <c r="AT478" s="489"/>
      <c r="AU478" s="489"/>
      <c r="AV478" s="489"/>
      <c r="AW478" s="489"/>
      <c r="AX478" s="489"/>
      <c r="AY478" s="489"/>
      <c r="AZ478" s="489"/>
      <c r="BA478" s="489"/>
      <c r="BB478" s="489"/>
      <c r="BC478" s="489"/>
      <c r="BD478" s="489"/>
      <c r="BE478" s="489"/>
      <c r="BF478" s="489"/>
      <c r="BG478" s="489"/>
      <c r="BH478" s="489"/>
      <c r="BI478" s="489"/>
      <c r="BJ478" s="489"/>
    </row>
    <row r="479" spans="1:62" ht="15.75" hidden="1" customHeight="1">
      <c r="A479" s="477" t="s">
        <v>20</v>
      </c>
      <c r="B479" s="486"/>
      <c r="C479" s="714" t="s">
        <v>227</v>
      </c>
      <c r="D479" s="489"/>
      <c r="E479" s="489"/>
      <c r="F479" s="489"/>
      <c r="G479" s="489"/>
      <c r="H479" s="489"/>
      <c r="I479" s="489"/>
      <c r="J479" s="489"/>
      <c r="K479" s="489"/>
      <c r="L479" s="489"/>
      <c r="M479" s="489"/>
      <c r="N479" s="489"/>
      <c r="O479" s="489"/>
      <c r="P479" s="489"/>
      <c r="Q479" s="489"/>
      <c r="R479" s="489"/>
      <c r="S479" s="489"/>
      <c r="T479" s="489"/>
      <c r="U479" s="489"/>
      <c r="V479" s="576" t="s">
        <v>20</v>
      </c>
      <c r="W479" s="740"/>
      <c r="X479" s="740"/>
      <c r="Y479" s="740"/>
      <c r="Z479" s="741">
        <v>0</v>
      </c>
      <c r="AA479" s="740"/>
      <c r="AB479" s="740"/>
      <c r="AC479" s="741"/>
      <c r="AD479" s="749"/>
      <c r="AE479" s="748"/>
      <c r="AF479" s="741">
        <v>0</v>
      </c>
      <c r="AG479" s="742"/>
      <c r="AH479" s="743">
        <v>0</v>
      </c>
      <c r="AI479" s="744">
        <v>0</v>
      </c>
      <c r="AJ479" s="749"/>
      <c r="AK479" s="740"/>
      <c r="AL479" s="741">
        <v>0</v>
      </c>
      <c r="AM479" s="799"/>
      <c r="AN479" s="743">
        <v>0</v>
      </c>
      <c r="AO479" s="751">
        <v>0</v>
      </c>
      <c r="AP479" s="489"/>
      <c r="AQ479" s="489"/>
      <c r="AR479" s="489"/>
      <c r="AS479" s="489"/>
      <c r="AT479" s="489"/>
      <c r="AU479" s="489"/>
      <c r="AV479" s="489"/>
      <c r="AW479" s="489"/>
      <c r="AX479" s="489"/>
      <c r="AY479" s="489"/>
      <c r="AZ479" s="489"/>
      <c r="BA479" s="489"/>
      <c r="BB479" s="489"/>
      <c r="BC479" s="489"/>
      <c r="BD479" s="489"/>
      <c r="BE479" s="489"/>
      <c r="BF479" s="489"/>
      <c r="BG479" s="489"/>
      <c r="BH479" s="489"/>
      <c r="BI479" s="489"/>
      <c r="BJ479" s="489"/>
    </row>
    <row r="480" spans="1:62" ht="15.75" customHeight="1">
      <c r="A480" s="477" t="s">
        <v>70</v>
      </c>
      <c r="B480" s="486"/>
      <c r="C480" s="714" t="s">
        <v>227</v>
      </c>
      <c r="D480" s="489"/>
      <c r="E480" s="489"/>
      <c r="F480" s="489"/>
      <c r="G480" s="489"/>
      <c r="H480" s="489"/>
      <c r="I480" s="489"/>
      <c r="J480" s="489"/>
      <c r="K480" s="489"/>
      <c r="L480" s="489"/>
      <c r="M480" s="489"/>
      <c r="N480" s="489"/>
      <c r="O480" s="489"/>
      <c r="P480" s="489"/>
      <c r="Q480" s="489"/>
      <c r="R480" s="489"/>
      <c r="S480" s="489"/>
      <c r="T480" s="489"/>
      <c r="U480" s="489"/>
      <c r="V480" s="578" t="s">
        <v>70</v>
      </c>
      <c r="W480" s="740"/>
      <c r="X480" s="740"/>
      <c r="Y480" s="740"/>
      <c r="Z480" s="741">
        <v>53087.899999999994</v>
      </c>
      <c r="AA480" s="785"/>
      <c r="AB480" s="786"/>
      <c r="AC480" s="741"/>
      <c r="AD480" s="804">
        <v>82.941883767535074</v>
      </c>
      <c r="AE480" s="785">
        <v>1.1787423103212578</v>
      </c>
      <c r="AF480" s="741">
        <v>41388</v>
      </c>
      <c r="AG480" s="801"/>
      <c r="AH480" s="743">
        <v>-11699.899999999994</v>
      </c>
      <c r="AI480" s="767">
        <v>-0.2203873198977544</v>
      </c>
      <c r="AJ480" s="802"/>
      <c r="AK480" s="785"/>
      <c r="AL480" s="803">
        <v>50928</v>
      </c>
      <c r="AM480" s="799"/>
      <c r="AN480" s="743">
        <v>-9540</v>
      </c>
      <c r="AO480" s="751">
        <v>-0.18732327992459943</v>
      </c>
      <c r="AP480" s="489"/>
      <c r="AQ480" s="489"/>
      <c r="AR480" s="489"/>
      <c r="AS480" s="489"/>
      <c r="AT480" s="489"/>
      <c r="AU480" s="489"/>
      <c r="AV480" s="489"/>
      <c r="AW480" s="489"/>
      <c r="AX480" s="489"/>
      <c r="AY480" s="489"/>
      <c r="AZ480" s="489"/>
      <c r="BA480" s="489"/>
      <c r="BB480" s="489"/>
      <c r="BC480" s="489"/>
      <c r="BD480" s="489"/>
      <c r="BE480" s="489"/>
      <c r="BF480" s="489"/>
      <c r="BG480" s="489"/>
      <c r="BH480" s="489"/>
      <c r="BI480" s="489"/>
      <c r="BJ480" s="489"/>
    </row>
    <row r="481" spans="1:62" ht="15.75" customHeight="1">
      <c r="A481" s="477" t="s">
        <v>183</v>
      </c>
      <c r="B481" s="486"/>
      <c r="C481" s="714" t="s">
        <v>227</v>
      </c>
      <c r="D481" s="489"/>
      <c r="E481" s="489"/>
      <c r="F481" s="489"/>
      <c r="G481" s="489"/>
      <c r="H481" s="489"/>
      <c r="I481" s="489"/>
      <c r="J481" s="489"/>
      <c r="K481" s="489"/>
      <c r="L481" s="489"/>
      <c r="M481" s="489"/>
      <c r="N481" s="489"/>
      <c r="O481" s="489"/>
      <c r="P481" s="489"/>
      <c r="Q481" s="489"/>
      <c r="R481" s="489"/>
      <c r="S481" s="489"/>
      <c r="T481" s="489"/>
      <c r="U481" s="489"/>
      <c r="V481" s="757" t="s">
        <v>183</v>
      </c>
      <c r="W481" s="758"/>
      <c r="X481" s="759">
        <v>0.23359128799800777</v>
      </c>
      <c r="Y481" s="781"/>
      <c r="Z481" s="760">
        <v>181247.79584664124</v>
      </c>
      <c r="AA481" s="759"/>
      <c r="AB481" s="781"/>
      <c r="AC481" s="760"/>
      <c r="AD481" s="759">
        <v>0.16322413504579547</v>
      </c>
      <c r="AE481" s="781"/>
      <c r="AF481" s="760">
        <v>116558.11</v>
      </c>
      <c r="AG481" s="782"/>
      <c r="AH481" s="763">
        <v>-64689.685846641238</v>
      </c>
      <c r="AI481" s="759">
        <v>-0.35691295193116152</v>
      </c>
      <c r="AJ481" s="805"/>
      <c r="AK481" s="806"/>
      <c r="AL481" s="760">
        <v>180001.12</v>
      </c>
      <c r="AM481" s="807"/>
      <c r="AN481" s="763">
        <v>-63443.009999999995</v>
      </c>
      <c r="AO481" s="784">
        <v>-0.35245897358860878</v>
      </c>
      <c r="AP481" s="489"/>
      <c r="AQ481" s="489"/>
      <c r="AR481" s="489"/>
      <c r="AS481" s="489"/>
      <c r="AT481" s="489"/>
      <c r="AU481" s="489"/>
      <c r="AV481" s="489"/>
      <c r="AW481" s="489"/>
      <c r="AX481" s="489"/>
      <c r="AY481" s="489"/>
      <c r="AZ481" s="489"/>
      <c r="BA481" s="489"/>
      <c r="BB481" s="489"/>
      <c r="BC481" s="489"/>
      <c r="BD481" s="489"/>
      <c r="BE481" s="489"/>
      <c r="BF481" s="489"/>
      <c r="BG481" s="489"/>
      <c r="BH481" s="489"/>
      <c r="BI481" s="489"/>
      <c r="BJ481" s="489"/>
    </row>
    <row r="482" spans="1:62" ht="6" customHeight="1" thickBot="1">
      <c r="A482" s="477" t="s">
        <v>469</v>
      </c>
      <c r="B482" s="486"/>
      <c r="C482" s="714" t="s">
        <v>227</v>
      </c>
      <c r="D482" s="489"/>
      <c r="E482" s="489"/>
      <c r="F482" s="489"/>
      <c r="G482" s="489"/>
      <c r="H482" s="489"/>
      <c r="I482" s="489"/>
      <c r="J482" s="489"/>
      <c r="K482" s="489"/>
      <c r="L482" s="489"/>
      <c r="M482" s="489"/>
      <c r="N482" s="489"/>
      <c r="O482" s="489"/>
      <c r="P482" s="489"/>
      <c r="Q482" s="489"/>
      <c r="R482" s="489"/>
      <c r="S482" s="489"/>
      <c r="T482" s="489"/>
      <c r="U482" s="489"/>
      <c r="V482" s="808"/>
      <c r="W482" s="809"/>
      <c r="X482" s="809"/>
      <c r="Y482" s="810"/>
      <c r="Z482" s="811"/>
      <c r="AA482" s="809"/>
      <c r="AB482" s="812"/>
      <c r="AC482" s="811"/>
      <c r="AD482" s="809"/>
      <c r="AE482" s="812"/>
      <c r="AF482" s="813"/>
      <c r="AG482" s="814"/>
      <c r="AH482" s="815"/>
      <c r="AI482" s="816"/>
      <c r="AJ482" s="817"/>
      <c r="AK482" s="818"/>
      <c r="AL482" s="813"/>
      <c r="AM482" s="819"/>
      <c r="AN482" s="815">
        <v>0</v>
      </c>
      <c r="AO482" s="820">
        <v>0</v>
      </c>
      <c r="AP482" s="489"/>
      <c r="AQ482" s="489"/>
      <c r="AR482" s="489"/>
      <c r="AS482" s="489"/>
      <c r="AT482" s="489"/>
      <c r="AU482" s="489"/>
      <c r="AV482" s="489"/>
      <c r="AW482" s="489"/>
      <c r="AX482" s="489"/>
      <c r="AY482" s="489"/>
      <c r="AZ482" s="489"/>
      <c r="BA482" s="489"/>
      <c r="BB482" s="489"/>
      <c r="BC482" s="489"/>
      <c r="BD482" s="489"/>
      <c r="BE482" s="489"/>
      <c r="BF482" s="489"/>
      <c r="BG482" s="489"/>
      <c r="BH482" s="489"/>
      <c r="BI482" s="489"/>
      <c r="BJ482" s="489"/>
    </row>
    <row r="483" spans="1:62" ht="15.75" customHeight="1" thickTop="1" thickBot="1">
      <c r="A483" s="477" t="s">
        <v>184</v>
      </c>
      <c r="B483" s="486"/>
      <c r="C483" s="714" t="s">
        <v>227</v>
      </c>
      <c r="D483" s="489"/>
      <c r="E483" s="489"/>
      <c r="F483" s="489"/>
      <c r="G483" s="489"/>
      <c r="H483" s="489"/>
      <c r="I483" s="489"/>
      <c r="J483" s="489"/>
      <c r="K483" s="489"/>
      <c r="L483" s="489"/>
      <c r="M483" s="489"/>
      <c r="N483" s="489"/>
      <c r="O483" s="489"/>
      <c r="P483" s="489"/>
      <c r="Q483" s="489"/>
      <c r="R483" s="489"/>
      <c r="S483" s="489"/>
      <c r="T483" s="489"/>
      <c r="U483" s="489"/>
      <c r="V483" s="821" t="s">
        <v>184</v>
      </c>
      <c r="W483" s="822"/>
      <c r="X483" s="823" t="s">
        <v>185</v>
      </c>
      <c r="Y483" s="824">
        <v>2.886105411252432E-2</v>
      </c>
      <c r="Z483" s="825">
        <v>201994.38462837489</v>
      </c>
      <c r="AA483" s="823"/>
      <c r="AB483" s="824"/>
      <c r="AC483" s="825"/>
      <c r="AD483" s="823" t="s">
        <v>185</v>
      </c>
      <c r="AE483" s="824">
        <v>5.2692014038259682E-2</v>
      </c>
      <c r="AF483" s="826">
        <v>297359.43000000017</v>
      </c>
      <c r="AG483" s="827"/>
      <c r="AH483" s="827">
        <v>95365.045371625281</v>
      </c>
      <c r="AI483" s="828">
        <v>0.4721173093354844</v>
      </c>
      <c r="AJ483" s="829" t="s">
        <v>185</v>
      </c>
      <c r="AK483" s="824">
        <v>2.0696549772625982E-2</v>
      </c>
      <c r="AL483" s="826">
        <v>133813.7399999979</v>
      </c>
      <c r="AM483" s="830"/>
      <c r="AN483" s="826">
        <v>163545.69000000227</v>
      </c>
      <c r="AO483" s="831">
        <v>1.2221890666833231</v>
      </c>
      <c r="AP483" s="489"/>
      <c r="AQ483" s="489"/>
      <c r="AR483" s="489"/>
      <c r="AS483" s="489"/>
      <c r="AT483" s="489"/>
      <c r="AU483" s="489"/>
      <c r="AV483" s="489"/>
      <c r="AW483" s="489"/>
      <c r="AX483" s="489"/>
      <c r="AY483" s="489"/>
      <c r="AZ483" s="489"/>
      <c r="BA483" s="489"/>
      <c r="BB483" s="489"/>
      <c r="BC483" s="489"/>
      <c r="BD483" s="489"/>
      <c r="BE483" s="489"/>
      <c r="BF483" s="489"/>
      <c r="BG483" s="489"/>
      <c r="BH483" s="489"/>
      <c r="BI483" s="489"/>
      <c r="BJ483" s="489"/>
    </row>
    <row r="484" spans="1:62" ht="8.25" customHeight="1" thickTop="1">
      <c r="A484" s="477" t="s">
        <v>469</v>
      </c>
      <c r="B484" s="486"/>
      <c r="C484" s="714" t="s">
        <v>227</v>
      </c>
      <c r="D484" s="489"/>
      <c r="E484" s="489"/>
      <c r="F484" s="489"/>
      <c r="G484" s="489"/>
      <c r="H484" s="489"/>
      <c r="I484" s="489"/>
      <c r="J484" s="489"/>
      <c r="K484" s="489"/>
      <c r="L484" s="489"/>
      <c r="M484" s="489"/>
      <c r="N484" s="489"/>
      <c r="O484" s="489"/>
      <c r="P484" s="489"/>
      <c r="Q484" s="489"/>
      <c r="R484" s="489"/>
      <c r="S484" s="489"/>
      <c r="T484" s="489"/>
      <c r="U484" s="489"/>
      <c r="V484" s="478"/>
      <c r="W484" s="478"/>
      <c r="X484" s="478"/>
      <c r="Y484" s="478"/>
      <c r="Z484" s="550"/>
      <c r="AA484" s="492"/>
      <c r="AB484" s="492"/>
      <c r="AC484" s="550"/>
      <c r="AD484" s="492"/>
      <c r="AE484" s="492"/>
      <c r="AF484" s="832"/>
      <c r="AG484" s="492"/>
      <c r="AH484" s="492"/>
      <c r="AI484" s="492"/>
      <c r="AJ484" s="492"/>
      <c r="AK484" s="492"/>
      <c r="AL484" s="550"/>
      <c r="AM484" s="492"/>
      <c r="AN484" s="492"/>
      <c r="AO484" s="492"/>
      <c r="AP484" s="489"/>
      <c r="AQ484" s="489"/>
      <c r="AR484" s="489"/>
      <c r="AS484" s="489"/>
      <c r="AT484" s="489"/>
      <c r="AU484" s="489"/>
      <c r="AV484" s="489"/>
      <c r="AW484" s="489"/>
      <c r="AX484" s="489"/>
      <c r="AY484" s="489"/>
      <c r="AZ484" s="489"/>
      <c r="BA484" s="489"/>
      <c r="BB484" s="489"/>
      <c r="BC484" s="489"/>
      <c r="BD484" s="489"/>
      <c r="BE484" s="489"/>
      <c r="BF484" s="489"/>
      <c r="BG484" s="489"/>
      <c r="BH484" s="489"/>
      <c r="BI484" s="489"/>
      <c r="BJ484" s="489"/>
    </row>
    <row r="485" spans="1:62" ht="18" customHeight="1">
      <c r="A485" s="477" t="s">
        <v>478</v>
      </c>
      <c r="B485" s="486"/>
      <c r="C485" s="714" t="s">
        <v>227</v>
      </c>
      <c r="D485" s="489"/>
      <c r="E485" s="489"/>
      <c r="F485" s="489"/>
      <c r="G485" s="489"/>
      <c r="H485" s="489"/>
      <c r="I485" s="489"/>
      <c r="J485" s="489"/>
      <c r="K485" s="489"/>
      <c r="L485" s="489"/>
      <c r="M485" s="489"/>
      <c r="N485" s="489"/>
      <c r="O485" s="489"/>
      <c r="P485" s="489"/>
      <c r="Q485" s="489"/>
      <c r="R485" s="489"/>
      <c r="S485" s="489"/>
      <c r="T485" s="489"/>
      <c r="U485" s="489"/>
      <c r="V485" s="833" t="s">
        <v>478</v>
      </c>
      <c r="W485" s="833"/>
      <c r="X485" s="833"/>
      <c r="Y485" s="833"/>
      <c r="Z485" s="833"/>
      <c r="AA485" s="833"/>
      <c r="AB485" s="833"/>
      <c r="AC485" s="833"/>
      <c r="AD485" s="833"/>
      <c r="AE485" s="834" t="s">
        <v>186</v>
      </c>
      <c r="AF485" s="833"/>
      <c r="AG485" s="833"/>
      <c r="AH485" s="833"/>
      <c r="AI485" s="833"/>
      <c r="AJ485" s="835"/>
      <c r="AK485" s="836"/>
      <c r="AL485" s="833"/>
      <c r="AM485" s="833"/>
      <c r="AN485" s="833"/>
      <c r="AO485" s="837" t="s">
        <v>481</v>
      </c>
      <c r="AP485" s="489"/>
      <c r="AQ485" s="489"/>
      <c r="AR485" s="489"/>
      <c r="AS485" s="489"/>
      <c r="AT485" s="489"/>
      <c r="AU485" s="489"/>
      <c r="AV485" s="489"/>
      <c r="AW485" s="489"/>
      <c r="AX485" s="489"/>
      <c r="AY485" s="489"/>
      <c r="AZ485" s="489"/>
      <c r="BA485" s="489"/>
      <c r="BB485" s="489"/>
      <c r="BC485" s="489"/>
      <c r="BD485" s="489"/>
      <c r="BE485" s="489"/>
      <c r="BF485" s="489"/>
      <c r="BG485" s="489"/>
      <c r="BH485" s="489"/>
      <c r="BI485" s="489"/>
      <c r="BJ485" s="489"/>
    </row>
    <row r="486" spans="1:62" ht="19.5" customHeight="1">
      <c r="A486" s="477" t="s">
        <v>469</v>
      </c>
      <c r="B486" s="486"/>
      <c r="C486" s="714" t="s">
        <v>227</v>
      </c>
      <c r="D486" s="489"/>
      <c r="E486" s="489"/>
      <c r="F486" s="489"/>
      <c r="G486" s="489"/>
      <c r="H486" s="489"/>
      <c r="I486" s="489"/>
      <c r="J486" s="489"/>
      <c r="K486" s="489"/>
      <c r="L486" s="489"/>
      <c r="M486" s="489"/>
      <c r="N486" s="489"/>
      <c r="O486" s="489"/>
      <c r="P486" s="489"/>
      <c r="Q486" s="489"/>
      <c r="R486" s="489"/>
      <c r="S486" s="489"/>
      <c r="T486" s="489"/>
      <c r="U486" s="489"/>
      <c r="V486" s="478"/>
      <c r="W486" s="478"/>
      <c r="X486" s="478"/>
      <c r="Y486" s="478"/>
      <c r="Z486" s="550"/>
      <c r="AA486" s="492"/>
      <c r="AB486" s="492"/>
      <c r="AC486" s="550"/>
      <c r="AD486" s="492"/>
      <c r="AE486" s="492"/>
      <c r="AF486" s="832"/>
      <c r="AG486" s="492"/>
      <c r="AH486" s="492"/>
      <c r="AI486" s="492"/>
      <c r="AJ486" s="492"/>
      <c r="AK486" s="492"/>
      <c r="AL486" s="550"/>
      <c r="AM486" s="492"/>
      <c r="AN486" s="492"/>
      <c r="AO486" s="492"/>
      <c r="AP486" s="489"/>
      <c r="AQ486" s="489"/>
      <c r="AR486" s="489"/>
      <c r="AS486" s="489"/>
      <c r="AT486" s="489"/>
      <c r="AU486" s="489"/>
      <c r="AV486" s="489"/>
      <c r="AW486" s="489"/>
      <c r="AX486" s="489"/>
      <c r="AY486" s="489"/>
      <c r="AZ486" s="489"/>
      <c r="BA486" s="489"/>
      <c r="BB486" s="489"/>
      <c r="BC486" s="489"/>
      <c r="BD486" s="489"/>
      <c r="BE486" s="489"/>
      <c r="BF486" s="489"/>
      <c r="BG486" s="489"/>
      <c r="BH486" s="489"/>
      <c r="BI486" s="489"/>
      <c r="BJ486" s="489"/>
    </row>
    <row r="487" spans="1:62" ht="19.5" customHeight="1" thickBot="1">
      <c r="A487" s="477" t="s">
        <v>469</v>
      </c>
      <c r="B487" s="486"/>
      <c r="C487" s="714" t="s">
        <v>227</v>
      </c>
      <c r="D487" s="489"/>
      <c r="E487" s="489"/>
      <c r="F487" s="489"/>
      <c r="G487" s="489"/>
      <c r="H487" s="489"/>
      <c r="I487" s="489"/>
      <c r="J487" s="489"/>
      <c r="K487" s="489"/>
      <c r="L487" s="489"/>
      <c r="M487" s="489"/>
      <c r="N487" s="489"/>
      <c r="O487" s="489"/>
      <c r="P487" s="489"/>
      <c r="Q487" s="489"/>
      <c r="R487" s="489"/>
      <c r="S487" s="489"/>
      <c r="T487" s="489"/>
      <c r="U487" s="489"/>
      <c r="V487" s="478"/>
      <c r="W487" s="478"/>
      <c r="X487" s="478"/>
      <c r="Y487" s="478"/>
      <c r="Z487" s="550"/>
      <c r="AA487" s="492"/>
      <c r="AB487" s="492"/>
      <c r="AC487" s="550"/>
      <c r="AD487" s="492"/>
      <c r="AE487" s="492"/>
      <c r="AF487" s="832"/>
      <c r="AG487" s="492"/>
      <c r="AH487" s="492"/>
      <c r="AI487" s="492"/>
      <c r="AJ487" s="492"/>
      <c r="AK487" s="492"/>
      <c r="AL487" s="550"/>
      <c r="AM487" s="492"/>
      <c r="AN487" s="492"/>
      <c r="AO487" s="492"/>
      <c r="AP487" s="489"/>
      <c r="AQ487" s="489"/>
      <c r="AR487" s="489"/>
      <c r="AS487" s="489"/>
      <c r="AT487" s="489"/>
      <c r="AU487" s="489"/>
      <c r="AV487" s="489"/>
      <c r="AW487" s="489"/>
      <c r="AX487" s="489"/>
      <c r="AY487" s="489"/>
      <c r="AZ487" s="489"/>
      <c r="BA487" s="489"/>
      <c r="BB487" s="489"/>
      <c r="BC487" s="489"/>
      <c r="BD487" s="489"/>
      <c r="BE487" s="489"/>
      <c r="BF487" s="489"/>
      <c r="BG487" s="489"/>
      <c r="BH487" s="489"/>
      <c r="BI487" s="489"/>
      <c r="BJ487" s="489"/>
    </row>
    <row r="488" spans="1:62" ht="19.5" customHeight="1" thickTop="1" thickBot="1">
      <c r="A488" s="477" t="s">
        <v>469</v>
      </c>
      <c r="B488" s="486"/>
      <c r="C488" s="714" t="s">
        <v>227</v>
      </c>
      <c r="D488" s="489"/>
      <c r="E488" s="489"/>
      <c r="F488" s="489"/>
      <c r="G488" s="489"/>
      <c r="H488" s="489"/>
      <c r="I488" s="489"/>
      <c r="J488" s="489"/>
      <c r="K488" s="489"/>
      <c r="L488" s="489"/>
      <c r="M488" s="489"/>
      <c r="N488" s="489"/>
      <c r="O488" s="489"/>
      <c r="P488" s="489"/>
      <c r="Q488" s="489"/>
      <c r="R488" s="489"/>
      <c r="S488" s="489"/>
      <c r="T488" s="489"/>
      <c r="U488" s="489"/>
      <c r="V488" s="821" t="s">
        <v>215</v>
      </c>
      <c r="W488" s="822"/>
      <c r="X488" s="823" t="s">
        <v>185</v>
      </c>
      <c r="Y488" s="824">
        <v>3.4989646927111338E-2</v>
      </c>
      <c r="Z488" s="826">
        <v>244887.52808023436</v>
      </c>
      <c r="AA488" s="823"/>
      <c r="AB488" s="824"/>
      <c r="AC488" s="825"/>
      <c r="AD488" s="823" t="s">
        <v>185</v>
      </c>
      <c r="AE488" s="824">
        <v>5.7302600684405673E-2</v>
      </c>
      <c r="AF488" s="826">
        <v>323378.58000000019</v>
      </c>
      <c r="AG488" s="827"/>
      <c r="AH488" s="827">
        <v>78491.051919765829</v>
      </c>
      <c r="AI488" s="828">
        <v>0.32051878074431461</v>
      </c>
      <c r="AJ488" s="823" t="s">
        <v>185</v>
      </c>
      <c r="AK488" s="824">
        <v>2.6381512384250256E-2</v>
      </c>
      <c r="AL488" s="826">
        <v>170569.91999999789</v>
      </c>
      <c r="AM488" s="830"/>
      <c r="AN488" s="826">
        <v>152808.6600000023</v>
      </c>
      <c r="AO488" s="838">
        <v>0.89587108911116442</v>
      </c>
      <c r="AP488" s="489"/>
      <c r="AQ488" s="489"/>
      <c r="AR488" s="489"/>
      <c r="AS488" s="489"/>
      <c r="AT488" s="489"/>
      <c r="AU488" s="489"/>
      <c r="AV488" s="489"/>
      <c r="AW488" s="489"/>
      <c r="AX488" s="489"/>
      <c r="AY488" s="489"/>
      <c r="AZ488" s="489"/>
      <c r="BA488" s="489"/>
      <c r="BB488" s="489"/>
      <c r="BC488" s="489"/>
      <c r="BD488" s="489"/>
      <c r="BE488" s="489"/>
      <c r="BF488" s="489"/>
      <c r="BG488" s="489"/>
      <c r="BH488" s="489"/>
      <c r="BI488" s="489"/>
      <c r="BJ488" s="489"/>
    </row>
    <row r="489" spans="1:62" ht="19.5" thickTop="1" thickBot="1">
      <c r="A489" s="477" t="s">
        <v>184</v>
      </c>
      <c r="B489" s="486"/>
      <c r="C489" s="714" t="s">
        <v>227</v>
      </c>
      <c r="D489" s="489"/>
      <c r="E489" s="489"/>
      <c r="F489" s="489"/>
      <c r="G489" s="489"/>
      <c r="H489" s="489"/>
      <c r="I489" s="489"/>
      <c r="J489" s="489"/>
      <c r="K489" s="489"/>
      <c r="L489" s="489"/>
      <c r="M489" s="489"/>
      <c r="N489" s="489"/>
      <c r="O489" s="489"/>
      <c r="P489" s="489"/>
      <c r="Q489" s="489"/>
      <c r="R489" s="489"/>
      <c r="S489" s="489"/>
      <c r="T489" s="489"/>
      <c r="U489" s="489"/>
      <c r="V489" s="821" t="s">
        <v>184</v>
      </c>
      <c r="W489" s="822"/>
      <c r="X489" s="823" t="s">
        <v>185</v>
      </c>
      <c r="Y489" s="824">
        <v>2.886105411252432E-2</v>
      </c>
      <c r="Z489" s="825">
        <v>201994.38462837489</v>
      </c>
      <c r="AA489" s="823"/>
      <c r="AB489" s="824"/>
      <c r="AC489" s="825"/>
      <c r="AD489" s="823" t="s">
        <v>185</v>
      </c>
      <c r="AE489" s="824">
        <v>5.2692014038259682E-2</v>
      </c>
      <c r="AF489" s="825">
        <v>297359.43000000017</v>
      </c>
      <c r="AG489" s="826"/>
      <c r="AH489" s="827">
        <v>95365.045371625281</v>
      </c>
      <c r="AI489" s="828">
        <v>0.4721173093354844</v>
      </c>
      <c r="AJ489" s="823" t="s">
        <v>185</v>
      </c>
      <c r="AK489" s="824">
        <v>2.0696549772625982E-2</v>
      </c>
      <c r="AL489" s="839">
        <v>133813.7399999979</v>
      </c>
      <c r="AM489" s="840"/>
      <c r="AN489" s="841">
        <v>163545.69000000227</v>
      </c>
      <c r="AO489" s="842">
        <v>1.2221890666833231</v>
      </c>
      <c r="AP489" s="489"/>
      <c r="AQ489" s="489"/>
      <c r="AR489" s="489"/>
      <c r="AS489" s="489"/>
      <c r="AT489" s="489"/>
      <c r="AU489" s="489"/>
      <c r="AV489" s="489"/>
      <c r="AW489" s="489"/>
      <c r="AX489" s="489"/>
      <c r="AY489" s="489"/>
      <c r="AZ489" s="489"/>
      <c r="BA489" s="489"/>
      <c r="BB489" s="489"/>
      <c r="BC489" s="489"/>
      <c r="BD489" s="489"/>
      <c r="BE489" s="489"/>
      <c r="BF489" s="489"/>
      <c r="BG489" s="489"/>
      <c r="BH489" s="489"/>
      <c r="BI489" s="489"/>
      <c r="BJ489" s="489"/>
    </row>
    <row r="490" spans="1:62" ht="15.75" customHeight="1" thickTop="1">
      <c r="A490" s="477" t="s">
        <v>469</v>
      </c>
      <c r="B490" s="486"/>
      <c r="C490" s="714" t="s">
        <v>227</v>
      </c>
      <c r="D490" s="489"/>
      <c r="E490" s="489"/>
      <c r="F490" s="632"/>
      <c r="G490" s="489"/>
      <c r="H490" s="489"/>
      <c r="I490" s="632"/>
      <c r="J490" s="489"/>
      <c r="K490" s="489"/>
      <c r="L490" s="489"/>
      <c r="M490" s="632"/>
      <c r="N490" s="489"/>
      <c r="O490" s="489"/>
      <c r="P490" s="489"/>
      <c r="Q490" s="632"/>
      <c r="R490" s="632"/>
      <c r="S490" s="632"/>
      <c r="T490" s="788"/>
      <c r="U490" s="788"/>
      <c r="V490" s="843"/>
      <c r="W490" s="489"/>
      <c r="X490" s="489"/>
      <c r="Y490" s="489"/>
      <c r="Z490" s="844"/>
      <c r="AA490" s="489"/>
      <c r="AB490" s="489"/>
      <c r="AC490" s="845"/>
      <c r="AD490" s="489"/>
      <c r="AE490" s="489"/>
      <c r="AF490" s="845"/>
      <c r="AG490" s="489"/>
      <c r="AH490" s="489"/>
      <c r="AI490" s="845"/>
      <c r="AJ490" s="489"/>
      <c r="AK490" s="489"/>
      <c r="AL490" s="846"/>
      <c r="AM490" s="847"/>
      <c r="AN490" s="489"/>
      <c r="AO490" s="848"/>
      <c r="AP490" s="489"/>
      <c r="AQ490" s="489"/>
      <c r="AR490" s="489"/>
      <c r="AS490" s="489"/>
      <c r="AT490" s="489"/>
      <c r="AU490" s="489"/>
      <c r="AV490" s="489"/>
      <c r="AW490" s="489"/>
      <c r="AX490" s="489"/>
      <c r="AY490" s="489"/>
      <c r="AZ490" s="489"/>
      <c r="BA490" s="489"/>
      <c r="BB490" s="489"/>
      <c r="BC490" s="489"/>
      <c r="BD490" s="489"/>
      <c r="BE490" s="489"/>
      <c r="BF490" s="489"/>
      <c r="BG490" s="489"/>
      <c r="BH490" s="489"/>
      <c r="BI490" s="489"/>
      <c r="BJ490" s="489"/>
    </row>
    <row r="491" spans="1:62" ht="15.75" customHeight="1">
      <c r="A491" s="477" t="s">
        <v>187</v>
      </c>
      <c r="B491" s="486"/>
      <c r="C491" s="714" t="s">
        <v>227</v>
      </c>
      <c r="D491" s="489"/>
      <c r="E491" s="489"/>
      <c r="F491" s="489"/>
      <c r="G491" s="489"/>
      <c r="H491" s="489"/>
      <c r="I491" s="489"/>
      <c r="J491" s="489"/>
      <c r="K491" s="489"/>
      <c r="L491" s="489"/>
      <c r="M491" s="489"/>
      <c r="N491" s="489"/>
      <c r="O491" s="489"/>
      <c r="P491" s="489"/>
      <c r="Q491" s="489"/>
      <c r="R491" s="489"/>
      <c r="S491" s="489"/>
      <c r="T491" s="489"/>
      <c r="U491" s="489"/>
      <c r="V491" s="576" t="s">
        <v>187</v>
      </c>
      <c r="W491" s="747"/>
      <c r="X491" s="740"/>
      <c r="Y491" s="748"/>
      <c r="Z491" s="741">
        <v>43648</v>
      </c>
      <c r="AA491" s="740"/>
      <c r="AB491" s="748"/>
      <c r="AC491" s="741"/>
      <c r="AD491" s="740"/>
      <c r="AE491" s="748"/>
      <c r="AF491" s="741">
        <v>42648</v>
      </c>
      <c r="AG491" s="740"/>
      <c r="AH491" s="743">
        <v>-1000</v>
      </c>
      <c r="AI491" s="767">
        <v>-2.2910557184750734E-2</v>
      </c>
      <c r="AJ491" s="740"/>
      <c r="AK491" s="740"/>
      <c r="AL491" s="741">
        <v>34648</v>
      </c>
      <c r="AM491" s="745"/>
      <c r="AN491" s="743">
        <v>8000</v>
      </c>
      <c r="AO491" s="751">
        <v>0.23089355806972986</v>
      </c>
      <c r="AP491" s="489"/>
      <c r="AQ491" s="489"/>
      <c r="AR491" s="489"/>
      <c r="AS491" s="489"/>
      <c r="AT491" s="489"/>
      <c r="AU491" s="489"/>
      <c r="AV491" s="489"/>
      <c r="AW491" s="489"/>
      <c r="AX491" s="489"/>
      <c r="AY491" s="489"/>
      <c r="AZ491" s="489"/>
      <c r="BA491" s="489"/>
      <c r="BB491" s="489"/>
      <c r="BC491" s="489"/>
      <c r="BD491" s="489"/>
      <c r="BE491" s="489"/>
      <c r="BF491" s="489"/>
      <c r="BG491" s="489"/>
      <c r="BH491" s="489"/>
      <c r="BI491" s="489"/>
      <c r="BJ491" s="489"/>
    </row>
    <row r="492" spans="1:62" ht="15.75" customHeight="1">
      <c r="A492" s="477" t="s">
        <v>188</v>
      </c>
      <c r="B492" s="486"/>
      <c r="C492" s="714" t="s">
        <v>227</v>
      </c>
      <c r="D492" s="489"/>
      <c r="E492" s="489"/>
      <c r="F492" s="632"/>
      <c r="G492" s="489"/>
      <c r="H492" s="489"/>
      <c r="I492" s="632"/>
      <c r="J492" s="489"/>
      <c r="K492" s="489"/>
      <c r="L492" s="489"/>
      <c r="M492" s="632"/>
      <c r="N492" s="489"/>
      <c r="O492" s="489"/>
      <c r="P492" s="489"/>
      <c r="Q492" s="632"/>
      <c r="R492" s="632"/>
      <c r="S492" s="632"/>
      <c r="T492" s="489"/>
      <c r="U492" s="489"/>
      <c r="V492" s="576" t="s">
        <v>188</v>
      </c>
      <c r="W492" s="489"/>
      <c r="X492" s="489"/>
      <c r="Y492" s="489"/>
      <c r="Z492" s="741">
        <v>0</v>
      </c>
      <c r="AA492" s="489"/>
      <c r="AB492" s="489"/>
      <c r="AC492" s="741"/>
      <c r="AD492" s="489"/>
      <c r="AE492" s="492"/>
      <c r="AF492" s="741">
        <v>0</v>
      </c>
      <c r="AG492" s="489"/>
      <c r="AH492" s="743">
        <v>0</v>
      </c>
      <c r="AI492" s="767">
        <v>0</v>
      </c>
      <c r="AJ492" s="489"/>
      <c r="AK492" s="489"/>
      <c r="AL492" s="741">
        <v>0</v>
      </c>
      <c r="AM492" s="847"/>
      <c r="AN492" s="743">
        <v>0</v>
      </c>
      <c r="AO492" s="751">
        <v>0</v>
      </c>
      <c r="AP492" s="489"/>
      <c r="AQ492" s="489"/>
      <c r="AR492" s="489"/>
      <c r="AS492" s="489"/>
      <c r="AT492" s="489"/>
      <c r="AU492" s="489"/>
      <c r="AV492" s="489"/>
      <c r="AW492" s="489"/>
      <c r="AX492" s="489"/>
      <c r="AY492" s="489"/>
      <c r="AZ492" s="489"/>
      <c r="BA492" s="489"/>
      <c r="BB492" s="489"/>
      <c r="BC492" s="489"/>
      <c r="BD492" s="489"/>
      <c r="BE492" s="489"/>
      <c r="BF492" s="489"/>
      <c r="BG492" s="489"/>
      <c r="BH492" s="489"/>
      <c r="BI492" s="489"/>
      <c r="BJ492" s="489"/>
    </row>
    <row r="493" spans="1:62" ht="15.75" customHeight="1">
      <c r="A493" s="477" t="s">
        <v>189</v>
      </c>
      <c r="B493" s="486"/>
      <c r="C493" s="714" t="s">
        <v>227</v>
      </c>
      <c r="D493" s="489"/>
      <c r="E493" s="489"/>
      <c r="F493" s="632"/>
      <c r="G493" s="489"/>
      <c r="H493" s="489"/>
      <c r="I493" s="632"/>
      <c r="J493" s="489"/>
      <c r="K493" s="489"/>
      <c r="L493" s="489"/>
      <c r="M493" s="632"/>
      <c r="N493" s="489"/>
      <c r="O493" s="489"/>
      <c r="P493" s="489"/>
      <c r="Q493" s="632"/>
      <c r="R493" s="632"/>
      <c r="S493" s="632"/>
      <c r="T493" s="489"/>
      <c r="U493" s="489"/>
      <c r="V493" s="576" t="s">
        <v>189</v>
      </c>
      <c r="W493" s="492"/>
      <c r="X493" s="492"/>
      <c r="Y493" s="492"/>
      <c r="Z493" s="741">
        <v>0</v>
      </c>
      <c r="AA493" s="489"/>
      <c r="AB493" s="489"/>
      <c r="AC493" s="741"/>
      <c r="AD493" s="489"/>
      <c r="AE493" s="492"/>
      <c r="AF493" s="741">
        <v>0</v>
      </c>
      <c r="AG493" s="489"/>
      <c r="AH493" s="743">
        <v>0</v>
      </c>
      <c r="AI493" s="767">
        <v>0</v>
      </c>
      <c r="AJ493" s="489"/>
      <c r="AK493" s="489"/>
      <c r="AL493" s="741">
        <v>0</v>
      </c>
      <c r="AM493" s="847"/>
      <c r="AN493" s="743">
        <v>0</v>
      </c>
      <c r="AO493" s="751">
        <v>0</v>
      </c>
      <c r="AP493" s="489"/>
      <c r="AQ493" s="489"/>
      <c r="AR493" s="489"/>
      <c r="AS493" s="489"/>
      <c r="AT493" s="489"/>
      <c r="AU493" s="489"/>
      <c r="AV493" s="489"/>
      <c r="AW493" s="489"/>
      <c r="AX493" s="489"/>
      <c r="AY493" s="489"/>
      <c r="AZ493" s="489"/>
      <c r="BA493" s="489"/>
      <c r="BB493" s="489"/>
      <c r="BC493" s="489"/>
      <c r="BD493" s="489"/>
      <c r="BE493" s="489"/>
      <c r="BF493" s="489"/>
      <c r="BG493" s="489"/>
      <c r="BH493" s="489"/>
      <c r="BI493" s="489"/>
      <c r="BJ493" s="489"/>
    </row>
    <row r="494" spans="1:62" ht="15.75" customHeight="1">
      <c r="A494" s="477" t="s">
        <v>190</v>
      </c>
      <c r="B494" s="486"/>
      <c r="C494" s="714" t="s">
        <v>227</v>
      </c>
      <c r="D494" s="489"/>
      <c r="E494" s="489"/>
      <c r="F494" s="632"/>
      <c r="G494" s="489"/>
      <c r="H494" s="489"/>
      <c r="I494" s="632"/>
      <c r="J494" s="489"/>
      <c r="K494" s="489"/>
      <c r="L494" s="489"/>
      <c r="M494" s="632"/>
      <c r="N494" s="489"/>
      <c r="O494" s="489"/>
      <c r="P494" s="489"/>
      <c r="Q494" s="632"/>
      <c r="R494" s="632"/>
      <c r="S494" s="632"/>
      <c r="T494" s="489"/>
      <c r="U494" s="489"/>
      <c r="V494" s="576" t="s">
        <v>190</v>
      </c>
      <c r="W494" s="492"/>
      <c r="X494" s="492"/>
      <c r="Y494" s="492"/>
      <c r="Z494" s="741">
        <v>0</v>
      </c>
      <c r="AA494" s="489"/>
      <c r="AB494" s="489"/>
      <c r="AC494" s="741"/>
      <c r="AD494" s="489"/>
      <c r="AE494" s="492"/>
      <c r="AF494" s="741">
        <v>0</v>
      </c>
      <c r="AG494" s="489"/>
      <c r="AH494" s="743">
        <v>0</v>
      </c>
      <c r="AI494" s="767">
        <v>0</v>
      </c>
      <c r="AJ494" s="489"/>
      <c r="AK494" s="489"/>
      <c r="AL494" s="741">
        <v>0</v>
      </c>
      <c r="AM494" s="847"/>
      <c r="AN494" s="743">
        <v>0</v>
      </c>
      <c r="AO494" s="751">
        <v>0</v>
      </c>
      <c r="AP494" s="489"/>
      <c r="AQ494" s="489"/>
      <c r="AR494" s="489"/>
      <c r="AS494" s="489"/>
      <c r="AT494" s="489"/>
      <c r="AU494" s="489"/>
      <c r="AV494" s="489"/>
      <c r="AW494" s="489"/>
      <c r="AX494" s="489"/>
      <c r="AY494" s="489"/>
      <c r="AZ494" s="489"/>
      <c r="BA494" s="489"/>
      <c r="BB494" s="489"/>
      <c r="BC494" s="489"/>
      <c r="BD494" s="489"/>
      <c r="BE494" s="489"/>
      <c r="BF494" s="489"/>
      <c r="BG494" s="489"/>
      <c r="BH494" s="489"/>
      <c r="BI494" s="489"/>
      <c r="BJ494" s="489"/>
    </row>
    <row r="495" spans="1:62" ht="15.75" customHeight="1">
      <c r="A495" s="477" t="s">
        <v>20</v>
      </c>
      <c r="B495" s="486"/>
      <c r="C495" s="714" t="s">
        <v>227</v>
      </c>
      <c r="D495" s="489"/>
      <c r="E495" s="489"/>
      <c r="F495" s="632"/>
      <c r="G495" s="489"/>
      <c r="H495" s="489"/>
      <c r="I495" s="632"/>
      <c r="J495" s="489"/>
      <c r="K495" s="489"/>
      <c r="L495" s="489"/>
      <c r="M495" s="632"/>
      <c r="N495" s="489"/>
      <c r="O495" s="489"/>
      <c r="P495" s="489"/>
      <c r="Q495" s="632"/>
      <c r="R495" s="632"/>
      <c r="S495" s="632"/>
      <c r="T495" s="489"/>
      <c r="U495" s="489"/>
      <c r="V495" s="576" t="s">
        <v>20</v>
      </c>
      <c r="W495" s="492"/>
      <c r="X495" s="492"/>
      <c r="Y495" s="492"/>
      <c r="Z495" s="741">
        <v>0</v>
      </c>
      <c r="AA495" s="740"/>
      <c r="AB495" s="740"/>
      <c r="AC495" s="741"/>
      <c r="AD495" s="749"/>
      <c r="AE495" s="748"/>
      <c r="AF495" s="741">
        <v>0</v>
      </c>
      <c r="AG495" s="742"/>
      <c r="AH495" s="743">
        <v>0</v>
      </c>
      <c r="AI495" s="744">
        <v>0</v>
      </c>
      <c r="AJ495" s="749"/>
      <c r="AK495" s="740"/>
      <c r="AL495" s="849">
        <v>0</v>
      </c>
      <c r="AM495" s="847"/>
      <c r="AN495" s="743">
        <v>0</v>
      </c>
      <c r="AO495" s="751">
        <v>0</v>
      </c>
      <c r="AP495" s="489"/>
      <c r="AQ495" s="489"/>
      <c r="AR495" s="489"/>
      <c r="AS495" s="489"/>
      <c r="AT495" s="489"/>
      <c r="AU495" s="489"/>
      <c r="AV495" s="489"/>
      <c r="AW495" s="489"/>
      <c r="AX495" s="489"/>
      <c r="AY495" s="489"/>
      <c r="AZ495" s="489"/>
      <c r="BA495" s="489"/>
      <c r="BB495" s="489"/>
      <c r="BC495" s="489"/>
      <c r="BD495" s="489"/>
      <c r="BE495" s="489"/>
      <c r="BF495" s="489"/>
      <c r="BG495" s="489"/>
      <c r="BH495" s="489"/>
      <c r="BI495" s="489"/>
      <c r="BJ495" s="489"/>
    </row>
    <row r="496" spans="1:62" ht="15.75" customHeight="1">
      <c r="A496" s="576" t="s">
        <v>470</v>
      </c>
      <c r="B496" s="486"/>
      <c r="C496" s="714" t="s">
        <v>227</v>
      </c>
      <c r="D496" s="489"/>
      <c r="E496" s="489"/>
      <c r="F496" s="632"/>
      <c r="G496" s="489"/>
      <c r="H496" s="489"/>
      <c r="I496" s="632"/>
      <c r="J496" s="489"/>
      <c r="K496" s="489"/>
      <c r="L496" s="489"/>
      <c r="M496" s="632"/>
      <c r="N496" s="489"/>
      <c r="O496" s="489"/>
      <c r="P496" s="489"/>
      <c r="Q496" s="632"/>
      <c r="R496" s="632"/>
      <c r="S496" s="632"/>
      <c r="T496" s="489"/>
      <c r="U496" s="489"/>
      <c r="V496" s="576" t="s">
        <v>470</v>
      </c>
      <c r="W496" s="492"/>
      <c r="X496" s="492"/>
      <c r="Y496" s="492"/>
      <c r="Z496" s="741">
        <v>-1079.1666666666667</v>
      </c>
      <c r="AA496" s="740"/>
      <c r="AB496" s="740"/>
      <c r="AC496" s="741"/>
      <c r="AD496" s="749"/>
      <c r="AE496" s="748"/>
      <c r="AF496" s="741">
        <v>0</v>
      </c>
      <c r="AG496" s="742"/>
      <c r="AH496" s="743">
        <v>1079.1666666666667</v>
      </c>
      <c r="AI496" s="744">
        <v>-1</v>
      </c>
      <c r="AJ496" s="749"/>
      <c r="AK496" s="740"/>
      <c r="AL496" s="741">
        <v>-1789.84</v>
      </c>
      <c r="AM496" s="847"/>
      <c r="AN496" s="743">
        <v>1789.84</v>
      </c>
      <c r="AO496" s="751">
        <v>-1</v>
      </c>
      <c r="AP496" s="489"/>
      <c r="AQ496" s="489"/>
      <c r="AR496" s="489"/>
      <c r="AS496" s="489"/>
      <c r="AT496" s="489"/>
      <c r="AU496" s="489"/>
      <c r="AV496" s="489"/>
      <c r="AW496" s="489"/>
      <c r="AX496" s="489"/>
      <c r="AY496" s="489"/>
      <c r="AZ496" s="489"/>
      <c r="BA496" s="489"/>
      <c r="BB496" s="489"/>
      <c r="BC496" s="489"/>
      <c r="BD496" s="489"/>
      <c r="BE496" s="489"/>
      <c r="BF496" s="489"/>
      <c r="BG496" s="489"/>
      <c r="BH496" s="489"/>
      <c r="BI496" s="489"/>
      <c r="BJ496" s="489"/>
    </row>
    <row r="497" spans="1:62" ht="15.75" customHeight="1" thickBot="1">
      <c r="A497" s="477" t="s">
        <v>20</v>
      </c>
      <c r="B497" s="486"/>
      <c r="C497" s="714" t="s">
        <v>227</v>
      </c>
      <c r="D497" s="489"/>
      <c r="E497" s="489"/>
      <c r="F497" s="632"/>
      <c r="G497" s="489"/>
      <c r="H497" s="489"/>
      <c r="I497" s="632"/>
      <c r="J497" s="489"/>
      <c r="K497" s="489"/>
      <c r="L497" s="489"/>
      <c r="M497" s="632"/>
      <c r="N497" s="489"/>
      <c r="O497" s="489"/>
      <c r="P497" s="489"/>
      <c r="Q497" s="632"/>
      <c r="R497" s="632"/>
      <c r="S497" s="632"/>
      <c r="T497" s="489"/>
      <c r="U497" s="489"/>
      <c r="V497" s="576" t="s">
        <v>20</v>
      </c>
      <c r="W497" s="492"/>
      <c r="X497" s="489"/>
      <c r="Y497" s="492"/>
      <c r="Z497" s="741">
        <v>0</v>
      </c>
      <c r="AA497" s="740"/>
      <c r="AB497" s="740"/>
      <c r="AC497" s="741"/>
      <c r="AD497" s="749"/>
      <c r="AE497" s="748"/>
      <c r="AF497" s="741">
        <v>0</v>
      </c>
      <c r="AG497" s="742"/>
      <c r="AH497" s="743">
        <v>0</v>
      </c>
      <c r="AI497" s="744">
        <v>0</v>
      </c>
      <c r="AJ497" s="749"/>
      <c r="AK497" s="740"/>
      <c r="AL497" s="741">
        <v>0</v>
      </c>
      <c r="AM497" s="847"/>
      <c r="AN497" s="743">
        <v>0</v>
      </c>
      <c r="AO497" s="751">
        <v>0</v>
      </c>
      <c r="AP497" s="489"/>
      <c r="AQ497" s="489"/>
      <c r="AR497" s="489"/>
      <c r="AS497" s="489"/>
      <c r="AT497" s="489"/>
      <c r="AU497" s="489"/>
      <c r="AV497" s="489"/>
      <c r="AW497" s="489"/>
      <c r="AX497" s="489"/>
      <c r="AY497" s="489"/>
      <c r="AZ497" s="489"/>
      <c r="BA497" s="489"/>
      <c r="BB497" s="489"/>
      <c r="BC497" s="489"/>
      <c r="BD497" s="489"/>
      <c r="BE497" s="489"/>
      <c r="BF497" s="489"/>
      <c r="BG497" s="489"/>
      <c r="BH497" s="489"/>
      <c r="BI497" s="489"/>
      <c r="BJ497" s="489"/>
    </row>
    <row r="498" spans="1:62" ht="15.75" customHeight="1" thickTop="1" thickBot="1">
      <c r="A498" s="477" t="s">
        <v>191</v>
      </c>
      <c r="B498" s="486"/>
      <c r="C498" s="714" t="s">
        <v>227</v>
      </c>
      <c r="D498" s="489"/>
      <c r="E498" s="489"/>
      <c r="F498" s="632"/>
      <c r="G498" s="489"/>
      <c r="H498" s="489"/>
      <c r="I498" s="632"/>
      <c r="J498" s="489"/>
      <c r="K498" s="489"/>
      <c r="L498" s="489"/>
      <c r="M498" s="632"/>
      <c r="N498" s="489"/>
      <c r="O498" s="489"/>
      <c r="P498" s="489"/>
      <c r="Q498" s="632"/>
      <c r="R498" s="632"/>
      <c r="S498" s="632"/>
      <c r="T498" s="489"/>
      <c r="U498" s="489"/>
      <c r="V498" s="821" t="s">
        <v>191</v>
      </c>
      <c r="W498" s="822"/>
      <c r="X498" s="823" t="s">
        <v>185</v>
      </c>
      <c r="Y498" s="824">
        <v>2.2778798882505519E-2</v>
      </c>
      <c r="Z498" s="825">
        <v>159425.55129504154</v>
      </c>
      <c r="AA498" s="823"/>
      <c r="AB498" s="824"/>
      <c r="AC498" s="825"/>
      <c r="AD498" s="823" t="s">
        <v>185</v>
      </c>
      <c r="AE498" s="824">
        <v>4.5134799475722694E-2</v>
      </c>
      <c r="AF498" s="826">
        <v>254711.43000000017</v>
      </c>
      <c r="AG498" s="827"/>
      <c r="AH498" s="827">
        <v>95285.878704958624</v>
      </c>
      <c r="AI498" s="828">
        <v>0.59768260439393073</v>
      </c>
      <c r="AJ498" s="829" t="s">
        <v>185</v>
      </c>
      <c r="AK498" s="824">
        <v>1.5614481639137458E-2</v>
      </c>
      <c r="AL498" s="826">
        <v>100955.57999999789</v>
      </c>
      <c r="AM498" s="830"/>
      <c r="AN498" s="826">
        <v>153755.85000000228</v>
      </c>
      <c r="AO498" s="838">
        <v>1.5230049691161744</v>
      </c>
      <c r="AP498" s="489"/>
      <c r="AQ498" s="489"/>
      <c r="AR498" s="489"/>
      <c r="AS498" s="489"/>
      <c r="AT498" s="489"/>
      <c r="AU498" s="489"/>
      <c r="AV498" s="489"/>
      <c r="AW498" s="489"/>
      <c r="AX498" s="489"/>
      <c r="AY498" s="489"/>
      <c r="AZ498" s="489"/>
      <c r="BA498" s="489"/>
      <c r="BB498" s="489"/>
      <c r="BC498" s="489"/>
      <c r="BD498" s="489"/>
      <c r="BE498" s="489"/>
      <c r="BF498" s="489"/>
      <c r="BG498" s="489"/>
      <c r="BH498" s="489"/>
      <c r="BI498" s="489"/>
      <c r="BJ498" s="489"/>
    </row>
    <row r="499" spans="1:62" ht="15.75" customHeight="1" thickTop="1">
      <c r="A499" s="477" t="s">
        <v>469</v>
      </c>
      <c r="B499" s="486"/>
      <c r="C499" s="489"/>
      <c r="D499" s="489"/>
      <c r="E499" s="489"/>
      <c r="F499" s="632"/>
      <c r="G499" s="489"/>
      <c r="H499" s="489"/>
      <c r="I499" s="632"/>
      <c r="J499" s="489"/>
      <c r="K499" s="489"/>
      <c r="L499" s="489"/>
      <c r="M499" s="632"/>
      <c r="N499" s="489"/>
      <c r="O499" s="489"/>
      <c r="P499" s="489"/>
      <c r="Q499" s="632"/>
      <c r="R499" s="632"/>
      <c r="S499" s="632"/>
      <c r="T499" s="489"/>
      <c r="U499" s="489"/>
      <c r="AP499" s="489"/>
      <c r="AQ499" s="489"/>
      <c r="AR499" s="489"/>
      <c r="AS499" s="489"/>
      <c r="AT499" s="489"/>
      <c r="AU499" s="489"/>
      <c r="AV499" s="489"/>
      <c r="AW499" s="489"/>
      <c r="AX499" s="489"/>
      <c r="AY499" s="489"/>
      <c r="AZ499" s="489"/>
      <c r="BA499" s="489"/>
      <c r="BB499" s="489"/>
      <c r="BC499" s="489"/>
      <c r="BD499" s="489"/>
      <c r="BE499" s="489"/>
      <c r="BF499" s="489"/>
      <c r="BG499" s="489"/>
      <c r="BH499" s="489"/>
      <c r="BI499" s="489"/>
      <c r="BJ499" s="489"/>
    </row>
    <row r="500" spans="1:62" ht="15.75" customHeight="1">
      <c r="B500" s="486"/>
      <c r="T500" s="489"/>
      <c r="U500" s="489"/>
      <c r="V500" s="489"/>
      <c r="W500" s="489"/>
      <c r="X500" s="489"/>
      <c r="Y500" s="489"/>
      <c r="Z500" s="632"/>
      <c r="AA500" s="489"/>
      <c r="AB500" s="489"/>
      <c r="AC500" s="632"/>
      <c r="AE500" s="850" t="s">
        <v>479</v>
      </c>
      <c r="AF500" s="850">
        <v>125529</v>
      </c>
      <c r="AG500" s="489"/>
      <c r="AH500" s="489"/>
      <c r="AI500" s="489"/>
      <c r="AJ500" s="851"/>
      <c r="AK500" s="852"/>
      <c r="AL500" s="853"/>
      <c r="AM500" s="489"/>
      <c r="AN500" s="489"/>
      <c r="AO500" s="489"/>
      <c r="AP500" s="489"/>
      <c r="AQ500" s="489"/>
      <c r="AR500" s="489"/>
      <c r="AS500" s="489"/>
      <c r="AT500" s="489"/>
      <c r="AU500" s="489"/>
      <c r="AV500" s="489"/>
      <c r="AW500" s="489"/>
      <c r="AX500" s="489"/>
      <c r="AY500" s="489"/>
      <c r="AZ500" s="489"/>
      <c r="BA500" s="489"/>
      <c r="BB500" s="489"/>
      <c r="BC500" s="489"/>
      <c r="BD500" s="489"/>
      <c r="BE500" s="489"/>
      <c r="BF500" s="489"/>
      <c r="BG500" s="489"/>
      <c r="BH500" s="489"/>
      <c r="BI500" s="489"/>
      <c r="BJ500" s="489"/>
    </row>
    <row r="501" spans="1:62" ht="15.75" customHeight="1">
      <c r="B501" s="486"/>
      <c r="C501" s="489"/>
      <c r="S501" s="632"/>
      <c r="W501" s="489"/>
      <c r="X501" s="489"/>
      <c r="Y501" s="489"/>
      <c r="Z501" s="632"/>
      <c r="AA501" s="489"/>
      <c r="AB501" s="489"/>
      <c r="AC501" s="632"/>
      <c r="AD501" s="489"/>
      <c r="AE501" s="489"/>
      <c r="AF501" s="850"/>
      <c r="AG501" s="489"/>
      <c r="AH501" s="489"/>
      <c r="AI501" s="489"/>
      <c r="AJ501" s="489"/>
      <c r="AL501" s="853"/>
      <c r="AM501" s="489"/>
      <c r="AN501" s="489"/>
      <c r="AO501" s="489"/>
      <c r="AP501" s="489"/>
      <c r="AQ501" s="489"/>
      <c r="AR501" s="489"/>
      <c r="AS501" s="489"/>
      <c r="AT501" s="489"/>
      <c r="AU501" s="489"/>
      <c r="AV501" s="489"/>
      <c r="AW501" s="489"/>
      <c r="AX501" s="489"/>
      <c r="AY501" s="489"/>
      <c r="AZ501" s="489"/>
      <c r="BA501" s="489"/>
      <c r="BB501" s="489"/>
      <c r="BC501" s="489"/>
      <c r="BD501" s="489"/>
      <c r="BE501" s="489"/>
      <c r="BF501" s="489"/>
      <c r="BG501" s="489"/>
      <c r="BH501" s="489"/>
      <c r="BI501" s="489"/>
      <c r="BJ501" s="489"/>
    </row>
    <row r="502" spans="1:62" ht="15.75" customHeight="1">
      <c r="B502" s="486"/>
      <c r="C502" s="740"/>
      <c r="W502" s="489"/>
      <c r="X502" s="489"/>
      <c r="Y502" s="489"/>
      <c r="AE502" s="489"/>
      <c r="AF502" s="632"/>
      <c r="AG502" s="489"/>
      <c r="AH502" s="489"/>
      <c r="AM502" s="489"/>
      <c r="AN502" s="489"/>
      <c r="AO502" s="489"/>
      <c r="AP502" s="489"/>
      <c r="AQ502" s="489"/>
      <c r="AR502" s="489"/>
      <c r="AS502" s="489"/>
      <c r="AT502" s="489"/>
      <c r="AU502" s="489"/>
      <c r="AV502" s="489"/>
      <c r="AW502" s="489"/>
      <c r="AX502" s="489"/>
      <c r="AY502" s="489"/>
      <c r="AZ502" s="489"/>
      <c r="BA502" s="489"/>
      <c r="BB502" s="489"/>
      <c r="BC502" s="489"/>
      <c r="BD502" s="489"/>
      <c r="BE502" s="489"/>
      <c r="BF502" s="489"/>
      <c r="BG502" s="489"/>
      <c r="BH502" s="489"/>
      <c r="BI502" s="489"/>
      <c r="BJ502" s="489"/>
    </row>
    <row r="503" spans="1:62" ht="15.75" customHeight="1">
      <c r="B503" s="486"/>
      <c r="C503" s="740"/>
      <c r="W503" s="489"/>
      <c r="X503" s="489"/>
      <c r="Y503" s="489"/>
      <c r="Z503" s="489"/>
      <c r="AA503" s="489"/>
      <c r="AB503" s="489"/>
      <c r="AC503" s="489"/>
      <c r="AD503" s="489"/>
      <c r="AE503" s="489"/>
      <c r="AF503" s="489"/>
      <c r="AG503" s="489"/>
      <c r="AH503" s="489"/>
      <c r="AI503" s="489"/>
      <c r="AJ503" s="854"/>
      <c r="AK503" s="852"/>
      <c r="AL503" s="853"/>
      <c r="AM503" s="489"/>
      <c r="AN503" s="489"/>
      <c r="AO503" s="489"/>
      <c r="AP503" s="489"/>
      <c r="AQ503" s="489"/>
      <c r="AR503" s="489"/>
      <c r="AS503" s="489"/>
      <c r="AT503" s="489"/>
      <c r="AU503" s="489"/>
      <c r="AV503" s="489"/>
      <c r="AW503" s="489"/>
      <c r="AX503" s="489"/>
      <c r="AY503" s="489"/>
      <c r="AZ503" s="489"/>
      <c r="BA503" s="489"/>
      <c r="BB503" s="489"/>
      <c r="BC503" s="489"/>
      <c r="BD503" s="489"/>
      <c r="BE503" s="489"/>
      <c r="BF503" s="489"/>
      <c r="BG503" s="489"/>
      <c r="BH503" s="489"/>
      <c r="BI503" s="489"/>
      <c r="BJ503" s="489"/>
    </row>
    <row r="504" spans="1:62" ht="15.75" customHeight="1">
      <c r="B504" s="486"/>
      <c r="C504" s="740"/>
      <c r="W504" s="489"/>
      <c r="X504" s="489"/>
      <c r="Y504" s="489"/>
      <c r="Z504" s="489"/>
      <c r="AA504" s="489"/>
      <c r="AB504" s="489"/>
      <c r="AC504" s="489"/>
      <c r="AD504" s="489"/>
      <c r="AE504" s="489"/>
      <c r="AF504" s="489"/>
      <c r="AG504" s="489"/>
      <c r="AH504" s="489"/>
      <c r="AI504" s="489"/>
      <c r="AJ504" s="489"/>
      <c r="AK504" s="489"/>
      <c r="AL504" s="489"/>
      <c r="AM504" s="489"/>
      <c r="AN504" s="489"/>
      <c r="AO504" s="489"/>
      <c r="AP504" s="489"/>
      <c r="AQ504" s="489"/>
      <c r="AR504" s="489"/>
      <c r="AS504" s="489"/>
      <c r="AT504" s="489"/>
      <c r="AU504" s="489"/>
      <c r="AV504" s="489"/>
      <c r="AW504" s="489"/>
      <c r="AX504" s="489"/>
      <c r="AY504" s="489"/>
      <c r="AZ504" s="489"/>
      <c r="BA504" s="489"/>
      <c r="BB504" s="489"/>
      <c r="BC504" s="489"/>
      <c r="BD504" s="489"/>
      <c r="BE504" s="489"/>
      <c r="BF504" s="489"/>
      <c r="BG504" s="489"/>
      <c r="BH504" s="489"/>
      <c r="BI504" s="489"/>
      <c r="BJ504" s="489"/>
    </row>
    <row r="505" spans="1:62" ht="15.75" customHeight="1">
      <c r="B505" s="486"/>
      <c r="C505" s="740"/>
      <c r="W505" s="489"/>
      <c r="X505" s="489"/>
      <c r="Y505" s="489"/>
      <c r="Z505" s="489"/>
      <c r="AA505" s="489"/>
      <c r="AB505" s="489"/>
      <c r="AC505" s="489"/>
      <c r="AD505" s="489"/>
      <c r="AE505" s="489"/>
      <c r="AF505" s="489"/>
      <c r="AG505" s="489"/>
      <c r="AH505" s="489"/>
      <c r="AI505" s="489"/>
      <c r="AJ505" s="489"/>
      <c r="AK505" s="489"/>
      <c r="AL505" s="489"/>
      <c r="AM505" s="489"/>
      <c r="AN505" s="489"/>
      <c r="AO505" s="489"/>
      <c r="AP505" s="489"/>
      <c r="AQ505" s="489"/>
      <c r="AR505" s="489"/>
      <c r="AS505" s="489"/>
      <c r="AT505" s="489"/>
      <c r="AU505" s="489"/>
      <c r="AV505" s="489"/>
      <c r="AW505" s="489"/>
      <c r="AX505" s="489"/>
      <c r="AY505" s="489"/>
      <c r="AZ505" s="489"/>
      <c r="BA505" s="489"/>
      <c r="BB505" s="489"/>
      <c r="BC505" s="489"/>
      <c r="BD505" s="489"/>
      <c r="BE505" s="489"/>
      <c r="BF505" s="489"/>
      <c r="BG505" s="489"/>
      <c r="BH505" s="489"/>
      <c r="BI505" s="489"/>
      <c r="BJ505" s="489"/>
    </row>
    <row r="506" spans="1:62" ht="15.75" customHeight="1">
      <c r="B506" s="486"/>
      <c r="C506" s="740"/>
      <c r="W506" s="489"/>
      <c r="X506" s="489"/>
      <c r="Y506" s="489"/>
      <c r="Z506" s="489"/>
      <c r="AA506" s="489"/>
      <c r="AB506" s="489"/>
      <c r="AC506" s="489"/>
      <c r="AD506" s="489"/>
      <c r="AE506" s="489"/>
      <c r="AF506" s="489"/>
      <c r="AG506" s="489"/>
      <c r="AH506" s="489"/>
      <c r="AI506" s="489"/>
      <c r="AJ506" s="489"/>
      <c r="AK506" s="489"/>
      <c r="AL506" s="489"/>
      <c r="AM506" s="489"/>
      <c r="AN506" s="489"/>
      <c r="AO506" s="489"/>
      <c r="AP506" s="489"/>
      <c r="AQ506" s="489"/>
      <c r="AR506" s="489"/>
      <c r="AS506" s="489"/>
      <c r="AT506" s="489"/>
      <c r="AU506" s="489"/>
      <c r="AV506" s="489"/>
      <c r="AW506" s="489"/>
      <c r="AX506" s="489"/>
      <c r="AY506" s="489"/>
      <c r="AZ506" s="489"/>
      <c r="BA506" s="489"/>
      <c r="BB506" s="489"/>
      <c r="BC506" s="489"/>
      <c r="BD506" s="489"/>
      <c r="BE506" s="489"/>
      <c r="BF506" s="489"/>
      <c r="BG506" s="489"/>
      <c r="BH506" s="489"/>
      <c r="BI506" s="489"/>
      <c r="BJ506" s="489"/>
    </row>
    <row r="507" spans="1:62" ht="15.75" customHeight="1">
      <c r="B507" s="486"/>
      <c r="C507" s="740"/>
      <c r="W507" s="489"/>
      <c r="X507" s="489"/>
      <c r="Y507" s="489"/>
      <c r="Z507" s="489"/>
      <c r="AA507" s="489"/>
      <c r="AB507" s="489"/>
      <c r="AC507" s="489"/>
      <c r="AD507" s="489"/>
      <c r="AE507" s="489"/>
      <c r="AF507" s="489"/>
      <c r="AG507" s="489"/>
      <c r="AH507" s="489"/>
      <c r="AI507" s="489"/>
      <c r="AJ507" s="489"/>
      <c r="AK507" s="489"/>
      <c r="AL507" s="489"/>
      <c r="AM507" s="489"/>
      <c r="AN507" s="489"/>
      <c r="AO507" s="489"/>
      <c r="AP507" s="489"/>
      <c r="AQ507" s="489"/>
      <c r="AR507" s="489"/>
      <c r="AS507" s="489"/>
      <c r="AT507" s="489"/>
      <c r="AU507" s="489"/>
      <c r="AV507" s="489"/>
      <c r="AW507" s="489"/>
      <c r="AX507" s="489"/>
      <c r="AY507" s="489"/>
      <c r="AZ507" s="489"/>
      <c r="BA507" s="489"/>
      <c r="BB507" s="489"/>
      <c r="BC507" s="489"/>
      <c r="BD507" s="489"/>
      <c r="BE507" s="489"/>
      <c r="BF507" s="489"/>
      <c r="BG507" s="489"/>
      <c r="BH507" s="489"/>
      <c r="BI507" s="489"/>
      <c r="BJ507" s="489"/>
    </row>
    <row r="508" spans="1:62" ht="15.75" customHeight="1">
      <c r="B508" s="486"/>
      <c r="C508" s="740"/>
      <c r="W508" s="489"/>
      <c r="X508" s="489"/>
      <c r="Y508" s="489"/>
      <c r="Z508" s="489"/>
      <c r="AA508" s="489"/>
      <c r="AB508" s="489"/>
      <c r="AC508" s="489"/>
      <c r="AD508" s="489"/>
      <c r="AE508" s="489"/>
      <c r="AF508" s="489"/>
      <c r="AG508" s="489"/>
      <c r="AH508" s="489"/>
      <c r="AI508" s="489"/>
      <c r="AJ508" s="489"/>
      <c r="AK508" s="489"/>
      <c r="AL508" s="489"/>
      <c r="AM508" s="489"/>
      <c r="AN508" s="489"/>
      <c r="AO508" s="489"/>
      <c r="AP508" s="489"/>
      <c r="AQ508" s="489"/>
      <c r="AR508" s="489"/>
      <c r="AS508" s="489"/>
      <c r="AT508" s="489"/>
      <c r="AU508" s="489"/>
      <c r="AV508" s="489"/>
      <c r="AW508" s="489"/>
      <c r="AX508" s="489"/>
      <c r="AY508" s="489"/>
      <c r="AZ508" s="489"/>
      <c r="BA508" s="489"/>
      <c r="BB508" s="489"/>
      <c r="BC508" s="489"/>
      <c r="BD508" s="489"/>
      <c r="BE508" s="489"/>
      <c r="BF508" s="489"/>
      <c r="BG508" s="489"/>
      <c r="BH508" s="489"/>
      <c r="BI508" s="489"/>
      <c r="BJ508" s="489"/>
    </row>
    <row r="509" spans="1:62" ht="15.75" customHeight="1">
      <c r="B509" s="486"/>
      <c r="C509" s="740"/>
      <c r="W509" s="489"/>
      <c r="X509" s="489"/>
      <c r="Y509" s="489"/>
      <c r="Z509" s="489"/>
      <c r="AA509" s="489"/>
      <c r="AB509" s="489"/>
      <c r="AC509" s="489"/>
      <c r="AD509" s="489"/>
      <c r="AE509" s="489"/>
      <c r="AF509" s="489"/>
      <c r="AG509" s="489"/>
      <c r="AH509" s="489"/>
      <c r="AI509" s="489"/>
      <c r="AJ509" s="489"/>
      <c r="AK509" s="489"/>
      <c r="AL509" s="489"/>
      <c r="AM509" s="489"/>
      <c r="AN509" s="489"/>
      <c r="AO509" s="489"/>
      <c r="AP509" s="489"/>
      <c r="AQ509" s="489"/>
      <c r="AR509" s="489"/>
      <c r="AS509" s="489"/>
      <c r="AT509" s="489"/>
      <c r="AU509" s="489"/>
      <c r="AV509" s="489"/>
      <c r="AW509" s="489"/>
      <c r="AX509" s="489"/>
      <c r="AY509" s="489"/>
      <c r="AZ509" s="489"/>
      <c r="BA509" s="489"/>
      <c r="BB509" s="489"/>
      <c r="BC509" s="489"/>
      <c r="BD509" s="489"/>
      <c r="BE509" s="489"/>
      <c r="BF509" s="489"/>
      <c r="BG509" s="489"/>
      <c r="BH509" s="489"/>
      <c r="BI509" s="489"/>
      <c r="BJ509" s="489"/>
    </row>
    <row r="510" spans="1:62" ht="15.75" customHeight="1">
      <c r="B510" s="486"/>
      <c r="C510" s="740"/>
      <c r="W510" s="489"/>
      <c r="X510" s="489"/>
      <c r="Y510" s="489"/>
      <c r="Z510" s="489"/>
      <c r="AA510" s="489"/>
      <c r="AB510" s="489"/>
      <c r="AC510" s="489"/>
      <c r="AD510" s="489"/>
      <c r="AE510" s="489"/>
      <c r="AF510" s="489"/>
      <c r="AG510" s="489"/>
      <c r="AH510" s="489"/>
      <c r="AI510" s="489"/>
      <c r="AJ510" s="489"/>
      <c r="AK510" s="489"/>
      <c r="AL510" s="489"/>
      <c r="AM510" s="489"/>
      <c r="AN510" s="489"/>
      <c r="AO510" s="489"/>
      <c r="AP510" s="489"/>
      <c r="AQ510" s="489"/>
      <c r="AR510" s="489"/>
      <c r="AS510" s="489"/>
      <c r="AT510" s="489"/>
      <c r="AU510" s="489"/>
      <c r="AV510" s="489"/>
      <c r="AW510" s="489"/>
      <c r="AX510" s="489"/>
      <c r="AY510" s="489"/>
      <c r="AZ510" s="489"/>
      <c r="BA510" s="489"/>
      <c r="BB510" s="489"/>
      <c r="BC510" s="489"/>
      <c r="BD510" s="489"/>
      <c r="BE510" s="489"/>
      <c r="BF510" s="489"/>
      <c r="BG510" s="489"/>
      <c r="BH510" s="489"/>
      <c r="BI510" s="489"/>
      <c r="BJ510" s="489"/>
    </row>
    <row r="511" spans="1:62" ht="15.75" customHeight="1">
      <c r="B511" s="486"/>
      <c r="C511" s="740"/>
      <c r="W511" s="489"/>
      <c r="X511" s="489"/>
      <c r="Y511" s="489"/>
      <c r="Z511" s="489"/>
      <c r="AA511" s="489"/>
      <c r="AB511" s="489"/>
      <c r="AC511" s="489"/>
      <c r="AD511" s="489"/>
      <c r="AE511" s="489"/>
      <c r="AF511" s="850"/>
      <c r="AG511" s="489"/>
      <c r="AH511" s="489"/>
      <c r="AI511" s="489"/>
      <c r="AJ511" s="489"/>
      <c r="AK511" s="489"/>
      <c r="AL511" s="489"/>
      <c r="AM511" s="489"/>
      <c r="AN511" s="489"/>
      <c r="AO511" s="489"/>
      <c r="AP511" s="489"/>
      <c r="AQ511" s="489"/>
      <c r="AR511" s="489"/>
      <c r="AS511" s="489"/>
      <c r="AT511" s="489"/>
      <c r="AU511" s="489"/>
      <c r="AV511" s="489"/>
      <c r="AW511" s="489"/>
      <c r="AX511" s="489"/>
      <c r="AY511" s="489"/>
      <c r="AZ511" s="489"/>
      <c r="BA511" s="489"/>
      <c r="BB511" s="489"/>
      <c r="BC511" s="489"/>
      <c r="BD511" s="489"/>
      <c r="BE511" s="489"/>
      <c r="BF511" s="489"/>
      <c r="BG511" s="489"/>
      <c r="BH511" s="489"/>
      <c r="BI511" s="489"/>
      <c r="BJ511" s="489"/>
    </row>
    <row r="512" spans="1:62" ht="15.75" customHeight="1">
      <c r="B512" s="486"/>
      <c r="C512" s="740"/>
      <c r="W512" s="489"/>
      <c r="X512" s="489"/>
      <c r="Y512" s="489"/>
      <c r="Z512" s="489"/>
      <c r="AA512" s="489"/>
      <c r="AB512" s="489"/>
      <c r="AC512" s="489"/>
      <c r="AD512" s="489"/>
      <c r="AE512" s="489"/>
      <c r="AF512" s="855"/>
      <c r="AG512" s="489"/>
      <c r="AH512" s="489"/>
      <c r="AI512" s="489"/>
      <c r="AJ512" s="489"/>
      <c r="AK512" s="489"/>
      <c r="AL512" s="489"/>
      <c r="AM512" s="489"/>
      <c r="AN512" s="489"/>
      <c r="AO512" s="489"/>
      <c r="AP512" s="489"/>
      <c r="AQ512" s="489"/>
      <c r="AR512" s="489"/>
      <c r="AS512" s="489"/>
      <c r="AT512" s="489"/>
      <c r="AU512" s="489"/>
      <c r="AV512" s="489"/>
      <c r="AW512" s="489"/>
      <c r="AX512" s="489"/>
      <c r="AY512" s="489"/>
      <c r="AZ512" s="489"/>
      <c r="BA512" s="489"/>
      <c r="BB512" s="489"/>
      <c r="BC512" s="489"/>
      <c r="BD512" s="489"/>
      <c r="BE512" s="489"/>
      <c r="BF512" s="489"/>
      <c r="BG512" s="489"/>
      <c r="BH512" s="489"/>
      <c r="BI512" s="489"/>
      <c r="BJ512" s="489"/>
    </row>
    <row r="513" spans="2:62" ht="15.75" customHeight="1">
      <c r="B513" s="486"/>
      <c r="C513" s="740"/>
      <c r="W513" s="489"/>
      <c r="X513" s="489"/>
      <c r="Y513" s="489"/>
      <c r="Z513" s="489"/>
      <c r="AA513" s="489"/>
      <c r="AB513" s="489"/>
      <c r="AC513" s="489"/>
      <c r="AD513" s="489"/>
      <c r="AE513" s="489"/>
      <c r="AF513" s="855"/>
      <c r="AG513" s="489"/>
      <c r="AH513" s="489"/>
      <c r="AI513" s="489"/>
      <c r="AJ513" s="489"/>
      <c r="AK513" s="489"/>
      <c r="AL513" s="489"/>
      <c r="AM513" s="489"/>
      <c r="AN513" s="489"/>
      <c r="AO513" s="489"/>
      <c r="AP513" s="489"/>
      <c r="AQ513" s="489"/>
      <c r="AR513" s="489"/>
      <c r="AS513" s="489"/>
      <c r="AT513" s="489"/>
      <c r="AU513" s="489"/>
      <c r="AV513" s="489"/>
      <c r="AW513" s="489"/>
      <c r="AX513" s="489"/>
      <c r="AY513" s="489"/>
      <c r="AZ513" s="489"/>
      <c r="BA513" s="489"/>
      <c r="BB513" s="489"/>
      <c r="BC513" s="489"/>
      <c r="BD513" s="489"/>
      <c r="BE513" s="489"/>
      <c r="BF513" s="489"/>
      <c r="BG513" s="489"/>
      <c r="BH513" s="489"/>
      <c r="BI513" s="489"/>
      <c r="BJ513" s="489"/>
    </row>
    <row r="514" spans="2:62" ht="15.75" customHeight="1">
      <c r="B514" s="486"/>
      <c r="C514" s="740"/>
      <c r="W514" s="489"/>
      <c r="X514" s="489"/>
      <c r="Y514" s="489"/>
      <c r="Z514" s="489"/>
      <c r="AA514" s="489"/>
      <c r="AB514" s="489"/>
      <c r="AC514" s="489"/>
      <c r="AD514" s="489"/>
      <c r="AE514" s="489"/>
      <c r="AF514" s="855"/>
      <c r="AG514" s="489"/>
      <c r="AH514" s="489"/>
      <c r="AI514" s="489"/>
      <c r="AJ514" s="489"/>
      <c r="AK514" s="489"/>
      <c r="AL514" s="489"/>
      <c r="AM514" s="489"/>
      <c r="AN514" s="489"/>
      <c r="AO514" s="489"/>
      <c r="AP514" s="489"/>
      <c r="AQ514" s="489"/>
      <c r="AR514" s="489"/>
      <c r="AS514" s="489"/>
      <c r="AT514" s="489"/>
      <c r="AU514" s="489"/>
      <c r="AV514" s="489"/>
      <c r="AW514" s="489"/>
      <c r="AX514" s="489"/>
      <c r="AY514" s="489"/>
      <c r="AZ514" s="489"/>
      <c r="BA514" s="489"/>
      <c r="BB514" s="489"/>
      <c r="BC514" s="489"/>
      <c r="BD514" s="489"/>
      <c r="BE514" s="489"/>
      <c r="BF514" s="489"/>
      <c r="BG514" s="489"/>
      <c r="BH514" s="489"/>
      <c r="BI514" s="489"/>
      <c r="BJ514" s="489"/>
    </row>
    <row r="515" spans="2:62" ht="15.75" customHeight="1">
      <c r="B515" s="486"/>
      <c r="C515" s="740"/>
      <c r="W515" s="489"/>
      <c r="X515" s="489"/>
      <c r="Y515" s="489"/>
      <c r="Z515" s="489"/>
      <c r="AA515" s="489"/>
      <c r="AB515" s="489"/>
      <c r="AC515" s="489"/>
      <c r="AD515" s="489"/>
      <c r="AE515" s="489"/>
      <c r="AF515" s="489"/>
      <c r="AG515" s="489"/>
      <c r="AH515" s="489"/>
      <c r="AI515" s="489"/>
      <c r="AJ515" s="489"/>
      <c r="AK515" s="489"/>
      <c r="AL515" s="489"/>
      <c r="AM515" s="489"/>
      <c r="AN515" s="489"/>
      <c r="AO515" s="489"/>
      <c r="AP515" s="489"/>
      <c r="AQ515" s="489"/>
      <c r="AR515" s="489"/>
      <c r="AS515" s="489"/>
      <c r="AT515" s="489"/>
      <c r="AU515" s="489"/>
      <c r="AV515" s="489"/>
      <c r="AW515" s="489"/>
      <c r="AX515" s="489"/>
      <c r="AY515" s="489"/>
      <c r="AZ515" s="489"/>
      <c r="BA515" s="489"/>
      <c r="BB515" s="489"/>
      <c r="BC515" s="489"/>
      <c r="BD515" s="489"/>
      <c r="BE515" s="489"/>
      <c r="BF515" s="489"/>
      <c r="BG515" s="489"/>
      <c r="BH515" s="489"/>
      <c r="BI515" s="489"/>
      <c r="BJ515" s="489"/>
    </row>
    <row r="516" spans="2:62" ht="15.75" customHeight="1">
      <c r="B516" s="486"/>
      <c r="W516" s="489"/>
      <c r="X516" s="489"/>
      <c r="Y516" s="489"/>
      <c r="Z516" s="489"/>
      <c r="AA516" s="489"/>
      <c r="AB516" s="489"/>
      <c r="AC516" s="489"/>
      <c r="AD516" s="489"/>
      <c r="AE516" s="489"/>
      <c r="AF516" s="489"/>
      <c r="AG516" s="489"/>
      <c r="AH516" s="489"/>
      <c r="AI516" s="489"/>
      <c r="AJ516" s="489"/>
      <c r="AK516" s="489"/>
      <c r="AL516" s="489"/>
      <c r="AM516" s="489"/>
      <c r="AN516" s="489"/>
      <c r="AO516" s="489"/>
      <c r="AP516" s="489"/>
      <c r="AQ516" s="489"/>
      <c r="AR516" s="489"/>
      <c r="AS516" s="489"/>
      <c r="AT516" s="489"/>
      <c r="AU516" s="489"/>
      <c r="AV516" s="489"/>
      <c r="AW516" s="489"/>
      <c r="AX516" s="489"/>
      <c r="AY516" s="489"/>
      <c r="AZ516" s="489"/>
      <c r="BA516" s="489"/>
      <c r="BB516" s="489"/>
      <c r="BC516" s="489"/>
      <c r="BD516" s="489"/>
      <c r="BE516" s="489"/>
      <c r="BF516" s="489"/>
      <c r="BG516" s="489"/>
      <c r="BH516" s="489"/>
      <c r="BI516" s="489"/>
      <c r="BJ516" s="489"/>
    </row>
    <row r="517" spans="2:62" ht="15.75" customHeight="1">
      <c r="B517" s="486"/>
      <c r="W517" s="489"/>
      <c r="X517" s="489"/>
      <c r="Y517" s="489"/>
      <c r="Z517" s="489"/>
      <c r="AA517" s="489"/>
      <c r="AB517" s="489"/>
      <c r="AC517" s="489"/>
      <c r="AD517" s="489"/>
      <c r="AE517" s="489"/>
      <c r="AF517" s="489"/>
      <c r="AG517" s="489"/>
      <c r="AH517" s="489"/>
      <c r="AI517" s="489"/>
      <c r="AJ517" s="489"/>
      <c r="AK517" s="489"/>
      <c r="AL517" s="489"/>
      <c r="AM517" s="489"/>
      <c r="AN517" s="489"/>
      <c r="AO517" s="489"/>
      <c r="AP517" s="489"/>
      <c r="AQ517" s="489"/>
      <c r="AR517" s="489"/>
      <c r="AS517" s="489"/>
      <c r="AT517" s="489"/>
      <c r="AU517" s="489"/>
      <c r="AV517" s="489"/>
      <c r="AW517" s="489"/>
      <c r="AX517" s="489"/>
      <c r="AY517" s="489"/>
      <c r="AZ517" s="489"/>
      <c r="BA517" s="489"/>
      <c r="BB517" s="489"/>
      <c r="BC517" s="489"/>
      <c r="BD517" s="489"/>
      <c r="BE517" s="489"/>
      <c r="BF517" s="489"/>
      <c r="BG517" s="489"/>
      <c r="BH517" s="489"/>
      <c r="BI517" s="489"/>
      <c r="BJ517" s="489"/>
    </row>
    <row r="518" spans="2:62" ht="15.75" customHeight="1">
      <c r="B518" s="486"/>
      <c r="W518" s="489"/>
      <c r="X518" s="489"/>
      <c r="Y518" s="489"/>
      <c r="Z518" s="489"/>
      <c r="AA518" s="489"/>
      <c r="AB518" s="489"/>
      <c r="AC518" s="489"/>
      <c r="AD518" s="489"/>
      <c r="AE518" s="489"/>
      <c r="AF518" s="489"/>
      <c r="AG518" s="489"/>
      <c r="AH518" s="489"/>
      <c r="AI518" s="489"/>
      <c r="AJ518" s="489"/>
      <c r="AK518" s="489"/>
      <c r="AL518" s="489"/>
      <c r="AM518" s="489"/>
      <c r="AN518" s="489"/>
      <c r="AO518" s="489"/>
      <c r="AP518" s="489"/>
      <c r="AQ518" s="489"/>
      <c r="AR518" s="489"/>
      <c r="AS518" s="489"/>
      <c r="AT518" s="489"/>
      <c r="AU518" s="489"/>
      <c r="AV518" s="489"/>
      <c r="AW518" s="489"/>
      <c r="AX518" s="489"/>
      <c r="AY518" s="489"/>
      <c r="AZ518" s="489"/>
      <c r="BA518" s="489"/>
      <c r="BB518" s="489"/>
      <c r="BC518" s="489"/>
      <c r="BD518" s="489"/>
      <c r="BE518" s="489"/>
      <c r="BF518" s="489"/>
      <c r="BG518" s="489"/>
      <c r="BH518" s="489"/>
      <c r="BI518" s="489"/>
      <c r="BJ518" s="489"/>
    </row>
    <row r="519" spans="2:62" ht="15.75" customHeight="1">
      <c r="B519" s="486"/>
      <c r="W519" s="489"/>
      <c r="X519" s="489"/>
      <c r="Y519" s="489"/>
      <c r="Z519" s="489"/>
      <c r="AA519" s="489"/>
      <c r="AB519" s="489"/>
      <c r="AC519" s="489"/>
      <c r="AD519" s="489"/>
      <c r="AE519" s="489"/>
      <c r="AF519" s="489"/>
      <c r="AG519" s="489"/>
      <c r="AH519" s="489"/>
      <c r="AI519" s="489"/>
      <c r="AJ519" s="489"/>
      <c r="AK519" s="489"/>
      <c r="AL519" s="489"/>
      <c r="AM519" s="489"/>
      <c r="AN519" s="489"/>
      <c r="AO519" s="489"/>
      <c r="AP519" s="489"/>
      <c r="AQ519" s="489"/>
      <c r="AR519" s="489"/>
      <c r="AS519" s="489"/>
      <c r="AT519" s="489"/>
      <c r="AU519" s="489"/>
      <c r="AV519" s="489"/>
      <c r="AW519" s="489"/>
      <c r="AX519" s="489"/>
      <c r="AY519" s="489"/>
      <c r="AZ519" s="489"/>
      <c r="BA519" s="489"/>
      <c r="BB519" s="489"/>
      <c r="BC519" s="489"/>
      <c r="BD519" s="489"/>
      <c r="BE519" s="489"/>
      <c r="BF519" s="489"/>
      <c r="BG519" s="489"/>
      <c r="BH519" s="489"/>
      <c r="BI519" s="489"/>
      <c r="BJ519" s="489"/>
    </row>
    <row r="520" spans="2:62" ht="15.75" customHeight="1">
      <c r="B520" s="486"/>
      <c r="W520" s="489"/>
      <c r="X520" s="489"/>
      <c r="Y520" s="489"/>
      <c r="Z520" s="489"/>
      <c r="AA520" s="489"/>
      <c r="AB520" s="489"/>
      <c r="AC520" s="489"/>
      <c r="AD520" s="489"/>
      <c r="AE520" s="489"/>
      <c r="AF520" s="489"/>
      <c r="AG520" s="489"/>
      <c r="AH520" s="489"/>
      <c r="AI520" s="489"/>
      <c r="AJ520" s="489"/>
      <c r="AK520" s="489"/>
      <c r="AL520" s="489"/>
      <c r="AM520" s="489"/>
      <c r="AN520" s="489"/>
      <c r="AO520" s="489"/>
      <c r="AP520" s="489"/>
      <c r="AQ520" s="489"/>
      <c r="AR520" s="489"/>
      <c r="AS520" s="489"/>
      <c r="AT520" s="489"/>
      <c r="AU520" s="489"/>
      <c r="AV520" s="489"/>
      <c r="AW520" s="489"/>
      <c r="AX520" s="489"/>
      <c r="AY520" s="489"/>
      <c r="AZ520" s="489"/>
      <c r="BA520" s="489"/>
      <c r="BB520" s="489"/>
      <c r="BC520" s="489"/>
      <c r="BD520" s="489"/>
      <c r="BE520" s="489"/>
      <c r="BF520" s="489"/>
      <c r="BG520" s="489"/>
      <c r="BH520" s="489"/>
      <c r="BI520" s="489"/>
      <c r="BJ520" s="489"/>
    </row>
    <row r="521" spans="2:62" ht="15.75" customHeight="1">
      <c r="B521" s="486"/>
      <c r="W521" s="489"/>
      <c r="X521" s="489"/>
      <c r="Y521" s="489"/>
      <c r="Z521" s="489"/>
      <c r="AA521" s="489"/>
      <c r="AB521" s="489"/>
      <c r="AC521" s="489"/>
      <c r="AD521" s="489"/>
      <c r="AE521" s="489"/>
      <c r="AF521" s="489"/>
      <c r="AG521" s="489"/>
      <c r="AH521" s="489"/>
      <c r="AI521" s="489"/>
      <c r="AJ521" s="489"/>
      <c r="AK521" s="489"/>
      <c r="AL521" s="489"/>
      <c r="AM521" s="489"/>
      <c r="AN521" s="489"/>
      <c r="AO521" s="489"/>
      <c r="AP521" s="489"/>
      <c r="AQ521" s="489"/>
      <c r="AR521" s="489"/>
      <c r="AS521" s="489"/>
      <c r="AT521" s="489"/>
      <c r="AU521" s="489"/>
      <c r="AV521" s="489"/>
      <c r="AW521" s="489"/>
      <c r="AX521" s="489"/>
      <c r="AY521" s="489"/>
      <c r="AZ521" s="489"/>
      <c r="BA521" s="489"/>
      <c r="BB521" s="489"/>
      <c r="BC521" s="489"/>
      <c r="BD521" s="489"/>
      <c r="BE521" s="489"/>
      <c r="BF521" s="489"/>
      <c r="BG521" s="489"/>
      <c r="BH521" s="489"/>
      <c r="BI521" s="489"/>
      <c r="BJ521" s="489"/>
    </row>
    <row r="522" spans="2:62" ht="15.75" customHeight="1">
      <c r="B522" s="486"/>
      <c r="W522" s="489"/>
      <c r="X522" s="489"/>
      <c r="Y522" s="489"/>
      <c r="Z522" s="489"/>
      <c r="AA522" s="489"/>
      <c r="AB522" s="489"/>
      <c r="AC522" s="489"/>
      <c r="AD522" s="489"/>
      <c r="AE522" s="489"/>
      <c r="AF522" s="489"/>
      <c r="AG522" s="489"/>
      <c r="AH522" s="489"/>
      <c r="AI522" s="489"/>
      <c r="AJ522" s="489"/>
      <c r="AK522" s="489"/>
      <c r="AL522" s="489"/>
      <c r="AM522" s="489"/>
      <c r="AN522" s="489"/>
      <c r="AO522" s="489"/>
      <c r="AP522" s="489"/>
      <c r="AQ522" s="489"/>
      <c r="AR522" s="489"/>
      <c r="AS522" s="489"/>
      <c r="AT522" s="489"/>
      <c r="AU522" s="489"/>
      <c r="AV522" s="489"/>
      <c r="AW522" s="489"/>
      <c r="AX522" s="489"/>
      <c r="AY522" s="489"/>
      <c r="AZ522" s="489"/>
      <c r="BA522" s="489"/>
      <c r="BB522" s="489"/>
      <c r="BC522" s="489"/>
      <c r="BD522" s="489"/>
      <c r="BE522" s="489"/>
      <c r="BF522" s="489"/>
      <c r="BG522" s="489"/>
      <c r="BH522" s="489"/>
      <c r="BI522" s="489"/>
      <c r="BJ522" s="489"/>
    </row>
    <row r="523" spans="2:62" ht="15.75" customHeight="1">
      <c r="B523" s="486"/>
      <c r="W523" s="489"/>
      <c r="X523" s="489"/>
      <c r="Y523" s="489"/>
      <c r="Z523" s="489"/>
      <c r="AA523" s="489"/>
      <c r="AB523" s="489"/>
      <c r="AC523" s="489"/>
      <c r="AD523" s="489"/>
      <c r="AE523" s="489"/>
      <c r="AF523" s="489"/>
      <c r="AG523" s="489"/>
      <c r="AH523" s="489"/>
      <c r="AI523" s="489"/>
      <c r="AJ523" s="489"/>
      <c r="AK523" s="489"/>
      <c r="AL523" s="489"/>
      <c r="AM523" s="489"/>
      <c r="AN523" s="489"/>
      <c r="AO523" s="489"/>
      <c r="AP523" s="489"/>
      <c r="AQ523" s="489"/>
      <c r="AR523" s="489"/>
      <c r="AS523" s="489"/>
      <c r="AT523" s="489"/>
      <c r="AU523" s="489"/>
      <c r="AV523" s="489"/>
      <c r="AW523" s="489"/>
      <c r="AX523" s="489"/>
      <c r="AY523" s="489"/>
      <c r="AZ523" s="489"/>
      <c r="BA523" s="489"/>
      <c r="BB523" s="489"/>
      <c r="BC523" s="489"/>
      <c r="BD523" s="489"/>
      <c r="BE523" s="489"/>
      <c r="BF523" s="489"/>
      <c r="BG523" s="489"/>
      <c r="BH523" s="489"/>
      <c r="BI523" s="489"/>
      <c r="BJ523" s="489"/>
    </row>
    <row r="524" spans="2:62" ht="15.75" customHeight="1">
      <c r="B524" s="486"/>
      <c r="W524" s="489"/>
      <c r="X524" s="489"/>
      <c r="Y524" s="489"/>
      <c r="Z524" s="489"/>
      <c r="AA524" s="489"/>
      <c r="AB524" s="489"/>
      <c r="AC524" s="489"/>
      <c r="AD524" s="489"/>
      <c r="AE524" s="489"/>
      <c r="AF524" s="489"/>
      <c r="AG524" s="489"/>
      <c r="AH524" s="489"/>
      <c r="AI524" s="489"/>
      <c r="AJ524" s="489"/>
      <c r="AK524" s="489"/>
      <c r="AL524" s="489"/>
      <c r="AM524" s="489"/>
      <c r="AN524" s="489"/>
      <c r="AO524" s="489"/>
      <c r="AP524" s="489"/>
      <c r="AQ524" s="489"/>
      <c r="AR524" s="489"/>
      <c r="AS524" s="489"/>
      <c r="AT524" s="489"/>
      <c r="AU524" s="489"/>
      <c r="AV524" s="489"/>
      <c r="AW524" s="489"/>
      <c r="AX524" s="489"/>
      <c r="AY524" s="489"/>
      <c r="AZ524" s="489"/>
      <c r="BA524" s="489"/>
      <c r="BB524" s="489"/>
      <c r="BC524" s="489"/>
      <c r="BD524" s="489"/>
      <c r="BE524" s="489"/>
      <c r="BF524" s="489"/>
      <c r="BG524" s="489"/>
      <c r="BH524" s="489"/>
      <c r="BI524" s="489"/>
      <c r="BJ524" s="489"/>
    </row>
    <row r="525" spans="2:62" ht="15.75" customHeight="1">
      <c r="B525" s="486"/>
      <c r="C525" s="740"/>
      <c r="W525" s="489"/>
      <c r="X525" s="489"/>
      <c r="Y525" s="489"/>
      <c r="Z525" s="489"/>
      <c r="AA525" s="489"/>
      <c r="AB525" s="489"/>
      <c r="AC525" s="489"/>
      <c r="AD525" s="489"/>
      <c r="AE525" s="489"/>
      <c r="AF525" s="489"/>
      <c r="AG525" s="489"/>
      <c r="AH525" s="489"/>
      <c r="AI525" s="489"/>
      <c r="AJ525" s="489"/>
      <c r="AK525" s="489"/>
      <c r="AL525" s="489"/>
      <c r="AM525" s="489"/>
      <c r="AN525" s="489"/>
      <c r="AO525" s="489"/>
      <c r="AP525" s="489"/>
      <c r="AQ525" s="489"/>
      <c r="AR525" s="489"/>
      <c r="AS525" s="489"/>
      <c r="AT525" s="489"/>
      <c r="AU525" s="489"/>
      <c r="AV525" s="489"/>
      <c r="AW525" s="489"/>
      <c r="AX525" s="489"/>
      <c r="AY525" s="489"/>
      <c r="AZ525" s="489"/>
      <c r="BA525" s="489"/>
      <c r="BB525" s="489"/>
      <c r="BC525" s="489"/>
      <c r="BD525" s="489"/>
      <c r="BE525" s="489"/>
      <c r="BF525" s="489"/>
      <c r="BG525" s="489"/>
      <c r="BH525" s="489"/>
      <c r="BI525" s="489"/>
      <c r="BJ525" s="489"/>
    </row>
    <row r="526" spans="2:62" ht="15.75" customHeight="1">
      <c r="B526" s="486"/>
      <c r="C526" s="740"/>
      <c r="W526" s="489"/>
      <c r="X526" s="489"/>
      <c r="Y526" s="489"/>
      <c r="Z526" s="489"/>
      <c r="AA526" s="489"/>
      <c r="AB526" s="489"/>
      <c r="AC526" s="489"/>
      <c r="AD526" s="489"/>
      <c r="AE526" s="489"/>
      <c r="AF526" s="489"/>
      <c r="AG526" s="489"/>
      <c r="AH526" s="489"/>
      <c r="AI526" s="489"/>
      <c r="AJ526" s="489"/>
      <c r="AK526" s="489"/>
      <c r="AL526" s="489"/>
      <c r="AM526" s="489"/>
      <c r="AN526" s="489"/>
      <c r="AO526" s="489"/>
      <c r="AP526" s="489"/>
      <c r="AQ526" s="489"/>
      <c r="AR526" s="489"/>
      <c r="AS526" s="489"/>
      <c r="AT526" s="489"/>
      <c r="AU526" s="489"/>
      <c r="AV526" s="489"/>
      <c r="AW526" s="489"/>
      <c r="AX526" s="489"/>
      <c r="AY526" s="489"/>
      <c r="AZ526" s="489"/>
      <c r="BA526" s="489"/>
      <c r="BB526" s="489"/>
      <c r="BC526" s="489"/>
      <c r="BD526" s="489"/>
      <c r="BE526" s="489"/>
      <c r="BF526" s="489"/>
      <c r="BG526" s="489"/>
      <c r="BH526" s="489"/>
      <c r="BI526" s="489"/>
      <c r="BJ526" s="489"/>
    </row>
    <row r="527" spans="2:62" ht="15.75" customHeight="1">
      <c r="B527" s="486"/>
      <c r="C527" s="740"/>
      <c r="W527" s="489"/>
      <c r="X527" s="489"/>
      <c r="Y527" s="489"/>
      <c r="Z527" s="489"/>
      <c r="AA527" s="489"/>
      <c r="AB527" s="489"/>
      <c r="AC527" s="489"/>
      <c r="AD527" s="489"/>
      <c r="AE527" s="489"/>
      <c r="AF527" s="489"/>
      <c r="AG527" s="489"/>
      <c r="AH527" s="489"/>
      <c r="AI527" s="489"/>
      <c r="AJ527" s="489"/>
      <c r="AK527" s="489"/>
      <c r="AL527" s="489"/>
      <c r="AM527" s="489"/>
      <c r="AN527" s="489"/>
      <c r="AO527" s="489"/>
      <c r="AP527" s="489"/>
      <c r="AQ527" s="489"/>
      <c r="AR527" s="489"/>
      <c r="AS527" s="489"/>
      <c r="AT527" s="489"/>
      <c r="AU527" s="489"/>
      <c r="AV527" s="489"/>
      <c r="AW527" s="489"/>
      <c r="AX527" s="489"/>
      <c r="AY527" s="489"/>
      <c r="AZ527" s="489"/>
      <c r="BA527" s="489"/>
      <c r="BB527" s="489"/>
      <c r="BC527" s="489"/>
      <c r="BD527" s="489"/>
      <c r="BE527" s="489"/>
      <c r="BF527" s="489"/>
      <c r="BG527" s="489"/>
      <c r="BH527" s="489"/>
      <c r="BI527" s="489"/>
      <c r="BJ527" s="489"/>
    </row>
    <row r="528" spans="2:62" ht="15.75" customHeight="1">
      <c r="B528" s="486"/>
      <c r="C528" s="740"/>
      <c r="W528" s="489"/>
      <c r="X528" s="489"/>
      <c r="Y528" s="489"/>
      <c r="Z528" s="489"/>
      <c r="AA528" s="489"/>
      <c r="AB528" s="489"/>
      <c r="AC528" s="489"/>
      <c r="AD528" s="489"/>
      <c r="AE528" s="489"/>
      <c r="AF528" s="489"/>
      <c r="AG528" s="489"/>
      <c r="AH528" s="489"/>
      <c r="AI528" s="489"/>
      <c r="AJ528" s="489"/>
      <c r="AK528" s="489"/>
      <c r="AL528" s="489"/>
      <c r="AM528" s="489"/>
      <c r="AN528" s="489"/>
      <c r="AO528" s="489"/>
      <c r="AP528" s="489"/>
      <c r="AQ528" s="489"/>
      <c r="AR528" s="489"/>
      <c r="AS528" s="489"/>
      <c r="AT528" s="489"/>
      <c r="AU528" s="489"/>
      <c r="AV528" s="489"/>
      <c r="AW528" s="489"/>
      <c r="AX528" s="489"/>
      <c r="AY528" s="489"/>
      <c r="AZ528" s="489"/>
      <c r="BA528" s="489"/>
      <c r="BB528" s="489"/>
      <c r="BC528" s="489"/>
      <c r="BD528" s="489"/>
      <c r="BE528" s="489"/>
      <c r="BF528" s="489"/>
      <c r="BG528" s="489"/>
      <c r="BH528" s="489"/>
      <c r="BI528" s="489"/>
      <c r="BJ528" s="489"/>
    </row>
    <row r="529" spans="2:62" ht="15.75" customHeight="1">
      <c r="B529" s="486"/>
      <c r="C529" s="740"/>
      <c r="W529" s="489"/>
      <c r="X529" s="489"/>
      <c r="Y529" s="489"/>
      <c r="Z529" s="489"/>
      <c r="AA529" s="489"/>
      <c r="AB529" s="489"/>
      <c r="AC529" s="489"/>
      <c r="AD529" s="489"/>
      <c r="AE529" s="489"/>
      <c r="AF529" s="489"/>
      <c r="AG529" s="489"/>
      <c r="AH529" s="489"/>
      <c r="AI529" s="489"/>
      <c r="AJ529" s="489"/>
      <c r="AK529" s="489"/>
      <c r="AL529" s="489"/>
      <c r="AM529" s="489"/>
      <c r="AN529" s="489"/>
      <c r="AO529" s="489"/>
      <c r="AP529" s="489"/>
      <c r="AQ529" s="489"/>
      <c r="AR529" s="489"/>
      <c r="AS529" s="489"/>
      <c r="AT529" s="489"/>
      <c r="AU529" s="489"/>
      <c r="AV529" s="489"/>
      <c r="AW529" s="489"/>
      <c r="AX529" s="489"/>
      <c r="AY529" s="489"/>
      <c r="AZ529" s="489"/>
      <c r="BA529" s="489"/>
      <c r="BB529" s="489"/>
      <c r="BC529" s="489"/>
      <c r="BD529" s="489"/>
      <c r="BE529" s="489"/>
      <c r="BF529" s="489"/>
      <c r="BG529" s="489"/>
      <c r="BH529" s="489"/>
      <c r="BI529" s="489"/>
      <c r="BJ529" s="489"/>
    </row>
    <row r="530" spans="2:62" ht="15.75" customHeight="1">
      <c r="B530" s="486"/>
      <c r="C530" s="740"/>
      <c r="W530" s="489"/>
      <c r="X530" s="489"/>
      <c r="Y530" s="489"/>
      <c r="Z530" s="489"/>
      <c r="AA530" s="489"/>
      <c r="AB530" s="489"/>
      <c r="AC530" s="489"/>
      <c r="AD530" s="489"/>
      <c r="AE530" s="489"/>
      <c r="AF530" s="489"/>
      <c r="AG530" s="489"/>
      <c r="AH530" s="489"/>
      <c r="AI530" s="489"/>
      <c r="AJ530" s="489"/>
      <c r="AK530" s="489"/>
      <c r="AL530" s="489"/>
      <c r="AM530" s="489"/>
      <c r="AN530" s="489"/>
      <c r="AO530" s="489"/>
      <c r="AP530" s="489"/>
      <c r="AQ530" s="489"/>
      <c r="AR530" s="489"/>
      <c r="AS530" s="489"/>
      <c r="AT530" s="489"/>
      <c r="AU530" s="489"/>
      <c r="AV530" s="489"/>
      <c r="AW530" s="489"/>
      <c r="AX530" s="489"/>
      <c r="AY530" s="489"/>
      <c r="AZ530" s="489"/>
      <c r="BA530" s="489"/>
      <c r="BB530" s="489"/>
      <c r="BC530" s="489"/>
      <c r="BD530" s="489"/>
      <c r="BE530" s="489"/>
      <c r="BF530" s="489"/>
      <c r="BG530" s="489"/>
      <c r="BH530" s="489"/>
      <c r="BI530" s="489"/>
      <c r="BJ530" s="489"/>
    </row>
    <row r="531" spans="2:62" ht="15.75" customHeight="1">
      <c r="B531" s="486"/>
      <c r="C531" s="740"/>
      <c r="W531" s="489"/>
      <c r="X531" s="489"/>
      <c r="Y531" s="489"/>
      <c r="Z531" s="489"/>
      <c r="AA531" s="489"/>
      <c r="AB531" s="489"/>
      <c r="AC531" s="489"/>
      <c r="AD531" s="489"/>
      <c r="AE531" s="489"/>
      <c r="AF531" s="489"/>
      <c r="AG531" s="489"/>
      <c r="AH531" s="489"/>
      <c r="AI531" s="489"/>
      <c r="AJ531" s="489"/>
      <c r="AK531" s="489"/>
      <c r="AL531" s="489"/>
      <c r="AM531" s="489"/>
      <c r="AN531" s="489"/>
      <c r="AO531" s="489"/>
      <c r="AP531" s="489"/>
      <c r="AQ531" s="489"/>
      <c r="AR531" s="489"/>
      <c r="AS531" s="489"/>
      <c r="AT531" s="489"/>
      <c r="AU531" s="489"/>
      <c r="AV531" s="489"/>
      <c r="AW531" s="489"/>
      <c r="AX531" s="489"/>
      <c r="AY531" s="489"/>
      <c r="AZ531" s="489"/>
      <c r="BA531" s="489"/>
      <c r="BB531" s="489"/>
      <c r="BC531" s="489"/>
      <c r="BD531" s="489"/>
      <c r="BE531" s="489"/>
      <c r="BF531" s="489"/>
      <c r="BG531" s="489"/>
      <c r="BH531" s="489"/>
      <c r="BI531" s="489"/>
      <c r="BJ531" s="489"/>
    </row>
    <row r="532" spans="2:62" ht="15.75" customHeight="1">
      <c r="B532" s="486"/>
      <c r="C532" s="740"/>
      <c r="W532" s="489"/>
      <c r="X532" s="489"/>
      <c r="Y532" s="489"/>
      <c r="Z532" s="489"/>
      <c r="AA532" s="489"/>
      <c r="AB532" s="489"/>
      <c r="AC532" s="489"/>
      <c r="AD532" s="489"/>
      <c r="AE532" s="489"/>
      <c r="AF532" s="489"/>
      <c r="AG532" s="489"/>
      <c r="AH532" s="489"/>
      <c r="AI532" s="489"/>
      <c r="AJ532" s="489"/>
      <c r="AK532" s="489"/>
      <c r="AL532" s="489"/>
      <c r="AM532" s="489"/>
      <c r="AN532" s="489"/>
      <c r="AO532" s="489"/>
      <c r="AP532" s="489"/>
      <c r="AQ532" s="489"/>
      <c r="AR532" s="489"/>
      <c r="AS532" s="489"/>
      <c r="AT532" s="489"/>
      <c r="AU532" s="489"/>
      <c r="AV532" s="489"/>
      <c r="AW532" s="489"/>
      <c r="AX532" s="489"/>
      <c r="AY532" s="489"/>
      <c r="AZ532" s="489"/>
      <c r="BA532" s="489"/>
      <c r="BB532" s="489"/>
      <c r="BC532" s="489"/>
      <c r="BD532" s="489"/>
      <c r="BE532" s="489"/>
      <c r="BF532" s="489"/>
      <c r="BG532" s="489"/>
      <c r="BH532" s="489"/>
      <c r="BI532" s="489"/>
      <c r="BJ532" s="489"/>
    </row>
    <row r="533" spans="2:62" ht="15.75" customHeight="1">
      <c r="B533" s="486"/>
      <c r="C533" s="740"/>
      <c r="W533" s="489"/>
      <c r="X533" s="489"/>
      <c r="Y533" s="489"/>
      <c r="Z533" s="489"/>
      <c r="AA533" s="489"/>
      <c r="AB533" s="489"/>
      <c r="AC533" s="489"/>
      <c r="AD533" s="489"/>
      <c r="AE533" s="489"/>
      <c r="AF533" s="489"/>
      <c r="AG533" s="489"/>
      <c r="AH533" s="489"/>
      <c r="AI533" s="489"/>
      <c r="AJ533" s="489"/>
      <c r="AK533" s="489"/>
      <c r="AL533" s="489"/>
      <c r="AM533" s="489"/>
      <c r="AN533" s="489"/>
      <c r="AO533" s="489"/>
      <c r="AP533" s="489"/>
      <c r="AQ533" s="489"/>
      <c r="AR533" s="489"/>
      <c r="AS533" s="489"/>
      <c r="AT533" s="489"/>
      <c r="AU533" s="489"/>
      <c r="AV533" s="489"/>
      <c r="AW533" s="489"/>
      <c r="AX533" s="489"/>
      <c r="AY533" s="489"/>
      <c r="AZ533" s="489"/>
      <c r="BA533" s="489"/>
      <c r="BB533" s="489"/>
      <c r="BC533" s="489"/>
      <c r="BD533" s="489"/>
      <c r="BE533" s="489"/>
      <c r="BF533" s="489"/>
      <c r="BG533" s="489"/>
      <c r="BH533" s="489"/>
      <c r="BI533" s="489"/>
      <c r="BJ533" s="489"/>
    </row>
    <row r="534" spans="2:62" ht="15.75" customHeight="1">
      <c r="B534" s="486"/>
      <c r="C534" s="740"/>
      <c r="W534" s="489"/>
      <c r="X534" s="489"/>
      <c r="Y534" s="489"/>
      <c r="Z534" s="489"/>
      <c r="AA534" s="489"/>
      <c r="AB534" s="489"/>
      <c r="AC534" s="489"/>
      <c r="AD534" s="489"/>
      <c r="AE534" s="489"/>
      <c r="AF534" s="489"/>
      <c r="AG534" s="489"/>
      <c r="AH534" s="489"/>
      <c r="AI534" s="489"/>
      <c r="AJ534" s="489"/>
      <c r="AK534" s="489"/>
      <c r="AL534" s="489"/>
      <c r="AM534" s="489"/>
      <c r="AN534" s="489"/>
      <c r="AO534" s="489"/>
      <c r="AP534" s="489"/>
      <c r="AQ534" s="489"/>
      <c r="AR534" s="489"/>
      <c r="AS534" s="489"/>
      <c r="AT534" s="489"/>
      <c r="AU534" s="489"/>
      <c r="AV534" s="489"/>
      <c r="AW534" s="489"/>
      <c r="AX534" s="489"/>
      <c r="AY534" s="489"/>
      <c r="AZ534" s="489"/>
      <c r="BA534" s="489"/>
      <c r="BB534" s="489"/>
      <c r="BC534" s="489"/>
      <c r="BD534" s="489"/>
      <c r="BE534" s="489"/>
      <c r="BF534" s="489"/>
      <c r="BG534" s="489"/>
      <c r="BH534" s="489"/>
      <c r="BI534" s="489"/>
      <c r="BJ534" s="489"/>
    </row>
    <row r="535" spans="2:62" ht="15.75" customHeight="1">
      <c r="B535" s="486"/>
      <c r="W535" s="489"/>
      <c r="X535" s="489"/>
      <c r="Y535" s="489"/>
      <c r="Z535" s="489"/>
      <c r="AA535" s="489"/>
      <c r="AB535" s="489"/>
      <c r="AC535" s="489"/>
      <c r="AD535" s="489"/>
      <c r="AE535" s="489"/>
      <c r="AF535" s="489"/>
      <c r="AG535" s="489"/>
      <c r="AH535" s="489"/>
      <c r="AI535" s="489"/>
      <c r="AJ535" s="489"/>
      <c r="AK535" s="489"/>
      <c r="AL535" s="489"/>
      <c r="AM535" s="489"/>
      <c r="AN535" s="489"/>
      <c r="AO535" s="489"/>
      <c r="AP535" s="489"/>
      <c r="AQ535" s="489"/>
      <c r="AR535" s="489"/>
      <c r="AS535" s="489"/>
      <c r="AT535" s="489"/>
      <c r="AU535" s="489"/>
      <c r="AV535" s="489"/>
      <c r="AW535" s="489"/>
      <c r="AX535" s="489"/>
      <c r="AY535" s="489"/>
      <c r="AZ535" s="489"/>
      <c r="BA535" s="489"/>
      <c r="BB535" s="489"/>
      <c r="BC535" s="489"/>
      <c r="BD535" s="489"/>
      <c r="BE535" s="489"/>
      <c r="BF535" s="489"/>
      <c r="BG535" s="489"/>
      <c r="BH535" s="489"/>
      <c r="BI535" s="489"/>
      <c r="BJ535" s="489"/>
    </row>
    <row r="536" spans="2:62" ht="15.75" customHeight="1">
      <c r="B536" s="486"/>
      <c r="W536" s="489"/>
      <c r="X536" s="489"/>
      <c r="Y536" s="489"/>
      <c r="Z536" s="489"/>
      <c r="AA536" s="489"/>
      <c r="AB536" s="489"/>
      <c r="AC536" s="489"/>
      <c r="AD536" s="489"/>
      <c r="AE536" s="489"/>
      <c r="AF536" s="489"/>
      <c r="AG536" s="489"/>
      <c r="AH536" s="489"/>
      <c r="AI536" s="489"/>
      <c r="AJ536" s="489"/>
      <c r="AK536" s="489"/>
      <c r="AL536" s="489"/>
      <c r="AM536" s="489"/>
      <c r="AN536" s="489"/>
      <c r="AO536" s="489"/>
      <c r="AP536" s="489"/>
      <c r="AQ536" s="489"/>
      <c r="AR536" s="489"/>
      <c r="AS536" s="489"/>
      <c r="AT536" s="489"/>
      <c r="AU536" s="489"/>
      <c r="AV536" s="489"/>
      <c r="AW536" s="489"/>
      <c r="AX536" s="489"/>
      <c r="AY536" s="489"/>
      <c r="AZ536" s="489"/>
      <c r="BA536" s="489"/>
      <c r="BB536" s="489"/>
      <c r="BC536" s="489"/>
      <c r="BD536" s="489"/>
      <c r="BE536" s="489"/>
      <c r="BF536" s="489"/>
      <c r="BG536" s="489"/>
      <c r="BH536" s="489"/>
      <c r="BI536" s="489"/>
      <c r="BJ536" s="489"/>
    </row>
    <row r="537" spans="2:62" ht="15.75" customHeight="1">
      <c r="B537" s="486"/>
      <c r="W537" s="489"/>
      <c r="X537" s="489"/>
      <c r="Y537" s="489"/>
      <c r="Z537" s="489"/>
      <c r="AA537" s="489"/>
      <c r="AB537" s="489"/>
      <c r="AC537" s="489"/>
      <c r="AD537" s="489"/>
      <c r="AE537" s="489"/>
      <c r="AF537" s="489"/>
      <c r="AG537" s="489"/>
      <c r="AH537" s="489"/>
      <c r="AI537" s="489"/>
      <c r="AJ537" s="489"/>
      <c r="AK537" s="489"/>
      <c r="AL537" s="489"/>
      <c r="AM537" s="489"/>
      <c r="AN537" s="489"/>
      <c r="AO537" s="489"/>
      <c r="AP537" s="489"/>
      <c r="AQ537" s="489"/>
      <c r="AR537" s="489"/>
      <c r="AS537" s="489"/>
      <c r="AT537" s="489"/>
      <c r="AU537" s="489"/>
      <c r="AV537" s="489"/>
      <c r="AW537" s="489"/>
      <c r="AX537" s="489"/>
      <c r="AY537" s="489"/>
      <c r="AZ537" s="489"/>
      <c r="BA537" s="489"/>
      <c r="BB537" s="489"/>
      <c r="BC537" s="489"/>
      <c r="BD537" s="489"/>
      <c r="BE537" s="489"/>
      <c r="BF537" s="489"/>
      <c r="BG537" s="489"/>
      <c r="BH537" s="489"/>
      <c r="BI537" s="489"/>
      <c r="BJ537" s="489"/>
    </row>
    <row r="538" spans="2:62" ht="15.75" customHeight="1">
      <c r="B538" s="486"/>
      <c r="W538" s="489"/>
      <c r="X538" s="489"/>
      <c r="Y538" s="489"/>
      <c r="Z538" s="489"/>
      <c r="AA538" s="489"/>
      <c r="AB538" s="489"/>
      <c r="AC538" s="489"/>
      <c r="AD538" s="489"/>
      <c r="AE538" s="489"/>
      <c r="AF538" s="489"/>
      <c r="AG538" s="489"/>
      <c r="AH538" s="489"/>
      <c r="AI538" s="489"/>
      <c r="AJ538" s="489"/>
      <c r="AK538" s="489"/>
      <c r="AL538" s="489"/>
      <c r="AM538" s="489"/>
      <c r="AN538" s="489"/>
      <c r="AO538" s="489"/>
      <c r="AP538" s="489"/>
      <c r="AQ538" s="489"/>
      <c r="AR538" s="489"/>
      <c r="AS538" s="489"/>
      <c r="AT538" s="489"/>
      <c r="AU538" s="489"/>
      <c r="AV538" s="489"/>
      <c r="AW538" s="489"/>
      <c r="AX538" s="489"/>
      <c r="AY538" s="489"/>
      <c r="AZ538" s="489"/>
      <c r="BA538" s="489"/>
      <c r="BB538" s="489"/>
      <c r="BC538" s="489"/>
      <c r="BD538" s="489"/>
      <c r="BE538" s="489"/>
      <c r="BF538" s="489"/>
      <c r="BG538" s="489"/>
      <c r="BH538" s="489"/>
      <c r="BI538" s="489"/>
      <c r="BJ538" s="489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127" priority="4" stopIfTrue="1">
      <formula>"esterreur(reference)"</formula>
    </cfRule>
  </conditionalFormatting>
  <conditionalFormatting sqref="D172:D181">
    <cfRule type="expression" dxfId="126" priority="62" stopIfTrue="1">
      <formula>"esterreur(reference)"</formula>
    </cfRule>
  </conditionalFormatting>
  <conditionalFormatting sqref="D400">
    <cfRule type="expression" dxfId="125" priority="7" stopIfTrue="1">
      <formula>"esterreur(reference)"</formula>
    </cfRule>
  </conditionalFormatting>
  <conditionalFormatting sqref="E186">
    <cfRule type="expression" dxfId="124" priority="63" stopIfTrue="1">
      <formula>"esterreur(reference)"</formula>
    </cfRule>
  </conditionalFormatting>
  <conditionalFormatting sqref="F5">
    <cfRule type="expression" dxfId="123" priority="60" stopIfTrue="1">
      <formula>"esterreur(reference)"</formula>
    </cfRule>
  </conditionalFormatting>
  <conditionalFormatting sqref="F83:F85">
    <cfRule type="expression" dxfId="122" priority="59" stopIfTrue="1">
      <formula>"esterreur(reference)"</formula>
    </cfRule>
  </conditionalFormatting>
  <conditionalFormatting sqref="F101">
    <cfRule type="expression" dxfId="121" priority="64" stopIfTrue="1">
      <formula>"esterreur(reference)"</formula>
    </cfRule>
  </conditionalFormatting>
  <conditionalFormatting sqref="F184">
    <cfRule type="expression" dxfId="120" priority="28" stopIfTrue="1">
      <formula>"esterreur(reference)"</formula>
    </cfRule>
  </conditionalFormatting>
  <conditionalFormatting sqref="G31:G32">
    <cfRule type="expression" dxfId="119" priority="57" stopIfTrue="1">
      <formula>"esterreur(reference)"</formula>
    </cfRule>
  </conditionalFormatting>
  <conditionalFormatting sqref="G112:G113">
    <cfRule type="expression" dxfId="118" priority="54" stopIfTrue="1">
      <formula>"esterreur(reference)"</formula>
    </cfRule>
  </conditionalFormatting>
  <conditionalFormatting sqref="G172:G181">
    <cfRule type="expression" dxfId="117" priority="61" stopIfTrue="1">
      <formula>"esterreur(reference)"</formula>
    </cfRule>
  </conditionalFormatting>
  <conditionalFormatting sqref="H25:H26 H28:H72">
    <cfRule type="expression" dxfId="116" priority="56" stopIfTrue="1">
      <formula>"esterreur(reference)"</formula>
    </cfRule>
  </conditionalFormatting>
  <conditionalFormatting sqref="H360 J360:L360">
    <cfRule type="expression" dxfId="115" priority="16" stopIfTrue="1">
      <formula>"esterreur(reference)"</formula>
    </cfRule>
  </conditionalFormatting>
  <conditionalFormatting sqref="H197:L197">
    <cfRule type="expression" dxfId="114" priority="18" stopIfTrue="1">
      <formula>"esterreur(reference)"</formula>
    </cfRule>
  </conditionalFormatting>
  <conditionalFormatting sqref="H313:L313 H314:J314 L314 H315:L317">
    <cfRule type="expression" dxfId="113" priority="3" stopIfTrue="1">
      <formula>"esterreur(reference)"</formula>
    </cfRule>
  </conditionalFormatting>
  <conditionalFormatting sqref="H396:L399">
    <cfRule type="expression" dxfId="112" priority="14" stopIfTrue="1">
      <formula>"esterreur(reference)"</formula>
    </cfRule>
  </conditionalFormatting>
  <conditionalFormatting sqref="I16:I18 I20 I24:I30">
    <cfRule type="expression" dxfId="111" priority="58" stopIfTrue="1">
      <formula>"esterreur(reference)"</formula>
    </cfRule>
  </conditionalFormatting>
  <conditionalFormatting sqref="I377:L377 J378:L394 H378:H395">
    <cfRule type="expression" dxfId="110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109" priority="8" stopIfTrue="1">
      <formula>"esterreur(reference)"</formula>
    </cfRule>
  </conditionalFormatting>
  <conditionalFormatting sqref="K395">
    <cfRule type="expression" dxfId="108" priority="17" stopIfTrue="1">
      <formula>"esterreur(reference)"</formula>
    </cfRule>
  </conditionalFormatting>
  <conditionalFormatting sqref="K5:L5">
    <cfRule type="expression" dxfId="107" priority="27" stopIfTrue="1">
      <formula>"esterreur(reference)"</formula>
    </cfRule>
  </conditionalFormatting>
  <conditionalFormatting sqref="K244:L244">
    <cfRule type="expression" dxfId="106" priority="24" stopIfTrue="1">
      <formula>"esterreur(reference)"</formula>
    </cfRule>
  </conditionalFormatting>
  <conditionalFormatting sqref="K247:L247">
    <cfRule type="expression" dxfId="105" priority="25" stopIfTrue="1">
      <formula>"esterreur(reference)"</formula>
    </cfRule>
  </conditionalFormatting>
  <conditionalFormatting sqref="L42:L48">
    <cfRule type="expression" dxfId="104" priority="20" stopIfTrue="1">
      <formula>"esterreur(reference)"</formula>
    </cfRule>
  </conditionalFormatting>
  <conditionalFormatting sqref="L75:L82">
    <cfRule type="expression" dxfId="103" priority="2" stopIfTrue="1">
      <formula>"esterreur(reference)"</formula>
    </cfRule>
  </conditionalFormatting>
  <conditionalFormatting sqref="L156:L162">
    <cfRule type="expression" dxfId="102" priority="23" stopIfTrue="1">
      <formula>"esterreur(reference)"</formula>
    </cfRule>
  </conditionalFormatting>
  <conditionalFormatting sqref="L198:L209">
    <cfRule type="expression" dxfId="101" priority="21" stopIfTrue="1">
      <formula>"esterreur(reference)"</formula>
    </cfRule>
  </conditionalFormatting>
  <conditionalFormatting sqref="L211:L228">
    <cfRule type="expression" dxfId="100" priority="22" stopIfTrue="1">
      <formula>"esterreur(reference)"</formula>
    </cfRule>
  </conditionalFormatting>
  <conditionalFormatting sqref="L254:L265">
    <cfRule type="expression" dxfId="99" priority="26" stopIfTrue="1">
      <formula>"esterreur(reference)"</formula>
    </cfRule>
  </conditionalFormatting>
  <conditionalFormatting sqref="L331:L348">
    <cfRule type="expression" dxfId="98" priority="19" stopIfTrue="1">
      <formula>"esterreur(reference)"</formula>
    </cfRule>
  </conditionalFormatting>
  <conditionalFormatting sqref="L356:L357 H357:I357 K357 J357:J358 H359:L359">
    <cfRule type="expression" dxfId="97" priority="13" stopIfTrue="1">
      <formula>"esterreur(reference)"</formula>
    </cfRule>
  </conditionalFormatting>
  <conditionalFormatting sqref="M95:M97">
    <cfRule type="expression" dxfId="96" priority="9" stopIfTrue="1">
      <formula>"esterreur(reference)"</formula>
    </cfRule>
  </conditionalFormatting>
  <conditionalFormatting sqref="N197:N209">
    <cfRule type="expression" dxfId="95" priority="1" stopIfTrue="1">
      <formula>"esterreur(reference)"</formula>
    </cfRule>
  </conditionalFormatting>
  <conditionalFormatting sqref="N318:N328">
    <cfRule type="expression" dxfId="94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93" priority="49" stopIfTrue="1">
      <formula>"esterreur(reference)"</formula>
    </cfRule>
  </conditionalFormatting>
  <conditionalFormatting sqref="O197:Q197">
    <cfRule type="expression" dxfId="92" priority="38" stopIfTrue="1">
      <formula>"esterreur(reference)"</formula>
    </cfRule>
  </conditionalFormatting>
  <conditionalFormatting sqref="O243:Q243 O252:Q253 O254:P284 Q282:Q285 O285 O288:Q288 O289:P289">
    <cfRule type="expression" dxfId="91" priority="44" stopIfTrue="1">
      <formula>"esterreur(reference)"</formula>
    </cfRule>
  </conditionalFormatting>
  <conditionalFormatting sqref="O359:Q394">
    <cfRule type="expression" dxfId="90" priority="51" stopIfTrue="1">
      <formula>"esterreur(reference)"</formula>
    </cfRule>
  </conditionalFormatting>
  <conditionalFormatting sqref="O396:Q399">
    <cfRule type="expression" dxfId="89" priority="52" stopIfTrue="1">
      <formula>"esterreur(reference)"</formula>
    </cfRule>
  </conditionalFormatting>
  <conditionalFormatting sqref="P5">
    <cfRule type="expression" dxfId="88" priority="32" stopIfTrue="1">
      <formula>"esterreur(reference)"</formula>
    </cfRule>
  </conditionalFormatting>
  <conditionalFormatting sqref="P175">
    <cfRule type="expression" dxfId="87" priority="41" stopIfTrue="1">
      <formula>"esterreur(reference)"</formula>
    </cfRule>
  </conditionalFormatting>
  <conditionalFormatting sqref="P178">
    <cfRule type="expression" dxfId="86" priority="42" stopIfTrue="1">
      <formula>"esterreur(reference)"</formula>
    </cfRule>
  </conditionalFormatting>
  <conditionalFormatting sqref="P181">
    <cfRule type="expression" dxfId="85" priority="43" stopIfTrue="1">
      <formula>"esterreur(reference)"</formula>
    </cfRule>
  </conditionalFormatting>
  <conditionalFormatting sqref="P395">
    <cfRule type="expression" dxfId="84" priority="53" stopIfTrue="1">
      <formula>"esterreur(reference)"</formula>
    </cfRule>
  </conditionalFormatting>
  <conditionalFormatting sqref="P93:Q96 O97:Q98 O156:P157 O164:Q164 O165:P165">
    <cfRule type="expression" dxfId="83" priority="35" stopIfTrue="1">
      <formula>"esterreur(reference)"</formula>
    </cfRule>
  </conditionalFormatting>
  <conditionalFormatting sqref="P99:Q100">
    <cfRule type="expression" dxfId="82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81" priority="37" stopIfTrue="1">
      <formula>"esterreur(reference)"</formula>
    </cfRule>
  </conditionalFormatting>
  <conditionalFormatting sqref="P182:Q196">
    <cfRule type="expression" dxfId="80" priority="5" stopIfTrue="1">
      <formula>"esterreur(reference)"</formula>
    </cfRule>
  </conditionalFormatting>
  <conditionalFormatting sqref="P241:Q241">
    <cfRule type="expression" dxfId="79" priority="48" stopIfTrue="1">
      <formula>"esterreur(reference)"</formula>
    </cfRule>
  </conditionalFormatting>
  <conditionalFormatting sqref="P244:Q244">
    <cfRule type="expression" dxfId="78" priority="45" stopIfTrue="1">
      <formula>"esterreur(reference)"</formula>
    </cfRule>
  </conditionalFormatting>
  <conditionalFormatting sqref="P247:Q247">
    <cfRule type="expression" dxfId="77" priority="46" stopIfTrue="1">
      <formula>"esterreur(reference)"</formula>
    </cfRule>
  </conditionalFormatting>
  <conditionalFormatting sqref="Q5:Q14 O13:O14 O16 Q16:Q24 O18:O24 O25:Q26 O27 Q27 O28:Q72 O83:Q85">
    <cfRule type="expression" dxfId="76" priority="31" stopIfTrue="1">
      <formula>"esterreur(reference)"</formula>
    </cfRule>
  </conditionalFormatting>
  <conditionalFormatting sqref="Q75:Q82">
    <cfRule type="expression" dxfId="75" priority="33" stopIfTrue="1">
      <formula>"esterreur(reference)"</formula>
    </cfRule>
  </conditionalFormatting>
  <conditionalFormatting sqref="Q156:Q162">
    <cfRule type="expression" dxfId="74" priority="36" stopIfTrue="1">
      <formula>"esterreur(reference)"</formula>
    </cfRule>
  </conditionalFormatting>
  <conditionalFormatting sqref="Q198:Q209">
    <cfRule type="expression" dxfId="73" priority="39" stopIfTrue="1">
      <formula>"esterreur(reference)"</formula>
    </cfRule>
  </conditionalFormatting>
  <conditionalFormatting sqref="Q211:Q228">
    <cfRule type="expression" dxfId="72" priority="40" stopIfTrue="1">
      <formula>"esterreur(reference)"</formula>
    </cfRule>
  </conditionalFormatting>
  <conditionalFormatting sqref="Q254:Q265">
    <cfRule type="expression" dxfId="71" priority="47" stopIfTrue="1">
      <formula>"esterreur(reference)"</formula>
    </cfRule>
  </conditionalFormatting>
  <conditionalFormatting sqref="Q331:Q348">
    <cfRule type="expression" dxfId="70" priority="50" stopIfTrue="1">
      <formula>"esterreur(reference)"</formula>
    </cfRule>
  </conditionalFormatting>
  <conditionalFormatting sqref="R312">
    <cfRule type="expression" dxfId="69" priority="10" stopIfTrue="1">
      <formula>"esterreur(reference)"</formula>
    </cfRule>
  </conditionalFormatting>
  <conditionalFormatting sqref="S186">
    <cfRule type="expression" dxfId="68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67" priority="11" operator="greaterThan">
      <formula>0</formula>
    </cfRule>
  </conditionalFormatting>
  <conditionalFormatting sqref="AH469:AI476 AH480:AI480">
    <cfRule type="cellIs" dxfId="66" priority="12" operator="lessThan">
      <formula>0</formula>
    </cfRule>
  </conditionalFormatting>
  <conditionalFormatting sqref="AH477:AI479">
    <cfRule type="cellIs" dxfId="65" priority="55" operator="greaterThan">
      <formula>0</formula>
    </cfRule>
  </conditionalFormatting>
  <conditionalFormatting sqref="AO409:AO418">
    <cfRule type="cellIs" dxfId="64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FF5A-592F-477B-ADF7-0D39A6CC4C4E}">
  <sheetPr>
    <tabColor rgb="FFFFC000"/>
  </sheetPr>
  <dimension ref="A1:BJ693"/>
  <sheetViews>
    <sheetView tabSelected="1" topLeftCell="C484" zoomScale="80" zoomScaleNormal="80" workbookViewId="0">
      <selection activeCell="J523" sqref="J523"/>
    </sheetView>
  </sheetViews>
  <sheetFormatPr baseColWidth="10" defaultColWidth="12.625" defaultRowHeight="15" customHeight="1"/>
  <cols>
    <col min="1" max="1" width="10.375" style="883" hidden="1" customWidth="1"/>
    <col min="2" max="2" width="21.875" style="883" hidden="1" customWidth="1"/>
    <col min="3" max="3" width="31.25" style="883" customWidth="1"/>
    <col min="4" max="4" width="16.5" style="883" customWidth="1"/>
    <col min="5" max="5" width="14.625" style="883" customWidth="1"/>
    <col min="6" max="6" width="14" style="883" customWidth="1"/>
    <col min="7" max="7" width="17.75" style="883" hidden="1" customWidth="1"/>
    <col min="8" max="8" width="15.125" style="883" hidden="1" customWidth="1"/>
    <col min="9" max="9" width="14" style="883" hidden="1" customWidth="1"/>
    <col min="10" max="10" width="15.625" style="883" customWidth="1"/>
    <col min="11" max="11" width="15.5" style="883" customWidth="1"/>
    <col min="12" max="12" width="14.875" style="883" customWidth="1"/>
    <col min="13" max="14" width="16.25" style="883" customWidth="1"/>
    <col min="15" max="15" width="15.5" style="883" customWidth="1"/>
    <col min="16" max="16" width="14.625" style="883" customWidth="1"/>
    <col min="17" max="17" width="14.875" style="883" bestFit="1" customWidth="1"/>
    <col min="18" max="18" width="14.75" style="883" customWidth="1"/>
    <col min="19" max="19" width="19" style="883" customWidth="1"/>
    <col min="20" max="20" width="4.625" style="883" customWidth="1"/>
    <col min="21" max="21" width="31.75" style="883" customWidth="1"/>
    <col min="22" max="22" width="34" style="883" customWidth="1"/>
    <col min="23" max="23" width="12.25" style="883" customWidth="1"/>
    <col min="24" max="24" width="13.75" style="883" customWidth="1"/>
    <col min="25" max="25" width="15.125" style="883" customWidth="1"/>
    <col min="26" max="26" width="15" style="883" customWidth="1"/>
    <col min="27" max="27" width="11.125" style="883" hidden="1" customWidth="1"/>
    <col min="28" max="28" width="9.375" style="883" hidden="1" customWidth="1"/>
    <col min="29" max="29" width="14.5" style="883" hidden="1" customWidth="1"/>
    <col min="30" max="30" width="13.5" style="883" customWidth="1"/>
    <col min="31" max="31" width="14.25" style="883" customWidth="1"/>
    <col min="32" max="32" width="14.125" style="883" customWidth="1"/>
    <col min="33" max="33" width="9" style="883" customWidth="1"/>
    <col min="34" max="34" width="13.5" style="883" customWidth="1"/>
    <col min="35" max="35" width="11.5" style="883" bestFit="1" customWidth="1"/>
    <col min="36" max="36" width="10.875" style="883" customWidth="1"/>
    <col min="37" max="37" width="11.375" style="883" customWidth="1"/>
    <col min="38" max="38" width="12.75" style="883" customWidth="1"/>
    <col min="39" max="39" width="9" style="883" customWidth="1"/>
    <col min="40" max="40" width="11.5" style="883" bestFit="1" customWidth="1"/>
    <col min="41" max="41" width="14.75" style="883" customWidth="1"/>
    <col min="42" max="42" width="11" style="883" customWidth="1"/>
    <col min="43" max="43" width="48.375" style="883" customWidth="1"/>
    <col min="44" max="62" width="11" style="883" customWidth="1"/>
    <col min="63" max="16384" width="12.625" style="883"/>
  </cols>
  <sheetData>
    <row r="1" spans="1:40" ht="36" thickBot="1">
      <c r="B1" s="884"/>
      <c r="C1" s="885" t="s">
        <v>478</v>
      </c>
      <c r="D1" s="886"/>
      <c r="E1" s="887"/>
      <c r="F1" s="886"/>
      <c r="G1" s="886"/>
      <c r="H1" s="884"/>
      <c r="I1" s="886"/>
      <c r="J1" s="884"/>
      <c r="K1" s="888" t="s">
        <v>0</v>
      </c>
      <c r="L1" s="886"/>
      <c r="M1" s="886"/>
      <c r="N1" s="889"/>
      <c r="O1" s="885"/>
      <c r="P1" s="890"/>
      <c r="Q1" s="885"/>
      <c r="R1" s="890"/>
      <c r="S1" s="891" t="s">
        <v>482</v>
      </c>
      <c r="T1" s="886" t="s">
        <v>1</v>
      </c>
      <c r="U1" s="884"/>
      <c r="V1" s="884"/>
      <c r="W1" s="884"/>
      <c r="X1" s="884"/>
      <c r="Y1" s="884"/>
      <c r="Z1" s="884"/>
      <c r="AA1" s="884"/>
      <c r="AB1" s="884"/>
      <c r="AC1" s="884"/>
      <c r="AD1" s="884"/>
      <c r="AE1" s="884"/>
      <c r="AF1" s="884"/>
      <c r="AG1" s="884"/>
      <c r="AH1" s="884"/>
      <c r="AI1" s="884"/>
      <c r="AJ1" s="884"/>
      <c r="AK1" s="884"/>
      <c r="AL1" s="884"/>
      <c r="AM1" s="884"/>
      <c r="AN1" s="884"/>
    </row>
    <row r="2" spans="1:40" ht="15" customHeight="1" thickTop="1" thickBot="1">
      <c r="B2" s="892"/>
      <c r="C2" s="893"/>
      <c r="D2" s="894" t="s">
        <v>2</v>
      </c>
      <c r="E2" s="894" t="s">
        <v>3</v>
      </c>
      <c r="F2" s="894" t="s">
        <v>4</v>
      </c>
      <c r="G2" s="894"/>
      <c r="H2" s="894"/>
      <c r="I2" s="894"/>
      <c r="J2" s="894" t="s">
        <v>218</v>
      </c>
      <c r="K2" s="894"/>
      <c r="L2" s="894" t="s">
        <v>219</v>
      </c>
      <c r="M2" s="895"/>
      <c r="N2" s="895"/>
      <c r="O2" s="894" t="s">
        <v>2</v>
      </c>
      <c r="P2" s="894" t="s">
        <v>3</v>
      </c>
      <c r="Q2" s="894" t="s">
        <v>4</v>
      </c>
      <c r="R2" s="895"/>
      <c r="S2" s="895"/>
      <c r="T2" s="895"/>
      <c r="U2" s="895"/>
      <c r="V2" s="896" t="s">
        <v>471</v>
      </c>
      <c r="W2" s="897"/>
    </row>
    <row r="3" spans="1:40" ht="21" thickTop="1">
      <c r="B3" s="898"/>
      <c r="C3" s="899"/>
      <c r="D3" s="900" t="s">
        <v>5</v>
      </c>
      <c r="E3" s="901"/>
      <c r="F3" s="902"/>
      <c r="G3" s="903"/>
      <c r="H3" s="901"/>
      <c r="I3" s="902"/>
      <c r="J3" s="903" t="s">
        <v>7</v>
      </c>
      <c r="K3" s="901"/>
      <c r="L3" s="902"/>
      <c r="M3" s="903" t="s">
        <v>220</v>
      </c>
      <c r="N3" s="902"/>
      <c r="O3" s="900" t="s">
        <v>8</v>
      </c>
      <c r="P3" s="901"/>
      <c r="Q3" s="902"/>
      <c r="R3" s="903" t="s">
        <v>221</v>
      </c>
      <c r="S3" s="902"/>
      <c r="T3" s="898"/>
      <c r="U3" s="898"/>
      <c r="V3" s="904" t="s">
        <v>472</v>
      </c>
      <c r="W3" s="905">
        <v>0.45</v>
      </c>
      <c r="X3" s="898"/>
      <c r="Y3" s="898"/>
      <c r="Z3" s="898"/>
      <c r="AA3" s="898"/>
      <c r="AB3" s="898"/>
      <c r="AC3" s="898"/>
      <c r="AD3" s="898"/>
      <c r="AE3" s="898"/>
      <c r="AF3" s="898"/>
      <c r="AG3" s="898"/>
      <c r="AH3" s="898"/>
      <c r="AI3" s="898"/>
      <c r="AJ3" s="898"/>
      <c r="AK3" s="898"/>
      <c r="AL3" s="898"/>
      <c r="AM3" s="898"/>
      <c r="AN3" s="898"/>
    </row>
    <row r="4" spans="1:40" ht="20.25">
      <c r="B4" s="898"/>
      <c r="C4" s="906"/>
      <c r="D4" s="907" t="s">
        <v>10</v>
      </c>
      <c r="E4" s="908" t="s">
        <v>11</v>
      </c>
      <c r="F4" s="909" t="s">
        <v>12</v>
      </c>
      <c r="G4" s="910"/>
      <c r="H4" s="908"/>
      <c r="I4" s="909"/>
      <c r="J4" s="910" t="s">
        <v>473</v>
      </c>
      <c r="K4" s="908" t="s">
        <v>13</v>
      </c>
      <c r="L4" s="909" t="s">
        <v>12</v>
      </c>
      <c r="M4" s="910" t="s">
        <v>473</v>
      </c>
      <c r="N4" s="909" t="s">
        <v>12</v>
      </c>
      <c r="O4" s="908" t="s">
        <v>10</v>
      </c>
      <c r="P4" s="908" t="s">
        <v>11</v>
      </c>
      <c r="Q4" s="909" t="s">
        <v>12</v>
      </c>
      <c r="R4" s="910" t="s">
        <v>473</v>
      </c>
      <c r="S4" s="909" t="s">
        <v>12</v>
      </c>
      <c r="T4" s="898"/>
      <c r="U4" s="898"/>
      <c r="V4" s="904" t="s">
        <v>474</v>
      </c>
      <c r="W4" s="905">
        <v>0.1</v>
      </c>
      <c r="X4" s="898"/>
      <c r="Y4" s="898"/>
      <c r="Z4" s="898"/>
      <c r="AA4" s="898"/>
      <c r="AB4" s="898"/>
      <c r="AC4" s="898"/>
      <c r="AD4" s="898"/>
      <c r="AE4" s="898"/>
      <c r="AF4" s="898"/>
      <c r="AG4" s="898"/>
      <c r="AH4" s="898"/>
      <c r="AI4" s="898"/>
      <c r="AJ4" s="898"/>
      <c r="AK4" s="898"/>
      <c r="AL4" s="898"/>
      <c r="AM4" s="898"/>
      <c r="AN4" s="898"/>
    </row>
    <row r="5" spans="1:40" ht="20.25">
      <c r="A5" s="883" t="s">
        <v>228</v>
      </c>
      <c r="B5" s="898" t="s">
        <v>0</v>
      </c>
      <c r="C5" s="911" t="s">
        <v>15</v>
      </c>
      <c r="D5" s="912"/>
      <c r="E5" s="912"/>
      <c r="F5" s="913">
        <v>3359976.1441332032</v>
      </c>
      <c r="G5" s="912"/>
      <c r="H5" s="912"/>
      <c r="I5" s="914"/>
      <c r="J5" s="911"/>
      <c r="K5" s="915"/>
      <c r="L5" s="913">
        <v>3303841.7000000007</v>
      </c>
      <c r="M5" s="916"/>
      <c r="N5" s="917"/>
      <c r="O5" s="911"/>
      <c r="P5" s="915"/>
      <c r="Q5" s="913">
        <v>2442838.48</v>
      </c>
      <c r="R5" s="916"/>
      <c r="S5" s="917"/>
      <c r="T5" s="898"/>
      <c r="U5" s="898"/>
      <c r="V5" s="904" t="s">
        <v>222</v>
      </c>
      <c r="W5" s="905">
        <v>0.22500000000000001</v>
      </c>
      <c r="X5" s="898"/>
      <c r="Y5" s="898"/>
      <c r="Z5" s="898"/>
      <c r="AA5" s="898"/>
      <c r="AB5" s="898"/>
      <c r="AC5" s="898"/>
      <c r="AD5" s="898"/>
      <c r="AE5" s="898"/>
      <c r="AF5" s="898"/>
      <c r="AG5" s="898"/>
      <c r="AH5" s="898"/>
      <c r="AI5" s="898"/>
      <c r="AJ5" s="898"/>
      <c r="AK5" s="898"/>
      <c r="AL5" s="898"/>
      <c r="AM5" s="898"/>
      <c r="AN5" s="898"/>
    </row>
    <row r="6" spans="1:40" ht="20.25">
      <c r="A6" s="883" t="s">
        <v>229</v>
      </c>
      <c r="B6" s="898" t="s">
        <v>0</v>
      </c>
      <c r="C6" s="918" t="s">
        <v>16</v>
      </c>
      <c r="D6" s="919">
        <v>16</v>
      </c>
      <c r="E6" s="919">
        <v>1953.6491683802797</v>
      </c>
      <c r="F6" s="919">
        <v>31258.386694084475</v>
      </c>
      <c r="G6" s="920"/>
      <c r="H6" s="919"/>
      <c r="I6" s="919"/>
      <c r="J6" s="920">
        <v>7</v>
      </c>
      <c r="K6" s="919">
        <v>688.43142857142914</v>
      </c>
      <c r="L6" s="921">
        <v>4819.0200000000041</v>
      </c>
      <c r="M6" s="920">
        <v>-9</v>
      </c>
      <c r="N6" s="921">
        <v>-26439.366694084471</v>
      </c>
      <c r="O6" s="920">
        <v>16</v>
      </c>
      <c r="P6" s="919">
        <v>1640.0056249999936</v>
      </c>
      <c r="Q6" s="921">
        <v>26240.089999999898</v>
      </c>
      <c r="R6" s="920">
        <v>-9</v>
      </c>
      <c r="S6" s="921">
        <v>-21421.069999999894</v>
      </c>
      <c r="T6" s="898"/>
      <c r="U6" s="898"/>
      <c r="V6" s="904" t="s">
        <v>475</v>
      </c>
      <c r="W6" s="905">
        <v>2.5000000000000001E-2</v>
      </c>
      <c r="X6" s="898"/>
      <c r="Y6" s="898"/>
      <c r="Z6" s="898"/>
      <c r="AA6" s="898"/>
      <c r="AB6" s="898"/>
      <c r="AC6" s="898"/>
      <c r="AD6" s="898"/>
      <c r="AE6" s="898"/>
      <c r="AF6" s="898"/>
      <c r="AG6" s="898"/>
      <c r="AH6" s="898"/>
      <c r="AI6" s="898"/>
      <c r="AJ6" s="898"/>
      <c r="AK6" s="898"/>
      <c r="AL6" s="898"/>
      <c r="AM6" s="898"/>
      <c r="AN6" s="898"/>
    </row>
    <row r="7" spans="1:40" ht="20.25">
      <c r="A7" s="883" t="s">
        <v>230</v>
      </c>
      <c r="B7" s="898" t="s">
        <v>0</v>
      </c>
      <c r="C7" s="918" t="s">
        <v>17</v>
      </c>
      <c r="D7" s="919">
        <v>44</v>
      </c>
      <c r="E7" s="919">
        <v>2435.9046775963693</v>
      </c>
      <c r="F7" s="919">
        <v>107179.80581424024</v>
      </c>
      <c r="G7" s="920"/>
      <c r="H7" s="919"/>
      <c r="I7" s="919"/>
      <c r="J7" s="920">
        <v>56</v>
      </c>
      <c r="K7" s="919">
        <v>2636.2428571428586</v>
      </c>
      <c r="L7" s="921">
        <v>147629.60000000009</v>
      </c>
      <c r="M7" s="920">
        <v>12</v>
      </c>
      <c r="N7" s="921">
        <v>40449.794185759849</v>
      </c>
      <c r="O7" s="920">
        <v>26</v>
      </c>
      <c r="P7" s="919">
        <v>2080.4761538461539</v>
      </c>
      <c r="Q7" s="921">
        <v>54092.38</v>
      </c>
      <c r="R7" s="920">
        <v>30</v>
      </c>
      <c r="S7" s="921">
        <v>93537.220000000088</v>
      </c>
      <c r="T7" s="898"/>
      <c r="U7" s="898"/>
      <c r="V7" s="904" t="s">
        <v>476</v>
      </c>
      <c r="W7" s="905">
        <v>0.2</v>
      </c>
      <c r="X7" s="898"/>
      <c r="Y7" s="898"/>
      <c r="Z7" s="898"/>
      <c r="AA7" s="898"/>
      <c r="AB7" s="898"/>
      <c r="AC7" s="898"/>
      <c r="AD7" s="898"/>
      <c r="AE7" s="898"/>
      <c r="AF7" s="898"/>
      <c r="AG7" s="898"/>
      <c r="AH7" s="898"/>
      <c r="AI7" s="898"/>
      <c r="AJ7" s="898"/>
      <c r="AK7" s="898"/>
      <c r="AL7" s="898"/>
      <c r="AM7" s="898"/>
      <c r="AN7" s="898"/>
    </row>
    <row r="8" spans="1:40" ht="21" thickBot="1">
      <c r="A8" s="883" t="s">
        <v>231</v>
      </c>
      <c r="B8" s="898" t="s">
        <v>0</v>
      </c>
      <c r="C8" s="918" t="s">
        <v>18</v>
      </c>
      <c r="D8" s="919">
        <v>0</v>
      </c>
      <c r="E8" s="919">
        <v>0</v>
      </c>
      <c r="F8" s="919">
        <v>0</v>
      </c>
      <c r="G8" s="920"/>
      <c r="H8" s="919"/>
      <c r="I8" s="919"/>
      <c r="J8" s="920">
        <v>0</v>
      </c>
      <c r="K8" s="919">
        <v>0</v>
      </c>
      <c r="L8" s="921">
        <v>0</v>
      </c>
      <c r="M8" s="920">
        <v>0</v>
      </c>
      <c r="N8" s="921">
        <v>0</v>
      </c>
      <c r="O8" s="920">
        <v>0</v>
      </c>
      <c r="P8" s="919">
        <v>0</v>
      </c>
      <c r="Q8" s="921">
        <v>0</v>
      </c>
      <c r="R8" s="920">
        <v>0</v>
      </c>
      <c r="S8" s="921">
        <v>0</v>
      </c>
      <c r="T8" s="898"/>
      <c r="U8" s="898"/>
      <c r="V8" s="922"/>
      <c r="W8" s="923">
        <v>1</v>
      </c>
      <c r="X8" s="898"/>
      <c r="Y8" s="898"/>
      <c r="Z8" s="898"/>
      <c r="AA8" s="898"/>
      <c r="AB8" s="898"/>
      <c r="AC8" s="898"/>
      <c r="AD8" s="898"/>
      <c r="AE8" s="898"/>
      <c r="AF8" s="898"/>
      <c r="AG8" s="898"/>
      <c r="AH8" s="898"/>
      <c r="AI8" s="898"/>
      <c r="AJ8" s="898"/>
      <c r="AK8" s="898"/>
      <c r="AL8" s="898"/>
      <c r="AM8" s="898"/>
      <c r="AN8" s="898"/>
    </row>
    <row r="9" spans="1:40" ht="21" thickTop="1">
      <c r="A9" s="883" t="s">
        <v>232</v>
      </c>
      <c r="B9" s="898" t="s">
        <v>0</v>
      </c>
      <c r="C9" s="918" t="s">
        <v>19</v>
      </c>
      <c r="D9" s="919">
        <v>0</v>
      </c>
      <c r="E9" s="919">
        <v>0</v>
      </c>
      <c r="F9" s="919">
        <v>0</v>
      </c>
      <c r="G9" s="920"/>
      <c r="H9" s="919"/>
      <c r="I9" s="919"/>
      <c r="J9" s="920">
        <v>0</v>
      </c>
      <c r="K9" s="919">
        <v>0</v>
      </c>
      <c r="L9" s="921">
        <v>0</v>
      </c>
      <c r="M9" s="920">
        <v>0</v>
      </c>
      <c r="N9" s="921">
        <v>0</v>
      </c>
      <c r="O9" s="920">
        <v>0</v>
      </c>
      <c r="P9" s="919">
        <v>0</v>
      </c>
      <c r="Q9" s="921">
        <v>0</v>
      </c>
      <c r="R9" s="920">
        <v>0</v>
      </c>
      <c r="S9" s="921">
        <v>0</v>
      </c>
      <c r="T9" s="898"/>
      <c r="U9" s="898"/>
      <c r="V9" s="898"/>
      <c r="W9" s="898"/>
      <c r="X9" s="898"/>
      <c r="Y9" s="898"/>
      <c r="Z9" s="898"/>
      <c r="AA9" s="898"/>
      <c r="AB9" s="898"/>
      <c r="AC9" s="898"/>
      <c r="AD9" s="898"/>
      <c r="AE9" s="898"/>
      <c r="AF9" s="898"/>
      <c r="AG9" s="898"/>
      <c r="AH9" s="898"/>
      <c r="AI9" s="898"/>
      <c r="AJ9" s="898"/>
      <c r="AK9" s="898"/>
      <c r="AL9" s="898"/>
      <c r="AM9" s="898"/>
      <c r="AN9" s="898"/>
    </row>
    <row r="10" spans="1:40" ht="20.25" hidden="1" customHeight="1">
      <c r="A10" s="883" t="s">
        <v>233</v>
      </c>
      <c r="B10" s="898" t="s">
        <v>0</v>
      </c>
      <c r="C10" s="918" t="s">
        <v>20</v>
      </c>
      <c r="D10" s="919">
        <v>0</v>
      </c>
      <c r="E10" s="919">
        <v>0</v>
      </c>
      <c r="F10" s="919">
        <v>0</v>
      </c>
      <c r="G10" s="920"/>
      <c r="H10" s="919"/>
      <c r="I10" s="919"/>
      <c r="J10" s="920">
        <v>0</v>
      </c>
      <c r="K10" s="919">
        <v>0</v>
      </c>
      <c r="L10" s="921">
        <v>0</v>
      </c>
      <c r="M10" s="920">
        <v>0</v>
      </c>
      <c r="N10" s="921">
        <v>0</v>
      </c>
      <c r="O10" s="920">
        <v>0</v>
      </c>
      <c r="P10" s="919">
        <v>0</v>
      </c>
      <c r="Q10" s="921">
        <v>0</v>
      </c>
      <c r="R10" s="920">
        <v>0</v>
      </c>
      <c r="S10" s="921">
        <v>0</v>
      </c>
      <c r="T10" s="898"/>
      <c r="U10" s="898"/>
      <c r="V10" s="898"/>
      <c r="W10" s="898"/>
      <c r="X10" s="898"/>
      <c r="Y10" s="898"/>
      <c r="Z10" s="898"/>
      <c r="AA10" s="898"/>
      <c r="AB10" s="898"/>
      <c r="AC10" s="898"/>
      <c r="AD10" s="898"/>
      <c r="AE10" s="898"/>
      <c r="AF10" s="898"/>
      <c r="AG10" s="898"/>
      <c r="AH10" s="898"/>
      <c r="AI10" s="898"/>
      <c r="AJ10" s="898"/>
      <c r="AK10" s="898"/>
      <c r="AL10" s="898"/>
      <c r="AM10" s="898"/>
      <c r="AN10" s="898"/>
    </row>
    <row r="11" spans="1:40" ht="20.25" hidden="1" customHeight="1">
      <c r="A11" s="883" t="s">
        <v>233</v>
      </c>
      <c r="B11" s="898" t="s">
        <v>0</v>
      </c>
      <c r="C11" s="918" t="s">
        <v>20</v>
      </c>
      <c r="D11" s="919">
        <v>0</v>
      </c>
      <c r="E11" s="919">
        <v>0</v>
      </c>
      <c r="F11" s="919">
        <v>0</v>
      </c>
      <c r="G11" s="920"/>
      <c r="H11" s="919"/>
      <c r="I11" s="919"/>
      <c r="J11" s="920">
        <v>0</v>
      </c>
      <c r="K11" s="919">
        <v>0</v>
      </c>
      <c r="L11" s="921">
        <v>0</v>
      </c>
      <c r="M11" s="920">
        <v>0</v>
      </c>
      <c r="N11" s="921">
        <v>0</v>
      </c>
      <c r="O11" s="920">
        <v>0</v>
      </c>
      <c r="P11" s="919">
        <v>0</v>
      </c>
      <c r="Q11" s="921">
        <v>0</v>
      </c>
      <c r="R11" s="920">
        <v>0</v>
      </c>
      <c r="S11" s="921">
        <v>0</v>
      </c>
      <c r="T11" s="898"/>
      <c r="U11" s="898"/>
      <c r="V11" s="898"/>
      <c r="W11" s="898"/>
      <c r="X11" s="898"/>
      <c r="Y11" s="898"/>
      <c r="Z11" s="898"/>
      <c r="AA11" s="898"/>
      <c r="AB11" s="898"/>
      <c r="AC11" s="898"/>
      <c r="AD11" s="898"/>
      <c r="AE11" s="898"/>
      <c r="AF11" s="898"/>
      <c r="AG11" s="898"/>
      <c r="AH11" s="898"/>
      <c r="AI11" s="898"/>
      <c r="AJ11" s="898"/>
      <c r="AK11" s="898"/>
      <c r="AL11" s="898"/>
      <c r="AM11" s="898"/>
      <c r="AN11" s="898"/>
    </row>
    <row r="12" spans="1:40" ht="20.25" hidden="1" customHeight="1">
      <c r="A12" s="883" t="s">
        <v>233</v>
      </c>
      <c r="B12" s="898" t="s">
        <v>0</v>
      </c>
      <c r="C12" s="918" t="s">
        <v>20</v>
      </c>
      <c r="D12" s="919">
        <v>0</v>
      </c>
      <c r="E12" s="919">
        <v>0</v>
      </c>
      <c r="F12" s="919">
        <v>0</v>
      </c>
      <c r="G12" s="920"/>
      <c r="H12" s="919"/>
      <c r="I12" s="919"/>
      <c r="J12" s="920">
        <v>0</v>
      </c>
      <c r="K12" s="919">
        <v>0</v>
      </c>
      <c r="L12" s="921">
        <v>0</v>
      </c>
      <c r="M12" s="920">
        <v>0</v>
      </c>
      <c r="N12" s="921">
        <v>0</v>
      </c>
      <c r="O12" s="920">
        <v>0</v>
      </c>
      <c r="P12" s="919">
        <v>0</v>
      </c>
      <c r="Q12" s="921">
        <v>0</v>
      </c>
      <c r="R12" s="920">
        <v>0</v>
      </c>
      <c r="S12" s="921">
        <v>0</v>
      </c>
      <c r="T12" s="898"/>
      <c r="U12" s="898"/>
      <c r="V12" s="898"/>
      <c r="W12" s="898"/>
      <c r="X12" s="898"/>
      <c r="Y12" s="898"/>
      <c r="Z12" s="898"/>
      <c r="AA12" s="898"/>
      <c r="AB12" s="898"/>
      <c r="AC12" s="898"/>
      <c r="AD12" s="898"/>
      <c r="AE12" s="898"/>
      <c r="AF12" s="898"/>
      <c r="AG12" s="898"/>
      <c r="AH12" s="898"/>
      <c r="AI12" s="898"/>
      <c r="AJ12" s="898"/>
      <c r="AK12" s="898"/>
      <c r="AL12" s="898"/>
      <c r="AM12" s="898"/>
      <c r="AN12" s="898"/>
    </row>
    <row r="13" spans="1:40" ht="20.25">
      <c r="A13" s="883" t="s">
        <v>234</v>
      </c>
      <c r="B13" s="898" t="s">
        <v>0</v>
      </c>
      <c r="C13" s="924" t="s">
        <v>21</v>
      </c>
      <c r="D13" s="925">
        <v>60</v>
      </c>
      <c r="E13" s="925">
        <v>2307.3032084720785</v>
      </c>
      <c r="F13" s="926">
        <v>138438.19250832472</v>
      </c>
      <c r="G13" s="927"/>
      <c r="H13" s="925"/>
      <c r="I13" s="926"/>
      <c r="J13" s="927">
        <v>63</v>
      </c>
      <c r="K13" s="925">
        <v>2419.8193650793669</v>
      </c>
      <c r="L13" s="926">
        <v>152448.62000000011</v>
      </c>
      <c r="M13" s="927">
        <v>3</v>
      </c>
      <c r="N13" s="926">
        <v>14010.427491675378</v>
      </c>
      <c r="O13" s="927">
        <v>42</v>
      </c>
      <c r="P13" s="925">
        <v>1912.6778571428547</v>
      </c>
      <c r="Q13" s="926">
        <v>80332.469999999899</v>
      </c>
      <c r="R13" s="927">
        <v>21</v>
      </c>
      <c r="S13" s="926">
        <v>72116.150000000198</v>
      </c>
      <c r="T13" s="898"/>
      <c r="U13" s="898"/>
      <c r="V13" s="898"/>
      <c r="W13" s="898"/>
      <c r="X13" s="898"/>
      <c r="Y13" s="898"/>
      <c r="Z13" s="898"/>
      <c r="AA13" s="898"/>
      <c r="AB13" s="898"/>
      <c r="AC13" s="898"/>
      <c r="AD13" s="898"/>
      <c r="AE13" s="898"/>
      <c r="AF13" s="898"/>
      <c r="AG13" s="898"/>
      <c r="AH13" s="898"/>
      <c r="AI13" s="898"/>
      <c r="AJ13" s="898"/>
      <c r="AK13" s="898"/>
      <c r="AL13" s="898"/>
      <c r="AM13" s="898"/>
      <c r="AN13" s="898"/>
    </row>
    <row r="14" spans="1:40" ht="20.25">
      <c r="A14" s="883" t="s">
        <v>0</v>
      </c>
      <c r="B14" s="898" t="s">
        <v>0</v>
      </c>
      <c r="C14" s="918"/>
      <c r="D14" s="898"/>
      <c r="E14" s="919"/>
      <c r="F14" s="928"/>
      <c r="G14" s="918"/>
      <c r="H14" s="919"/>
      <c r="I14" s="928"/>
      <c r="J14" s="918"/>
      <c r="K14" s="919"/>
      <c r="L14" s="928"/>
      <c r="M14" s="929">
        <v>0.05</v>
      </c>
      <c r="N14" s="930">
        <v>0.10120348465856262</v>
      </c>
      <c r="O14" s="918"/>
      <c r="P14" s="919"/>
      <c r="Q14" s="928"/>
      <c r="R14" s="929">
        <v>0.5</v>
      </c>
      <c r="S14" s="930">
        <v>0.89772105849602646</v>
      </c>
      <c r="T14" s="898"/>
      <c r="U14" s="898"/>
      <c r="V14" s="898"/>
      <c r="W14" s="919"/>
      <c r="X14" s="919"/>
      <c r="Y14" s="898"/>
      <c r="Z14" s="898"/>
      <c r="AA14" s="898"/>
      <c r="AB14" s="898"/>
      <c r="AC14" s="898"/>
      <c r="AD14" s="898">
        <v>20</v>
      </c>
      <c r="AE14" s="898">
        <v>1000</v>
      </c>
      <c r="AF14" s="898">
        <v>20000</v>
      </c>
      <c r="AG14" s="898"/>
      <c r="AH14" s="898"/>
      <c r="AI14" s="898"/>
      <c r="AJ14" s="898"/>
      <c r="AK14" s="898"/>
      <c r="AL14" s="898"/>
      <c r="AM14" s="898"/>
      <c r="AN14" s="898"/>
    </row>
    <row r="15" spans="1:40" ht="20.25">
      <c r="A15" s="883" t="s">
        <v>235</v>
      </c>
      <c r="B15" s="898" t="s">
        <v>0</v>
      </c>
      <c r="C15" s="931" t="s">
        <v>22</v>
      </c>
      <c r="D15" s="915">
        <v>3</v>
      </c>
      <c r="E15" s="915">
        <v>1534.7521433415677</v>
      </c>
      <c r="F15" s="913">
        <v>4604.2564300247031</v>
      </c>
      <c r="G15" s="932"/>
      <c r="H15" s="915"/>
      <c r="I15" s="913"/>
      <c r="J15" s="933">
        <v>1</v>
      </c>
      <c r="K15" s="934">
        <v>1212.3400000000001</v>
      </c>
      <c r="L15" s="934">
        <v>1212.3400000000001</v>
      </c>
      <c r="M15" s="932">
        <v>-2</v>
      </c>
      <c r="N15" s="913">
        <v>-3391.916430024703</v>
      </c>
      <c r="O15" s="933">
        <v>3</v>
      </c>
      <c r="P15" s="934">
        <v>2567.5099999999966</v>
      </c>
      <c r="Q15" s="934">
        <v>7702.5299999999897</v>
      </c>
      <c r="R15" s="932">
        <v>-2</v>
      </c>
      <c r="S15" s="913">
        <v>-6490.1899999999896</v>
      </c>
      <c r="T15" s="898"/>
      <c r="V15" s="919"/>
      <c r="W15" s="898"/>
      <c r="X15" s="898"/>
      <c r="Y15" s="898"/>
      <c r="Z15" s="898"/>
      <c r="AA15" s="898"/>
      <c r="AB15" s="898"/>
      <c r="AC15" s="898"/>
      <c r="AD15" s="898">
        <v>25</v>
      </c>
      <c r="AE15" s="898">
        <v>800</v>
      </c>
      <c r="AF15" s="898">
        <v>20000</v>
      </c>
      <c r="AG15" s="898"/>
      <c r="AH15" s="898"/>
      <c r="AI15" s="898"/>
      <c r="AJ15" s="898"/>
      <c r="AK15" s="898"/>
      <c r="AL15" s="898"/>
      <c r="AM15" s="898"/>
      <c r="AN15" s="898"/>
    </row>
    <row r="16" spans="1:40" ht="20.25">
      <c r="A16" s="883" t="s">
        <v>0</v>
      </c>
      <c r="B16" s="898" t="s">
        <v>0</v>
      </c>
      <c r="C16" s="918"/>
      <c r="D16" s="898"/>
      <c r="E16" s="919"/>
      <c r="F16" s="928"/>
      <c r="G16" s="918"/>
      <c r="H16" s="919"/>
      <c r="I16" s="928"/>
      <c r="J16" s="918"/>
      <c r="K16" s="919"/>
      <c r="L16" s="921"/>
      <c r="M16" s="935"/>
      <c r="N16" s="936"/>
      <c r="O16" s="918"/>
      <c r="P16" s="919"/>
      <c r="Q16" s="921"/>
      <c r="R16" s="935"/>
      <c r="S16" s="936"/>
      <c r="T16" s="898"/>
      <c r="U16" s="898"/>
      <c r="V16" s="898"/>
      <c r="W16" s="898"/>
      <c r="X16" s="898"/>
      <c r="Y16" s="898"/>
      <c r="Z16" s="898"/>
      <c r="AA16" s="898"/>
      <c r="AB16" s="898"/>
      <c r="AC16" s="898"/>
      <c r="AD16" s="898"/>
      <c r="AE16" s="898"/>
      <c r="AF16" s="898"/>
      <c r="AG16" s="898"/>
      <c r="AH16" s="898"/>
      <c r="AI16" s="898"/>
      <c r="AJ16" s="898"/>
      <c r="AK16" s="898"/>
      <c r="AL16" s="898"/>
      <c r="AM16" s="898"/>
      <c r="AN16" s="898"/>
    </row>
    <row r="17" spans="1:40" ht="20.25">
      <c r="A17" s="883" t="s">
        <v>236</v>
      </c>
      <c r="B17" s="898" t="s">
        <v>0</v>
      </c>
      <c r="C17" s="937" t="s">
        <v>23</v>
      </c>
      <c r="D17" s="919">
        <v>2</v>
      </c>
      <c r="E17" s="919">
        <v>2393.8521192147828</v>
      </c>
      <c r="F17" s="919">
        <v>4787.7042384295655</v>
      </c>
      <c r="G17" s="920"/>
      <c r="H17" s="919"/>
      <c r="I17" s="919"/>
      <c r="J17" s="932">
        <v>3</v>
      </c>
      <c r="K17" s="919">
        <v>626.18666666666593</v>
      </c>
      <c r="L17" s="921">
        <v>1878.5599999999977</v>
      </c>
      <c r="M17" s="932">
        <v>1</v>
      </c>
      <c r="N17" s="921">
        <v>-2909.1442384295678</v>
      </c>
      <c r="O17" s="932">
        <v>1</v>
      </c>
      <c r="P17" s="919">
        <v>4920.6399999999903</v>
      </c>
      <c r="Q17" s="921">
        <v>4920.6399999999903</v>
      </c>
      <c r="R17" s="920">
        <v>2</v>
      </c>
      <c r="S17" s="921">
        <v>-3042.0799999999927</v>
      </c>
      <c r="T17" s="898"/>
      <c r="U17" s="895"/>
      <c r="V17" s="938"/>
      <c r="W17" s="898"/>
      <c r="X17" s="898"/>
      <c r="Y17" s="898"/>
      <c r="Z17" s="898"/>
      <c r="AA17" s="919"/>
      <c r="AB17" s="898"/>
      <c r="AC17" s="898"/>
      <c r="AD17" s="898"/>
      <c r="AE17" s="898"/>
      <c r="AF17" s="898"/>
      <c r="AG17" s="898"/>
      <c r="AH17" s="898"/>
      <c r="AI17" s="898"/>
      <c r="AJ17" s="898"/>
      <c r="AK17" s="898"/>
      <c r="AL17" s="898"/>
      <c r="AM17" s="898"/>
      <c r="AN17" s="898"/>
    </row>
    <row r="18" spans="1:40" ht="20.25">
      <c r="A18" s="883" t="s">
        <v>0</v>
      </c>
      <c r="B18" s="898" t="s">
        <v>0</v>
      </c>
      <c r="C18" s="924"/>
      <c r="D18" s="939"/>
      <c r="E18" s="939"/>
      <c r="F18" s="940"/>
      <c r="G18" s="941"/>
      <c r="H18" s="939"/>
      <c r="I18" s="940"/>
      <c r="J18" s="920"/>
      <c r="K18" s="939"/>
      <c r="L18" s="940"/>
      <c r="M18" s="920"/>
      <c r="N18" s="940"/>
      <c r="O18" s="920"/>
      <c r="P18" s="939"/>
      <c r="Q18" s="940"/>
      <c r="R18" s="941"/>
      <c r="S18" s="940"/>
      <c r="T18" s="898"/>
      <c r="U18" s="898"/>
      <c r="W18" s="898"/>
      <c r="X18" s="898"/>
      <c r="Y18" s="898"/>
      <c r="Z18" s="898"/>
      <c r="AA18" s="898"/>
      <c r="AB18" s="898"/>
      <c r="AC18" s="898"/>
      <c r="AD18" s="898"/>
      <c r="AE18" s="898"/>
      <c r="AF18" s="898"/>
      <c r="AG18" s="898"/>
      <c r="AH18" s="898"/>
      <c r="AI18" s="898"/>
      <c r="AJ18" s="898"/>
      <c r="AK18" s="898"/>
      <c r="AL18" s="898"/>
      <c r="AM18" s="898"/>
      <c r="AN18" s="898"/>
    </row>
    <row r="19" spans="1:40" ht="20.25">
      <c r="A19" s="883" t="s">
        <v>237</v>
      </c>
      <c r="B19" s="898" t="s">
        <v>0</v>
      </c>
      <c r="C19" s="931" t="s">
        <v>24</v>
      </c>
      <c r="D19" s="919">
        <v>0</v>
      </c>
      <c r="E19" s="919">
        <v>0</v>
      </c>
      <c r="F19" s="919">
        <v>6800</v>
      </c>
      <c r="G19" s="920"/>
      <c r="H19" s="919"/>
      <c r="I19" s="919"/>
      <c r="J19" s="932"/>
      <c r="K19" s="919"/>
      <c r="L19" s="921">
        <v>11637.419999999984</v>
      </c>
      <c r="M19" s="920"/>
      <c r="N19" s="921">
        <v>4837.4199999999837</v>
      </c>
      <c r="O19" s="932"/>
      <c r="P19" s="919"/>
      <c r="Q19" s="921">
        <v>14800</v>
      </c>
      <c r="R19" s="920">
        <v>0</v>
      </c>
      <c r="S19" s="921">
        <v>-3162.5800000000163</v>
      </c>
      <c r="T19" s="898"/>
      <c r="W19" s="919"/>
      <c r="X19" s="942"/>
      <c r="Y19" s="898"/>
      <c r="Z19" s="898"/>
      <c r="AA19" s="898"/>
      <c r="AB19" s="898"/>
      <c r="AC19" s="898"/>
      <c r="AD19" s="898"/>
      <c r="AE19" s="898"/>
      <c r="AF19" s="898"/>
      <c r="AG19" s="898"/>
      <c r="AH19" s="898"/>
      <c r="AI19" s="898"/>
      <c r="AJ19" s="898"/>
      <c r="AK19" s="898"/>
      <c r="AL19" s="898"/>
      <c r="AM19" s="898"/>
      <c r="AN19" s="898"/>
    </row>
    <row r="20" spans="1:40" ht="20.25">
      <c r="A20" s="883" t="s">
        <v>0</v>
      </c>
      <c r="B20" s="898" t="s">
        <v>0</v>
      </c>
      <c r="C20" s="924"/>
      <c r="D20" s="939"/>
      <c r="E20" s="939"/>
      <c r="F20" s="940"/>
      <c r="G20" s="941"/>
      <c r="H20" s="939"/>
      <c r="I20" s="940"/>
      <c r="J20" s="920"/>
      <c r="K20" s="939"/>
      <c r="L20" s="940"/>
      <c r="M20" s="941"/>
      <c r="N20" s="940"/>
      <c r="O20" s="920"/>
      <c r="P20" s="939"/>
      <c r="Q20" s="940"/>
      <c r="R20" s="941"/>
      <c r="S20" s="940"/>
      <c r="T20" s="898"/>
      <c r="U20" s="898"/>
      <c r="W20" s="919"/>
      <c r="X20" s="942"/>
      <c r="Y20" s="898"/>
      <c r="Z20" s="898"/>
      <c r="AA20" s="898"/>
      <c r="AB20" s="898"/>
      <c r="AC20" s="898"/>
      <c r="AD20" s="898"/>
      <c r="AE20" s="898"/>
      <c r="AF20" s="898"/>
      <c r="AG20" s="898"/>
      <c r="AH20" s="898"/>
      <c r="AI20" s="898"/>
      <c r="AJ20" s="898"/>
      <c r="AK20" s="898"/>
      <c r="AL20" s="898"/>
      <c r="AM20" s="898"/>
      <c r="AN20" s="898"/>
    </row>
    <row r="21" spans="1:40" ht="15.75" customHeight="1">
      <c r="A21" s="883" t="s">
        <v>238</v>
      </c>
      <c r="B21" s="898" t="s">
        <v>0</v>
      </c>
      <c r="C21" s="918" t="s">
        <v>25</v>
      </c>
      <c r="D21" s="919">
        <v>0</v>
      </c>
      <c r="E21" s="919">
        <v>0</v>
      </c>
      <c r="F21" s="919">
        <v>3150</v>
      </c>
      <c r="G21" s="920"/>
      <c r="H21" s="919"/>
      <c r="I21" s="919"/>
      <c r="J21" s="920"/>
      <c r="K21" s="919">
        <v>0</v>
      </c>
      <c r="L21" s="921">
        <v>0</v>
      </c>
      <c r="M21" s="920"/>
      <c r="N21" s="921">
        <v>-3150</v>
      </c>
      <c r="O21" s="920"/>
      <c r="P21" s="919"/>
      <c r="Q21" s="921">
        <v>0</v>
      </c>
      <c r="R21" s="920">
        <v>0</v>
      </c>
      <c r="S21" s="921">
        <v>0</v>
      </c>
      <c r="T21" s="898"/>
      <c r="U21" s="898"/>
      <c r="W21" s="898"/>
      <c r="X21" s="942"/>
      <c r="Y21" s="898"/>
      <c r="Z21" s="898"/>
      <c r="AA21" s="898"/>
      <c r="AB21" s="898"/>
      <c r="AC21" s="898"/>
      <c r="AD21" s="898"/>
      <c r="AE21" s="898"/>
      <c r="AF21" s="898"/>
      <c r="AG21" s="898"/>
      <c r="AH21" s="898"/>
      <c r="AI21" s="898"/>
      <c r="AJ21" s="898"/>
      <c r="AK21" s="898"/>
      <c r="AL21" s="898"/>
      <c r="AM21" s="898"/>
      <c r="AN21" s="898"/>
    </row>
    <row r="22" spans="1:40" ht="18" customHeight="1">
      <c r="A22" s="883" t="s">
        <v>239</v>
      </c>
      <c r="B22" s="898" t="s">
        <v>0</v>
      </c>
      <c r="C22" s="918" t="s">
        <v>26</v>
      </c>
      <c r="D22" s="919">
        <v>0</v>
      </c>
      <c r="E22" s="919">
        <v>0</v>
      </c>
      <c r="F22" s="919">
        <v>58590</v>
      </c>
      <c r="G22" s="920"/>
      <c r="H22" s="919"/>
      <c r="I22" s="919"/>
      <c r="J22" s="920"/>
      <c r="K22" s="919">
        <v>952.71765625</v>
      </c>
      <c r="L22" s="921">
        <v>60973.93</v>
      </c>
      <c r="M22" s="920"/>
      <c r="N22" s="921">
        <v>2383.9300000000003</v>
      </c>
      <c r="O22" s="920"/>
      <c r="P22" s="919"/>
      <c r="Q22" s="921">
        <v>45910.53</v>
      </c>
      <c r="R22" s="920">
        <v>-952.71765625</v>
      </c>
      <c r="S22" s="921">
        <v>15063.400000000001</v>
      </c>
      <c r="T22" s="898"/>
      <c r="U22" s="898"/>
      <c r="V22" s="898"/>
      <c r="W22" s="898"/>
      <c r="X22" s="898"/>
      <c r="Y22" s="898"/>
      <c r="Z22" s="898"/>
      <c r="AA22" s="898"/>
      <c r="AB22" s="898"/>
      <c r="AC22" s="898"/>
      <c r="AD22" s="898"/>
      <c r="AE22" s="898"/>
      <c r="AF22" s="898"/>
      <c r="AG22" s="898"/>
      <c r="AH22" s="898"/>
      <c r="AI22" s="898"/>
      <c r="AJ22" s="898"/>
      <c r="AK22" s="898"/>
      <c r="AL22" s="898"/>
      <c r="AM22" s="898"/>
      <c r="AN22" s="898"/>
    </row>
    <row r="23" spans="1:40" ht="19.5" customHeight="1">
      <c r="A23" s="883" t="s">
        <v>240</v>
      </c>
      <c r="B23" s="898" t="s">
        <v>0</v>
      </c>
      <c r="C23" s="918" t="s">
        <v>27</v>
      </c>
      <c r="D23" s="919">
        <v>0</v>
      </c>
      <c r="E23" s="919">
        <v>0</v>
      </c>
      <c r="F23" s="919">
        <v>1260</v>
      </c>
      <c r="G23" s="920"/>
      <c r="H23" s="919"/>
      <c r="I23" s="919"/>
      <c r="J23" s="920"/>
      <c r="K23" s="919">
        <v>0</v>
      </c>
      <c r="L23" s="921">
        <v>0</v>
      </c>
      <c r="M23" s="932"/>
      <c r="N23" s="921">
        <v>-1260</v>
      </c>
      <c r="O23" s="920"/>
      <c r="P23" s="919"/>
      <c r="Q23" s="921">
        <v>1628.24</v>
      </c>
      <c r="R23" s="920">
        <v>0</v>
      </c>
      <c r="S23" s="921">
        <v>-1628.24</v>
      </c>
      <c r="T23" s="898"/>
      <c r="U23" s="898"/>
      <c r="V23" s="898"/>
      <c r="W23" s="898"/>
      <c r="X23" s="898"/>
      <c r="Y23" s="898"/>
      <c r="Z23" s="898"/>
      <c r="AA23" s="898"/>
      <c r="AB23" s="898"/>
      <c r="AC23" s="898"/>
      <c r="AD23" s="898"/>
      <c r="AE23" s="898"/>
      <c r="AF23" s="898"/>
      <c r="AG23" s="898"/>
      <c r="AH23" s="898"/>
      <c r="AI23" s="898"/>
      <c r="AJ23" s="898"/>
      <c r="AK23" s="898"/>
      <c r="AL23" s="898"/>
      <c r="AM23" s="898"/>
      <c r="AN23" s="898"/>
    </row>
    <row r="24" spans="1:40" ht="18" customHeight="1">
      <c r="A24" s="883" t="s">
        <v>241</v>
      </c>
      <c r="B24" s="898" t="s">
        <v>0</v>
      </c>
      <c r="C24" s="924" t="s">
        <v>28</v>
      </c>
      <c r="D24" s="925">
        <v>63</v>
      </c>
      <c r="E24" s="925">
        <v>1000</v>
      </c>
      <c r="F24" s="926">
        <v>63000</v>
      </c>
      <c r="G24" s="927"/>
      <c r="H24" s="925"/>
      <c r="I24" s="926"/>
      <c r="J24" s="927">
        <v>64</v>
      </c>
      <c r="K24" s="925">
        <v>952.71765625</v>
      </c>
      <c r="L24" s="926">
        <v>60973.93</v>
      </c>
      <c r="M24" s="943">
        <v>1</v>
      </c>
      <c r="N24" s="926">
        <v>-2026.0699999999997</v>
      </c>
      <c r="O24" s="927">
        <v>45</v>
      </c>
      <c r="P24" s="925">
        <v>1056.4171111111111</v>
      </c>
      <c r="Q24" s="926">
        <v>47538.77</v>
      </c>
      <c r="R24" s="941"/>
      <c r="S24" s="926">
        <v>13435.160000000003</v>
      </c>
      <c r="T24" s="898"/>
      <c r="U24" s="898"/>
      <c r="V24" s="898"/>
      <c r="W24" s="898"/>
      <c r="X24" s="898"/>
      <c r="Y24" s="898"/>
      <c r="Z24" s="898"/>
      <c r="AA24" s="898"/>
      <c r="AB24" s="898"/>
      <c r="AC24" s="898"/>
      <c r="AD24" s="898"/>
      <c r="AE24" s="898"/>
      <c r="AF24" s="898"/>
      <c r="AG24" s="898"/>
      <c r="AH24" s="898"/>
      <c r="AI24" s="898"/>
      <c r="AJ24" s="898"/>
      <c r="AK24" s="898"/>
      <c r="AL24" s="898"/>
      <c r="AM24" s="898"/>
      <c r="AN24" s="898"/>
    </row>
    <row r="25" spans="1:40" ht="15.75" customHeight="1">
      <c r="A25" s="883" t="s">
        <v>0</v>
      </c>
      <c r="B25" s="898" t="s">
        <v>0</v>
      </c>
      <c r="C25" s="918"/>
      <c r="D25" s="898"/>
      <c r="E25" s="898"/>
      <c r="F25" s="944"/>
      <c r="G25" s="918"/>
      <c r="H25" s="898"/>
      <c r="I25" s="944"/>
      <c r="J25" s="918"/>
      <c r="K25" s="898"/>
      <c r="L25" s="944"/>
      <c r="M25" s="935"/>
      <c r="N25" s="936">
        <v>-3.2159841269841262E-2</v>
      </c>
      <c r="O25" s="918"/>
      <c r="P25" s="898"/>
      <c r="Q25" s="944"/>
      <c r="R25" s="945"/>
      <c r="S25" s="936">
        <v>0.28261480050914239</v>
      </c>
      <c r="T25" s="898"/>
      <c r="U25" s="898"/>
      <c r="V25" s="898"/>
      <c r="W25" s="898"/>
      <c r="X25" s="898"/>
      <c r="Y25" s="898"/>
      <c r="Z25" s="898"/>
      <c r="AA25" s="898"/>
      <c r="AB25" s="898"/>
      <c r="AC25" s="898"/>
      <c r="AD25" s="898"/>
      <c r="AE25" s="898"/>
      <c r="AF25" s="898"/>
      <c r="AG25" s="898"/>
      <c r="AH25" s="898"/>
      <c r="AI25" s="898"/>
      <c r="AJ25" s="898"/>
      <c r="AK25" s="898"/>
      <c r="AL25" s="898"/>
      <c r="AM25" s="898"/>
      <c r="AN25" s="898"/>
    </row>
    <row r="26" spans="1:40" ht="15.75" customHeight="1" thickBot="1">
      <c r="A26" s="883" t="s">
        <v>0</v>
      </c>
      <c r="B26" s="898" t="s">
        <v>0</v>
      </c>
      <c r="C26" s="918"/>
      <c r="D26" s="898"/>
      <c r="E26" s="898"/>
      <c r="F26" s="928"/>
      <c r="G26" s="918"/>
      <c r="H26" s="898"/>
      <c r="I26" s="928"/>
      <c r="J26" s="918"/>
      <c r="K26" s="898"/>
      <c r="L26" s="928"/>
      <c r="M26" s="918"/>
      <c r="N26" s="928"/>
      <c r="O26" s="918"/>
      <c r="P26" s="898"/>
      <c r="Q26" s="928"/>
      <c r="R26" s="918"/>
      <c r="S26" s="928"/>
      <c r="T26" s="898"/>
      <c r="U26" s="898"/>
      <c r="V26" s="898"/>
      <c r="W26" s="898"/>
      <c r="X26" s="898"/>
      <c r="Y26" s="898"/>
      <c r="Z26" s="898"/>
      <c r="AA26" s="898"/>
      <c r="AB26" s="898"/>
      <c r="AC26" s="898"/>
      <c r="AD26" s="898"/>
      <c r="AE26" s="898"/>
      <c r="AF26" s="898"/>
      <c r="AG26" s="898"/>
      <c r="AH26" s="898"/>
      <c r="AI26" s="898"/>
      <c r="AJ26" s="898"/>
      <c r="AK26" s="898"/>
      <c r="AL26" s="898"/>
      <c r="AM26" s="898"/>
      <c r="AN26" s="898"/>
    </row>
    <row r="27" spans="1:40" ht="18" customHeight="1" thickTop="1">
      <c r="A27" s="883" t="s">
        <v>242</v>
      </c>
      <c r="B27" s="898" t="s">
        <v>0</v>
      </c>
      <c r="C27" s="946" t="s">
        <v>29</v>
      </c>
      <c r="D27" s="947">
        <v>65</v>
      </c>
      <c r="E27" s="948">
        <v>3348.1562027196769</v>
      </c>
      <c r="F27" s="949">
        <v>217630.15317677899</v>
      </c>
      <c r="G27" s="950"/>
      <c r="H27" s="948"/>
      <c r="I27" s="949"/>
      <c r="J27" s="950">
        <v>67</v>
      </c>
      <c r="K27" s="948">
        <v>3405.236865671643</v>
      </c>
      <c r="L27" s="949">
        <v>228150.87000000008</v>
      </c>
      <c r="M27" s="950">
        <v>2</v>
      </c>
      <c r="N27" s="949">
        <v>10520.716823221097</v>
      </c>
      <c r="O27" s="950">
        <v>46</v>
      </c>
      <c r="P27" s="948">
        <v>3375.9654347826063</v>
      </c>
      <c r="Q27" s="949">
        <v>155294.40999999989</v>
      </c>
      <c r="R27" s="950">
        <v>21</v>
      </c>
      <c r="S27" s="949">
        <v>72856.460000000196</v>
      </c>
      <c r="T27" s="898"/>
      <c r="U27" s="898"/>
      <c r="V27" s="898"/>
      <c r="W27" s="898"/>
      <c r="X27" s="898"/>
      <c r="Y27" s="898"/>
      <c r="Z27" s="898"/>
      <c r="AA27" s="898"/>
      <c r="AB27" s="898"/>
      <c r="AC27" s="898"/>
      <c r="AD27" s="898"/>
      <c r="AE27" s="898"/>
      <c r="AF27" s="898"/>
      <c r="AG27" s="898"/>
      <c r="AH27" s="898"/>
      <c r="AI27" s="898"/>
      <c r="AJ27" s="898"/>
      <c r="AK27" s="898"/>
      <c r="AL27" s="898"/>
      <c r="AM27" s="898"/>
      <c r="AN27" s="898"/>
    </row>
    <row r="28" spans="1:40" ht="22.5" customHeight="1" thickBot="1">
      <c r="A28" s="883" t="s">
        <v>0</v>
      </c>
      <c r="B28" s="898" t="s">
        <v>0</v>
      </c>
      <c r="C28" s="951"/>
      <c r="D28" s="952"/>
      <c r="E28" s="952"/>
      <c r="F28" s="953"/>
      <c r="G28" s="951"/>
      <c r="H28" s="952"/>
      <c r="I28" s="953"/>
      <c r="J28" s="951"/>
      <c r="K28" s="954"/>
      <c r="L28" s="955">
        <v>1.0483421836066771</v>
      </c>
      <c r="M28" s="956">
        <v>3.0769230769230771E-2</v>
      </c>
      <c r="N28" s="957">
        <v>4.8342183606677032E-2</v>
      </c>
      <c r="O28" s="951"/>
      <c r="P28" s="952"/>
      <c r="Q28" s="953"/>
      <c r="R28" s="956">
        <v>0.45652173913043476</v>
      </c>
      <c r="S28" s="957">
        <v>0.46915056375822056</v>
      </c>
      <c r="T28" s="898"/>
      <c r="U28" s="898"/>
      <c r="V28" s="898"/>
      <c r="W28" s="898"/>
      <c r="X28" s="898"/>
      <c r="Y28" s="898"/>
      <c r="Z28" s="898"/>
      <c r="AA28" s="898"/>
      <c r="AB28" s="898"/>
      <c r="AC28" s="898"/>
      <c r="AD28" s="898"/>
      <c r="AE28" s="898"/>
      <c r="AF28" s="898"/>
      <c r="AG28" s="898"/>
      <c r="AH28" s="898"/>
      <c r="AI28" s="898"/>
      <c r="AJ28" s="898"/>
      <c r="AK28" s="898"/>
      <c r="AL28" s="898"/>
      <c r="AM28" s="898"/>
      <c r="AN28" s="898"/>
    </row>
    <row r="29" spans="1:40" ht="15.75" customHeight="1" thickTop="1">
      <c r="A29" s="883" t="s">
        <v>0</v>
      </c>
      <c r="B29" s="898" t="s">
        <v>0</v>
      </c>
      <c r="C29" s="937"/>
      <c r="D29" s="958"/>
      <c r="E29" s="958"/>
      <c r="F29" s="959"/>
      <c r="G29" s="937"/>
      <c r="H29" s="958"/>
      <c r="I29" s="959"/>
      <c r="J29" s="937"/>
      <c r="K29" s="958"/>
      <c r="L29" s="959"/>
      <c r="M29" s="935"/>
      <c r="N29" s="936"/>
      <c r="O29" s="937"/>
      <c r="P29" s="958"/>
      <c r="Q29" s="959"/>
      <c r="R29" s="935"/>
      <c r="S29" s="936"/>
      <c r="T29" s="898"/>
      <c r="U29" s="960"/>
      <c r="V29" s="898"/>
      <c r="W29" s="898"/>
      <c r="X29" s="898"/>
      <c r="Y29" s="898"/>
      <c r="Z29" s="898"/>
      <c r="AA29" s="898"/>
      <c r="AB29" s="898"/>
      <c r="AC29" s="898"/>
      <c r="AD29" s="898"/>
      <c r="AE29" s="898"/>
      <c r="AF29" s="898"/>
      <c r="AG29" s="898"/>
      <c r="AH29" s="898"/>
      <c r="AI29" s="898"/>
      <c r="AJ29" s="898"/>
      <c r="AK29" s="898"/>
      <c r="AL29" s="898"/>
      <c r="AM29" s="898"/>
      <c r="AN29" s="898"/>
    </row>
    <row r="30" spans="1:40" ht="15.75" customHeight="1">
      <c r="A30" s="883" t="s">
        <v>243</v>
      </c>
      <c r="B30" s="898" t="s">
        <v>0</v>
      </c>
      <c r="C30" s="961" t="s">
        <v>30</v>
      </c>
      <c r="D30" s="898"/>
      <c r="E30" s="962"/>
      <c r="F30" s="944"/>
      <c r="G30" s="918"/>
      <c r="H30" s="962"/>
      <c r="I30" s="944"/>
      <c r="J30" s="918"/>
      <c r="K30" s="962"/>
      <c r="L30" s="928"/>
      <c r="M30" s="918"/>
      <c r="N30" s="928"/>
      <c r="O30" s="918"/>
      <c r="P30" s="962"/>
      <c r="Q30" s="928"/>
      <c r="R30" s="918"/>
      <c r="S30" s="928"/>
      <c r="T30" s="898"/>
      <c r="U30" s="898"/>
      <c r="V30" s="898"/>
      <c r="W30" s="898"/>
      <c r="X30" s="898"/>
      <c r="Y30" s="898"/>
      <c r="Z30" s="898"/>
      <c r="AA30" s="898"/>
      <c r="AB30" s="898"/>
      <c r="AC30" s="898"/>
      <c r="AD30" s="898"/>
      <c r="AE30" s="898"/>
      <c r="AF30" s="898"/>
      <c r="AG30" s="898"/>
      <c r="AH30" s="898"/>
      <c r="AI30" s="898"/>
      <c r="AJ30" s="898"/>
      <c r="AK30" s="898"/>
      <c r="AL30" s="898"/>
      <c r="AM30" s="898"/>
      <c r="AN30" s="898"/>
    </row>
    <row r="31" spans="1:40" ht="15.75" customHeight="1">
      <c r="A31" s="883" t="s">
        <v>244</v>
      </c>
      <c r="B31" s="898" t="s">
        <v>0</v>
      </c>
      <c r="C31" s="918" t="s">
        <v>31</v>
      </c>
      <c r="D31" s="963">
        <v>0.33053741520820579</v>
      </c>
      <c r="E31" s="960">
        <v>750.49017995450447</v>
      </c>
      <c r="F31" s="919">
        <v>47280.881337133782</v>
      </c>
      <c r="G31" s="964"/>
      <c r="H31" s="960"/>
      <c r="I31" s="919"/>
      <c r="J31" s="964">
        <v>0.27478501926712884</v>
      </c>
      <c r="K31" s="960">
        <v>667.81140625</v>
      </c>
      <c r="L31" s="919">
        <v>42739.93</v>
      </c>
      <c r="M31" s="918"/>
      <c r="N31" s="944">
        <v>-4540.9513371337816</v>
      </c>
      <c r="O31" s="965">
        <v>0.32887988292049891</v>
      </c>
      <c r="P31" s="960">
        <v>679.36088888888889</v>
      </c>
      <c r="Q31" s="921">
        <v>30571.24</v>
      </c>
      <c r="R31" s="918"/>
      <c r="S31" s="944">
        <v>12168.689999999999</v>
      </c>
      <c r="T31" s="898"/>
      <c r="U31" s="898"/>
      <c r="V31" s="898"/>
      <c r="W31" s="898"/>
      <c r="X31" s="898"/>
      <c r="Y31" s="898"/>
      <c r="Z31" s="898"/>
      <c r="AA31" s="898"/>
      <c r="AB31" s="898"/>
      <c r="AC31" s="898"/>
      <c r="AD31" s="898"/>
      <c r="AE31" s="898"/>
      <c r="AF31" s="898"/>
      <c r="AG31" s="898"/>
      <c r="AH31" s="898"/>
      <c r="AI31" s="898"/>
      <c r="AJ31" s="898"/>
      <c r="AK31" s="898"/>
      <c r="AL31" s="898"/>
      <c r="AM31" s="898"/>
      <c r="AN31" s="898"/>
    </row>
    <row r="32" spans="1:40" ht="15.75" customHeight="1">
      <c r="A32" s="883" t="s">
        <v>245</v>
      </c>
      <c r="B32" s="898" t="s">
        <v>0</v>
      </c>
      <c r="C32" s="911" t="s">
        <v>32</v>
      </c>
      <c r="D32" s="966">
        <v>0.28000000000000003</v>
      </c>
      <c r="E32" s="967">
        <v>280</v>
      </c>
      <c r="F32" s="913">
        <v>17640</v>
      </c>
      <c r="G32" s="968"/>
      <c r="H32" s="967"/>
      <c r="I32" s="913"/>
      <c r="J32" s="968">
        <v>0.26000357857858269</v>
      </c>
      <c r="K32" s="967">
        <v>247.71</v>
      </c>
      <c r="L32" s="913">
        <v>15853.44</v>
      </c>
      <c r="M32" s="911"/>
      <c r="N32" s="969">
        <v>-1786.5599999999995</v>
      </c>
      <c r="O32" s="970">
        <v>0.29777379599850817</v>
      </c>
      <c r="P32" s="967">
        <v>314.57333333333332</v>
      </c>
      <c r="Q32" s="913">
        <v>14155.8</v>
      </c>
      <c r="R32" s="911"/>
      <c r="S32" s="969">
        <v>1697.6400000000012</v>
      </c>
      <c r="T32" s="898"/>
      <c r="Z32" s="898"/>
      <c r="AA32" s="898"/>
      <c r="AB32" s="898"/>
      <c r="AC32" s="898"/>
      <c r="AD32" s="898"/>
      <c r="AE32" s="898"/>
      <c r="AF32" s="898"/>
      <c r="AG32" s="898"/>
      <c r="AH32" s="898"/>
      <c r="AI32" s="898"/>
      <c r="AJ32" s="898"/>
      <c r="AK32" s="898"/>
      <c r="AL32" s="898"/>
      <c r="AM32" s="898"/>
      <c r="AN32" s="898"/>
    </row>
    <row r="33" spans="1:40" ht="15.75" customHeight="1">
      <c r="A33" s="883" t="s">
        <v>246</v>
      </c>
      <c r="B33" s="898" t="s">
        <v>0</v>
      </c>
      <c r="C33" s="918" t="s">
        <v>33</v>
      </c>
      <c r="D33" s="971"/>
      <c r="E33" s="960">
        <v>115</v>
      </c>
      <c r="F33" s="919">
        <v>7245</v>
      </c>
      <c r="G33" s="972"/>
      <c r="H33" s="960"/>
      <c r="I33" s="919"/>
      <c r="J33" s="918"/>
      <c r="K33" s="960">
        <v>130.02187499999999</v>
      </c>
      <c r="L33" s="919">
        <v>8321.4</v>
      </c>
      <c r="M33" s="918"/>
      <c r="N33" s="944">
        <v>1076.3999999999996</v>
      </c>
      <c r="O33" s="918"/>
      <c r="P33" s="960">
        <v>123.12511111111111</v>
      </c>
      <c r="Q33" s="921">
        <v>5540.63</v>
      </c>
      <c r="R33" s="918"/>
      <c r="S33" s="944">
        <v>2780.7699999999995</v>
      </c>
      <c r="T33" s="898"/>
      <c r="U33" s="938"/>
      <c r="Z33" s="898"/>
      <c r="AA33" s="898"/>
      <c r="AB33" s="898"/>
      <c r="AC33" s="898"/>
      <c r="AD33" s="898"/>
      <c r="AE33" s="898"/>
      <c r="AF33" s="898"/>
      <c r="AG33" s="898"/>
      <c r="AH33" s="898"/>
      <c r="AI33" s="898"/>
      <c r="AJ33" s="898"/>
      <c r="AK33" s="898"/>
      <c r="AL33" s="898"/>
      <c r="AM33" s="898"/>
      <c r="AN33" s="898"/>
    </row>
    <row r="34" spans="1:40" ht="15.75" customHeight="1">
      <c r="A34" s="883" t="s">
        <v>247</v>
      </c>
      <c r="B34" s="898" t="s">
        <v>0</v>
      </c>
      <c r="C34" s="918" t="s">
        <v>34</v>
      </c>
      <c r="D34" s="971"/>
      <c r="E34" s="960">
        <v>10</v>
      </c>
      <c r="F34" s="919">
        <v>630</v>
      </c>
      <c r="G34" s="972"/>
      <c r="H34" s="960"/>
      <c r="I34" s="919"/>
      <c r="J34" s="918"/>
      <c r="K34" s="960">
        <v>0</v>
      </c>
      <c r="L34" s="919">
        <v>0</v>
      </c>
      <c r="M34" s="918"/>
      <c r="N34" s="944">
        <v>-630</v>
      </c>
      <c r="O34" s="918"/>
      <c r="P34" s="960">
        <v>36.238888888888887</v>
      </c>
      <c r="Q34" s="921">
        <v>1630.75</v>
      </c>
      <c r="R34" s="918"/>
      <c r="S34" s="944">
        <v>-1630.75</v>
      </c>
      <c r="T34" s="898"/>
      <c r="Z34" s="898"/>
      <c r="AA34" s="898"/>
      <c r="AB34" s="898"/>
      <c r="AC34" s="898"/>
      <c r="AD34" s="898"/>
      <c r="AE34" s="898"/>
      <c r="AF34" s="898"/>
      <c r="AG34" s="898"/>
      <c r="AH34" s="898"/>
      <c r="AI34" s="898"/>
      <c r="AJ34" s="898"/>
      <c r="AK34" s="898"/>
      <c r="AL34" s="898"/>
      <c r="AM34" s="898"/>
      <c r="AN34" s="898"/>
    </row>
    <row r="35" spans="1:40" ht="15.75" customHeight="1">
      <c r="A35" s="883" t="s">
        <v>248</v>
      </c>
      <c r="B35" s="898" t="s">
        <v>0</v>
      </c>
      <c r="C35" s="911" t="s">
        <v>35</v>
      </c>
      <c r="D35" s="973"/>
      <c r="E35" s="967">
        <v>120.75</v>
      </c>
      <c r="F35" s="913">
        <v>7607.25</v>
      </c>
      <c r="G35" s="974"/>
      <c r="H35" s="967"/>
      <c r="I35" s="913"/>
      <c r="J35" s="911"/>
      <c r="K35" s="967">
        <v>121.188125</v>
      </c>
      <c r="L35" s="913">
        <v>7756.04</v>
      </c>
      <c r="M35" s="911"/>
      <c r="N35" s="969">
        <v>148.78999999999996</v>
      </c>
      <c r="O35" s="911"/>
      <c r="P35" s="967">
        <v>174.15711111111111</v>
      </c>
      <c r="Q35" s="921">
        <v>7837.07</v>
      </c>
      <c r="R35" s="911"/>
      <c r="S35" s="969">
        <v>-81.029999999999745</v>
      </c>
      <c r="T35" s="898"/>
      <c r="Z35" s="898"/>
      <c r="AA35" s="898"/>
      <c r="AB35" s="898"/>
      <c r="AC35" s="898"/>
      <c r="AD35" s="898"/>
      <c r="AE35" s="898"/>
      <c r="AF35" s="898"/>
      <c r="AG35" s="898"/>
      <c r="AH35" s="898"/>
      <c r="AI35" s="898"/>
      <c r="AJ35" s="898"/>
      <c r="AK35" s="898"/>
      <c r="AL35" s="898"/>
      <c r="AM35" s="898"/>
      <c r="AN35" s="898"/>
    </row>
    <row r="36" spans="1:40" ht="15.75" customHeight="1">
      <c r="A36" s="883" t="s">
        <v>249</v>
      </c>
      <c r="B36" s="898" t="s">
        <v>0</v>
      </c>
      <c r="C36" s="918" t="s">
        <v>36</v>
      </c>
      <c r="D36" s="971"/>
      <c r="E36" s="960">
        <v>81.936507936507937</v>
      </c>
      <c r="F36" s="919">
        <v>5162</v>
      </c>
      <c r="G36" s="972"/>
      <c r="H36" s="960"/>
      <c r="I36" s="919"/>
      <c r="J36" s="918"/>
      <c r="K36" s="960">
        <v>124.21734375</v>
      </c>
      <c r="L36" s="975">
        <v>7949.91</v>
      </c>
      <c r="M36" s="898"/>
      <c r="N36" s="944">
        <v>2787.91</v>
      </c>
      <c r="O36" s="918"/>
      <c r="P36" s="960">
        <v>180.94755555555534</v>
      </c>
      <c r="Q36" s="940">
        <v>8142.6399999999903</v>
      </c>
      <c r="R36" s="918"/>
      <c r="S36" s="944">
        <v>-192.72999999999047</v>
      </c>
      <c r="T36" s="898"/>
      <c r="Z36" s="898"/>
      <c r="AA36" s="898"/>
      <c r="AB36" s="898"/>
      <c r="AC36" s="898"/>
      <c r="AD36" s="898"/>
      <c r="AE36" s="898"/>
      <c r="AF36" s="898"/>
      <c r="AG36" s="898"/>
      <c r="AH36" s="898"/>
      <c r="AI36" s="898"/>
      <c r="AJ36" s="898"/>
      <c r="AK36" s="898"/>
      <c r="AL36" s="898"/>
      <c r="AM36" s="898"/>
      <c r="AN36" s="898"/>
    </row>
    <row r="37" spans="1:40" ht="15.75" customHeight="1">
      <c r="A37" s="883" t="s">
        <v>250</v>
      </c>
      <c r="B37" s="898" t="s">
        <v>0</v>
      </c>
      <c r="C37" s="918" t="s">
        <v>37</v>
      </c>
      <c r="D37" s="971"/>
      <c r="E37" s="960">
        <v>603.57336482460619</v>
      </c>
      <c r="F37" s="919">
        <v>38025.121983950186</v>
      </c>
      <c r="G37" s="972"/>
      <c r="H37" s="960"/>
      <c r="I37" s="919"/>
      <c r="J37" s="918"/>
      <c r="K37" s="960">
        <v>37.670468749999998</v>
      </c>
      <c r="L37" s="976">
        <v>2410.91</v>
      </c>
      <c r="M37" s="898"/>
      <c r="N37" s="944">
        <v>-35614.211983950183</v>
      </c>
      <c r="O37" s="918"/>
      <c r="P37" s="960">
        <v>678.81777777777779</v>
      </c>
      <c r="Q37" s="921">
        <v>30546.799999999999</v>
      </c>
      <c r="R37" s="918"/>
      <c r="S37" s="944">
        <v>-28135.89</v>
      </c>
      <c r="T37" s="898"/>
      <c r="Z37" s="898"/>
      <c r="AA37" s="898"/>
      <c r="AB37" s="898"/>
      <c r="AC37" s="898"/>
      <c r="AD37" s="898"/>
      <c r="AE37" s="898"/>
      <c r="AF37" s="898"/>
      <c r="AG37" s="898"/>
      <c r="AH37" s="898"/>
      <c r="AI37" s="898"/>
      <c r="AJ37" s="898"/>
      <c r="AK37" s="898"/>
      <c r="AL37" s="898"/>
      <c r="AM37" s="898"/>
      <c r="AN37" s="898"/>
    </row>
    <row r="38" spans="1:40" ht="15.75" hidden="1" customHeight="1">
      <c r="A38" s="883" t="s">
        <v>233</v>
      </c>
      <c r="B38" s="898" t="s">
        <v>0</v>
      </c>
      <c r="C38" s="918" t="s">
        <v>20</v>
      </c>
      <c r="D38" s="971"/>
      <c r="E38" s="960">
        <v>0</v>
      </c>
      <c r="F38" s="919">
        <v>0</v>
      </c>
      <c r="G38" s="972"/>
      <c r="H38" s="960"/>
      <c r="I38" s="919"/>
      <c r="J38" s="918"/>
      <c r="K38" s="960">
        <v>0</v>
      </c>
      <c r="L38" s="976">
        <v>0</v>
      </c>
      <c r="M38" s="898"/>
      <c r="N38" s="944">
        <v>0</v>
      </c>
      <c r="O38" s="918"/>
      <c r="P38" s="960">
        <v>0</v>
      </c>
      <c r="Q38" s="921">
        <v>0</v>
      </c>
      <c r="R38" s="918"/>
      <c r="S38" s="944">
        <v>0</v>
      </c>
      <c r="T38" s="898"/>
      <c r="U38" s="898"/>
      <c r="V38" s="898"/>
      <c r="W38" s="898"/>
      <c r="X38" s="898"/>
      <c r="Y38" s="898"/>
      <c r="Z38" s="898"/>
      <c r="AA38" s="898"/>
      <c r="AB38" s="898"/>
      <c r="AC38" s="898"/>
      <c r="AD38" s="898"/>
      <c r="AE38" s="898"/>
      <c r="AF38" s="898"/>
      <c r="AG38" s="898"/>
      <c r="AH38" s="898"/>
      <c r="AI38" s="898"/>
      <c r="AJ38" s="898"/>
      <c r="AK38" s="898"/>
      <c r="AL38" s="898"/>
      <c r="AM38" s="898"/>
      <c r="AN38" s="898"/>
    </row>
    <row r="39" spans="1:40" ht="15.75" hidden="1" customHeight="1">
      <c r="A39" s="883" t="s">
        <v>233</v>
      </c>
      <c r="B39" s="898" t="s">
        <v>0</v>
      </c>
      <c r="C39" s="918" t="s">
        <v>20</v>
      </c>
      <c r="D39" s="971"/>
      <c r="E39" s="960">
        <v>0</v>
      </c>
      <c r="F39" s="919">
        <v>0</v>
      </c>
      <c r="G39" s="972"/>
      <c r="H39" s="960"/>
      <c r="I39" s="919"/>
      <c r="J39" s="918"/>
      <c r="K39" s="960">
        <v>0</v>
      </c>
      <c r="L39" s="976">
        <v>0</v>
      </c>
      <c r="M39" s="898"/>
      <c r="N39" s="944">
        <v>0</v>
      </c>
      <c r="O39" s="918"/>
      <c r="P39" s="960">
        <v>0</v>
      </c>
      <c r="Q39" s="921">
        <v>0</v>
      </c>
      <c r="R39" s="918"/>
      <c r="S39" s="944">
        <v>0</v>
      </c>
      <c r="T39" s="898"/>
      <c r="U39" s="898"/>
      <c r="V39" s="898"/>
      <c r="W39" s="898"/>
      <c r="X39" s="898"/>
      <c r="Y39" s="898"/>
      <c r="Z39" s="898"/>
      <c r="AA39" s="898"/>
      <c r="AB39" s="898"/>
      <c r="AC39" s="898"/>
      <c r="AD39" s="898"/>
      <c r="AE39" s="898"/>
      <c r="AF39" s="898"/>
      <c r="AG39" s="898"/>
      <c r="AH39" s="898"/>
      <c r="AI39" s="898"/>
      <c r="AJ39" s="898"/>
      <c r="AK39" s="898"/>
      <c r="AL39" s="898"/>
      <c r="AM39" s="898"/>
      <c r="AN39" s="898"/>
    </row>
    <row r="40" spans="1:40" ht="15.75" hidden="1" customHeight="1">
      <c r="A40" s="883" t="s">
        <v>233</v>
      </c>
      <c r="B40" s="898" t="s">
        <v>0</v>
      </c>
      <c r="C40" s="918" t="s">
        <v>20</v>
      </c>
      <c r="D40" s="971"/>
      <c r="E40" s="960">
        <v>0</v>
      </c>
      <c r="F40" s="919">
        <v>0</v>
      </c>
      <c r="G40" s="972"/>
      <c r="H40" s="960"/>
      <c r="I40" s="919"/>
      <c r="J40" s="918"/>
      <c r="K40" s="960">
        <v>0</v>
      </c>
      <c r="L40" s="977">
        <v>0</v>
      </c>
      <c r="M40" s="898"/>
      <c r="N40" s="944">
        <v>0</v>
      </c>
      <c r="O40" s="918"/>
      <c r="P40" s="960">
        <v>0</v>
      </c>
      <c r="Q40" s="921">
        <v>0</v>
      </c>
      <c r="R40" s="918"/>
      <c r="S40" s="944">
        <v>0</v>
      </c>
      <c r="T40" s="898"/>
      <c r="U40" s="898"/>
      <c r="V40" s="898"/>
      <c r="W40" s="898"/>
      <c r="X40" s="898"/>
      <c r="Y40" s="898"/>
      <c r="Z40" s="898"/>
      <c r="AA40" s="898"/>
      <c r="AB40" s="898"/>
      <c r="AC40" s="898"/>
      <c r="AD40" s="898"/>
      <c r="AE40" s="898"/>
      <c r="AF40" s="898"/>
      <c r="AG40" s="898"/>
      <c r="AH40" s="898"/>
      <c r="AI40" s="898"/>
      <c r="AJ40" s="898"/>
      <c r="AK40" s="898"/>
      <c r="AL40" s="898"/>
      <c r="AM40" s="898"/>
      <c r="AN40" s="898"/>
    </row>
    <row r="41" spans="1:40" ht="15.75" customHeight="1">
      <c r="A41" s="883" t="s">
        <v>251</v>
      </c>
      <c r="B41" s="898" t="s">
        <v>0</v>
      </c>
      <c r="C41" s="978" t="s">
        <v>38</v>
      </c>
      <c r="D41" s="979" t="s">
        <v>39</v>
      </c>
      <c r="E41" s="980">
        <v>0.56789122057315622</v>
      </c>
      <c r="F41" s="981">
        <v>123590.25332108398</v>
      </c>
      <c r="G41" s="982"/>
      <c r="H41" s="980"/>
      <c r="I41" s="981"/>
      <c r="J41" s="982" t="s">
        <v>39</v>
      </c>
      <c r="K41" s="980">
        <v>0.37269912667876293</v>
      </c>
      <c r="L41" s="981">
        <v>85031.63</v>
      </c>
      <c r="M41" s="983"/>
      <c r="N41" s="981">
        <v>-38558.623321083971</v>
      </c>
      <c r="O41" s="982" t="s">
        <v>39</v>
      </c>
      <c r="P41" s="980">
        <v>0.63379570455884449</v>
      </c>
      <c r="Q41" s="984">
        <v>98424.93</v>
      </c>
      <c r="R41" s="985"/>
      <c r="S41" s="981">
        <v>-13393.299999999988</v>
      </c>
      <c r="T41" s="898"/>
      <c r="U41" s="898"/>
      <c r="V41" s="898"/>
      <c r="W41" s="898"/>
      <c r="X41" s="898"/>
      <c r="Y41" s="898"/>
      <c r="Z41" s="898"/>
      <c r="AA41" s="898"/>
      <c r="AB41" s="898"/>
      <c r="AC41" s="898"/>
      <c r="AD41" s="898"/>
      <c r="AE41" s="898"/>
      <c r="AF41" s="898"/>
      <c r="AG41" s="898"/>
      <c r="AH41" s="898"/>
      <c r="AI41" s="898"/>
      <c r="AJ41" s="898"/>
      <c r="AK41" s="898"/>
      <c r="AL41" s="898"/>
      <c r="AM41" s="898"/>
      <c r="AN41" s="898"/>
    </row>
    <row r="42" spans="1:40" ht="15.75" customHeight="1">
      <c r="A42" s="883" t="s">
        <v>252</v>
      </c>
      <c r="B42" s="898" t="s">
        <v>0</v>
      </c>
      <c r="C42" s="986" t="s">
        <v>41</v>
      </c>
      <c r="D42" s="898"/>
      <c r="E42" s="898"/>
      <c r="F42" s="919">
        <v>24486.465384615389</v>
      </c>
      <c r="G42" s="918"/>
      <c r="H42" s="898"/>
      <c r="I42" s="919"/>
      <c r="J42" s="918"/>
      <c r="K42" s="898"/>
      <c r="L42" s="921">
        <v>21495.49</v>
      </c>
      <c r="M42" s="918"/>
      <c r="N42" s="944">
        <v>-2990.9753846153872</v>
      </c>
      <c r="O42" s="918"/>
      <c r="P42" s="987">
        <v>9.8917597871037419E-2</v>
      </c>
      <c r="Q42" s="921">
        <v>15361.35</v>
      </c>
      <c r="R42" s="918"/>
      <c r="S42" s="944">
        <v>6134.1400000000012</v>
      </c>
      <c r="T42" s="898"/>
      <c r="U42" s="898"/>
      <c r="V42" s="898"/>
      <c r="W42" s="898"/>
      <c r="X42" s="898"/>
      <c r="Y42" s="898"/>
      <c r="Z42" s="898"/>
      <c r="AA42" s="898"/>
      <c r="AB42" s="898"/>
      <c r="AC42" s="898"/>
      <c r="AD42" s="898"/>
      <c r="AE42" s="898"/>
      <c r="AF42" s="898"/>
      <c r="AG42" s="898"/>
      <c r="AH42" s="898"/>
      <c r="AI42" s="898"/>
      <c r="AJ42" s="898"/>
      <c r="AK42" s="898"/>
      <c r="AL42" s="898"/>
      <c r="AM42" s="898"/>
      <c r="AN42" s="898"/>
    </row>
    <row r="43" spans="1:40" ht="15.75" customHeight="1">
      <c r="A43" s="883" t="s">
        <v>253</v>
      </c>
      <c r="B43" s="898" t="s">
        <v>0</v>
      </c>
      <c r="C43" s="988" t="s">
        <v>42</v>
      </c>
      <c r="D43" s="971"/>
      <c r="E43" s="898"/>
      <c r="F43" s="913">
        <v>13904.219076923078</v>
      </c>
      <c r="G43" s="972"/>
      <c r="H43" s="898"/>
      <c r="I43" s="913"/>
      <c r="J43" s="918"/>
      <c r="K43" s="898"/>
      <c r="L43" s="921">
        <v>17579.27</v>
      </c>
      <c r="M43" s="918"/>
      <c r="N43" s="944">
        <v>3675.0509230769221</v>
      </c>
      <c r="O43" s="918"/>
      <c r="P43" s="898"/>
      <c r="Q43" s="921">
        <v>9911.09</v>
      </c>
      <c r="R43" s="918"/>
      <c r="S43" s="944">
        <v>7668.18</v>
      </c>
      <c r="T43" s="898"/>
      <c r="U43" s="898"/>
      <c r="V43" s="898"/>
      <c r="W43" s="898"/>
      <c r="X43" s="898"/>
      <c r="Y43" s="898"/>
      <c r="Z43" s="898"/>
      <c r="AA43" s="898"/>
      <c r="AB43" s="898"/>
      <c r="AC43" s="898"/>
      <c r="AD43" s="898"/>
      <c r="AE43" s="898"/>
      <c r="AF43" s="898"/>
      <c r="AG43" s="898"/>
      <c r="AH43" s="898"/>
      <c r="AI43" s="898"/>
      <c r="AJ43" s="898"/>
      <c r="AK43" s="898"/>
      <c r="AL43" s="898"/>
      <c r="AM43" s="898"/>
      <c r="AN43" s="898"/>
    </row>
    <row r="44" spans="1:40" ht="15.75" customHeight="1">
      <c r="A44" s="883" t="s">
        <v>254</v>
      </c>
      <c r="B44" s="898" t="s">
        <v>0</v>
      </c>
      <c r="C44" s="986" t="s">
        <v>43</v>
      </c>
      <c r="D44" s="989"/>
      <c r="E44" s="990"/>
      <c r="F44" s="919">
        <v>315.55384615384617</v>
      </c>
      <c r="G44" s="991"/>
      <c r="H44" s="990"/>
      <c r="I44" s="919"/>
      <c r="J44" s="906"/>
      <c r="K44" s="990"/>
      <c r="L44" s="940">
        <v>11.25</v>
      </c>
      <c r="M44" s="906"/>
      <c r="N44" s="992">
        <v>-304.30384615384617</v>
      </c>
      <c r="O44" s="906"/>
      <c r="P44" s="990"/>
      <c r="Q44" s="940">
        <v>3755.5</v>
      </c>
      <c r="R44" s="906"/>
      <c r="S44" s="992">
        <v>-3744.25</v>
      </c>
      <c r="T44" s="898"/>
      <c r="U44" s="898"/>
      <c r="V44" s="898"/>
      <c r="W44" s="898"/>
      <c r="X44" s="898"/>
      <c r="Y44" s="898"/>
      <c r="Z44" s="898"/>
      <c r="AA44" s="898"/>
      <c r="AB44" s="898"/>
      <c r="AC44" s="898"/>
      <c r="AD44" s="898"/>
      <c r="AE44" s="898"/>
      <c r="AF44" s="898"/>
      <c r="AG44" s="898"/>
      <c r="AH44" s="898"/>
      <c r="AI44" s="898"/>
      <c r="AJ44" s="898"/>
      <c r="AK44" s="898"/>
      <c r="AL44" s="898"/>
      <c r="AM44" s="898"/>
      <c r="AN44" s="898"/>
    </row>
    <row r="45" spans="1:40" ht="15.75" customHeight="1">
      <c r="A45" s="883" t="s">
        <v>255</v>
      </c>
      <c r="B45" s="898" t="s">
        <v>0</v>
      </c>
      <c r="C45" s="986" t="s">
        <v>44</v>
      </c>
      <c r="D45" s="971"/>
      <c r="E45" s="898"/>
      <c r="F45" s="919">
        <v>0</v>
      </c>
      <c r="G45" s="972"/>
      <c r="H45" s="898"/>
      <c r="I45" s="919"/>
      <c r="J45" s="918"/>
      <c r="K45" s="898"/>
      <c r="L45" s="921">
        <v>0</v>
      </c>
      <c r="M45" s="918"/>
      <c r="N45" s="944">
        <v>0</v>
      </c>
      <c r="O45" s="918"/>
      <c r="P45" s="898"/>
      <c r="Q45" s="921">
        <v>0</v>
      </c>
      <c r="R45" s="918"/>
      <c r="S45" s="944">
        <v>0</v>
      </c>
      <c r="T45" s="898"/>
      <c r="U45" s="898"/>
      <c r="V45" s="898"/>
      <c r="W45" s="898"/>
      <c r="X45" s="898"/>
      <c r="Y45" s="898"/>
      <c r="Z45" s="898"/>
      <c r="AA45" s="898"/>
      <c r="AB45" s="898"/>
      <c r="AC45" s="898"/>
      <c r="AD45" s="898"/>
      <c r="AE45" s="898"/>
      <c r="AF45" s="898"/>
      <c r="AG45" s="898"/>
      <c r="AH45" s="898"/>
      <c r="AI45" s="898"/>
      <c r="AJ45" s="898"/>
      <c r="AK45" s="898"/>
      <c r="AL45" s="898"/>
      <c r="AM45" s="898"/>
      <c r="AN45" s="898"/>
    </row>
    <row r="46" spans="1:40" ht="15.75" hidden="1" customHeight="1">
      <c r="A46" s="883" t="s">
        <v>233</v>
      </c>
      <c r="B46" s="898" t="s">
        <v>0</v>
      </c>
      <c r="C46" s="986" t="s">
        <v>20</v>
      </c>
      <c r="D46" s="971"/>
      <c r="E46" s="898"/>
      <c r="F46" s="919">
        <v>0</v>
      </c>
      <c r="G46" s="972"/>
      <c r="H46" s="898"/>
      <c r="I46" s="919"/>
      <c r="J46" s="918"/>
      <c r="K46" s="898"/>
      <c r="L46" s="921">
        <v>0</v>
      </c>
      <c r="M46" s="918"/>
      <c r="N46" s="944">
        <v>0</v>
      </c>
      <c r="O46" s="918"/>
      <c r="P46" s="898"/>
      <c r="Q46" s="921">
        <v>0</v>
      </c>
      <c r="R46" s="918"/>
      <c r="S46" s="944">
        <v>0</v>
      </c>
      <c r="T46" s="898"/>
      <c r="U46" s="898"/>
      <c r="V46" s="898"/>
      <c r="W46" s="898"/>
      <c r="X46" s="898"/>
      <c r="Y46" s="898"/>
      <c r="Z46" s="898"/>
      <c r="AA46" s="898"/>
      <c r="AB46" s="898"/>
      <c r="AC46" s="898"/>
      <c r="AD46" s="898"/>
      <c r="AE46" s="898"/>
      <c r="AF46" s="898"/>
      <c r="AG46" s="898"/>
      <c r="AH46" s="898"/>
      <c r="AI46" s="898"/>
      <c r="AJ46" s="898"/>
      <c r="AK46" s="898"/>
      <c r="AL46" s="898"/>
      <c r="AM46" s="898"/>
      <c r="AN46" s="898"/>
    </row>
    <row r="47" spans="1:40" ht="15.75" hidden="1" customHeight="1">
      <c r="A47" s="883" t="s">
        <v>233</v>
      </c>
      <c r="B47" s="898" t="s">
        <v>0</v>
      </c>
      <c r="C47" s="986" t="s">
        <v>20</v>
      </c>
      <c r="D47" s="971"/>
      <c r="E47" s="898"/>
      <c r="F47" s="919">
        <v>0</v>
      </c>
      <c r="G47" s="972"/>
      <c r="H47" s="898"/>
      <c r="I47" s="919"/>
      <c r="J47" s="918"/>
      <c r="K47" s="898"/>
      <c r="L47" s="921">
        <v>0</v>
      </c>
      <c r="M47" s="918"/>
      <c r="N47" s="944">
        <v>0</v>
      </c>
      <c r="O47" s="918"/>
      <c r="P47" s="898"/>
      <c r="Q47" s="921">
        <v>0</v>
      </c>
      <c r="R47" s="918"/>
      <c r="S47" s="944">
        <v>0</v>
      </c>
      <c r="T47" s="898"/>
      <c r="U47" s="898"/>
      <c r="V47" s="898"/>
      <c r="W47" s="898"/>
      <c r="X47" s="898"/>
      <c r="Y47" s="898"/>
      <c r="Z47" s="898"/>
      <c r="AA47" s="898"/>
      <c r="AB47" s="898"/>
      <c r="AC47" s="898"/>
      <c r="AD47" s="898"/>
      <c r="AE47" s="898"/>
      <c r="AF47" s="898"/>
      <c r="AG47" s="898"/>
      <c r="AH47" s="898"/>
      <c r="AI47" s="898"/>
      <c r="AJ47" s="898"/>
      <c r="AK47" s="898"/>
      <c r="AL47" s="898"/>
      <c r="AM47" s="898"/>
      <c r="AN47" s="898"/>
    </row>
    <row r="48" spans="1:40" ht="15.75" hidden="1" customHeight="1">
      <c r="A48" s="883" t="s">
        <v>233</v>
      </c>
      <c r="B48" s="898" t="s">
        <v>0</v>
      </c>
      <c r="C48" s="986" t="s">
        <v>20</v>
      </c>
      <c r="D48" s="971"/>
      <c r="E48" s="898"/>
      <c r="F48" s="919">
        <v>0</v>
      </c>
      <c r="G48" s="972"/>
      <c r="H48" s="898"/>
      <c r="I48" s="919"/>
      <c r="J48" s="918"/>
      <c r="K48" s="898"/>
      <c r="L48" s="921">
        <v>0</v>
      </c>
      <c r="M48" s="918"/>
      <c r="N48" s="944">
        <v>0</v>
      </c>
      <c r="O48" s="918"/>
      <c r="P48" s="898"/>
      <c r="Q48" s="921">
        <v>0</v>
      </c>
      <c r="R48" s="918"/>
      <c r="S48" s="944">
        <v>0</v>
      </c>
      <c r="T48" s="898"/>
      <c r="U48" s="898"/>
      <c r="V48" s="898"/>
      <c r="W48" s="898"/>
      <c r="X48" s="898"/>
      <c r="Y48" s="898"/>
      <c r="Z48" s="898"/>
      <c r="AA48" s="898"/>
      <c r="AB48" s="898"/>
      <c r="AC48" s="898"/>
      <c r="AD48" s="898"/>
      <c r="AE48" s="898"/>
      <c r="AF48" s="898"/>
      <c r="AG48" s="898"/>
      <c r="AH48" s="898"/>
      <c r="AI48" s="898"/>
      <c r="AJ48" s="898"/>
      <c r="AK48" s="898"/>
      <c r="AL48" s="898"/>
      <c r="AM48" s="898"/>
      <c r="AN48" s="898"/>
    </row>
    <row r="49" spans="1:40" ht="15.75" customHeight="1">
      <c r="A49" s="883" t="s">
        <v>256</v>
      </c>
      <c r="B49" s="898" t="s">
        <v>0</v>
      </c>
      <c r="C49" s="988" t="s">
        <v>45</v>
      </c>
      <c r="D49" s="971"/>
      <c r="E49" s="898"/>
      <c r="F49" s="913">
        <v>12229.898508219989</v>
      </c>
      <c r="G49" s="972"/>
      <c r="H49" s="898"/>
      <c r="I49" s="913"/>
      <c r="J49" s="918"/>
      <c r="K49" s="898"/>
      <c r="L49" s="913">
        <v>9162.42</v>
      </c>
      <c r="M49" s="918"/>
      <c r="N49" s="944">
        <v>-3067.4785082199887</v>
      </c>
      <c r="O49" s="918"/>
      <c r="P49" s="898"/>
      <c r="Q49" s="913">
        <v>11002.44</v>
      </c>
      <c r="R49" s="918"/>
      <c r="S49" s="944">
        <v>-1840.0200000000004</v>
      </c>
      <c r="T49" s="898"/>
      <c r="U49" s="898"/>
      <c r="V49" s="898"/>
      <c r="W49" s="898"/>
      <c r="X49" s="895"/>
      <c r="Y49" s="898"/>
      <c r="Z49" s="898"/>
      <c r="AA49" s="898"/>
      <c r="AB49" s="898"/>
      <c r="AC49" s="898"/>
      <c r="AD49" s="898"/>
      <c r="AE49" s="898"/>
      <c r="AF49" s="898"/>
      <c r="AG49" s="898"/>
      <c r="AH49" s="898"/>
      <c r="AI49" s="898"/>
      <c r="AJ49" s="898"/>
      <c r="AK49" s="898"/>
      <c r="AL49" s="898"/>
      <c r="AM49" s="898"/>
      <c r="AN49" s="898"/>
    </row>
    <row r="50" spans="1:40" ht="15.75" customHeight="1">
      <c r="A50" s="883" t="s">
        <v>257</v>
      </c>
      <c r="B50" s="898" t="s">
        <v>0</v>
      </c>
      <c r="C50" s="986" t="s">
        <v>46</v>
      </c>
      <c r="D50" s="989"/>
      <c r="E50" s="990"/>
      <c r="F50" s="919">
        <v>14869.832547439282</v>
      </c>
      <c r="G50" s="991"/>
      <c r="H50" s="990"/>
      <c r="I50" s="919"/>
      <c r="J50" s="906"/>
      <c r="K50" s="990"/>
      <c r="L50" s="921">
        <v>12339.01</v>
      </c>
      <c r="M50" s="906"/>
      <c r="N50" s="992">
        <v>-2530.8225474392821</v>
      </c>
      <c r="O50" s="906"/>
      <c r="P50" s="990"/>
      <c r="Q50" s="921">
        <v>14099.3</v>
      </c>
      <c r="R50" s="906"/>
      <c r="S50" s="992">
        <v>-1760.2899999999991</v>
      </c>
      <c r="T50" s="898"/>
      <c r="U50" s="898"/>
      <c r="V50" s="898"/>
      <c r="W50" s="898"/>
      <c r="X50" s="895"/>
      <c r="Y50" s="898"/>
      <c r="Z50" s="898"/>
      <c r="AA50" s="898"/>
      <c r="AB50" s="898"/>
      <c r="AC50" s="898"/>
      <c r="AD50" s="898"/>
      <c r="AE50" s="898"/>
      <c r="AF50" s="898"/>
      <c r="AG50" s="898"/>
      <c r="AH50" s="898"/>
      <c r="AI50" s="898"/>
      <c r="AJ50" s="898"/>
      <c r="AK50" s="898"/>
      <c r="AL50" s="898"/>
      <c r="AM50" s="898"/>
      <c r="AN50" s="898"/>
    </row>
    <row r="51" spans="1:40" ht="15.75" customHeight="1">
      <c r="A51" s="883" t="s">
        <v>258</v>
      </c>
      <c r="B51" s="898" t="s">
        <v>0</v>
      </c>
      <c r="C51" s="986" t="s">
        <v>47</v>
      </c>
      <c r="D51" s="971"/>
      <c r="E51" s="898"/>
      <c r="F51" s="919">
        <v>7661.1963342241506</v>
      </c>
      <c r="G51" s="972"/>
      <c r="H51" s="898"/>
      <c r="I51" s="919"/>
      <c r="J51" s="918"/>
      <c r="K51" s="898"/>
      <c r="L51" s="921">
        <v>4769.3799999999992</v>
      </c>
      <c r="M51" s="918"/>
      <c r="N51" s="944">
        <v>-2891.8163342241514</v>
      </c>
      <c r="O51" s="918"/>
      <c r="P51" s="898"/>
      <c r="Q51" s="921">
        <v>7411.59</v>
      </c>
      <c r="R51" s="918"/>
      <c r="S51" s="944">
        <v>-2642.2100000000009</v>
      </c>
      <c r="T51" s="898"/>
      <c r="U51" s="898"/>
      <c r="V51" s="898"/>
      <c r="W51" s="898"/>
      <c r="X51" s="895"/>
      <c r="Y51" s="898"/>
      <c r="Z51" s="898"/>
      <c r="AA51" s="898"/>
      <c r="AB51" s="898"/>
      <c r="AC51" s="898"/>
      <c r="AD51" s="898"/>
      <c r="AE51" s="898"/>
      <c r="AF51" s="898"/>
      <c r="AG51" s="898"/>
      <c r="AH51" s="898"/>
      <c r="AI51" s="898"/>
      <c r="AJ51" s="898"/>
      <c r="AK51" s="898"/>
      <c r="AL51" s="898"/>
      <c r="AM51" s="898"/>
      <c r="AN51" s="898"/>
    </row>
    <row r="52" spans="1:40" ht="15.75" customHeight="1">
      <c r="A52" s="883" t="s">
        <v>259</v>
      </c>
      <c r="B52" s="898" t="s">
        <v>0</v>
      </c>
      <c r="C52" s="986" t="s">
        <v>48</v>
      </c>
      <c r="D52" s="971"/>
      <c r="E52" s="898"/>
      <c r="F52" s="919">
        <v>3340.3247026856357</v>
      </c>
      <c r="G52" s="972"/>
      <c r="H52" s="898"/>
      <c r="I52" s="919"/>
      <c r="J52" s="918"/>
      <c r="K52" s="898"/>
      <c r="L52" s="921">
        <v>2753.54</v>
      </c>
      <c r="M52" s="918"/>
      <c r="N52" s="944">
        <v>-586.78470268563569</v>
      </c>
      <c r="O52" s="918"/>
      <c r="P52" s="898"/>
      <c r="Q52" s="921">
        <v>2367.79</v>
      </c>
      <c r="R52" s="918"/>
      <c r="S52" s="944">
        <v>385.75</v>
      </c>
      <c r="T52" s="898"/>
      <c r="U52" s="898"/>
      <c r="V52" s="898"/>
      <c r="W52" s="898"/>
      <c r="X52" s="895"/>
      <c r="Y52" s="898"/>
      <c r="Z52" s="898"/>
      <c r="AA52" s="898"/>
      <c r="AB52" s="898"/>
      <c r="AC52" s="898"/>
      <c r="AD52" s="898"/>
      <c r="AE52" s="898"/>
      <c r="AF52" s="898"/>
      <c r="AG52" s="898"/>
      <c r="AH52" s="898"/>
      <c r="AI52" s="898"/>
      <c r="AJ52" s="898"/>
      <c r="AK52" s="898"/>
      <c r="AL52" s="898"/>
      <c r="AM52" s="898"/>
      <c r="AN52" s="898"/>
    </row>
    <row r="53" spans="1:40" ht="15.75" hidden="1" customHeight="1">
      <c r="A53" s="883" t="s">
        <v>233</v>
      </c>
      <c r="B53" s="898" t="s">
        <v>0</v>
      </c>
      <c r="C53" s="918" t="s">
        <v>20</v>
      </c>
      <c r="D53" s="973" t="e">
        <v>#N/A</v>
      </c>
      <c r="E53" s="993"/>
      <c r="F53" s="919">
        <v>0</v>
      </c>
      <c r="G53" s="974"/>
      <c r="H53" s="993"/>
      <c r="I53" s="919"/>
      <c r="J53" s="911"/>
      <c r="K53" s="993"/>
      <c r="L53" s="921">
        <v>0</v>
      </c>
      <c r="M53" s="911"/>
      <c r="N53" s="969">
        <v>0</v>
      </c>
      <c r="O53" s="911"/>
      <c r="P53" s="993"/>
      <c r="Q53" s="921">
        <v>0</v>
      </c>
      <c r="R53" s="911"/>
      <c r="S53" s="969">
        <v>0</v>
      </c>
      <c r="T53" s="898"/>
      <c r="U53" s="898"/>
      <c r="V53" s="898"/>
      <c r="W53" s="898"/>
      <c r="X53" s="895"/>
      <c r="Y53" s="898"/>
      <c r="Z53" s="898"/>
      <c r="AA53" s="898"/>
      <c r="AB53" s="898"/>
      <c r="AC53" s="898"/>
      <c r="AD53" s="898"/>
      <c r="AE53" s="898"/>
      <c r="AF53" s="898"/>
      <c r="AG53" s="898"/>
      <c r="AH53" s="898"/>
      <c r="AI53" s="898"/>
      <c r="AJ53" s="898"/>
      <c r="AK53" s="898"/>
      <c r="AL53" s="898"/>
      <c r="AM53" s="898"/>
      <c r="AN53" s="898"/>
    </row>
    <row r="54" spans="1:40" ht="15.75" customHeight="1">
      <c r="A54" s="883" t="s">
        <v>260</v>
      </c>
      <c r="B54" s="898" t="s">
        <v>0</v>
      </c>
      <c r="C54" s="978" t="s">
        <v>49</v>
      </c>
      <c r="D54" s="979" t="s">
        <v>39</v>
      </c>
      <c r="E54" s="980">
        <v>0.35292669365476831</v>
      </c>
      <c r="F54" s="981">
        <v>76807.490400261377</v>
      </c>
      <c r="G54" s="982"/>
      <c r="H54" s="980"/>
      <c r="I54" s="981"/>
      <c r="J54" s="982" t="s">
        <v>39</v>
      </c>
      <c r="K54" s="980">
        <v>0.2985321072849732</v>
      </c>
      <c r="L54" s="981">
        <v>68110.36</v>
      </c>
      <c r="M54" s="985"/>
      <c r="N54" s="981">
        <v>-8697.1304002613688</v>
      </c>
      <c r="O54" s="982" t="s">
        <v>39</v>
      </c>
      <c r="P54" s="980">
        <v>0.41153483889085285</v>
      </c>
      <c r="Q54" s="981">
        <v>63909.060000000005</v>
      </c>
      <c r="R54" s="985"/>
      <c r="S54" s="981">
        <v>4201.3000000000011</v>
      </c>
      <c r="T54" s="960"/>
      <c r="U54" s="898"/>
      <c r="V54" s="898"/>
      <c r="W54" s="898"/>
      <c r="X54" s="895"/>
      <c r="Y54" s="898"/>
      <c r="Z54" s="898"/>
      <c r="AA54" s="898"/>
      <c r="AB54" s="898"/>
      <c r="AC54" s="898"/>
      <c r="AD54" s="898"/>
      <c r="AE54" s="898"/>
      <c r="AF54" s="898"/>
      <c r="AG54" s="898"/>
      <c r="AH54" s="898"/>
      <c r="AI54" s="898"/>
      <c r="AJ54" s="898"/>
      <c r="AK54" s="898"/>
      <c r="AL54" s="898"/>
      <c r="AM54" s="898"/>
      <c r="AN54" s="898"/>
    </row>
    <row r="55" spans="1:40" ht="15.75" hidden="1" customHeight="1">
      <c r="A55" s="883" t="s">
        <v>261</v>
      </c>
      <c r="B55" s="898" t="s">
        <v>0</v>
      </c>
      <c r="C55" s="918" t="s">
        <v>50</v>
      </c>
      <c r="D55" s="971"/>
      <c r="E55" s="898"/>
      <c r="F55" s="919">
        <v>0</v>
      </c>
      <c r="G55" s="972"/>
      <c r="H55" s="898"/>
      <c r="I55" s="919"/>
      <c r="J55" s="918"/>
      <c r="K55" s="898"/>
      <c r="L55" s="921">
        <v>0</v>
      </c>
      <c r="M55" s="918"/>
      <c r="N55" s="944">
        <v>0</v>
      </c>
      <c r="O55" s="918"/>
      <c r="P55" s="898"/>
      <c r="Q55" s="921">
        <v>0</v>
      </c>
      <c r="R55" s="918"/>
      <c r="S55" s="944">
        <v>0</v>
      </c>
      <c r="T55" s="960"/>
      <c r="U55" s="898"/>
      <c r="V55" s="898"/>
      <c r="W55" s="898"/>
      <c r="X55" s="895"/>
      <c r="Y55" s="898"/>
      <c r="Z55" s="898"/>
      <c r="AA55" s="898"/>
      <c r="AB55" s="898"/>
      <c r="AC55" s="898"/>
      <c r="AD55" s="898"/>
      <c r="AE55" s="898"/>
      <c r="AF55" s="898"/>
      <c r="AG55" s="898"/>
      <c r="AH55" s="898"/>
      <c r="AI55" s="898"/>
      <c r="AJ55" s="898"/>
      <c r="AK55" s="898"/>
      <c r="AL55" s="898"/>
      <c r="AM55" s="898"/>
      <c r="AN55" s="898"/>
    </row>
    <row r="56" spans="1:40" ht="15.75" hidden="1" customHeight="1">
      <c r="A56" s="883" t="s">
        <v>262</v>
      </c>
      <c r="B56" s="898" t="s">
        <v>0</v>
      </c>
      <c r="C56" s="918" t="s">
        <v>51</v>
      </c>
      <c r="D56" s="971"/>
      <c r="E56" s="898"/>
      <c r="F56" s="919">
        <v>0</v>
      </c>
      <c r="G56" s="972"/>
      <c r="H56" s="898"/>
      <c r="I56" s="919"/>
      <c r="J56" s="918"/>
      <c r="K56" s="898"/>
      <c r="L56" s="921">
        <v>0</v>
      </c>
      <c r="M56" s="918"/>
      <c r="N56" s="944">
        <v>0</v>
      </c>
      <c r="O56" s="918"/>
      <c r="P56" s="898"/>
      <c r="Q56" s="921">
        <v>0</v>
      </c>
      <c r="R56" s="918"/>
      <c r="S56" s="944">
        <v>0</v>
      </c>
      <c r="T56" s="960"/>
      <c r="U56" s="898"/>
      <c r="V56" s="898"/>
      <c r="W56" s="898"/>
      <c r="X56" s="895"/>
      <c r="Y56" s="898"/>
      <c r="Z56" s="898"/>
      <c r="AA56" s="898"/>
      <c r="AB56" s="898"/>
      <c r="AC56" s="898"/>
      <c r="AD56" s="898"/>
      <c r="AE56" s="898"/>
      <c r="AF56" s="898"/>
      <c r="AG56" s="898"/>
      <c r="AH56" s="898"/>
      <c r="AI56" s="898"/>
      <c r="AJ56" s="898"/>
      <c r="AK56" s="898"/>
      <c r="AL56" s="898"/>
      <c r="AM56" s="898"/>
      <c r="AN56" s="898"/>
    </row>
    <row r="57" spans="1:40" ht="15.75" customHeight="1">
      <c r="A57" s="883" t="s">
        <v>263</v>
      </c>
      <c r="B57" s="898" t="s">
        <v>0</v>
      </c>
      <c r="C57" s="911" t="s">
        <v>52</v>
      </c>
      <c r="D57" s="973"/>
      <c r="E57" s="993"/>
      <c r="F57" s="913">
        <v>8952.5479333333333</v>
      </c>
      <c r="G57" s="974"/>
      <c r="H57" s="993"/>
      <c r="I57" s="913"/>
      <c r="J57" s="911"/>
      <c r="K57" s="993"/>
      <c r="L57" s="913">
        <v>8541.7199999999993</v>
      </c>
      <c r="M57" s="911"/>
      <c r="N57" s="969">
        <v>-410.82793333333393</v>
      </c>
      <c r="O57" s="911"/>
      <c r="P57" s="993"/>
      <c r="Q57" s="913">
        <v>10497.54</v>
      </c>
      <c r="R57" s="911"/>
      <c r="S57" s="969">
        <v>-1955.8200000000015</v>
      </c>
      <c r="T57" s="994"/>
      <c r="U57" s="898"/>
      <c r="V57" s="898"/>
      <c r="W57" s="898"/>
      <c r="X57" s="895"/>
      <c r="Y57" s="898"/>
      <c r="Z57" s="898"/>
      <c r="AA57" s="898"/>
      <c r="AB57" s="898"/>
      <c r="AC57" s="898"/>
      <c r="AD57" s="898"/>
      <c r="AE57" s="898"/>
      <c r="AF57" s="898"/>
      <c r="AG57" s="898"/>
      <c r="AH57" s="898"/>
      <c r="AI57" s="898"/>
      <c r="AJ57" s="898"/>
      <c r="AK57" s="898"/>
      <c r="AL57" s="898"/>
      <c r="AM57" s="898"/>
      <c r="AN57" s="898"/>
    </row>
    <row r="58" spans="1:40" ht="15.75" customHeight="1">
      <c r="A58" s="883" t="s">
        <v>264</v>
      </c>
      <c r="B58" s="898" t="s">
        <v>0</v>
      </c>
      <c r="C58" s="918" t="s">
        <v>53</v>
      </c>
      <c r="D58" s="971"/>
      <c r="E58" s="898"/>
      <c r="F58" s="919">
        <v>7960.9947585155569</v>
      </c>
      <c r="G58" s="972"/>
      <c r="H58" s="898"/>
      <c r="I58" s="919"/>
      <c r="J58" s="918"/>
      <c r="K58" s="898"/>
      <c r="L58" s="921">
        <v>9523.36</v>
      </c>
      <c r="M58" s="918"/>
      <c r="N58" s="944">
        <v>1562.3652414844437</v>
      </c>
      <c r="O58" s="918"/>
      <c r="P58" s="898"/>
      <c r="Q58" s="921">
        <v>8853.42</v>
      </c>
      <c r="R58" s="918"/>
      <c r="S58" s="944">
        <v>669.94000000000051</v>
      </c>
      <c r="T58" s="960"/>
      <c r="U58" s="898"/>
      <c r="V58" s="898"/>
      <c r="W58" s="898"/>
      <c r="X58" s="898"/>
      <c r="Y58" s="898"/>
      <c r="Z58" s="898"/>
      <c r="AA58" s="898"/>
      <c r="AB58" s="898"/>
      <c r="AC58" s="898"/>
      <c r="AD58" s="898"/>
      <c r="AE58" s="898"/>
      <c r="AF58" s="898"/>
      <c r="AG58" s="898"/>
      <c r="AH58" s="898"/>
      <c r="AI58" s="898"/>
      <c r="AJ58" s="898"/>
      <c r="AK58" s="898"/>
      <c r="AL58" s="898"/>
      <c r="AM58" s="898"/>
      <c r="AN58" s="898"/>
    </row>
    <row r="59" spans="1:40" ht="15.75" customHeight="1">
      <c r="A59" s="883" t="s">
        <v>265</v>
      </c>
      <c r="B59" s="898" t="s">
        <v>0</v>
      </c>
      <c r="C59" s="918" t="s">
        <v>54</v>
      </c>
      <c r="D59" s="971"/>
      <c r="E59" s="898"/>
      <c r="F59" s="919">
        <v>1266.6975008629806</v>
      </c>
      <c r="G59" s="972"/>
      <c r="H59" s="898"/>
      <c r="I59" s="919"/>
      <c r="J59" s="918"/>
      <c r="K59" s="898"/>
      <c r="L59" s="921">
        <v>1925.24</v>
      </c>
      <c r="M59" s="918"/>
      <c r="N59" s="944">
        <v>658.54249913701938</v>
      </c>
      <c r="O59" s="918"/>
      <c r="P59" s="898"/>
      <c r="Q59" s="921">
        <v>1810.19</v>
      </c>
      <c r="R59" s="918"/>
      <c r="S59" s="944">
        <v>115.04999999999995</v>
      </c>
      <c r="T59" s="898"/>
      <c r="U59" s="898"/>
      <c r="V59" s="898"/>
      <c r="W59" s="898"/>
      <c r="X59" s="898"/>
      <c r="Y59" s="898"/>
      <c r="Z59" s="898"/>
      <c r="AA59" s="898"/>
      <c r="AB59" s="898"/>
      <c r="AC59" s="898"/>
      <c r="AD59" s="898"/>
      <c r="AE59" s="898"/>
      <c r="AF59" s="898"/>
      <c r="AG59" s="898"/>
      <c r="AH59" s="898"/>
      <c r="AI59" s="898"/>
      <c r="AJ59" s="898"/>
      <c r="AK59" s="898"/>
      <c r="AL59" s="898"/>
      <c r="AM59" s="898"/>
      <c r="AN59" s="898"/>
    </row>
    <row r="60" spans="1:40" ht="15.75" customHeight="1">
      <c r="A60" s="883" t="s">
        <v>266</v>
      </c>
      <c r="B60" s="898" t="s">
        <v>0</v>
      </c>
      <c r="C60" s="911" t="s">
        <v>55</v>
      </c>
      <c r="D60" s="973"/>
      <c r="E60" s="993"/>
      <c r="F60" s="913">
        <v>7215.7407235875298</v>
      </c>
      <c r="G60" s="974"/>
      <c r="H60" s="993"/>
      <c r="I60" s="913"/>
      <c r="J60" s="911"/>
      <c r="K60" s="993"/>
      <c r="L60" s="913">
        <v>8397.52</v>
      </c>
      <c r="M60" s="911"/>
      <c r="N60" s="969">
        <v>1181.7792764124706</v>
      </c>
      <c r="O60" s="911"/>
      <c r="P60" s="993"/>
      <c r="Q60" s="913">
        <v>8147.65</v>
      </c>
      <c r="R60" s="911"/>
      <c r="S60" s="969">
        <v>249.8700000000008</v>
      </c>
      <c r="T60" s="898"/>
      <c r="U60" s="895"/>
      <c r="V60" s="898"/>
      <c r="W60" s="898"/>
      <c r="X60" s="898"/>
      <c r="Y60" s="898"/>
      <c r="Z60" s="898"/>
      <c r="AA60" s="898"/>
      <c r="AB60" s="898"/>
      <c r="AC60" s="898"/>
      <c r="AD60" s="898"/>
      <c r="AE60" s="898"/>
      <c r="AF60" s="898"/>
      <c r="AG60" s="898"/>
      <c r="AH60" s="898"/>
      <c r="AI60" s="898"/>
      <c r="AJ60" s="898"/>
      <c r="AK60" s="898"/>
      <c r="AL60" s="898"/>
      <c r="AM60" s="898"/>
      <c r="AN60" s="898"/>
    </row>
    <row r="61" spans="1:40" ht="15.75" customHeight="1">
      <c r="A61" s="883" t="s">
        <v>267</v>
      </c>
      <c r="B61" s="898" t="s">
        <v>0</v>
      </c>
      <c r="C61" s="918" t="s">
        <v>56</v>
      </c>
      <c r="D61" s="971"/>
      <c r="E61" s="898"/>
      <c r="F61" s="919">
        <v>97.257333333333349</v>
      </c>
      <c r="G61" s="972"/>
      <c r="H61" s="898"/>
      <c r="I61" s="919"/>
      <c r="J61" s="918"/>
      <c r="K61" s="898"/>
      <c r="L61" s="921">
        <v>25.65</v>
      </c>
      <c r="M61" s="918"/>
      <c r="N61" s="944">
        <v>-71.607333333333344</v>
      </c>
      <c r="O61" s="918"/>
      <c r="P61" s="898"/>
      <c r="Q61" s="921">
        <v>74.69</v>
      </c>
      <c r="R61" s="918"/>
      <c r="S61" s="944">
        <v>-49.04</v>
      </c>
      <c r="T61" s="898"/>
      <c r="U61" s="898"/>
      <c r="V61" s="898"/>
      <c r="W61" s="898"/>
      <c r="X61" s="898"/>
      <c r="Y61" s="898"/>
      <c r="Z61" s="898"/>
      <c r="AA61" s="898"/>
      <c r="AB61" s="898"/>
      <c r="AC61" s="898"/>
      <c r="AD61" s="898"/>
      <c r="AE61" s="898"/>
      <c r="AF61" s="898"/>
      <c r="AG61" s="898"/>
      <c r="AH61" s="898"/>
      <c r="AI61" s="898"/>
      <c r="AJ61" s="898"/>
      <c r="AK61" s="898"/>
      <c r="AL61" s="898"/>
      <c r="AM61" s="898"/>
      <c r="AN61" s="898"/>
    </row>
    <row r="62" spans="1:40" ht="15.75" customHeight="1">
      <c r="A62" s="883" t="s">
        <v>268</v>
      </c>
      <c r="B62" s="898" t="s">
        <v>0</v>
      </c>
      <c r="C62" s="918" t="s">
        <v>57</v>
      </c>
      <c r="D62" s="971"/>
      <c r="E62" s="898"/>
      <c r="F62" s="919">
        <v>28.333333333333332</v>
      </c>
      <c r="G62" s="972"/>
      <c r="H62" s="898"/>
      <c r="I62" s="919"/>
      <c r="J62" s="918"/>
      <c r="K62" s="898"/>
      <c r="L62" s="921">
        <v>0</v>
      </c>
      <c r="M62" s="918"/>
      <c r="N62" s="944">
        <v>-28.333333333333332</v>
      </c>
      <c r="O62" s="918"/>
      <c r="P62" s="898"/>
      <c r="Q62" s="921">
        <v>0</v>
      </c>
      <c r="R62" s="918"/>
      <c r="S62" s="944">
        <v>0</v>
      </c>
      <c r="T62" s="898"/>
      <c r="U62" s="898"/>
      <c r="V62" s="898"/>
      <c r="W62" s="898"/>
      <c r="X62" s="898"/>
      <c r="Y62" s="898"/>
      <c r="Z62" s="898"/>
      <c r="AA62" s="898"/>
      <c r="AB62" s="898"/>
      <c r="AC62" s="898"/>
      <c r="AD62" s="898"/>
      <c r="AE62" s="898"/>
      <c r="AF62" s="898"/>
      <c r="AG62" s="898"/>
      <c r="AH62" s="898"/>
      <c r="AI62" s="898"/>
      <c r="AJ62" s="898"/>
      <c r="AK62" s="898"/>
      <c r="AL62" s="898"/>
      <c r="AM62" s="898"/>
      <c r="AN62" s="898"/>
    </row>
    <row r="63" spans="1:40" ht="15.75" customHeight="1">
      <c r="A63" s="883" t="s">
        <v>269</v>
      </c>
      <c r="B63" s="898" t="s">
        <v>0</v>
      </c>
      <c r="C63" s="918" t="s">
        <v>58</v>
      </c>
      <c r="D63" s="971"/>
      <c r="E63" s="898"/>
      <c r="F63" s="919">
        <v>741.43089466911999</v>
      </c>
      <c r="G63" s="972"/>
      <c r="H63" s="898"/>
      <c r="I63" s="919"/>
      <c r="J63" s="918"/>
      <c r="K63" s="898"/>
      <c r="L63" s="921">
        <v>299.54000000000002</v>
      </c>
      <c r="M63" s="918"/>
      <c r="N63" s="944">
        <v>-441.89089466911997</v>
      </c>
      <c r="O63" s="918"/>
      <c r="P63" s="898"/>
      <c r="Q63" s="921">
        <v>628.30999999999995</v>
      </c>
      <c r="R63" s="918"/>
      <c r="S63" s="944">
        <v>-328.76999999999992</v>
      </c>
      <c r="T63" s="898"/>
      <c r="U63" s="898"/>
      <c r="V63" s="898"/>
      <c r="W63" s="898"/>
      <c r="X63" s="898"/>
      <c r="Y63" s="898"/>
      <c r="Z63" s="898"/>
      <c r="AA63" s="898"/>
      <c r="AB63" s="898"/>
      <c r="AC63" s="898"/>
      <c r="AD63" s="898"/>
      <c r="AE63" s="898"/>
      <c r="AF63" s="898"/>
      <c r="AG63" s="898"/>
      <c r="AH63" s="898"/>
      <c r="AI63" s="898"/>
      <c r="AJ63" s="898"/>
      <c r="AK63" s="898"/>
      <c r="AL63" s="898"/>
      <c r="AM63" s="898"/>
      <c r="AN63" s="898"/>
    </row>
    <row r="64" spans="1:40" ht="15.75" customHeight="1">
      <c r="A64" s="883" t="s">
        <v>270</v>
      </c>
      <c r="B64" s="898" t="s">
        <v>0</v>
      </c>
      <c r="C64" s="918" t="s">
        <v>59</v>
      </c>
      <c r="D64" s="971"/>
      <c r="E64" s="898"/>
      <c r="F64" s="919">
        <v>344.80198491798222</v>
      </c>
      <c r="G64" s="972"/>
      <c r="H64" s="898"/>
      <c r="I64" s="919"/>
      <c r="J64" s="918"/>
      <c r="K64" s="898"/>
      <c r="L64" s="921">
        <v>368.32</v>
      </c>
      <c r="M64" s="918"/>
      <c r="N64" s="944">
        <v>23.518015082017769</v>
      </c>
      <c r="O64" s="918"/>
      <c r="P64" s="898"/>
      <c r="Q64" s="921">
        <v>345.76</v>
      </c>
      <c r="R64" s="918"/>
      <c r="S64" s="944">
        <v>22.560000000000002</v>
      </c>
      <c r="T64" s="898"/>
      <c r="U64" s="898"/>
      <c r="V64" s="898"/>
      <c r="W64" s="898"/>
      <c r="X64" s="898"/>
      <c r="Y64" s="898"/>
      <c r="Z64" s="898"/>
      <c r="AA64" s="898"/>
      <c r="AB64" s="898"/>
      <c r="AC64" s="898"/>
      <c r="AD64" s="898"/>
      <c r="AE64" s="898"/>
      <c r="AF64" s="898"/>
      <c r="AG64" s="898"/>
      <c r="AH64" s="898"/>
      <c r="AI64" s="898"/>
      <c r="AJ64" s="898"/>
      <c r="AK64" s="898"/>
      <c r="AL64" s="898"/>
      <c r="AM64" s="898"/>
      <c r="AN64" s="898"/>
    </row>
    <row r="65" spans="1:40" ht="15.75" customHeight="1">
      <c r="A65" s="883" t="s">
        <v>271</v>
      </c>
      <c r="B65" s="898" t="s">
        <v>0</v>
      </c>
      <c r="C65" s="918" t="s">
        <v>60</v>
      </c>
      <c r="D65" s="971"/>
      <c r="E65" s="898"/>
      <c r="F65" s="919">
        <v>102.82239536841776</v>
      </c>
      <c r="G65" s="972"/>
      <c r="H65" s="898"/>
      <c r="I65" s="919"/>
      <c r="J65" s="918"/>
      <c r="K65" s="898"/>
      <c r="L65" s="921">
        <v>78.17</v>
      </c>
      <c r="M65" s="918"/>
      <c r="N65" s="944">
        <v>-24.652395368417757</v>
      </c>
      <c r="O65" s="918"/>
      <c r="P65" s="898"/>
      <c r="Q65" s="921">
        <v>32.96</v>
      </c>
      <c r="R65" s="918"/>
      <c r="S65" s="944">
        <v>45.21</v>
      </c>
      <c r="T65" s="898"/>
      <c r="U65" s="898"/>
      <c r="V65" s="898"/>
      <c r="W65" s="898"/>
      <c r="X65" s="898"/>
      <c r="Y65" s="898"/>
      <c r="Z65" s="898"/>
      <c r="AA65" s="898"/>
      <c r="AB65" s="898"/>
      <c r="AC65" s="898"/>
      <c r="AD65" s="898"/>
      <c r="AE65" s="898"/>
      <c r="AF65" s="898"/>
      <c r="AG65" s="898"/>
      <c r="AH65" s="898"/>
      <c r="AI65" s="898"/>
      <c r="AJ65" s="898"/>
      <c r="AK65" s="898"/>
      <c r="AL65" s="898"/>
      <c r="AM65" s="898"/>
      <c r="AN65" s="898"/>
    </row>
    <row r="66" spans="1:40" ht="15.75" customHeight="1">
      <c r="A66" s="883" t="s">
        <v>272</v>
      </c>
      <c r="B66" s="898" t="s">
        <v>0</v>
      </c>
      <c r="C66" s="918" t="s">
        <v>61</v>
      </c>
      <c r="D66" s="971"/>
      <c r="E66" s="898"/>
      <c r="F66" s="919">
        <v>201.17038516793778</v>
      </c>
      <c r="G66" s="972"/>
      <c r="H66" s="898"/>
      <c r="I66" s="919"/>
      <c r="J66" s="918"/>
      <c r="K66" s="898"/>
      <c r="L66" s="921">
        <v>134.72</v>
      </c>
      <c r="M66" s="918"/>
      <c r="N66" s="944">
        <v>-66.450385167937782</v>
      </c>
      <c r="O66" s="918"/>
      <c r="P66" s="898"/>
      <c r="Q66" s="921">
        <v>152.01</v>
      </c>
      <c r="R66" s="918"/>
      <c r="S66" s="944">
        <v>-17.289999999999992</v>
      </c>
      <c r="T66" s="898"/>
      <c r="U66" s="898"/>
      <c r="V66" s="898"/>
      <c r="W66" s="898"/>
      <c r="X66" s="898"/>
      <c r="Y66" s="898"/>
      <c r="Z66" s="898"/>
      <c r="AA66" s="898"/>
      <c r="AB66" s="898"/>
      <c r="AC66" s="898"/>
      <c r="AD66" s="898"/>
      <c r="AE66" s="898"/>
      <c r="AF66" s="898"/>
      <c r="AG66" s="898"/>
      <c r="AH66" s="898"/>
      <c r="AI66" s="898"/>
      <c r="AJ66" s="898"/>
      <c r="AK66" s="898"/>
      <c r="AL66" s="898"/>
      <c r="AM66" s="898"/>
      <c r="AN66" s="898"/>
    </row>
    <row r="67" spans="1:40" ht="15.75" customHeight="1">
      <c r="A67" s="883" t="s">
        <v>273</v>
      </c>
      <c r="B67" s="898" t="s">
        <v>0</v>
      </c>
      <c r="C67" s="918" t="s">
        <v>62</v>
      </c>
      <c r="D67" s="971"/>
      <c r="E67" s="898"/>
      <c r="F67" s="919">
        <v>1934.7062499999995</v>
      </c>
      <c r="G67" s="972"/>
      <c r="H67" s="898"/>
      <c r="I67" s="919"/>
      <c r="J67" s="918"/>
      <c r="K67" s="898"/>
      <c r="L67" s="921">
        <v>1414.3</v>
      </c>
      <c r="M67" s="918"/>
      <c r="N67" s="944">
        <v>-520.40624999999955</v>
      </c>
      <c r="O67" s="918"/>
      <c r="P67" s="898"/>
      <c r="Q67" s="921">
        <v>2675.45</v>
      </c>
      <c r="R67" s="918"/>
      <c r="S67" s="944">
        <v>-1261.1499999999999</v>
      </c>
      <c r="T67" s="898"/>
      <c r="X67" s="898"/>
      <c r="Y67" s="898"/>
      <c r="Z67" s="898"/>
      <c r="AA67" s="898"/>
      <c r="AB67" s="898"/>
      <c r="AC67" s="898"/>
      <c r="AD67" s="898"/>
      <c r="AE67" s="898"/>
      <c r="AF67" s="898"/>
      <c r="AG67" s="898"/>
      <c r="AH67" s="898"/>
      <c r="AI67" s="898"/>
      <c r="AJ67" s="898"/>
      <c r="AK67" s="898"/>
      <c r="AL67" s="898"/>
      <c r="AM67" s="898"/>
      <c r="AN67" s="898"/>
    </row>
    <row r="68" spans="1:40" ht="15.75" customHeight="1">
      <c r="A68" s="883" t="s">
        <v>274</v>
      </c>
      <c r="B68" s="898" t="s">
        <v>0</v>
      </c>
      <c r="C68" s="918" t="s">
        <v>63</v>
      </c>
      <c r="D68" s="971"/>
      <c r="E68" s="898"/>
      <c r="F68" s="919">
        <v>3172.2328259854512</v>
      </c>
      <c r="G68" s="972"/>
      <c r="H68" s="898"/>
      <c r="I68" s="919"/>
      <c r="J68" s="918"/>
      <c r="K68" s="898"/>
      <c r="L68" s="921">
        <v>4016.45</v>
      </c>
      <c r="M68" s="918"/>
      <c r="N68" s="944">
        <v>844.21717401454862</v>
      </c>
      <c r="O68" s="918"/>
      <c r="P68" s="898"/>
      <c r="Q68" s="921">
        <v>3267.11</v>
      </c>
      <c r="R68" s="918"/>
      <c r="S68" s="944">
        <v>749.33999999999969</v>
      </c>
      <c r="T68" s="898"/>
      <c r="X68" s="898"/>
      <c r="Y68" s="898"/>
      <c r="Z68" s="898"/>
      <c r="AA68" s="898"/>
      <c r="AB68" s="898"/>
      <c r="AC68" s="898"/>
      <c r="AD68" s="898"/>
      <c r="AE68" s="898"/>
      <c r="AF68" s="898"/>
      <c r="AG68" s="898"/>
      <c r="AH68" s="898"/>
      <c r="AI68" s="898"/>
      <c r="AJ68" s="898"/>
      <c r="AK68" s="898"/>
      <c r="AL68" s="898"/>
      <c r="AM68" s="898"/>
      <c r="AN68" s="898"/>
    </row>
    <row r="69" spans="1:40" ht="15.75" hidden="1" customHeight="1">
      <c r="A69" s="883" t="s">
        <v>233</v>
      </c>
      <c r="B69" s="898" t="s">
        <v>0</v>
      </c>
      <c r="C69" s="918" t="s">
        <v>20</v>
      </c>
      <c r="D69" s="971"/>
      <c r="E69" s="898"/>
      <c r="F69" s="919">
        <v>0</v>
      </c>
      <c r="G69" s="972"/>
      <c r="H69" s="898"/>
      <c r="I69" s="919"/>
      <c r="J69" s="918"/>
      <c r="K69" s="898"/>
      <c r="L69" s="921"/>
      <c r="M69" s="918"/>
      <c r="N69" s="944">
        <v>0</v>
      </c>
      <c r="O69" s="918"/>
      <c r="P69" s="898"/>
      <c r="Q69" s="921">
        <v>0</v>
      </c>
      <c r="R69" s="918"/>
      <c r="S69" s="944">
        <v>0</v>
      </c>
      <c r="T69" s="898"/>
      <c r="X69" s="898"/>
      <c r="Y69" s="898"/>
      <c r="Z69" s="898"/>
      <c r="AA69" s="898"/>
      <c r="AB69" s="898"/>
      <c r="AC69" s="898"/>
      <c r="AD69" s="898"/>
      <c r="AE69" s="898"/>
      <c r="AF69" s="898"/>
      <c r="AG69" s="898"/>
      <c r="AH69" s="898"/>
      <c r="AI69" s="898"/>
      <c r="AJ69" s="898"/>
      <c r="AK69" s="898"/>
      <c r="AL69" s="898"/>
      <c r="AM69" s="898"/>
      <c r="AN69" s="898"/>
    </row>
    <row r="70" spans="1:40" ht="15.75" hidden="1" customHeight="1">
      <c r="A70" s="883" t="s">
        <v>233</v>
      </c>
      <c r="B70" s="898" t="s">
        <v>0</v>
      </c>
      <c r="C70" s="918" t="s">
        <v>20</v>
      </c>
      <c r="D70" s="971"/>
      <c r="E70" s="898"/>
      <c r="F70" s="919">
        <v>0</v>
      </c>
      <c r="G70" s="972"/>
      <c r="H70" s="898"/>
      <c r="I70" s="919"/>
      <c r="J70" s="918"/>
      <c r="K70" s="898"/>
      <c r="L70" s="921">
        <v>0</v>
      </c>
      <c r="M70" s="918"/>
      <c r="N70" s="944">
        <v>0</v>
      </c>
      <c r="O70" s="918"/>
      <c r="P70" s="898"/>
      <c r="Q70" s="921">
        <v>0</v>
      </c>
      <c r="R70" s="918"/>
      <c r="S70" s="944">
        <v>0</v>
      </c>
      <c r="T70" s="898"/>
      <c r="X70" s="898"/>
      <c r="Y70" s="898"/>
      <c r="Z70" s="898"/>
      <c r="AA70" s="898"/>
      <c r="AB70" s="898"/>
      <c r="AC70" s="898"/>
      <c r="AD70" s="898"/>
      <c r="AE70" s="898"/>
      <c r="AF70" s="898"/>
      <c r="AG70" s="898"/>
      <c r="AH70" s="898"/>
      <c r="AI70" s="898"/>
      <c r="AJ70" s="898"/>
      <c r="AK70" s="898"/>
      <c r="AL70" s="898"/>
      <c r="AM70" s="898"/>
      <c r="AN70" s="898"/>
    </row>
    <row r="71" spans="1:40" ht="15.75" hidden="1" customHeight="1">
      <c r="A71" s="883" t="s">
        <v>233</v>
      </c>
      <c r="B71" s="898" t="s">
        <v>0</v>
      </c>
      <c r="C71" s="918" t="s">
        <v>20</v>
      </c>
      <c r="D71" s="971"/>
      <c r="E71" s="898"/>
      <c r="F71" s="919">
        <v>0</v>
      </c>
      <c r="G71" s="972"/>
      <c r="H71" s="898"/>
      <c r="I71" s="919"/>
      <c r="J71" s="918"/>
      <c r="K71" s="898"/>
      <c r="L71" s="921">
        <v>0</v>
      </c>
      <c r="M71" s="918"/>
      <c r="N71" s="944">
        <v>0</v>
      </c>
      <c r="O71" s="918"/>
      <c r="P71" s="898"/>
      <c r="Q71" s="921">
        <v>0</v>
      </c>
      <c r="R71" s="918"/>
      <c r="S71" s="944">
        <v>0</v>
      </c>
      <c r="T71" s="898"/>
      <c r="X71" s="898"/>
      <c r="Y71" s="898"/>
      <c r="Z71" s="898"/>
      <c r="AA71" s="898"/>
      <c r="AB71" s="898"/>
      <c r="AC71" s="898"/>
      <c r="AD71" s="898"/>
      <c r="AE71" s="898"/>
      <c r="AF71" s="898"/>
      <c r="AG71" s="898"/>
      <c r="AH71" s="898"/>
      <c r="AI71" s="898"/>
      <c r="AJ71" s="898"/>
      <c r="AK71" s="898"/>
      <c r="AL71" s="898"/>
      <c r="AM71" s="898"/>
      <c r="AN71" s="898"/>
    </row>
    <row r="72" spans="1:40" ht="15.75" customHeight="1">
      <c r="A72" s="883" t="s">
        <v>275</v>
      </c>
      <c r="B72" s="898" t="s">
        <v>0</v>
      </c>
      <c r="C72" s="978" t="s">
        <v>64</v>
      </c>
      <c r="D72" s="979" t="s">
        <v>39</v>
      </c>
      <c r="E72" s="980">
        <v>0.14712454065621342</v>
      </c>
      <c r="F72" s="981">
        <v>32018.736319074975</v>
      </c>
      <c r="G72" s="982"/>
      <c r="H72" s="980"/>
      <c r="I72" s="981"/>
      <c r="J72" s="982" t="s">
        <v>39</v>
      </c>
      <c r="K72" s="980">
        <v>0.15220187413705674</v>
      </c>
      <c r="L72" s="981">
        <v>34724.990000000005</v>
      </c>
      <c r="M72" s="985"/>
      <c r="N72" s="981">
        <v>2706.2536809250241</v>
      </c>
      <c r="O72" s="982" t="s">
        <v>39</v>
      </c>
      <c r="P72" s="980">
        <v>0.23494142512921112</v>
      </c>
      <c r="Q72" s="981">
        <v>36485.089999999989</v>
      </c>
      <c r="R72" s="985"/>
      <c r="S72" s="981">
        <v>-1760.1000000000004</v>
      </c>
      <c r="T72" s="898"/>
      <c r="X72" s="898"/>
      <c r="Y72" s="898"/>
      <c r="Z72" s="898"/>
      <c r="AA72" s="898"/>
      <c r="AB72" s="898"/>
      <c r="AC72" s="898"/>
      <c r="AD72" s="898"/>
      <c r="AE72" s="898"/>
      <c r="AF72" s="898"/>
      <c r="AG72" s="898"/>
      <c r="AH72" s="898"/>
      <c r="AI72" s="898"/>
      <c r="AJ72" s="898"/>
      <c r="AK72" s="898"/>
      <c r="AL72" s="898"/>
      <c r="AM72" s="898"/>
      <c r="AN72" s="898"/>
    </row>
    <row r="73" spans="1:40" ht="15.75" customHeight="1">
      <c r="A73" s="883" t="s">
        <v>0</v>
      </c>
      <c r="B73" s="898" t="s">
        <v>0</v>
      </c>
      <c r="C73" s="911"/>
      <c r="D73" s="973"/>
      <c r="E73" s="993"/>
      <c r="F73" s="944"/>
      <c r="G73" s="974"/>
      <c r="H73" s="993"/>
      <c r="I73" s="944"/>
      <c r="J73" s="911"/>
      <c r="K73" s="993"/>
      <c r="L73" s="969"/>
      <c r="M73" s="911"/>
      <c r="N73" s="969"/>
      <c r="O73" s="911"/>
      <c r="P73" s="993"/>
      <c r="Q73" s="969"/>
      <c r="R73" s="911"/>
      <c r="S73" s="969"/>
      <c r="T73" s="898"/>
      <c r="U73" s="898"/>
      <c r="V73" s="898"/>
      <c r="W73" s="898"/>
      <c r="X73" s="898"/>
      <c r="Y73" s="898"/>
      <c r="Z73" s="898"/>
      <c r="AA73" s="898"/>
      <c r="AB73" s="898"/>
      <c r="AC73" s="898"/>
      <c r="AD73" s="898"/>
      <c r="AE73" s="898"/>
      <c r="AF73" s="898"/>
      <c r="AG73" s="898"/>
      <c r="AH73" s="898"/>
      <c r="AI73" s="898"/>
      <c r="AJ73" s="898"/>
      <c r="AK73" s="898"/>
      <c r="AL73" s="898"/>
      <c r="AM73" s="898"/>
      <c r="AN73" s="898"/>
    </row>
    <row r="74" spans="1:40" ht="15.75" customHeight="1">
      <c r="A74" s="883" t="s">
        <v>276</v>
      </c>
      <c r="B74" s="898" t="s">
        <v>0</v>
      </c>
      <c r="C74" s="978" t="s">
        <v>65</v>
      </c>
      <c r="D74" s="979" t="s">
        <v>39</v>
      </c>
      <c r="E74" s="980">
        <v>1.0679424548841379</v>
      </c>
      <c r="F74" s="981">
        <v>232416.48004042031</v>
      </c>
      <c r="G74" s="982"/>
      <c r="H74" s="980"/>
      <c r="I74" s="981"/>
      <c r="J74" s="982" t="s">
        <v>39</v>
      </c>
      <c r="K74" s="980">
        <v>0.82343310810079273</v>
      </c>
      <c r="L74" s="981">
        <v>187866.97999999998</v>
      </c>
      <c r="M74" s="985"/>
      <c r="N74" s="995">
        <v>-44549.500040420331</v>
      </c>
      <c r="O74" s="982" t="s">
        <v>39</v>
      </c>
      <c r="P74" s="980">
        <v>1.2802719685789086</v>
      </c>
      <c r="Q74" s="981">
        <v>198819.08</v>
      </c>
      <c r="R74" s="985"/>
      <c r="S74" s="995">
        <v>-10952.100000000006</v>
      </c>
      <c r="T74" s="898"/>
      <c r="U74" s="898"/>
      <c r="V74" s="898"/>
      <c r="W74" s="898"/>
      <c r="X74" s="898"/>
      <c r="Y74" s="898"/>
      <c r="Z74" s="898"/>
      <c r="AA74" s="898"/>
      <c r="AB74" s="898"/>
      <c r="AC74" s="898"/>
      <c r="AD74" s="898"/>
      <c r="AE74" s="898"/>
      <c r="AF74" s="898"/>
      <c r="AG74" s="898"/>
      <c r="AH74" s="898"/>
      <c r="AI74" s="898"/>
      <c r="AJ74" s="898"/>
      <c r="AK74" s="898"/>
      <c r="AL74" s="898"/>
      <c r="AM74" s="898"/>
      <c r="AN74" s="898"/>
    </row>
    <row r="75" spans="1:40" ht="15.75" customHeight="1">
      <c r="A75" s="883" t="s">
        <v>277</v>
      </c>
      <c r="B75" s="898" t="s">
        <v>0</v>
      </c>
      <c r="C75" s="918" t="s">
        <v>197</v>
      </c>
      <c r="D75" s="971"/>
      <c r="E75" s="898"/>
      <c r="F75" s="919">
        <v>25000</v>
      </c>
      <c r="G75" s="972"/>
      <c r="H75" s="898"/>
      <c r="I75" s="919"/>
      <c r="J75" s="918"/>
      <c r="K75" s="898"/>
      <c r="L75" s="921">
        <v>0</v>
      </c>
      <c r="M75" s="918"/>
      <c r="N75" s="944">
        <v>-25000</v>
      </c>
      <c r="O75" s="918"/>
      <c r="P75" s="898"/>
      <c r="Q75" s="921">
        <v>16000</v>
      </c>
      <c r="R75" s="918"/>
      <c r="S75" s="944"/>
      <c r="T75" s="898"/>
      <c r="U75" s="898"/>
      <c r="V75" s="898"/>
      <c r="W75" s="898"/>
      <c r="X75" s="898"/>
      <c r="Y75" s="898"/>
      <c r="Z75" s="898"/>
      <c r="AA75" s="898"/>
      <c r="AB75" s="898"/>
      <c r="AC75" s="898"/>
      <c r="AD75" s="898"/>
      <c r="AE75" s="898"/>
      <c r="AF75" s="898"/>
      <c r="AG75" s="898"/>
      <c r="AH75" s="898"/>
      <c r="AI75" s="898"/>
      <c r="AJ75" s="898"/>
      <c r="AK75" s="898"/>
      <c r="AL75" s="898"/>
      <c r="AM75" s="898"/>
      <c r="AN75" s="898"/>
    </row>
    <row r="76" spans="1:40" ht="15.75" customHeight="1">
      <c r="A76" s="883" t="s">
        <v>278</v>
      </c>
      <c r="B76" s="898" t="s">
        <v>0</v>
      </c>
      <c r="C76" s="918" t="s">
        <v>194</v>
      </c>
      <c r="D76" s="971"/>
      <c r="E76" s="898"/>
      <c r="F76" s="919">
        <v>0</v>
      </c>
      <c r="G76" s="972"/>
      <c r="H76" s="898"/>
      <c r="I76" s="919"/>
      <c r="J76" s="918"/>
      <c r="K76" s="898"/>
      <c r="L76" s="921">
        <v>0</v>
      </c>
      <c r="M76" s="918"/>
      <c r="N76" s="944">
        <v>0</v>
      </c>
      <c r="O76" s="918"/>
      <c r="P76" s="898"/>
      <c r="Q76" s="921">
        <v>0</v>
      </c>
      <c r="R76" s="918"/>
      <c r="S76" s="944">
        <v>0</v>
      </c>
      <c r="T76" s="898"/>
      <c r="U76" s="898"/>
      <c r="V76" s="898"/>
      <c r="W76" s="898"/>
      <c r="X76" s="898"/>
      <c r="Y76" s="898"/>
      <c r="Z76" s="898"/>
      <c r="AA76" s="898"/>
      <c r="AB76" s="898"/>
      <c r="AC76" s="898"/>
      <c r="AD76" s="898"/>
      <c r="AE76" s="898"/>
      <c r="AF76" s="898"/>
      <c r="AG76" s="898"/>
      <c r="AH76" s="898"/>
      <c r="AI76" s="898"/>
      <c r="AJ76" s="898"/>
      <c r="AK76" s="898"/>
      <c r="AL76" s="898"/>
      <c r="AM76" s="898"/>
      <c r="AN76" s="898"/>
    </row>
    <row r="77" spans="1:40" ht="15.75" customHeight="1">
      <c r="A77" s="883" t="s">
        <v>279</v>
      </c>
      <c r="B77" s="898" t="s">
        <v>0</v>
      </c>
      <c r="C77" s="918" t="s">
        <v>68</v>
      </c>
      <c r="D77" s="971"/>
      <c r="E77" s="898"/>
      <c r="F77" s="919">
        <v>0</v>
      </c>
      <c r="G77" s="972"/>
      <c r="H77" s="898"/>
      <c r="I77" s="919"/>
      <c r="J77" s="918"/>
      <c r="K77" s="898"/>
      <c r="L77" s="921">
        <v>0</v>
      </c>
      <c r="M77" s="918"/>
      <c r="N77" s="944">
        <v>0</v>
      </c>
      <c r="O77" s="918"/>
      <c r="P77" s="898"/>
      <c r="Q77" s="921">
        <v>0</v>
      </c>
      <c r="R77" s="918"/>
      <c r="S77" s="944">
        <v>0</v>
      </c>
      <c r="T77" s="898"/>
      <c r="U77" s="898"/>
      <c r="V77" s="898"/>
      <c r="W77" s="898"/>
      <c r="X77" s="898"/>
      <c r="Y77" s="898"/>
      <c r="Z77" s="898"/>
      <c r="AA77" s="898"/>
      <c r="AB77" s="898"/>
      <c r="AC77" s="898"/>
      <c r="AD77" s="898"/>
      <c r="AE77" s="898"/>
      <c r="AF77" s="898"/>
      <c r="AG77" s="898"/>
      <c r="AH77" s="898"/>
      <c r="AI77" s="898"/>
      <c r="AJ77" s="898"/>
      <c r="AK77" s="898"/>
      <c r="AL77" s="898"/>
      <c r="AM77" s="898"/>
      <c r="AN77" s="898"/>
    </row>
    <row r="78" spans="1:40" ht="15.75" customHeight="1">
      <c r="A78" s="883" t="s">
        <v>280</v>
      </c>
      <c r="B78" s="898" t="s">
        <v>0</v>
      </c>
      <c r="C78" s="918" t="s">
        <v>69</v>
      </c>
      <c r="D78" s="971"/>
      <c r="E78" s="996">
        <v>1391.7816743526653</v>
      </c>
      <c r="F78" s="919">
        <v>90465.808832923241</v>
      </c>
      <c r="G78" s="972"/>
      <c r="H78" s="898"/>
      <c r="I78" s="919"/>
      <c r="J78" s="997">
        <v>0.8310618955059067</v>
      </c>
      <c r="K78" s="996">
        <v>1156.6567164179105</v>
      </c>
      <c r="L78" s="921">
        <v>77496</v>
      </c>
      <c r="M78" s="918"/>
      <c r="N78" s="944">
        <v>-12969.808832923241</v>
      </c>
      <c r="O78" s="918"/>
      <c r="P78" s="898"/>
      <c r="Q78" s="921">
        <v>52835</v>
      </c>
      <c r="R78" s="918"/>
      <c r="S78" s="944">
        <v>24661</v>
      </c>
      <c r="T78" s="898"/>
      <c r="U78" s="898"/>
      <c r="V78" s="898"/>
      <c r="W78" s="898"/>
      <c r="X78" s="898"/>
      <c r="Y78" s="898"/>
      <c r="Z78" s="898"/>
      <c r="AA78" s="898"/>
      <c r="AB78" s="898"/>
      <c r="AC78" s="898"/>
      <c r="AD78" s="898"/>
      <c r="AE78" s="898"/>
      <c r="AF78" s="898"/>
      <c r="AG78" s="898"/>
      <c r="AH78" s="898"/>
      <c r="AI78" s="898"/>
      <c r="AJ78" s="898"/>
      <c r="AK78" s="898"/>
      <c r="AL78" s="898"/>
      <c r="AM78" s="898"/>
      <c r="AN78" s="898"/>
    </row>
    <row r="79" spans="1:40" ht="15.75" hidden="1" customHeight="1">
      <c r="A79" s="883" t="s">
        <v>233</v>
      </c>
      <c r="B79" s="898" t="s">
        <v>0</v>
      </c>
      <c r="C79" s="918" t="s">
        <v>20</v>
      </c>
      <c r="D79" s="971"/>
      <c r="E79" s="898"/>
      <c r="F79" s="919">
        <v>0</v>
      </c>
      <c r="G79" s="972"/>
      <c r="H79" s="898"/>
      <c r="I79" s="919"/>
      <c r="J79" s="918"/>
      <c r="K79" s="898"/>
      <c r="L79" s="921">
        <v>0</v>
      </c>
      <c r="M79" s="918"/>
      <c r="N79" s="944">
        <v>0</v>
      </c>
      <c r="O79" s="918"/>
      <c r="P79" s="898"/>
      <c r="Q79" s="921">
        <v>0</v>
      </c>
      <c r="R79" s="918"/>
      <c r="S79" s="944">
        <v>0</v>
      </c>
      <c r="T79" s="898"/>
      <c r="U79" s="898"/>
      <c r="V79" s="898"/>
      <c r="W79" s="898"/>
      <c r="X79" s="898"/>
      <c r="Y79" s="898"/>
      <c r="Z79" s="898"/>
      <c r="AA79" s="898"/>
      <c r="AB79" s="898"/>
      <c r="AC79" s="898"/>
      <c r="AD79" s="898"/>
      <c r="AE79" s="898"/>
      <c r="AF79" s="898"/>
      <c r="AG79" s="898"/>
      <c r="AH79" s="898"/>
      <c r="AI79" s="898"/>
      <c r="AJ79" s="898"/>
      <c r="AK79" s="898"/>
      <c r="AL79" s="898"/>
      <c r="AM79" s="898"/>
      <c r="AN79" s="898"/>
    </row>
    <row r="80" spans="1:40" ht="15.75" hidden="1" customHeight="1">
      <c r="A80" s="883" t="s">
        <v>233</v>
      </c>
      <c r="B80" s="898" t="s">
        <v>0</v>
      </c>
      <c r="C80" s="918" t="s">
        <v>20</v>
      </c>
      <c r="D80" s="971"/>
      <c r="E80" s="898"/>
      <c r="F80" s="919">
        <v>0</v>
      </c>
      <c r="G80" s="972"/>
      <c r="H80" s="898"/>
      <c r="I80" s="919"/>
      <c r="J80" s="918"/>
      <c r="K80" s="898"/>
      <c r="L80" s="921">
        <v>0</v>
      </c>
      <c r="M80" s="918"/>
      <c r="N80" s="944">
        <v>0</v>
      </c>
      <c r="O80" s="918"/>
      <c r="P80" s="898"/>
      <c r="Q80" s="921">
        <v>0</v>
      </c>
      <c r="R80" s="918"/>
      <c r="S80" s="944">
        <v>0</v>
      </c>
      <c r="T80" s="898"/>
      <c r="U80" s="898"/>
      <c r="V80" s="898"/>
      <c r="W80" s="898"/>
      <c r="X80" s="898"/>
      <c r="Y80" s="898"/>
      <c r="Z80" s="898"/>
      <c r="AA80" s="898"/>
      <c r="AB80" s="898"/>
      <c r="AC80" s="898"/>
      <c r="AD80" s="898"/>
      <c r="AE80" s="898"/>
      <c r="AF80" s="898"/>
      <c r="AG80" s="898"/>
      <c r="AH80" s="898"/>
      <c r="AI80" s="898"/>
      <c r="AJ80" s="898"/>
      <c r="AK80" s="898"/>
      <c r="AL80" s="898"/>
      <c r="AM80" s="898"/>
      <c r="AN80" s="898"/>
    </row>
    <row r="81" spans="1:40" ht="15.75" hidden="1" customHeight="1">
      <c r="A81" s="883" t="s">
        <v>233</v>
      </c>
      <c r="B81" s="898" t="s">
        <v>0</v>
      </c>
      <c r="C81" s="918" t="s">
        <v>20</v>
      </c>
      <c r="D81" s="971"/>
      <c r="E81" s="898"/>
      <c r="F81" s="919">
        <v>0</v>
      </c>
      <c r="G81" s="972"/>
      <c r="H81" s="898"/>
      <c r="I81" s="919"/>
      <c r="J81" s="918"/>
      <c r="K81" s="898"/>
      <c r="L81" s="921">
        <v>0</v>
      </c>
      <c r="M81" s="918"/>
      <c r="N81" s="944">
        <v>0</v>
      </c>
      <c r="O81" s="918"/>
      <c r="P81" s="898"/>
      <c r="Q81" s="921">
        <v>0</v>
      </c>
      <c r="R81" s="918"/>
      <c r="S81" s="944">
        <v>0</v>
      </c>
      <c r="T81" s="898"/>
      <c r="U81" s="898"/>
      <c r="V81" s="898"/>
      <c r="W81" s="898"/>
      <c r="X81" s="898"/>
      <c r="Y81" s="898"/>
      <c r="Z81" s="898"/>
      <c r="AA81" s="898"/>
      <c r="AB81" s="898"/>
      <c r="AC81" s="898"/>
      <c r="AD81" s="898"/>
      <c r="AE81" s="898"/>
      <c r="AF81" s="898"/>
      <c r="AG81" s="898"/>
      <c r="AH81" s="898"/>
      <c r="AI81" s="898"/>
      <c r="AJ81" s="898"/>
      <c r="AK81" s="898"/>
      <c r="AL81" s="898"/>
      <c r="AM81" s="898"/>
      <c r="AN81" s="898"/>
    </row>
    <row r="82" spans="1:40" ht="15.75" customHeight="1">
      <c r="A82" s="998" t="s">
        <v>281</v>
      </c>
      <c r="B82" s="999" t="s">
        <v>0</v>
      </c>
      <c r="C82" s="918" t="s">
        <v>70</v>
      </c>
      <c r="D82" s="1000">
        <v>0.95</v>
      </c>
      <c r="E82" s="1001">
        <v>474.04999999999995</v>
      </c>
      <c r="F82" s="919">
        <v>29865.149999999998</v>
      </c>
      <c r="G82" s="972"/>
      <c r="H82" s="898"/>
      <c r="I82" s="919"/>
      <c r="J82" s="997">
        <v>1.0436115506329113</v>
      </c>
      <c r="K82" s="1001">
        <v>494.671875</v>
      </c>
      <c r="L82" s="921">
        <v>31659</v>
      </c>
      <c r="M82" s="918"/>
      <c r="N82" s="944">
        <v>1793.8500000000022</v>
      </c>
      <c r="O82" s="918"/>
      <c r="P82" s="898"/>
      <c r="Q82" s="921">
        <v>19467</v>
      </c>
      <c r="R82" s="918"/>
      <c r="S82" s="944">
        <v>12192</v>
      </c>
      <c r="T82" s="898"/>
      <c r="U82" s="898"/>
      <c r="V82" s="898"/>
      <c r="W82" s="898"/>
      <c r="X82" s="898"/>
      <c r="Y82" s="898"/>
      <c r="Z82" s="898"/>
      <c r="AA82" s="898"/>
      <c r="AB82" s="898"/>
      <c r="AC82" s="898"/>
      <c r="AD82" s="898"/>
      <c r="AE82" s="898"/>
      <c r="AF82" s="898"/>
      <c r="AG82" s="898"/>
      <c r="AH82" s="898"/>
      <c r="AI82" s="898"/>
      <c r="AJ82" s="898"/>
      <c r="AK82" s="898"/>
      <c r="AL82" s="898"/>
      <c r="AM82" s="898"/>
      <c r="AN82" s="898"/>
    </row>
    <row r="83" spans="1:40" ht="15.75" customHeight="1">
      <c r="A83" s="883" t="s">
        <v>282</v>
      </c>
      <c r="B83" s="898" t="s">
        <v>0</v>
      </c>
      <c r="C83" s="978" t="s">
        <v>71</v>
      </c>
      <c r="D83" s="979"/>
      <c r="E83" s="980"/>
      <c r="F83" s="981">
        <v>145330.95883292324</v>
      </c>
      <c r="G83" s="982"/>
      <c r="H83" s="980"/>
      <c r="I83" s="981"/>
      <c r="J83" s="982"/>
      <c r="K83" s="980"/>
      <c r="L83" s="981">
        <v>109155</v>
      </c>
      <c r="M83" s="985"/>
      <c r="N83" s="981">
        <v>-36175.958832923236</v>
      </c>
      <c r="O83" s="982"/>
      <c r="P83" s="980"/>
      <c r="Q83" s="981">
        <v>88302</v>
      </c>
      <c r="R83" s="985"/>
      <c r="S83" s="981">
        <v>36853</v>
      </c>
      <c r="T83" s="898"/>
      <c r="U83" s="898"/>
      <c r="V83" s="898"/>
      <c r="W83" s="898"/>
      <c r="X83" s="898"/>
      <c r="Y83" s="898"/>
      <c r="Z83" s="898"/>
      <c r="AA83" s="898"/>
      <c r="AB83" s="898"/>
      <c r="AC83" s="898"/>
      <c r="AD83" s="898"/>
      <c r="AE83" s="898"/>
      <c r="AF83" s="898"/>
      <c r="AG83" s="898"/>
      <c r="AH83" s="898"/>
      <c r="AI83" s="898"/>
      <c r="AJ83" s="898"/>
      <c r="AK83" s="898"/>
      <c r="AL83" s="898"/>
      <c r="AM83" s="898"/>
      <c r="AN83" s="898"/>
    </row>
    <row r="84" spans="1:40" ht="15.75" customHeight="1">
      <c r="A84" s="883" t="s">
        <v>0</v>
      </c>
      <c r="B84" s="898" t="s">
        <v>0</v>
      </c>
      <c r="C84" s="1002"/>
      <c r="D84" s="1003"/>
      <c r="E84" s="1004"/>
      <c r="F84" s="1005"/>
      <c r="G84" s="1006"/>
      <c r="H84" s="1004"/>
      <c r="I84" s="1005"/>
      <c r="J84" s="1007"/>
      <c r="K84" s="1008"/>
      <c r="L84" s="1005"/>
      <c r="M84" s="1007"/>
      <c r="N84" s="1009"/>
      <c r="O84" s="1007"/>
      <c r="P84" s="1008"/>
      <c r="Q84" s="1005"/>
      <c r="R84" s="1007"/>
      <c r="S84" s="1009"/>
      <c r="T84" s="898"/>
      <c r="U84" s="898"/>
      <c r="V84" s="898"/>
      <c r="W84" s="898"/>
      <c r="X84" s="898"/>
      <c r="Y84" s="898"/>
      <c r="Z84" s="898"/>
      <c r="AA84" s="898"/>
      <c r="AB84" s="898"/>
      <c r="AC84" s="898"/>
      <c r="AD84" s="898"/>
      <c r="AE84" s="898"/>
      <c r="AF84" s="898"/>
      <c r="AG84" s="898"/>
      <c r="AH84" s="898"/>
      <c r="AI84" s="898"/>
      <c r="AJ84" s="898"/>
      <c r="AK84" s="898"/>
      <c r="AL84" s="898"/>
      <c r="AM84" s="898"/>
      <c r="AN84" s="898"/>
    </row>
    <row r="85" spans="1:40" ht="22.5" customHeight="1" thickBot="1">
      <c r="A85" s="883" t="s">
        <v>283</v>
      </c>
      <c r="B85" s="898" t="s">
        <v>0</v>
      </c>
      <c r="C85" s="1010" t="s">
        <v>72</v>
      </c>
      <c r="D85" s="1011"/>
      <c r="E85" s="1012"/>
      <c r="F85" s="1013">
        <v>130544.63196928191</v>
      </c>
      <c r="G85" s="1014"/>
      <c r="H85" s="1012"/>
      <c r="I85" s="1013"/>
      <c r="J85" s="1014"/>
      <c r="K85" s="1011"/>
      <c r="L85" s="1013">
        <v>149438.8900000001</v>
      </c>
      <c r="M85" s="1014"/>
      <c r="N85" s="1013">
        <v>18894.258030718178</v>
      </c>
      <c r="O85" s="1014"/>
      <c r="P85" s="1015">
        <v>1.8330041206817693E-2</v>
      </c>
      <c r="Q85" s="1013">
        <v>44777.3299999999</v>
      </c>
      <c r="R85" s="1014"/>
      <c r="S85" s="1013">
        <v>120661.56000000019</v>
      </c>
      <c r="T85" s="898"/>
      <c r="U85" s="898"/>
      <c r="V85" s="898"/>
      <c r="W85" s="898"/>
      <c r="X85" s="898"/>
      <c r="Y85" s="898"/>
      <c r="Z85" s="898"/>
      <c r="AA85" s="898"/>
      <c r="AB85" s="898"/>
      <c r="AC85" s="898"/>
      <c r="AD85" s="898"/>
      <c r="AE85" s="898"/>
      <c r="AF85" s="898"/>
      <c r="AG85" s="898"/>
      <c r="AH85" s="898"/>
      <c r="AI85" s="898"/>
      <c r="AJ85" s="898"/>
      <c r="AK85" s="898"/>
      <c r="AL85" s="898"/>
      <c r="AM85" s="898"/>
      <c r="AN85" s="898"/>
    </row>
    <row r="86" spans="1:40" ht="15.75" customHeight="1" thickTop="1">
      <c r="B86" s="1016"/>
      <c r="C86" s="1016"/>
      <c r="D86" s="1016"/>
      <c r="E86" s="1016"/>
      <c r="F86" s="1016"/>
      <c r="G86" s="1016"/>
      <c r="H86" s="1016"/>
      <c r="I86" s="1016"/>
      <c r="J86" s="1017"/>
      <c r="K86" s="1016"/>
      <c r="L86" s="1018"/>
      <c r="M86" s="1016"/>
      <c r="N86" s="1016"/>
      <c r="O86" s="1016"/>
      <c r="P86" s="1016"/>
      <c r="Q86" s="1016"/>
      <c r="R86" s="1016"/>
      <c r="S86" s="1016"/>
      <c r="T86" s="1016"/>
      <c r="U86" s="1016"/>
      <c r="V86" s="1016"/>
      <c r="W86" s="1016"/>
      <c r="X86" s="1016"/>
      <c r="Y86" s="1016"/>
      <c r="Z86" s="1016"/>
      <c r="AA86" s="1016"/>
      <c r="AB86" s="1016"/>
      <c r="AC86" s="1016"/>
      <c r="AD86" s="1016"/>
      <c r="AE86" s="1016"/>
      <c r="AF86" s="1016"/>
      <c r="AG86" s="1016"/>
      <c r="AH86" s="1016"/>
      <c r="AI86" s="1016"/>
      <c r="AJ86" s="1016"/>
      <c r="AK86" s="1016"/>
      <c r="AL86" s="1016"/>
      <c r="AM86" s="1016"/>
      <c r="AN86" s="1016"/>
    </row>
    <row r="87" spans="1:40" ht="12.75" customHeight="1">
      <c r="B87" s="1016"/>
      <c r="C87" s="1016"/>
      <c r="D87" s="1016"/>
      <c r="E87" s="1016"/>
      <c r="F87" s="1016"/>
      <c r="G87" s="1016"/>
      <c r="H87" s="1016"/>
      <c r="I87" s="1019"/>
      <c r="J87" s="1016"/>
      <c r="K87" s="1016"/>
      <c r="L87" s="1016"/>
      <c r="M87" s="1016"/>
      <c r="N87" s="1016"/>
      <c r="O87" s="1016"/>
      <c r="P87" s="1016"/>
      <c r="Q87" s="1016"/>
      <c r="R87" s="1016"/>
      <c r="S87" s="1016"/>
      <c r="T87" s="1016"/>
      <c r="U87" s="1016"/>
      <c r="V87" s="1016"/>
      <c r="W87" s="1016"/>
      <c r="X87" s="1016"/>
      <c r="Y87" s="1016"/>
      <c r="Z87" s="1016"/>
      <c r="AA87" s="1016"/>
      <c r="AB87" s="1016"/>
      <c r="AC87" s="1016"/>
      <c r="AD87" s="1016"/>
      <c r="AE87" s="1016"/>
      <c r="AF87" s="1016"/>
      <c r="AG87" s="1016"/>
      <c r="AH87" s="1016"/>
      <c r="AI87" s="1016"/>
      <c r="AJ87" s="1016"/>
      <c r="AK87" s="1016"/>
      <c r="AL87" s="1016"/>
      <c r="AM87" s="1016"/>
      <c r="AN87" s="1016"/>
    </row>
    <row r="88" spans="1:40" ht="15.75" hidden="1" customHeight="1">
      <c r="B88" s="892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895"/>
      <c r="R88" s="895"/>
      <c r="S88" s="895"/>
      <c r="T88" s="895"/>
      <c r="U88" s="895"/>
    </row>
    <row r="89" spans="1:40" ht="33" customHeight="1">
      <c r="B89" s="884"/>
      <c r="C89" s="1020" t="s">
        <v>478</v>
      </c>
      <c r="D89" s="886"/>
      <c r="E89" s="886"/>
      <c r="F89" s="886"/>
      <c r="G89" s="886"/>
      <c r="H89" s="884"/>
      <c r="I89" s="884"/>
      <c r="J89" s="884"/>
      <c r="K89" s="888" t="s">
        <v>73</v>
      </c>
      <c r="L89" s="886"/>
      <c r="M89" s="886"/>
      <c r="N89" s="884"/>
      <c r="O89" s="884"/>
      <c r="P89" s="886"/>
      <c r="Q89" s="884"/>
      <c r="R89" s="886"/>
      <c r="S89" s="1021" t="s">
        <v>482</v>
      </c>
      <c r="T89" s="884"/>
      <c r="U89" s="884"/>
      <c r="V89" s="884"/>
      <c r="W89" s="884"/>
      <c r="X89" s="884"/>
      <c r="Y89" s="884"/>
      <c r="Z89" s="884"/>
      <c r="AA89" s="884"/>
      <c r="AB89" s="884"/>
      <c r="AC89" s="884"/>
      <c r="AD89" s="884"/>
      <c r="AE89" s="884"/>
      <c r="AF89" s="884"/>
      <c r="AG89" s="884"/>
      <c r="AH89" s="884"/>
      <c r="AI89" s="884"/>
      <c r="AJ89" s="884"/>
      <c r="AK89" s="884"/>
      <c r="AL89" s="884"/>
      <c r="AM89" s="884"/>
      <c r="AN89" s="884"/>
    </row>
    <row r="90" spans="1:40" ht="15.75" customHeight="1" thickBot="1">
      <c r="B90" s="892"/>
      <c r="C90" s="893"/>
      <c r="D90" s="895"/>
      <c r="E90" s="895"/>
      <c r="F90" s="895"/>
      <c r="G90" s="895"/>
      <c r="H90" s="895"/>
      <c r="I90" s="895"/>
      <c r="J90" s="895"/>
      <c r="K90" s="895"/>
      <c r="L90" s="895"/>
      <c r="M90" s="895"/>
      <c r="N90" s="895"/>
      <c r="O90" s="895"/>
      <c r="P90" s="895"/>
      <c r="Q90" s="895"/>
      <c r="R90" s="895"/>
      <c r="S90" s="895"/>
      <c r="T90" s="895"/>
      <c r="U90" s="895"/>
    </row>
    <row r="91" spans="1:40" ht="15.75" customHeight="1" thickTop="1">
      <c r="B91" s="898"/>
      <c r="C91" s="899"/>
      <c r="D91" s="900" t="s">
        <v>5</v>
      </c>
      <c r="E91" s="901"/>
      <c r="F91" s="902"/>
      <c r="G91" s="903"/>
      <c r="H91" s="901"/>
      <c r="I91" s="902"/>
      <c r="J91" s="903" t="s">
        <v>7</v>
      </c>
      <c r="K91" s="901"/>
      <c r="L91" s="902"/>
      <c r="M91" s="903" t="s">
        <v>220</v>
      </c>
      <c r="N91" s="902"/>
      <c r="O91" s="900" t="s">
        <v>8</v>
      </c>
      <c r="P91" s="901"/>
      <c r="Q91" s="902"/>
      <c r="R91" s="903" t="s">
        <v>221</v>
      </c>
      <c r="S91" s="902"/>
      <c r="T91" s="898"/>
      <c r="U91" s="898"/>
      <c r="V91" s="898"/>
      <c r="W91" s="898"/>
      <c r="X91" s="898"/>
      <c r="Y91" s="898"/>
      <c r="Z91" s="898"/>
      <c r="AA91" s="898"/>
      <c r="AB91" s="898"/>
      <c r="AC91" s="898"/>
      <c r="AD91" s="898"/>
      <c r="AE91" s="898"/>
      <c r="AF91" s="898"/>
      <c r="AG91" s="898"/>
      <c r="AH91" s="898"/>
      <c r="AI91" s="898"/>
      <c r="AJ91" s="898"/>
      <c r="AK91" s="898"/>
      <c r="AL91" s="898"/>
      <c r="AM91" s="898"/>
      <c r="AN91" s="898"/>
    </row>
    <row r="92" spans="1:40" ht="15.75" customHeight="1">
      <c r="B92" s="898"/>
      <c r="C92" s="918"/>
      <c r="D92" s="907" t="s">
        <v>10</v>
      </c>
      <c r="E92" s="908" t="s">
        <v>11</v>
      </c>
      <c r="F92" s="909" t="s">
        <v>12</v>
      </c>
      <c r="G92" s="910"/>
      <c r="H92" s="908"/>
      <c r="I92" s="909"/>
      <c r="J92" s="910" t="s">
        <v>473</v>
      </c>
      <c r="K92" s="908" t="s">
        <v>13</v>
      </c>
      <c r="L92" s="909" t="s">
        <v>12</v>
      </c>
      <c r="M92" s="910" t="s">
        <v>473</v>
      </c>
      <c r="N92" s="909" t="s">
        <v>12</v>
      </c>
      <c r="O92" s="908" t="s">
        <v>10</v>
      </c>
      <c r="P92" s="908" t="s">
        <v>11</v>
      </c>
      <c r="Q92" s="909" t="s">
        <v>12</v>
      </c>
      <c r="R92" s="910" t="s">
        <v>473</v>
      </c>
      <c r="S92" s="909" t="s">
        <v>12</v>
      </c>
      <c r="T92" s="898"/>
      <c r="U92" s="898"/>
      <c r="V92" s="898"/>
      <c r="W92" s="898"/>
      <c r="X92" s="898"/>
      <c r="Y92" s="898"/>
      <c r="Z92" s="898"/>
      <c r="AA92" s="898"/>
      <c r="AB92" s="898"/>
      <c r="AC92" s="898"/>
      <c r="AD92" s="898"/>
      <c r="AE92" s="898"/>
      <c r="AF92" s="898"/>
      <c r="AG92" s="898"/>
      <c r="AH92" s="898"/>
      <c r="AI92" s="898"/>
      <c r="AJ92" s="898"/>
      <c r="AK92" s="898"/>
      <c r="AL92" s="898"/>
      <c r="AM92" s="898"/>
      <c r="AN92" s="898"/>
    </row>
    <row r="93" spans="1:40" ht="24" customHeight="1">
      <c r="A93" s="883" t="s">
        <v>284</v>
      </c>
      <c r="B93" s="898" t="s">
        <v>73</v>
      </c>
      <c r="C93" s="911" t="s">
        <v>15</v>
      </c>
      <c r="D93" s="915"/>
      <c r="E93" s="915"/>
      <c r="F93" s="913">
        <v>1226269.4460539161</v>
      </c>
      <c r="G93" s="932"/>
      <c r="H93" s="915"/>
      <c r="I93" s="913"/>
      <c r="J93" s="911"/>
      <c r="K93" s="915"/>
      <c r="L93" s="913">
        <v>1445195.34</v>
      </c>
      <c r="M93" s="1022"/>
      <c r="N93" s="1023"/>
      <c r="O93" s="911"/>
      <c r="P93" s="915"/>
      <c r="Q93" s="913">
        <v>1166915.49999999</v>
      </c>
      <c r="R93" s="1022"/>
      <c r="S93" s="1023"/>
      <c r="T93" s="898"/>
      <c r="U93" s="898"/>
      <c r="V93" s="898"/>
      <c r="W93" s="898"/>
      <c r="X93" s="898"/>
      <c r="Y93" s="898"/>
      <c r="Z93" s="898"/>
      <c r="AA93" s="898"/>
      <c r="AB93" s="898"/>
      <c r="AC93" s="898"/>
      <c r="AD93" s="898"/>
      <c r="AE93" s="898"/>
      <c r="AF93" s="898"/>
      <c r="AG93" s="898"/>
      <c r="AH93" s="898"/>
      <c r="AI93" s="898"/>
      <c r="AJ93" s="898"/>
      <c r="AK93" s="898"/>
      <c r="AL93" s="898"/>
      <c r="AM93" s="898"/>
      <c r="AN93" s="898"/>
    </row>
    <row r="94" spans="1:40" ht="21.75" customHeight="1">
      <c r="A94" s="883" t="s">
        <v>285</v>
      </c>
      <c r="B94" s="898" t="s">
        <v>73</v>
      </c>
      <c r="C94" s="918" t="s">
        <v>75</v>
      </c>
      <c r="D94" s="919">
        <v>19</v>
      </c>
      <c r="E94" s="919">
        <v>1400</v>
      </c>
      <c r="F94" s="919">
        <v>26600</v>
      </c>
      <c r="G94" s="920"/>
      <c r="H94" s="919"/>
      <c r="I94" s="919"/>
      <c r="J94" s="920">
        <v>25</v>
      </c>
      <c r="K94" s="919">
        <v>2129.2080000000042</v>
      </c>
      <c r="L94" s="921">
        <v>53230.200000000099</v>
      </c>
      <c r="M94" s="920">
        <v>6</v>
      </c>
      <c r="N94" s="921">
        <v>26630.200000000099</v>
      </c>
      <c r="O94" s="920">
        <v>27</v>
      </c>
      <c r="P94" s="919">
        <v>1293.3581481481442</v>
      </c>
      <c r="Q94" s="921">
        <v>34920.669999999896</v>
      </c>
      <c r="R94" s="920">
        <v>-2</v>
      </c>
      <c r="S94" s="921">
        <v>18309.530000000203</v>
      </c>
      <c r="T94" s="898"/>
      <c r="U94" s="898"/>
      <c r="V94" s="898"/>
      <c r="W94" s="898"/>
      <c r="X94" s="898"/>
      <c r="Y94" s="898"/>
      <c r="Z94" s="898"/>
      <c r="AA94" s="898"/>
      <c r="AB94" s="898"/>
      <c r="AC94" s="898"/>
      <c r="AD94" s="898"/>
      <c r="AE94" s="898"/>
      <c r="AF94" s="898"/>
      <c r="AG94" s="898"/>
      <c r="AH94" s="898"/>
      <c r="AI94" s="898"/>
      <c r="AJ94" s="898"/>
      <c r="AK94" s="898"/>
      <c r="AL94" s="898"/>
      <c r="AM94" s="898"/>
      <c r="AN94" s="898"/>
    </row>
    <row r="95" spans="1:40" ht="18.75" customHeight="1">
      <c r="A95" s="883" t="s">
        <v>286</v>
      </c>
      <c r="B95" s="898" t="s">
        <v>73</v>
      </c>
      <c r="C95" s="918" t="s">
        <v>76</v>
      </c>
      <c r="D95" s="919">
        <v>2</v>
      </c>
      <c r="E95" s="919">
        <v>1800</v>
      </c>
      <c r="F95" s="919">
        <v>3600</v>
      </c>
      <c r="G95" s="920"/>
      <c r="H95" s="919"/>
      <c r="I95" s="919"/>
      <c r="J95" s="920">
        <v>1</v>
      </c>
      <c r="K95" s="919">
        <v>1000</v>
      </c>
      <c r="L95" s="921">
        <v>1000</v>
      </c>
      <c r="M95" s="920">
        <v>-1</v>
      </c>
      <c r="N95" s="921">
        <v>-2600</v>
      </c>
      <c r="O95" s="920">
        <v>-13</v>
      </c>
      <c r="P95" s="919">
        <v>1650.3969230769239</v>
      </c>
      <c r="Q95" s="921">
        <v>-21455.160000000011</v>
      </c>
      <c r="R95" s="920">
        <v>14</v>
      </c>
      <c r="S95" s="921">
        <v>22455.160000000011</v>
      </c>
      <c r="T95" s="898"/>
      <c r="U95" s="898"/>
      <c r="V95" s="1024"/>
      <c r="W95" s="898"/>
      <c r="X95" s="898"/>
      <c r="Y95" s="898"/>
      <c r="Z95" s="898"/>
      <c r="AA95" s="898"/>
      <c r="AB95" s="898"/>
      <c r="AC95" s="898"/>
      <c r="AD95" s="898"/>
      <c r="AE95" s="898"/>
      <c r="AF95" s="898"/>
      <c r="AG95" s="898"/>
      <c r="AH95" s="898"/>
      <c r="AI95" s="898"/>
      <c r="AJ95" s="898"/>
      <c r="AK95" s="898"/>
      <c r="AL95" s="898"/>
      <c r="AM95" s="898"/>
      <c r="AN95" s="898"/>
    </row>
    <row r="96" spans="1:40" ht="18.75" customHeight="1">
      <c r="A96" s="883" t="s">
        <v>287</v>
      </c>
      <c r="B96" s="898" t="s">
        <v>73</v>
      </c>
      <c r="C96" s="918" t="s">
        <v>224</v>
      </c>
      <c r="D96" s="919">
        <v>3</v>
      </c>
      <c r="E96" s="915">
        <v>1500</v>
      </c>
      <c r="F96" s="919">
        <v>4500</v>
      </c>
      <c r="G96" s="920"/>
      <c r="H96" s="919"/>
      <c r="I96" s="919"/>
      <c r="J96" s="920">
        <v>0</v>
      </c>
      <c r="K96" s="919">
        <v>0</v>
      </c>
      <c r="L96" s="921">
        <v>0</v>
      </c>
      <c r="M96" s="920">
        <v>-3</v>
      </c>
      <c r="N96" s="921">
        <v>-4500</v>
      </c>
      <c r="O96" s="920">
        <v>0</v>
      </c>
      <c r="P96" s="919">
        <v>0</v>
      </c>
      <c r="Q96" s="921">
        <v>24564.57</v>
      </c>
      <c r="R96" s="920">
        <v>0</v>
      </c>
      <c r="S96" s="921">
        <v>-24564.57</v>
      </c>
      <c r="T96" s="898"/>
      <c r="U96" s="898"/>
      <c r="V96" s="1024"/>
      <c r="W96" s="898"/>
      <c r="X96" s="898"/>
      <c r="Y96" s="898"/>
      <c r="Z96" s="898"/>
      <c r="AA96" s="898"/>
      <c r="AB96" s="898"/>
      <c r="AC96" s="898"/>
      <c r="AD96" s="898"/>
      <c r="AE96" s="898"/>
      <c r="AF96" s="898"/>
      <c r="AG96" s="898"/>
      <c r="AH96" s="898"/>
      <c r="AI96" s="898"/>
      <c r="AJ96" s="898"/>
      <c r="AK96" s="898"/>
      <c r="AL96" s="898"/>
      <c r="AM96" s="898"/>
      <c r="AN96" s="898"/>
    </row>
    <row r="97" spans="1:40" ht="15.75" customHeight="1">
      <c r="A97" s="883" t="s">
        <v>288</v>
      </c>
      <c r="B97" s="898" t="s">
        <v>73</v>
      </c>
      <c r="C97" s="924" t="s">
        <v>77</v>
      </c>
      <c r="D97" s="925">
        <v>24</v>
      </c>
      <c r="E97" s="919">
        <v>1445.8333333333333</v>
      </c>
      <c r="F97" s="926">
        <v>34700</v>
      </c>
      <c r="G97" s="927"/>
      <c r="H97" s="925"/>
      <c r="I97" s="926"/>
      <c r="J97" s="927">
        <v>26</v>
      </c>
      <c r="K97" s="925">
        <v>2085.7769230769268</v>
      </c>
      <c r="L97" s="926">
        <v>54230.200000000099</v>
      </c>
      <c r="M97" s="927">
        <v>2</v>
      </c>
      <c r="N97" s="926">
        <v>19530.200000000099</v>
      </c>
      <c r="O97" s="927">
        <v>14</v>
      </c>
      <c r="P97" s="925">
        <v>2716.4342857142774</v>
      </c>
      <c r="Q97" s="926">
        <v>38030.079999999885</v>
      </c>
      <c r="R97" s="927">
        <v>12</v>
      </c>
      <c r="S97" s="926">
        <v>40764.690000000213</v>
      </c>
      <c r="T97" s="898"/>
      <c r="U97" s="898"/>
      <c r="V97" s="898"/>
      <c r="W97" s="898"/>
      <c r="X97" s="898"/>
      <c r="Y97" s="898"/>
      <c r="Z97" s="898"/>
      <c r="AA97" s="898"/>
      <c r="AB97" s="898"/>
      <c r="AC97" s="960"/>
      <c r="AD97" s="898"/>
      <c r="AE97" s="898"/>
      <c r="AF97" s="960"/>
      <c r="AG97" s="898"/>
      <c r="AH97" s="898"/>
      <c r="AI97" s="898"/>
      <c r="AJ97" s="898"/>
      <c r="AK97" s="898"/>
      <c r="AL97" s="898"/>
      <c r="AM97" s="898"/>
      <c r="AN97" s="898"/>
    </row>
    <row r="98" spans="1:40" ht="15.75" customHeight="1">
      <c r="A98" s="883" t="s">
        <v>73</v>
      </c>
      <c r="B98" s="898" t="s">
        <v>73</v>
      </c>
      <c r="C98" s="918"/>
      <c r="D98" s="898"/>
      <c r="E98" s="919">
        <v>0</v>
      </c>
      <c r="F98" s="928"/>
      <c r="G98" s="918"/>
      <c r="H98" s="898"/>
      <c r="I98" s="928"/>
      <c r="J98" s="918"/>
      <c r="K98" s="898"/>
      <c r="L98" s="928"/>
      <c r="M98" s="1025">
        <v>8.3333333333333329E-2</v>
      </c>
      <c r="N98" s="1026">
        <v>0.56282997118155909</v>
      </c>
      <c r="O98" s="918"/>
      <c r="P98" s="898">
        <v>0</v>
      </c>
      <c r="Q98" s="928"/>
      <c r="R98" s="1025">
        <v>0.8571428571428571</v>
      </c>
      <c r="S98" s="1026">
        <v>1.0719065013799691</v>
      </c>
      <c r="T98" s="898"/>
      <c r="U98" s="898"/>
      <c r="V98" s="898"/>
      <c r="W98" s="898"/>
      <c r="X98" s="898"/>
      <c r="Y98" s="898"/>
      <c r="Z98" s="898"/>
      <c r="AA98" s="898"/>
      <c r="AB98" s="898"/>
      <c r="AC98" s="898"/>
      <c r="AD98" s="898"/>
      <c r="AE98" s="898"/>
      <c r="AF98" s="898"/>
      <c r="AG98" s="898"/>
      <c r="AH98" s="898"/>
      <c r="AI98" s="898"/>
      <c r="AJ98" s="898"/>
      <c r="AK98" s="898"/>
      <c r="AL98" s="898"/>
      <c r="AM98" s="898"/>
      <c r="AN98" s="898"/>
    </row>
    <row r="99" spans="1:40" ht="15.75" customHeight="1">
      <c r="A99" s="883" t="s">
        <v>73</v>
      </c>
      <c r="B99" s="898" t="s">
        <v>73</v>
      </c>
      <c r="C99" s="918"/>
      <c r="D99" s="919">
        <v>0</v>
      </c>
      <c r="E99" s="919">
        <v>0</v>
      </c>
      <c r="F99" s="919">
        <v>0</v>
      </c>
      <c r="G99" s="920"/>
      <c r="H99" s="919"/>
      <c r="I99" s="919"/>
      <c r="J99" s="920"/>
      <c r="K99" s="919"/>
      <c r="L99" s="921"/>
      <c r="M99" s="920"/>
      <c r="N99" s="921"/>
      <c r="O99" s="920"/>
      <c r="P99" s="919"/>
      <c r="Q99" s="921"/>
      <c r="R99" s="920"/>
      <c r="S99" s="921"/>
      <c r="T99" s="898"/>
      <c r="U99" s="898"/>
      <c r="V99" s="898"/>
      <c r="W99" s="919"/>
      <c r="X99" s="919"/>
      <c r="Y99" s="898"/>
      <c r="Z99" s="898"/>
      <c r="AA99" s="898"/>
      <c r="AB99" s="898"/>
      <c r="AC99" s="898"/>
      <c r="AD99" s="898"/>
      <c r="AE99" s="898"/>
      <c r="AF99" s="898"/>
      <c r="AG99" s="898"/>
      <c r="AH99" s="898"/>
      <c r="AI99" s="898"/>
      <c r="AJ99" s="898"/>
      <c r="AK99" s="898"/>
      <c r="AL99" s="898"/>
      <c r="AM99" s="898"/>
      <c r="AN99" s="898"/>
    </row>
    <row r="100" spans="1:40" ht="15.75" customHeight="1">
      <c r="A100" s="883" t="s">
        <v>289</v>
      </c>
      <c r="B100" s="898" t="s">
        <v>73</v>
      </c>
      <c r="C100" s="918" t="s">
        <v>78</v>
      </c>
      <c r="D100" s="919">
        <v>27</v>
      </c>
      <c r="E100" s="919">
        <v>400</v>
      </c>
      <c r="F100" s="919">
        <v>10800</v>
      </c>
      <c r="G100" s="920"/>
      <c r="H100" s="919"/>
      <c r="I100" s="919"/>
      <c r="J100" s="920">
        <v>38</v>
      </c>
      <c r="K100" s="919">
        <v>366.98736842105313</v>
      </c>
      <c r="L100" s="921">
        <v>13945.520000000019</v>
      </c>
      <c r="M100" s="920">
        <v>11</v>
      </c>
      <c r="N100" s="921">
        <v>3145.5200000000186</v>
      </c>
      <c r="O100" s="920">
        <v>32</v>
      </c>
      <c r="P100" s="919">
        <v>218.91062500000032</v>
      </c>
      <c r="Q100" s="921">
        <v>7005.1400000000103</v>
      </c>
      <c r="R100" s="920">
        <v>6</v>
      </c>
      <c r="S100" s="921">
        <v>6940.3800000000083</v>
      </c>
      <c r="T100" s="898"/>
      <c r="U100" s="919"/>
      <c r="V100" s="898"/>
      <c r="W100" s="898"/>
      <c r="X100" s="898"/>
      <c r="Y100" s="898"/>
      <c r="Z100" s="898"/>
      <c r="AA100" s="898"/>
      <c r="AB100" s="898"/>
      <c r="AC100" s="960"/>
      <c r="AD100" s="898"/>
      <c r="AE100" s="898"/>
      <c r="AF100" s="1027"/>
      <c r="AG100" s="898"/>
      <c r="AH100" s="898"/>
      <c r="AI100" s="898"/>
      <c r="AJ100" s="898"/>
      <c r="AK100" s="898"/>
      <c r="AL100" s="898"/>
      <c r="AM100" s="898"/>
      <c r="AN100" s="898"/>
    </row>
    <row r="101" spans="1:40" ht="15.75" customHeight="1">
      <c r="A101" s="883" t="s">
        <v>73</v>
      </c>
      <c r="B101" s="898" t="s">
        <v>73</v>
      </c>
      <c r="C101" s="911"/>
      <c r="D101" s="915"/>
      <c r="E101" s="915"/>
      <c r="F101" s="913"/>
      <c r="G101" s="932"/>
      <c r="H101" s="915"/>
      <c r="I101" s="913"/>
      <c r="J101" s="932"/>
      <c r="K101" s="915"/>
      <c r="L101" s="913"/>
      <c r="M101" s="933"/>
      <c r="N101" s="1028"/>
      <c r="O101" s="932"/>
      <c r="P101" s="915"/>
      <c r="Q101" s="913"/>
      <c r="R101" s="933"/>
      <c r="S101" s="1028"/>
      <c r="T101" s="898"/>
      <c r="U101" s="898"/>
      <c r="V101" s="898"/>
      <c r="W101" s="919"/>
      <c r="X101" s="898"/>
      <c r="Y101" s="898"/>
      <c r="Z101" s="898"/>
      <c r="AA101" s="898"/>
      <c r="AB101" s="898"/>
      <c r="AC101" s="898"/>
      <c r="AD101" s="898"/>
      <c r="AE101" s="898"/>
      <c r="AF101" s="1027"/>
      <c r="AG101" s="898"/>
      <c r="AH101" s="898"/>
      <c r="AI101" s="898"/>
      <c r="AJ101" s="898"/>
      <c r="AK101" s="898"/>
      <c r="AL101" s="898"/>
      <c r="AM101" s="898"/>
      <c r="AN101" s="898"/>
    </row>
    <row r="102" spans="1:40" ht="15.75" customHeight="1">
      <c r="A102" s="883" t="s">
        <v>290</v>
      </c>
      <c r="B102" s="898" t="s">
        <v>73</v>
      </c>
      <c r="C102" s="918" t="s">
        <v>25</v>
      </c>
      <c r="D102" s="919">
        <v>0</v>
      </c>
      <c r="E102" s="919">
        <v>0</v>
      </c>
      <c r="F102" s="921">
        <v>14400</v>
      </c>
      <c r="G102" s="920"/>
      <c r="H102" s="919"/>
      <c r="I102" s="919"/>
      <c r="J102" s="920"/>
      <c r="K102" s="919">
        <v>508.61423076923074</v>
      </c>
      <c r="L102" s="921">
        <v>13223.97</v>
      </c>
      <c r="M102" s="920"/>
      <c r="N102" s="921">
        <v>-1176.0300000000007</v>
      </c>
      <c r="O102" s="920"/>
      <c r="P102" s="919"/>
      <c r="Q102" s="921">
        <v>11832.55</v>
      </c>
      <c r="R102" s="920">
        <v>-508.61423076923074</v>
      </c>
      <c r="S102" s="921">
        <v>1391.42</v>
      </c>
      <c r="T102" s="898"/>
      <c r="U102" s="898"/>
      <c r="V102" s="898"/>
      <c r="W102" s="898"/>
      <c r="X102" s="898"/>
      <c r="Y102" s="898"/>
      <c r="Z102" s="898"/>
      <c r="AA102" s="898"/>
      <c r="AB102" s="898"/>
      <c r="AC102" s="898"/>
      <c r="AD102" s="898"/>
      <c r="AE102" s="898"/>
      <c r="AF102" s="898"/>
      <c r="AG102" s="898"/>
      <c r="AH102" s="898"/>
      <c r="AI102" s="898"/>
      <c r="AJ102" s="898"/>
      <c r="AK102" s="898"/>
      <c r="AL102" s="898"/>
      <c r="AM102" s="898"/>
      <c r="AN102" s="898"/>
    </row>
    <row r="103" spans="1:40" ht="15.75" customHeight="1">
      <c r="A103" s="883" t="s">
        <v>291</v>
      </c>
      <c r="B103" s="898" t="s">
        <v>73</v>
      </c>
      <c r="C103" s="918" t="s">
        <v>26</v>
      </c>
      <c r="D103" s="919">
        <v>0</v>
      </c>
      <c r="E103" s="919">
        <v>0</v>
      </c>
      <c r="F103" s="921">
        <v>30000</v>
      </c>
      <c r="G103" s="920"/>
      <c r="H103" s="919"/>
      <c r="I103" s="919"/>
      <c r="J103" s="920"/>
      <c r="K103" s="919">
        <v>1907.0388461538462</v>
      </c>
      <c r="L103" s="921">
        <v>49583.01</v>
      </c>
      <c r="M103" s="920"/>
      <c r="N103" s="921">
        <v>19583.010000000002</v>
      </c>
      <c r="O103" s="920"/>
      <c r="P103" s="919"/>
      <c r="Q103" s="921">
        <v>44398.13</v>
      </c>
      <c r="R103" s="920">
        <v>-1907.0388461538462</v>
      </c>
      <c r="S103" s="921">
        <v>5184.8800000000047</v>
      </c>
      <c r="T103" s="898"/>
      <c r="U103" s="898"/>
      <c r="V103" s="898"/>
      <c r="W103" s="898"/>
      <c r="X103" s="898"/>
      <c r="Y103" s="898"/>
      <c r="Z103" s="898"/>
      <c r="AA103" s="898"/>
      <c r="AB103" s="898"/>
      <c r="AC103" s="898"/>
      <c r="AD103" s="898"/>
      <c r="AE103" s="898"/>
      <c r="AF103" s="898"/>
      <c r="AG103" s="898"/>
      <c r="AH103" s="898"/>
      <c r="AI103" s="898"/>
      <c r="AJ103" s="898"/>
      <c r="AK103" s="898"/>
      <c r="AL103" s="898"/>
      <c r="AM103" s="898"/>
      <c r="AN103" s="898"/>
    </row>
    <row r="104" spans="1:40" ht="15.75" customHeight="1">
      <c r="A104" s="883" t="s">
        <v>292</v>
      </c>
      <c r="B104" s="898" t="s">
        <v>73</v>
      </c>
      <c r="C104" s="918" t="s">
        <v>27</v>
      </c>
      <c r="D104" s="919">
        <v>0</v>
      </c>
      <c r="E104" s="915">
        <v>0</v>
      </c>
      <c r="F104" s="921">
        <v>1200</v>
      </c>
      <c r="G104" s="920"/>
      <c r="H104" s="915"/>
      <c r="I104" s="919"/>
      <c r="J104" s="920"/>
      <c r="K104" s="915">
        <v>44.338846153846148</v>
      </c>
      <c r="L104" s="921">
        <v>1152.81</v>
      </c>
      <c r="M104" s="932"/>
      <c r="N104" s="921">
        <v>-47.190000000000055</v>
      </c>
      <c r="O104" s="920"/>
      <c r="P104" s="915"/>
      <c r="Q104" s="921">
        <v>1973.79</v>
      </c>
      <c r="R104" s="920">
        <v>-44.338846153846148</v>
      </c>
      <c r="S104" s="921">
        <v>-820.98</v>
      </c>
      <c r="T104" s="898"/>
      <c r="U104" s="898"/>
      <c r="V104" s="898"/>
      <c r="W104" s="898"/>
      <c r="X104" s="898"/>
      <c r="Y104" s="898"/>
      <c r="Z104" s="898"/>
      <c r="AA104" s="898"/>
      <c r="AB104" s="898"/>
      <c r="AC104" s="898"/>
      <c r="AD104" s="898"/>
      <c r="AE104" s="898"/>
      <c r="AF104" s="898"/>
      <c r="AG104" s="898"/>
      <c r="AH104" s="898"/>
      <c r="AI104" s="898"/>
      <c r="AJ104" s="898"/>
      <c r="AK104" s="898"/>
      <c r="AL104" s="898"/>
      <c r="AM104" s="898"/>
      <c r="AN104" s="898"/>
    </row>
    <row r="105" spans="1:40" ht="15.75" customHeight="1">
      <c r="A105" s="883" t="s">
        <v>293</v>
      </c>
      <c r="B105" s="898" t="s">
        <v>73</v>
      </c>
      <c r="C105" s="924" t="s">
        <v>28</v>
      </c>
      <c r="D105" s="925">
        <v>24</v>
      </c>
      <c r="E105" s="919">
        <v>1900</v>
      </c>
      <c r="F105" s="926">
        <v>45600</v>
      </c>
      <c r="G105" s="927"/>
      <c r="H105" s="925"/>
      <c r="I105" s="926"/>
      <c r="J105" s="927">
        <v>26</v>
      </c>
      <c r="K105" s="925">
        <v>2459.9919230769233</v>
      </c>
      <c r="L105" s="926">
        <v>63959.79</v>
      </c>
      <c r="M105" s="920">
        <v>2</v>
      </c>
      <c r="N105" s="926">
        <v>18359.79</v>
      </c>
      <c r="O105" s="927">
        <v>14</v>
      </c>
      <c r="P105" s="925">
        <v>4157.4621428571427</v>
      </c>
      <c r="Q105" s="926">
        <v>58204.469999999994</v>
      </c>
      <c r="R105" s="941"/>
      <c r="S105" s="926">
        <v>5755.320000000007</v>
      </c>
      <c r="T105" s="898"/>
      <c r="U105" s="898"/>
      <c r="V105" s="898"/>
      <c r="W105" s="898"/>
      <c r="X105" s="898"/>
      <c r="Y105" s="898"/>
      <c r="Z105" s="898"/>
      <c r="AA105" s="898"/>
      <c r="AB105" s="898"/>
      <c r="AC105" s="898"/>
      <c r="AD105" s="898"/>
      <c r="AE105" s="898"/>
      <c r="AF105" s="898"/>
      <c r="AG105" s="898"/>
      <c r="AH105" s="898"/>
      <c r="AI105" s="898"/>
      <c r="AJ105" s="898"/>
      <c r="AK105" s="898"/>
      <c r="AL105" s="898"/>
      <c r="AM105" s="898"/>
      <c r="AN105" s="898"/>
    </row>
    <row r="106" spans="1:40" ht="15.75" customHeight="1">
      <c r="A106" s="883" t="s">
        <v>73</v>
      </c>
      <c r="B106" s="898" t="s">
        <v>73</v>
      </c>
      <c r="C106" s="918"/>
      <c r="D106" s="898"/>
      <c r="E106" s="898"/>
      <c r="F106" s="944"/>
      <c r="G106" s="918"/>
      <c r="H106" s="1029"/>
      <c r="I106" s="944"/>
      <c r="J106" s="918"/>
      <c r="K106" s="898"/>
      <c r="L106" s="944"/>
      <c r="M106" s="935"/>
      <c r="N106" s="936">
        <v>0.40262697368421052</v>
      </c>
      <c r="O106" s="918"/>
      <c r="P106" s="898"/>
      <c r="Q106" s="944"/>
      <c r="R106" s="945"/>
      <c r="S106" s="936">
        <v>9.8881065320241004E-2</v>
      </c>
      <c r="T106" s="898"/>
      <c r="U106" s="898"/>
      <c r="V106" s="898"/>
      <c r="W106" s="898"/>
      <c r="X106" s="898"/>
      <c r="Y106" s="898"/>
      <c r="Z106" s="898"/>
      <c r="AA106" s="898"/>
      <c r="AB106" s="898"/>
      <c r="AC106" s="898"/>
      <c r="AD106" s="898"/>
      <c r="AE106" s="898"/>
      <c r="AF106" s="898"/>
      <c r="AG106" s="898"/>
      <c r="AH106" s="898"/>
      <c r="AI106" s="898"/>
      <c r="AJ106" s="898"/>
      <c r="AK106" s="898"/>
      <c r="AL106" s="898"/>
      <c r="AM106" s="898"/>
      <c r="AN106" s="898"/>
    </row>
    <row r="107" spans="1:40" ht="15.75" customHeight="1" thickBot="1">
      <c r="A107" s="883" t="s">
        <v>73</v>
      </c>
      <c r="B107" s="898" t="s">
        <v>73</v>
      </c>
      <c r="C107" s="918"/>
      <c r="D107" s="898"/>
      <c r="E107" s="898"/>
      <c r="F107" s="944"/>
      <c r="G107" s="918"/>
      <c r="H107" s="1029"/>
      <c r="I107" s="944"/>
      <c r="J107" s="918"/>
      <c r="K107" s="898"/>
      <c r="L107" s="944"/>
      <c r="M107" s="935"/>
      <c r="N107" s="936"/>
      <c r="O107" s="918"/>
      <c r="P107" s="898"/>
      <c r="Q107" s="944"/>
      <c r="R107" s="945"/>
      <c r="S107" s="936"/>
      <c r="T107" s="898"/>
      <c r="U107" s="898"/>
      <c r="V107" s="898"/>
      <c r="W107" s="898"/>
      <c r="X107" s="898"/>
      <c r="Y107" s="898"/>
      <c r="Z107" s="898"/>
      <c r="AA107" s="898"/>
      <c r="AB107" s="898"/>
      <c r="AC107" s="898"/>
      <c r="AD107" s="898"/>
      <c r="AE107" s="898"/>
      <c r="AF107" s="898"/>
      <c r="AG107" s="898"/>
      <c r="AH107" s="898"/>
      <c r="AI107" s="898"/>
      <c r="AJ107" s="898"/>
      <c r="AK107" s="898"/>
      <c r="AL107" s="898"/>
      <c r="AM107" s="898"/>
      <c r="AN107" s="898"/>
    </row>
    <row r="108" spans="1:40" ht="23.25" customHeight="1" thickTop="1">
      <c r="A108" s="883" t="s">
        <v>294</v>
      </c>
      <c r="B108" s="898" t="s">
        <v>73</v>
      </c>
      <c r="C108" s="946" t="s">
        <v>79</v>
      </c>
      <c r="D108" s="947">
        <v>51</v>
      </c>
      <c r="E108" s="948">
        <v>1786.2745098039215</v>
      </c>
      <c r="F108" s="949">
        <v>91100</v>
      </c>
      <c r="G108" s="950"/>
      <c r="H108" s="1030"/>
      <c r="I108" s="949"/>
      <c r="J108" s="950">
        <v>64</v>
      </c>
      <c r="K108" s="948">
        <v>2064.617343750002</v>
      </c>
      <c r="L108" s="949">
        <v>132135.51000000013</v>
      </c>
      <c r="M108" s="950">
        <v>13</v>
      </c>
      <c r="N108" s="949">
        <v>41035.510000000126</v>
      </c>
      <c r="O108" s="950">
        <v>46</v>
      </c>
      <c r="P108" s="948">
        <v>2244.3410869565191</v>
      </c>
      <c r="Q108" s="949">
        <v>103239.68999999989</v>
      </c>
      <c r="R108" s="950">
        <v>18</v>
      </c>
      <c r="S108" s="949">
        <v>28895.82000000024</v>
      </c>
      <c r="T108" s="898"/>
      <c r="U108" s="898"/>
      <c r="V108" s="898"/>
      <c r="W108" s="898"/>
      <c r="X108" s="898"/>
      <c r="Y108" s="898"/>
      <c r="Z108" s="898"/>
      <c r="AA108" s="898"/>
      <c r="AB108" s="898"/>
      <c r="AC108" s="898"/>
      <c r="AD108" s="898"/>
      <c r="AE108" s="898"/>
      <c r="AF108" s="898"/>
      <c r="AG108" s="898"/>
      <c r="AH108" s="898"/>
      <c r="AI108" s="898"/>
      <c r="AJ108" s="898"/>
      <c r="AK108" s="898"/>
      <c r="AL108" s="898"/>
      <c r="AM108" s="898"/>
      <c r="AN108" s="898"/>
    </row>
    <row r="109" spans="1:40" ht="19.5" customHeight="1" thickBot="1">
      <c r="A109" s="883" t="s">
        <v>73</v>
      </c>
      <c r="B109" s="898" t="s">
        <v>73</v>
      </c>
      <c r="C109" s="951"/>
      <c r="D109" s="952"/>
      <c r="E109" s="952"/>
      <c r="F109" s="953"/>
      <c r="G109" s="951"/>
      <c r="H109" s="952"/>
      <c r="I109" s="953"/>
      <c r="J109" s="951"/>
      <c r="K109" s="952"/>
      <c r="L109" s="955">
        <v>1.4504446761800234</v>
      </c>
      <c r="M109" s="956">
        <v>0.25490196078431371</v>
      </c>
      <c r="N109" s="957">
        <v>0.45044467618002332</v>
      </c>
      <c r="O109" s="951"/>
      <c r="P109" s="952"/>
      <c r="Q109" s="953"/>
      <c r="R109" s="1031">
        <v>2.5555555555555554</v>
      </c>
      <c r="S109" s="1032">
        <v>0.27989061183736869</v>
      </c>
      <c r="T109" s="898"/>
      <c r="U109" s="898"/>
      <c r="V109" s="898"/>
      <c r="W109" s="898"/>
      <c r="X109" s="898"/>
      <c r="Y109" s="898"/>
      <c r="Z109" s="898"/>
      <c r="AA109" s="898"/>
      <c r="AB109" s="898"/>
      <c r="AC109" s="898"/>
      <c r="AD109" s="898"/>
      <c r="AE109" s="898"/>
      <c r="AF109" s="898"/>
      <c r="AG109" s="898"/>
      <c r="AH109" s="898"/>
      <c r="AI109" s="898"/>
      <c r="AJ109" s="898"/>
      <c r="AK109" s="898"/>
      <c r="AL109" s="898"/>
      <c r="AM109" s="898"/>
      <c r="AN109" s="898"/>
    </row>
    <row r="110" spans="1:40" ht="15.75" customHeight="1" thickTop="1">
      <c r="A110" s="883" t="s">
        <v>73</v>
      </c>
      <c r="B110" s="898" t="s">
        <v>73</v>
      </c>
      <c r="C110" s="937"/>
      <c r="D110" s="958"/>
      <c r="E110" s="958"/>
      <c r="F110" s="959"/>
      <c r="G110" s="937"/>
      <c r="H110" s="958"/>
      <c r="I110" s="959"/>
      <c r="J110" s="937"/>
      <c r="K110" s="958"/>
      <c r="L110" s="959"/>
      <c r="M110" s="935"/>
      <c r="N110" s="936"/>
      <c r="O110" s="937"/>
      <c r="P110" s="958"/>
      <c r="Q110" s="959"/>
      <c r="R110" s="935"/>
      <c r="S110" s="936"/>
      <c r="T110" s="898"/>
      <c r="U110" s="898"/>
      <c r="V110" s="898"/>
      <c r="W110" s="898"/>
      <c r="X110" s="898"/>
      <c r="Y110" s="898"/>
      <c r="Z110" s="898"/>
      <c r="AA110" s="898"/>
      <c r="AB110" s="898"/>
      <c r="AC110" s="898"/>
      <c r="AD110" s="898"/>
      <c r="AE110" s="898"/>
      <c r="AF110" s="898"/>
      <c r="AG110" s="898"/>
      <c r="AH110" s="898"/>
      <c r="AI110" s="898"/>
      <c r="AJ110" s="898"/>
      <c r="AK110" s="898"/>
      <c r="AL110" s="898"/>
      <c r="AM110" s="898"/>
      <c r="AN110" s="898"/>
    </row>
    <row r="111" spans="1:40" ht="15.75" customHeight="1">
      <c r="A111" s="883" t="s">
        <v>295</v>
      </c>
      <c r="B111" s="898" t="s">
        <v>73</v>
      </c>
      <c r="C111" s="961" t="s">
        <v>30</v>
      </c>
      <c r="D111" s="898"/>
      <c r="E111" s="962"/>
      <c r="F111" s="944"/>
      <c r="G111" s="918"/>
      <c r="H111" s="962"/>
      <c r="I111" s="944"/>
      <c r="J111" s="918"/>
      <c r="K111" s="962"/>
      <c r="L111" s="928"/>
      <c r="M111" s="918"/>
      <c r="N111" s="928"/>
      <c r="O111" s="918"/>
      <c r="P111" s="962"/>
      <c r="Q111" s="928"/>
      <c r="R111" s="918"/>
      <c r="S111" s="928"/>
      <c r="T111" s="898"/>
      <c r="U111" s="898"/>
      <c r="V111" s="898"/>
      <c r="W111" s="898"/>
      <c r="X111" s="898"/>
      <c r="Y111" s="898"/>
      <c r="Z111" s="898"/>
      <c r="AA111" s="898"/>
      <c r="AB111" s="898"/>
      <c r="AC111" s="898"/>
      <c r="AD111" s="898"/>
      <c r="AE111" s="898"/>
      <c r="AF111" s="898"/>
      <c r="AG111" s="898"/>
      <c r="AH111" s="898"/>
      <c r="AI111" s="898"/>
      <c r="AJ111" s="898"/>
      <c r="AK111" s="898"/>
      <c r="AL111" s="898"/>
      <c r="AM111" s="898"/>
      <c r="AN111" s="898"/>
    </row>
    <row r="112" spans="1:40" ht="15.75" customHeight="1">
      <c r="A112" s="883" t="s">
        <v>296</v>
      </c>
      <c r="B112" s="898" t="s">
        <v>73</v>
      </c>
      <c r="C112" s="918" t="s">
        <v>31</v>
      </c>
      <c r="D112" s="1033">
        <v>0.3657068286506599</v>
      </c>
      <c r="E112" s="960">
        <v>528.75112309074575</v>
      </c>
      <c r="F112" s="919">
        <v>12690.026954177898</v>
      </c>
      <c r="G112" s="964"/>
      <c r="H112" s="960"/>
      <c r="I112" s="919"/>
      <c r="J112" s="964">
        <v>0.28259217188946328</v>
      </c>
      <c r="K112" s="960">
        <v>589.4242307692308</v>
      </c>
      <c r="L112" s="921">
        <v>15325.03</v>
      </c>
      <c r="M112" s="918"/>
      <c r="N112" s="944">
        <v>2635.0030458221026</v>
      </c>
      <c r="O112" s="965">
        <v>0.49739311618592597</v>
      </c>
      <c r="P112" s="960">
        <v>1351.1357142857144</v>
      </c>
      <c r="Q112" s="921">
        <v>18915.900000000001</v>
      </c>
      <c r="R112" s="918"/>
      <c r="S112" s="944">
        <v>-3590.8700000000008</v>
      </c>
      <c r="T112" s="898"/>
      <c r="U112" s="898"/>
      <c r="V112" s="898"/>
      <c r="W112" s="898"/>
      <c r="X112" s="898"/>
      <c r="Y112" s="898"/>
      <c r="Z112" s="898"/>
      <c r="AA112" s="898"/>
      <c r="AB112" s="898"/>
      <c r="AC112" s="898"/>
      <c r="AD112" s="898"/>
      <c r="AE112" s="898"/>
      <c r="AF112" s="898"/>
      <c r="AG112" s="898"/>
      <c r="AH112" s="898"/>
      <c r="AI112" s="898"/>
      <c r="AJ112" s="898"/>
      <c r="AK112" s="898"/>
      <c r="AL112" s="898"/>
      <c r="AM112" s="898"/>
      <c r="AN112" s="898"/>
    </row>
    <row r="113" spans="1:40" ht="15.75" customHeight="1">
      <c r="A113" s="883" t="s">
        <v>297</v>
      </c>
      <c r="B113" s="898" t="s">
        <v>73</v>
      </c>
      <c r="C113" s="911" t="s">
        <v>32</v>
      </c>
      <c r="D113" s="1034">
        <v>0.3</v>
      </c>
      <c r="E113" s="967">
        <v>570</v>
      </c>
      <c r="F113" s="913">
        <v>13680</v>
      </c>
      <c r="G113" s="968"/>
      <c r="H113" s="967"/>
      <c r="I113" s="913"/>
      <c r="J113" s="968">
        <v>0.3036562502784953</v>
      </c>
      <c r="K113" s="967">
        <v>746.99192307692306</v>
      </c>
      <c r="L113" s="921">
        <v>19421.79</v>
      </c>
      <c r="M113" s="911"/>
      <c r="N113" s="969">
        <v>5741.7900000000009</v>
      </c>
      <c r="O113" s="970">
        <v>0.22323687850894611</v>
      </c>
      <c r="P113" s="967">
        <v>1164.092142857143</v>
      </c>
      <c r="Q113" s="921">
        <v>16297.29</v>
      </c>
      <c r="R113" s="911"/>
      <c r="S113" s="969">
        <v>3124.5</v>
      </c>
      <c r="T113" s="898"/>
      <c r="U113" s="898"/>
      <c r="V113" s="898"/>
      <c r="W113" s="898"/>
      <c r="X113" s="898"/>
      <c r="Y113" s="898"/>
      <c r="Z113" s="898"/>
      <c r="AA113" s="898"/>
      <c r="AB113" s="898"/>
      <c r="AC113" s="898"/>
      <c r="AD113" s="898"/>
      <c r="AE113" s="898"/>
      <c r="AF113" s="898"/>
      <c r="AG113" s="898"/>
      <c r="AH113" s="898"/>
      <c r="AI113" s="898"/>
      <c r="AJ113" s="898"/>
      <c r="AK113" s="898"/>
      <c r="AL113" s="898"/>
      <c r="AM113" s="898"/>
      <c r="AN113" s="898"/>
    </row>
    <row r="114" spans="1:40" ht="15.75" customHeight="1">
      <c r="A114" s="883" t="s">
        <v>298</v>
      </c>
      <c r="B114" s="898" t="s">
        <v>73</v>
      </c>
      <c r="C114" s="918" t="s">
        <v>33</v>
      </c>
      <c r="D114" s="971"/>
      <c r="E114" s="960">
        <v>8</v>
      </c>
      <c r="F114" s="919">
        <v>192</v>
      </c>
      <c r="G114" s="972"/>
      <c r="H114" s="960"/>
      <c r="I114" s="919"/>
      <c r="J114" s="918"/>
      <c r="K114" s="960">
        <v>-48.989230769230772</v>
      </c>
      <c r="L114" s="940">
        <v>-1273.72</v>
      </c>
      <c r="M114" s="918"/>
      <c r="N114" s="944">
        <v>-1465.72</v>
      </c>
      <c r="O114" s="918"/>
      <c r="P114" s="960">
        <v>128.40357142857144</v>
      </c>
      <c r="Q114" s="940">
        <v>1797.65</v>
      </c>
      <c r="R114" s="918"/>
      <c r="S114" s="944">
        <v>-3071.37</v>
      </c>
      <c r="T114" s="898"/>
      <c r="U114" s="895"/>
      <c r="V114" s="898"/>
      <c r="W114" s="919"/>
      <c r="X114" s="898"/>
      <c r="Y114" s="898"/>
      <c r="Z114" s="898"/>
      <c r="AA114" s="898"/>
      <c r="AB114" s="898"/>
      <c r="AC114" s="898"/>
      <c r="AD114" s="898"/>
      <c r="AE114" s="898"/>
      <c r="AF114" s="898"/>
      <c r="AG114" s="898"/>
      <c r="AH114" s="898"/>
      <c r="AI114" s="898"/>
      <c r="AJ114" s="898"/>
      <c r="AK114" s="898"/>
      <c r="AL114" s="898"/>
      <c r="AM114" s="898"/>
      <c r="AN114" s="898"/>
    </row>
    <row r="115" spans="1:40" ht="15.75" customHeight="1">
      <c r="A115" s="883" t="s">
        <v>299</v>
      </c>
      <c r="B115" s="898" t="s">
        <v>73</v>
      </c>
      <c r="C115" s="918" t="s">
        <v>34</v>
      </c>
      <c r="D115" s="971"/>
      <c r="E115" s="960">
        <v>45</v>
      </c>
      <c r="F115" s="919">
        <v>1080</v>
      </c>
      <c r="G115" s="972"/>
      <c r="H115" s="960"/>
      <c r="I115" s="919"/>
      <c r="J115" s="918"/>
      <c r="K115" s="960">
        <v>98.406153846153842</v>
      </c>
      <c r="L115" s="921">
        <v>2558.56</v>
      </c>
      <c r="M115" s="918"/>
      <c r="N115" s="944">
        <v>1478.56</v>
      </c>
      <c r="O115" s="918"/>
      <c r="P115" s="960">
        <v>216.79785714285714</v>
      </c>
      <c r="Q115" s="921">
        <v>3035.17</v>
      </c>
      <c r="R115" s="918"/>
      <c r="S115" s="944">
        <v>-476.61000000000013</v>
      </c>
      <c r="T115" s="898"/>
      <c r="U115" s="898"/>
      <c r="V115" s="898"/>
      <c r="W115" s="919"/>
      <c r="X115" s="898"/>
      <c r="Y115" s="898"/>
      <c r="Z115" s="898"/>
      <c r="AA115" s="898"/>
      <c r="AB115" s="898"/>
      <c r="AC115" s="898"/>
      <c r="AD115" s="898"/>
      <c r="AE115" s="898"/>
      <c r="AF115" s="898"/>
      <c r="AG115" s="898"/>
      <c r="AH115" s="898"/>
      <c r="AI115" s="898"/>
      <c r="AJ115" s="898"/>
      <c r="AK115" s="898"/>
      <c r="AL115" s="898"/>
      <c r="AM115" s="898"/>
      <c r="AN115" s="898"/>
    </row>
    <row r="116" spans="1:40" ht="15.75" customHeight="1">
      <c r="A116" s="883" t="s">
        <v>300</v>
      </c>
      <c r="B116" s="898" t="s">
        <v>73</v>
      </c>
      <c r="C116" s="911" t="s">
        <v>35</v>
      </c>
      <c r="D116" s="973"/>
      <c r="E116" s="967">
        <v>160</v>
      </c>
      <c r="F116" s="913">
        <v>3840</v>
      </c>
      <c r="G116" s="974"/>
      <c r="H116" s="967"/>
      <c r="I116" s="913"/>
      <c r="J116" s="911"/>
      <c r="K116" s="967">
        <v>133.90307692307692</v>
      </c>
      <c r="L116" s="913">
        <v>3481.48</v>
      </c>
      <c r="M116" s="911"/>
      <c r="N116" s="969">
        <v>-358.52</v>
      </c>
      <c r="O116" s="911"/>
      <c r="P116" s="967">
        <v>375.46928571428572</v>
      </c>
      <c r="Q116" s="913">
        <v>5256.57</v>
      </c>
      <c r="R116" s="911"/>
      <c r="S116" s="969">
        <v>-1775.0899999999997</v>
      </c>
      <c r="T116" s="898"/>
      <c r="U116" s="895"/>
      <c r="V116" s="898"/>
      <c r="W116" s="919"/>
      <c r="X116" s="898"/>
      <c r="Y116" s="898"/>
      <c r="Z116" s="898"/>
      <c r="AA116" s="898"/>
      <c r="AB116" s="898"/>
      <c r="AC116" s="898"/>
      <c r="AD116" s="898"/>
      <c r="AE116" s="898"/>
      <c r="AF116" s="898"/>
      <c r="AG116" s="898"/>
      <c r="AH116" s="898"/>
      <c r="AI116" s="898"/>
      <c r="AJ116" s="898"/>
      <c r="AK116" s="898"/>
      <c r="AL116" s="898"/>
      <c r="AM116" s="898"/>
      <c r="AN116" s="898"/>
    </row>
    <row r="117" spans="1:40" ht="19.5" customHeight="1">
      <c r="A117" s="883" t="s">
        <v>301</v>
      </c>
      <c r="B117" s="898" t="s">
        <v>73</v>
      </c>
      <c r="C117" s="918" t="s">
        <v>36</v>
      </c>
      <c r="D117" s="971"/>
      <c r="E117" s="960">
        <v>536.75</v>
      </c>
      <c r="F117" s="919">
        <v>12882</v>
      </c>
      <c r="G117" s="972"/>
      <c r="H117" s="960"/>
      <c r="I117" s="919"/>
      <c r="J117" s="918"/>
      <c r="K117" s="960">
        <v>519.67384615384617</v>
      </c>
      <c r="L117" s="921">
        <v>13511.52</v>
      </c>
      <c r="M117" s="918"/>
      <c r="N117" s="944">
        <v>629.52000000000044</v>
      </c>
      <c r="O117" s="918"/>
      <c r="P117" s="960">
        <v>995.91785714285004</v>
      </c>
      <c r="Q117" s="921">
        <v>13942.8499999999</v>
      </c>
      <c r="R117" s="918"/>
      <c r="S117" s="944">
        <v>-431.32999999989988</v>
      </c>
      <c r="T117" s="898"/>
      <c r="U117" s="898"/>
      <c r="V117" s="898"/>
      <c r="W117" s="919"/>
      <c r="Z117" s="898"/>
      <c r="AA117" s="898"/>
      <c r="AB117" s="898"/>
      <c r="AC117" s="898"/>
      <c r="AD117" s="898"/>
      <c r="AE117" s="898"/>
      <c r="AF117" s="898"/>
      <c r="AG117" s="898"/>
      <c r="AH117" s="898"/>
      <c r="AI117" s="898"/>
      <c r="AJ117" s="898"/>
      <c r="AK117" s="898"/>
      <c r="AL117" s="898"/>
      <c r="AM117" s="898"/>
      <c r="AN117" s="898"/>
    </row>
    <row r="118" spans="1:40" ht="15.75" customHeight="1">
      <c r="A118" s="883" t="s">
        <v>302</v>
      </c>
      <c r="B118" s="898" t="s">
        <v>73</v>
      </c>
      <c r="C118" s="918" t="s">
        <v>37</v>
      </c>
      <c r="D118" s="971"/>
      <c r="E118" s="960">
        <v>365.62271194605006</v>
      </c>
      <c r="F118" s="919">
        <v>8774.9450867052019</v>
      </c>
      <c r="G118" s="972"/>
      <c r="H118" s="960"/>
      <c r="I118" s="919"/>
      <c r="J118" s="918"/>
      <c r="K118" s="960">
        <v>55.548846153846156</v>
      </c>
      <c r="L118" s="921">
        <v>1444.27</v>
      </c>
      <c r="M118" s="918"/>
      <c r="N118" s="944">
        <v>-7330.6750867052015</v>
      </c>
      <c r="O118" s="918"/>
      <c r="P118" s="960">
        <v>184.52928571428569</v>
      </c>
      <c r="Q118" s="921">
        <v>2583.41</v>
      </c>
      <c r="R118" s="918"/>
      <c r="S118" s="944">
        <v>-1139.1399999999999</v>
      </c>
      <c r="T118" s="898"/>
      <c r="U118" s="898"/>
      <c r="V118" s="898"/>
      <c r="W118" s="919"/>
      <c r="X118" s="898"/>
      <c r="Y118" s="898"/>
      <c r="Z118" s="898"/>
      <c r="AA118" s="898"/>
      <c r="AB118" s="898"/>
      <c r="AC118" s="898"/>
      <c r="AD118" s="898"/>
      <c r="AE118" s="898"/>
      <c r="AF118" s="898"/>
      <c r="AG118" s="898"/>
      <c r="AH118" s="898"/>
      <c r="AI118" s="898"/>
      <c r="AJ118" s="898"/>
      <c r="AK118" s="898"/>
      <c r="AL118" s="898"/>
      <c r="AM118" s="898"/>
      <c r="AN118" s="898"/>
    </row>
    <row r="119" spans="1:40" ht="15.75" hidden="1" customHeight="1">
      <c r="A119" s="883" t="s">
        <v>303</v>
      </c>
      <c r="B119" s="898" t="s">
        <v>73</v>
      </c>
      <c r="C119" s="918" t="s">
        <v>20</v>
      </c>
      <c r="D119" s="971"/>
      <c r="E119" s="960">
        <v>0</v>
      </c>
      <c r="F119" s="919">
        <v>0</v>
      </c>
      <c r="G119" s="972"/>
      <c r="H119" s="960"/>
      <c r="I119" s="919"/>
      <c r="J119" s="918"/>
      <c r="K119" s="960">
        <v>0</v>
      </c>
      <c r="L119" s="921">
        <v>0</v>
      </c>
      <c r="M119" s="918"/>
      <c r="N119" s="944">
        <v>0</v>
      </c>
      <c r="O119" s="918"/>
      <c r="P119" s="960">
        <v>0</v>
      </c>
      <c r="Q119" s="921">
        <v>0</v>
      </c>
      <c r="R119" s="918"/>
      <c r="S119" s="944">
        <v>0</v>
      </c>
      <c r="T119" s="898"/>
      <c r="U119" s="898"/>
      <c r="V119" s="898"/>
      <c r="W119" s="898"/>
      <c r="X119" s="898"/>
      <c r="Y119" s="898"/>
      <c r="Z119" s="898"/>
      <c r="AA119" s="898"/>
      <c r="AB119" s="898"/>
      <c r="AC119" s="898"/>
      <c r="AD119" s="898"/>
      <c r="AE119" s="898"/>
      <c r="AF119" s="898"/>
      <c r="AG119" s="898"/>
      <c r="AH119" s="898"/>
      <c r="AI119" s="898"/>
      <c r="AJ119" s="898"/>
      <c r="AK119" s="898"/>
      <c r="AL119" s="898"/>
      <c r="AM119" s="898"/>
      <c r="AN119" s="898"/>
    </row>
    <row r="120" spans="1:40" ht="15.75" hidden="1" customHeight="1">
      <c r="A120" s="883" t="s">
        <v>303</v>
      </c>
      <c r="B120" s="898" t="s">
        <v>73</v>
      </c>
      <c r="C120" s="918" t="s">
        <v>20</v>
      </c>
      <c r="D120" s="971"/>
      <c r="E120" s="960">
        <v>0</v>
      </c>
      <c r="F120" s="919">
        <v>0</v>
      </c>
      <c r="G120" s="972"/>
      <c r="H120" s="960"/>
      <c r="I120" s="919"/>
      <c r="J120" s="918"/>
      <c r="K120" s="960">
        <v>0</v>
      </c>
      <c r="L120" s="921">
        <v>0</v>
      </c>
      <c r="M120" s="918"/>
      <c r="N120" s="944">
        <v>0</v>
      </c>
      <c r="O120" s="918"/>
      <c r="P120" s="960">
        <v>0</v>
      </c>
      <c r="Q120" s="921">
        <v>0</v>
      </c>
      <c r="R120" s="918"/>
      <c r="S120" s="944">
        <v>0</v>
      </c>
      <c r="T120" s="898"/>
      <c r="U120" s="898"/>
      <c r="V120" s="898"/>
      <c r="W120" s="898"/>
      <c r="X120" s="898"/>
      <c r="Y120" s="898"/>
      <c r="Z120" s="898"/>
      <c r="AA120" s="898"/>
      <c r="AB120" s="898"/>
      <c r="AC120" s="898"/>
      <c r="AD120" s="898"/>
      <c r="AE120" s="898"/>
      <c r="AF120" s="898"/>
      <c r="AG120" s="898"/>
      <c r="AH120" s="898"/>
      <c r="AI120" s="898"/>
      <c r="AJ120" s="898"/>
      <c r="AK120" s="898"/>
      <c r="AL120" s="898"/>
      <c r="AM120" s="898"/>
      <c r="AN120" s="898"/>
    </row>
    <row r="121" spans="1:40" ht="15.75" hidden="1" customHeight="1">
      <c r="A121" s="883" t="s">
        <v>303</v>
      </c>
      <c r="B121" s="898" t="s">
        <v>73</v>
      </c>
      <c r="C121" s="918" t="s">
        <v>20</v>
      </c>
      <c r="D121" s="971"/>
      <c r="E121" s="960">
        <v>0</v>
      </c>
      <c r="F121" s="919">
        <v>0</v>
      </c>
      <c r="G121" s="972"/>
      <c r="H121" s="960"/>
      <c r="I121" s="919"/>
      <c r="J121" s="918"/>
      <c r="K121" s="960">
        <v>0</v>
      </c>
      <c r="L121" s="921">
        <v>0</v>
      </c>
      <c r="M121" s="918"/>
      <c r="N121" s="944">
        <v>0</v>
      </c>
      <c r="O121" s="918"/>
      <c r="P121" s="960">
        <v>0</v>
      </c>
      <c r="Q121" s="921">
        <v>0</v>
      </c>
      <c r="R121" s="918"/>
      <c r="S121" s="944">
        <v>0</v>
      </c>
      <c r="T121" s="898"/>
      <c r="U121" s="898"/>
      <c r="V121" s="898"/>
      <c r="W121" s="898"/>
      <c r="X121" s="898"/>
      <c r="Y121" s="898"/>
      <c r="Z121" s="898"/>
      <c r="AA121" s="898"/>
      <c r="AB121" s="898"/>
      <c r="AC121" s="898"/>
      <c r="AD121" s="898"/>
      <c r="AE121" s="898"/>
      <c r="AF121" s="898"/>
      <c r="AG121" s="898"/>
      <c r="AH121" s="898"/>
      <c r="AI121" s="898"/>
      <c r="AJ121" s="898"/>
      <c r="AK121" s="898"/>
      <c r="AL121" s="898"/>
      <c r="AM121" s="898"/>
      <c r="AN121" s="898"/>
    </row>
    <row r="122" spans="1:40" ht="15.75" customHeight="1">
      <c r="A122" s="883" t="s">
        <v>304</v>
      </c>
      <c r="B122" s="898" t="s">
        <v>73</v>
      </c>
      <c r="C122" s="978" t="s">
        <v>38</v>
      </c>
      <c r="D122" s="979" t="s">
        <v>39</v>
      </c>
      <c r="E122" s="980">
        <v>0.58330375456512729</v>
      </c>
      <c r="F122" s="981">
        <v>53138.972040883098</v>
      </c>
      <c r="G122" s="982"/>
      <c r="H122" s="980"/>
      <c r="I122" s="981"/>
      <c r="J122" s="982" t="s">
        <v>39</v>
      </c>
      <c r="K122" s="980">
        <v>0.41222022755275967</v>
      </c>
      <c r="L122" s="981">
        <v>54468.93</v>
      </c>
      <c r="M122" s="985"/>
      <c r="N122" s="981">
        <v>1329.9579591169022</v>
      </c>
      <c r="O122" s="982" t="s">
        <v>39</v>
      </c>
      <c r="P122" s="980">
        <v>0.59888633915890277</v>
      </c>
      <c r="Q122" s="981">
        <v>61828.839999999909</v>
      </c>
      <c r="R122" s="985"/>
      <c r="S122" s="981">
        <v>-7359.9099999999089</v>
      </c>
      <c r="T122" s="898"/>
      <c r="U122" s="898"/>
      <c r="X122" s="898"/>
      <c r="Y122" s="898"/>
      <c r="Z122" s="898"/>
      <c r="AA122" s="898"/>
      <c r="AB122" s="898"/>
      <c r="AC122" s="898"/>
      <c r="AD122" s="898"/>
      <c r="AE122" s="898"/>
      <c r="AF122" s="898"/>
      <c r="AG122" s="898"/>
      <c r="AH122" s="898"/>
      <c r="AI122" s="898"/>
      <c r="AJ122" s="898"/>
      <c r="AK122" s="898"/>
      <c r="AL122" s="898"/>
      <c r="AM122" s="898"/>
      <c r="AN122" s="898"/>
    </row>
    <row r="123" spans="1:40" ht="15.75" customHeight="1">
      <c r="A123" s="883" t="s">
        <v>305</v>
      </c>
      <c r="B123" s="898" t="s">
        <v>73</v>
      </c>
      <c r="C123" s="986" t="s">
        <v>41</v>
      </c>
      <c r="D123" s="898"/>
      <c r="E123" s="898"/>
      <c r="F123" s="919">
        <v>9202.1205128205147</v>
      </c>
      <c r="G123" s="918"/>
      <c r="H123" s="898"/>
      <c r="I123" s="919"/>
      <c r="J123" s="918"/>
      <c r="K123" s="898"/>
      <c r="L123" s="921">
        <v>12968.68</v>
      </c>
      <c r="M123" s="918"/>
      <c r="N123" s="944">
        <v>3766.5594871794856</v>
      </c>
      <c r="O123" s="918"/>
      <c r="P123" s="898"/>
      <c r="Q123" s="921">
        <v>9656.08</v>
      </c>
      <c r="R123" s="918"/>
      <c r="S123" s="944">
        <v>3312.6000000000004</v>
      </c>
      <c r="T123" s="898"/>
      <c r="U123" s="898"/>
      <c r="V123" s="898"/>
      <c r="W123" s="898"/>
      <c r="X123" s="898"/>
      <c r="Y123" s="898"/>
      <c r="Z123" s="898"/>
      <c r="AA123" s="898"/>
      <c r="AB123" s="898"/>
      <c r="AC123" s="898"/>
      <c r="AD123" s="898"/>
      <c r="AE123" s="898"/>
      <c r="AF123" s="898"/>
      <c r="AG123" s="898"/>
      <c r="AH123" s="898"/>
      <c r="AI123" s="898"/>
      <c r="AJ123" s="898"/>
      <c r="AK123" s="898"/>
      <c r="AL123" s="898"/>
      <c r="AM123" s="898"/>
      <c r="AN123" s="898"/>
    </row>
    <row r="124" spans="1:40" ht="15.75" customHeight="1">
      <c r="A124" s="883" t="s">
        <v>306</v>
      </c>
      <c r="B124" s="898" t="s">
        <v>73</v>
      </c>
      <c r="C124" s="988" t="s">
        <v>42</v>
      </c>
      <c r="D124" s="971"/>
      <c r="E124" s="898"/>
      <c r="F124" s="913">
        <v>8529.65846153846</v>
      </c>
      <c r="G124" s="972"/>
      <c r="H124" s="898"/>
      <c r="I124" s="913"/>
      <c r="J124" s="918"/>
      <c r="K124" s="898"/>
      <c r="L124" s="913">
        <v>3121.3</v>
      </c>
      <c r="M124" s="918"/>
      <c r="N124" s="944">
        <v>-5408.3584615384598</v>
      </c>
      <c r="O124" s="918"/>
      <c r="P124" s="898"/>
      <c r="Q124" s="913">
        <v>1787.27</v>
      </c>
      <c r="R124" s="918"/>
      <c r="S124" s="944">
        <v>1334.0300000000002</v>
      </c>
      <c r="T124" s="898"/>
      <c r="U124" s="898"/>
      <c r="V124" s="898"/>
      <c r="W124" s="898"/>
      <c r="X124" s="898"/>
      <c r="Y124" s="898"/>
      <c r="Z124" s="898"/>
      <c r="AA124" s="898"/>
      <c r="AB124" s="898"/>
      <c r="AC124" s="898"/>
      <c r="AD124" s="898"/>
      <c r="AE124" s="898"/>
      <c r="AF124" s="898"/>
      <c r="AG124" s="898"/>
      <c r="AH124" s="898"/>
      <c r="AI124" s="898"/>
      <c r="AJ124" s="898"/>
      <c r="AK124" s="898"/>
      <c r="AL124" s="898"/>
      <c r="AM124" s="898"/>
      <c r="AN124" s="898"/>
    </row>
    <row r="125" spans="1:40" ht="15.75" customHeight="1">
      <c r="A125" s="883" t="s">
        <v>307</v>
      </c>
      <c r="B125" s="898" t="s">
        <v>73</v>
      </c>
      <c r="C125" s="986" t="s">
        <v>43</v>
      </c>
      <c r="D125" s="989"/>
      <c r="E125" s="990"/>
      <c r="F125" s="919">
        <v>3344.8923076923074</v>
      </c>
      <c r="G125" s="991"/>
      <c r="H125" s="990"/>
      <c r="I125" s="919"/>
      <c r="J125" s="906"/>
      <c r="K125" s="990"/>
      <c r="L125" s="921">
        <v>3559.25</v>
      </c>
      <c r="M125" s="906"/>
      <c r="N125" s="992">
        <v>214.35769230769256</v>
      </c>
      <c r="O125" s="906"/>
      <c r="P125" s="990"/>
      <c r="Q125" s="921">
        <v>5390.74</v>
      </c>
      <c r="R125" s="906"/>
      <c r="S125" s="992">
        <v>-1831.4899999999998</v>
      </c>
      <c r="T125" s="898"/>
      <c r="U125" s="898"/>
      <c r="V125" s="898"/>
      <c r="W125" s="898"/>
      <c r="X125" s="898"/>
      <c r="Y125" s="898"/>
      <c r="Z125" s="898"/>
      <c r="AA125" s="898"/>
      <c r="AB125" s="898"/>
      <c r="AC125" s="898"/>
      <c r="AD125" s="898"/>
      <c r="AE125" s="898"/>
      <c r="AF125" s="898"/>
      <c r="AG125" s="898"/>
      <c r="AH125" s="898"/>
      <c r="AI125" s="898"/>
      <c r="AJ125" s="898"/>
      <c r="AK125" s="898"/>
      <c r="AL125" s="898"/>
      <c r="AM125" s="898"/>
      <c r="AN125" s="898"/>
    </row>
    <row r="126" spans="1:40" ht="15.75" customHeight="1">
      <c r="A126" s="883" t="s">
        <v>308</v>
      </c>
      <c r="B126" s="898" t="s">
        <v>73</v>
      </c>
      <c r="C126" s="986" t="s">
        <v>44</v>
      </c>
      <c r="D126" s="971"/>
      <c r="E126" s="898"/>
      <c r="F126" s="919">
        <v>0</v>
      </c>
      <c r="G126" s="972"/>
      <c r="H126" s="898"/>
      <c r="I126" s="919"/>
      <c r="J126" s="918"/>
      <c r="K126" s="898"/>
      <c r="L126" s="921">
        <v>0</v>
      </c>
      <c r="M126" s="918"/>
      <c r="N126" s="944">
        <v>0</v>
      </c>
      <c r="O126" s="918"/>
      <c r="P126" s="898"/>
      <c r="Q126" s="921">
        <v>0</v>
      </c>
      <c r="R126" s="918"/>
      <c r="S126" s="944">
        <v>0</v>
      </c>
      <c r="T126" s="898"/>
      <c r="U126" s="898"/>
      <c r="V126" s="898"/>
      <c r="W126" s="898"/>
      <c r="X126" s="898"/>
      <c r="Y126" s="898"/>
      <c r="Z126" s="898"/>
      <c r="AA126" s="898"/>
      <c r="AB126" s="898"/>
      <c r="AC126" s="898"/>
      <c r="AD126" s="898"/>
      <c r="AE126" s="898"/>
      <c r="AF126" s="898"/>
      <c r="AG126" s="898"/>
      <c r="AH126" s="898"/>
      <c r="AI126" s="898"/>
      <c r="AJ126" s="898"/>
      <c r="AK126" s="898"/>
      <c r="AL126" s="898"/>
      <c r="AM126" s="898"/>
      <c r="AN126" s="898"/>
    </row>
    <row r="127" spans="1:40" ht="15.75" hidden="1" customHeight="1">
      <c r="A127" s="883" t="s">
        <v>303</v>
      </c>
      <c r="B127" s="898" t="s">
        <v>73</v>
      </c>
      <c r="C127" s="986" t="s">
        <v>20</v>
      </c>
      <c r="D127" s="971"/>
      <c r="E127" s="898"/>
      <c r="F127" s="919">
        <v>0</v>
      </c>
      <c r="G127" s="972"/>
      <c r="H127" s="898"/>
      <c r="I127" s="919"/>
      <c r="J127" s="918"/>
      <c r="K127" s="898"/>
      <c r="L127" s="921">
        <v>0</v>
      </c>
      <c r="M127" s="918"/>
      <c r="N127" s="944">
        <v>0</v>
      </c>
      <c r="O127" s="918"/>
      <c r="P127" s="898"/>
      <c r="Q127" s="921">
        <v>0</v>
      </c>
      <c r="R127" s="918"/>
      <c r="S127" s="944">
        <v>0</v>
      </c>
      <c r="T127" s="898"/>
      <c r="U127" s="898"/>
      <c r="V127" s="898"/>
      <c r="W127" s="898"/>
      <c r="X127" s="898"/>
      <c r="Y127" s="898"/>
      <c r="Z127" s="898"/>
      <c r="AA127" s="898"/>
      <c r="AB127" s="898"/>
      <c r="AC127" s="898"/>
      <c r="AD127" s="898"/>
      <c r="AE127" s="898"/>
      <c r="AF127" s="898"/>
      <c r="AG127" s="898"/>
      <c r="AH127" s="898"/>
      <c r="AI127" s="898"/>
      <c r="AJ127" s="898"/>
      <c r="AK127" s="898"/>
      <c r="AL127" s="898"/>
      <c r="AM127" s="898"/>
      <c r="AN127" s="898"/>
    </row>
    <row r="128" spans="1:40" ht="15.75" hidden="1" customHeight="1">
      <c r="A128" s="883" t="s">
        <v>303</v>
      </c>
      <c r="B128" s="898" t="s">
        <v>73</v>
      </c>
      <c r="C128" s="986" t="s">
        <v>20</v>
      </c>
      <c r="D128" s="971"/>
      <c r="E128" s="898"/>
      <c r="F128" s="919">
        <v>0</v>
      </c>
      <c r="G128" s="972"/>
      <c r="H128" s="898"/>
      <c r="I128" s="919"/>
      <c r="J128" s="918"/>
      <c r="K128" s="898"/>
      <c r="L128" s="921">
        <v>0</v>
      </c>
      <c r="M128" s="918"/>
      <c r="N128" s="944">
        <v>0</v>
      </c>
      <c r="O128" s="918"/>
      <c r="P128" s="898"/>
      <c r="Q128" s="921">
        <v>0</v>
      </c>
      <c r="R128" s="918"/>
      <c r="S128" s="944">
        <v>0</v>
      </c>
      <c r="T128" s="898"/>
      <c r="U128" s="898"/>
      <c r="V128" s="898"/>
      <c r="W128" s="898"/>
      <c r="X128" s="898"/>
      <c r="Y128" s="898"/>
      <c r="Z128" s="898"/>
      <c r="AA128" s="898"/>
      <c r="AB128" s="898"/>
      <c r="AC128" s="898"/>
      <c r="AD128" s="898"/>
      <c r="AE128" s="898"/>
      <c r="AF128" s="898"/>
      <c r="AG128" s="898"/>
      <c r="AH128" s="898"/>
      <c r="AI128" s="898"/>
      <c r="AJ128" s="898"/>
      <c r="AK128" s="898"/>
      <c r="AL128" s="898"/>
      <c r="AM128" s="898"/>
      <c r="AN128" s="898"/>
    </row>
    <row r="129" spans="1:40" ht="15.75" hidden="1" customHeight="1">
      <c r="A129" s="883" t="s">
        <v>303</v>
      </c>
      <c r="B129" s="898" t="s">
        <v>73</v>
      </c>
      <c r="C129" s="986" t="s">
        <v>20</v>
      </c>
      <c r="D129" s="971"/>
      <c r="E129" s="898"/>
      <c r="F129" s="919">
        <v>0</v>
      </c>
      <c r="G129" s="972"/>
      <c r="H129" s="898"/>
      <c r="I129" s="919"/>
      <c r="J129" s="918"/>
      <c r="K129" s="898"/>
      <c r="L129" s="921">
        <v>0</v>
      </c>
      <c r="M129" s="918"/>
      <c r="N129" s="944">
        <v>0</v>
      </c>
      <c r="O129" s="918"/>
      <c r="P129" s="898"/>
      <c r="Q129" s="921">
        <v>0</v>
      </c>
      <c r="R129" s="918"/>
      <c r="S129" s="944">
        <v>0</v>
      </c>
      <c r="T129" s="898"/>
      <c r="U129" s="898"/>
      <c r="V129" s="898"/>
      <c r="W129" s="898"/>
      <c r="X129" s="898"/>
      <c r="Y129" s="898"/>
      <c r="Z129" s="898"/>
      <c r="AA129" s="898"/>
      <c r="AB129" s="898"/>
      <c r="AC129" s="898"/>
      <c r="AD129" s="898"/>
      <c r="AE129" s="898"/>
      <c r="AF129" s="898"/>
      <c r="AG129" s="898"/>
      <c r="AH129" s="898"/>
      <c r="AI129" s="898"/>
      <c r="AJ129" s="898"/>
      <c r="AK129" s="898"/>
      <c r="AL129" s="898"/>
      <c r="AM129" s="898"/>
      <c r="AN129" s="898"/>
    </row>
    <row r="130" spans="1:40" ht="15.75" customHeight="1">
      <c r="A130" s="883" t="s">
        <v>309</v>
      </c>
      <c r="B130" s="898" t="s">
        <v>73</v>
      </c>
      <c r="C130" s="988" t="s">
        <v>45</v>
      </c>
      <c r="D130" s="971"/>
      <c r="E130" s="898"/>
      <c r="F130" s="919">
        <v>7803.266671282051</v>
      </c>
      <c r="G130" s="972"/>
      <c r="H130" s="898"/>
      <c r="I130" s="919"/>
      <c r="J130" s="918"/>
      <c r="K130" s="898"/>
      <c r="L130" s="921">
        <v>4173.8999999999996</v>
      </c>
      <c r="M130" s="918"/>
      <c r="N130" s="944">
        <v>-3629.3666712820514</v>
      </c>
      <c r="O130" s="918"/>
      <c r="P130" s="898"/>
      <c r="Q130" s="921">
        <v>7525.08</v>
      </c>
      <c r="R130" s="918"/>
      <c r="S130" s="944">
        <v>-3351.1800000000003</v>
      </c>
      <c r="T130" s="898"/>
      <c r="U130" s="898"/>
      <c r="V130" s="898"/>
      <c r="W130" s="898"/>
      <c r="X130" s="898"/>
      <c r="Y130" s="898"/>
      <c r="Z130" s="898"/>
      <c r="AA130" s="898"/>
      <c r="AB130" s="898"/>
      <c r="AC130" s="898"/>
      <c r="AD130" s="898"/>
      <c r="AE130" s="898"/>
      <c r="AF130" s="898"/>
      <c r="AG130" s="898"/>
      <c r="AH130" s="898"/>
      <c r="AI130" s="898"/>
      <c r="AJ130" s="898"/>
      <c r="AK130" s="898"/>
      <c r="AL130" s="898"/>
      <c r="AM130" s="898"/>
      <c r="AN130" s="898"/>
    </row>
    <row r="131" spans="1:40" ht="15.75" customHeight="1">
      <c r="A131" s="883" t="s">
        <v>310</v>
      </c>
      <c r="B131" s="898" t="s">
        <v>73</v>
      </c>
      <c r="C131" s="986" t="s">
        <v>46</v>
      </c>
      <c r="D131" s="989"/>
      <c r="E131" s="990"/>
      <c r="F131" s="939">
        <v>9487.6722523076915</v>
      </c>
      <c r="G131" s="991"/>
      <c r="H131" s="990"/>
      <c r="I131" s="939"/>
      <c r="J131" s="906"/>
      <c r="K131" s="990"/>
      <c r="L131" s="940">
        <v>4149.34</v>
      </c>
      <c r="M131" s="906"/>
      <c r="N131" s="992">
        <v>-5338.3322523076913</v>
      </c>
      <c r="O131" s="906"/>
      <c r="P131" s="990"/>
      <c r="Q131" s="940">
        <v>9219.9699999999993</v>
      </c>
      <c r="R131" s="906"/>
      <c r="S131" s="992">
        <v>-5070.6299999999992</v>
      </c>
      <c r="T131" s="898"/>
      <c r="U131" s="898"/>
      <c r="V131" s="898"/>
      <c r="W131" s="898"/>
      <c r="X131" s="898"/>
      <c r="Y131" s="898"/>
      <c r="Z131" s="898"/>
      <c r="AA131" s="898"/>
      <c r="AB131" s="898"/>
      <c r="AC131" s="898"/>
      <c r="AD131" s="898"/>
      <c r="AE131" s="898"/>
      <c r="AF131" s="898"/>
      <c r="AG131" s="898"/>
      <c r="AH131" s="898"/>
      <c r="AI131" s="898"/>
      <c r="AJ131" s="898"/>
      <c r="AK131" s="898"/>
      <c r="AL131" s="898"/>
      <c r="AM131" s="898"/>
      <c r="AN131" s="898"/>
    </row>
    <row r="132" spans="1:40" ht="15.75" customHeight="1">
      <c r="A132" s="883" t="s">
        <v>311</v>
      </c>
      <c r="B132" s="898" t="s">
        <v>73</v>
      </c>
      <c r="C132" s="986" t="s">
        <v>47</v>
      </c>
      <c r="D132" s="971"/>
      <c r="E132" s="898"/>
      <c r="F132" s="919">
        <v>4888.2137473846151</v>
      </c>
      <c r="G132" s="972"/>
      <c r="H132" s="898"/>
      <c r="I132" s="919"/>
      <c r="J132" s="918"/>
      <c r="K132" s="898"/>
      <c r="L132" s="921">
        <v>2110.8200000000002</v>
      </c>
      <c r="M132" s="918"/>
      <c r="N132" s="944">
        <v>-2777.3937473846149</v>
      </c>
      <c r="O132" s="918"/>
      <c r="P132" s="898"/>
      <c r="Q132" s="921">
        <v>4844.01</v>
      </c>
      <c r="R132" s="918"/>
      <c r="S132" s="944">
        <v>-2733.19</v>
      </c>
      <c r="T132" s="898"/>
      <c r="U132" s="898"/>
      <c r="V132" s="898"/>
      <c r="W132" s="898"/>
      <c r="X132" s="898"/>
      <c r="Y132" s="898"/>
      <c r="Z132" s="898"/>
      <c r="AA132" s="898"/>
      <c r="AB132" s="898"/>
      <c r="AC132" s="898"/>
      <c r="AD132" s="898"/>
      <c r="AE132" s="898"/>
      <c r="AF132" s="898"/>
      <c r="AG132" s="898"/>
      <c r="AH132" s="898"/>
      <c r="AI132" s="898"/>
      <c r="AJ132" s="898"/>
      <c r="AK132" s="898"/>
      <c r="AL132" s="898"/>
      <c r="AM132" s="898"/>
      <c r="AN132" s="898"/>
    </row>
    <row r="133" spans="1:40" ht="15.75" customHeight="1">
      <c r="A133" s="883" t="s">
        <v>312</v>
      </c>
      <c r="B133" s="898" t="s">
        <v>73</v>
      </c>
      <c r="C133" s="986" t="s">
        <v>48</v>
      </c>
      <c r="D133" s="971"/>
      <c r="E133" s="898"/>
      <c r="F133" s="919">
        <v>2131.2886943589742</v>
      </c>
      <c r="G133" s="972"/>
      <c r="H133" s="898"/>
      <c r="I133" s="919"/>
      <c r="J133" s="918"/>
      <c r="K133" s="898"/>
      <c r="L133" s="921">
        <v>465.04</v>
      </c>
      <c r="M133" s="918"/>
      <c r="N133" s="944">
        <v>-1666.2486943589743</v>
      </c>
      <c r="O133" s="918"/>
      <c r="P133" s="898"/>
      <c r="Q133" s="921">
        <v>808.62</v>
      </c>
      <c r="R133" s="918"/>
      <c r="S133" s="944">
        <v>-343.58</v>
      </c>
      <c r="T133" s="898"/>
      <c r="U133" s="898"/>
      <c r="V133" s="898"/>
      <c r="W133" s="898"/>
      <c r="X133" s="898"/>
      <c r="Y133" s="898"/>
      <c r="Z133" s="898"/>
      <c r="AA133" s="898"/>
      <c r="AB133" s="898"/>
      <c r="AC133" s="898"/>
      <c r="AD133" s="898"/>
      <c r="AE133" s="898"/>
      <c r="AF133" s="898"/>
      <c r="AG133" s="898"/>
      <c r="AH133" s="898"/>
      <c r="AI133" s="898"/>
      <c r="AJ133" s="898"/>
      <c r="AK133" s="898"/>
      <c r="AL133" s="898"/>
      <c r="AM133" s="898"/>
      <c r="AN133" s="898"/>
    </row>
    <row r="134" spans="1:40" ht="15.75" hidden="1" customHeight="1">
      <c r="A134" s="883" t="s">
        <v>303</v>
      </c>
      <c r="B134" s="898" t="s">
        <v>73</v>
      </c>
      <c r="C134" s="918" t="s">
        <v>20</v>
      </c>
      <c r="D134" s="973"/>
      <c r="E134" s="993"/>
      <c r="F134" s="919">
        <v>0</v>
      </c>
      <c r="G134" s="974"/>
      <c r="H134" s="993"/>
      <c r="I134" s="919"/>
      <c r="J134" s="911"/>
      <c r="K134" s="993"/>
      <c r="L134" s="921">
        <v>0</v>
      </c>
      <c r="M134" s="911"/>
      <c r="N134" s="969">
        <v>0</v>
      </c>
      <c r="O134" s="911"/>
      <c r="P134" s="993"/>
      <c r="Q134" s="921">
        <v>0</v>
      </c>
      <c r="R134" s="911"/>
      <c r="S134" s="969">
        <v>0</v>
      </c>
      <c r="T134" s="898"/>
      <c r="U134" s="898"/>
      <c r="V134" s="898"/>
      <c r="W134" s="898"/>
      <c r="X134" s="898"/>
      <c r="Y134" s="898"/>
      <c r="Z134" s="898"/>
      <c r="AA134" s="898"/>
      <c r="AB134" s="898"/>
      <c r="AC134" s="898"/>
      <c r="AD134" s="898"/>
      <c r="AE134" s="898"/>
      <c r="AF134" s="898"/>
      <c r="AG134" s="898"/>
      <c r="AH134" s="898"/>
      <c r="AI134" s="898"/>
      <c r="AJ134" s="898"/>
      <c r="AK134" s="898"/>
      <c r="AL134" s="898"/>
      <c r="AM134" s="898"/>
      <c r="AN134" s="898"/>
    </row>
    <row r="135" spans="1:40" ht="15.75" customHeight="1">
      <c r="A135" s="883" t="s">
        <v>313</v>
      </c>
      <c r="B135" s="898" t="s">
        <v>73</v>
      </c>
      <c r="C135" s="978" t="s">
        <v>49</v>
      </c>
      <c r="D135" s="979" t="s">
        <v>39</v>
      </c>
      <c r="E135" s="980">
        <v>0.49821199393396942</v>
      </c>
      <c r="F135" s="981">
        <v>45387.112647384616</v>
      </c>
      <c r="G135" s="982"/>
      <c r="H135" s="980"/>
      <c r="I135" s="981"/>
      <c r="J135" s="982" t="s">
        <v>39</v>
      </c>
      <c r="K135" s="980">
        <v>0.23118940548229594</v>
      </c>
      <c r="L135" s="981">
        <v>30548.329999999998</v>
      </c>
      <c r="M135" s="1035"/>
      <c r="N135" s="995">
        <v>-14838.782647384618</v>
      </c>
      <c r="O135" s="982" t="s">
        <v>39</v>
      </c>
      <c r="P135" s="980">
        <v>0.3800066621664599</v>
      </c>
      <c r="Q135" s="981">
        <v>39231.770000000004</v>
      </c>
      <c r="R135" s="1035"/>
      <c r="S135" s="995">
        <v>-8683.440000000006</v>
      </c>
      <c r="T135" s="898"/>
      <c r="U135" s="898"/>
      <c r="V135" s="898"/>
      <c r="W135" s="898"/>
      <c r="X135" s="898"/>
      <c r="Y135" s="898"/>
      <c r="Z135" s="898"/>
      <c r="AA135" s="898"/>
      <c r="AB135" s="898"/>
      <c r="AC135" s="898"/>
      <c r="AD135" s="898"/>
      <c r="AE135" s="898"/>
      <c r="AF135" s="898"/>
      <c r="AG135" s="898"/>
      <c r="AH135" s="898"/>
      <c r="AI135" s="898"/>
      <c r="AJ135" s="898"/>
      <c r="AK135" s="898"/>
      <c r="AL135" s="898"/>
      <c r="AM135" s="898"/>
      <c r="AN135" s="898"/>
    </row>
    <row r="136" spans="1:40" ht="15.75" hidden="1" customHeight="1">
      <c r="A136" s="883" t="s">
        <v>314</v>
      </c>
      <c r="B136" s="898" t="s">
        <v>73</v>
      </c>
      <c r="C136" s="918" t="s">
        <v>50</v>
      </c>
      <c r="D136" s="971"/>
      <c r="E136" s="898"/>
      <c r="F136" s="919">
        <v>0</v>
      </c>
      <c r="G136" s="972"/>
      <c r="H136" s="898"/>
      <c r="I136" s="919"/>
      <c r="J136" s="918"/>
      <c r="K136" s="898"/>
      <c r="L136" s="921">
        <v>0</v>
      </c>
      <c r="M136" s="918"/>
      <c r="N136" s="944">
        <v>0</v>
      </c>
      <c r="O136" s="918"/>
      <c r="P136" s="898"/>
      <c r="Q136" s="921">
        <v>0</v>
      </c>
      <c r="R136" s="918"/>
      <c r="S136" s="944">
        <v>0</v>
      </c>
      <c r="T136" s="898"/>
      <c r="U136" s="898"/>
      <c r="V136" s="898"/>
      <c r="W136" s="898"/>
      <c r="X136" s="898"/>
      <c r="Y136" s="898"/>
      <c r="Z136" s="898"/>
      <c r="AA136" s="898"/>
      <c r="AB136" s="898"/>
      <c r="AC136" s="898"/>
      <c r="AD136" s="898"/>
      <c r="AE136" s="898"/>
      <c r="AF136" s="898"/>
      <c r="AG136" s="898"/>
      <c r="AH136" s="898"/>
      <c r="AI136" s="898"/>
      <c r="AJ136" s="898"/>
      <c r="AK136" s="898"/>
      <c r="AL136" s="898"/>
      <c r="AM136" s="898"/>
      <c r="AN136" s="898"/>
    </row>
    <row r="137" spans="1:40" ht="15.75" hidden="1" customHeight="1">
      <c r="A137" s="883" t="s">
        <v>315</v>
      </c>
      <c r="B137" s="898" t="s">
        <v>73</v>
      </c>
      <c r="C137" s="918" t="s">
        <v>51</v>
      </c>
      <c r="D137" s="971"/>
      <c r="E137" s="898"/>
      <c r="F137" s="919">
        <v>0</v>
      </c>
      <c r="G137" s="972"/>
      <c r="H137" s="898"/>
      <c r="I137" s="919"/>
      <c r="J137" s="918"/>
      <c r="K137" s="898"/>
      <c r="L137" s="921">
        <v>0</v>
      </c>
      <c r="M137" s="918"/>
      <c r="N137" s="944">
        <v>0</v>
      </c>
      <c r="O137" s="918"/>
      <c r="P137" s="898"/>
      <c r="Q137" s="921">
        <v>0</v>
      </c>
      <c r="R137" s="918"/>
      <c r="S137" s="944">
        <v>0</v>
      </c>
      <c r="T137" s="898"/>
      <c r="U137" s="898"/>
      <c r="V137" s="898"/>
      <c r="W137" s="898"/>
      <c r="X137" s="898"/>
      <c r="Y137" s="898"/>
      <c r="Z137" s="898"/>
      <c r="AA137" s="898"/>
      <c r="AB137" s="898"/>
      <c r="AC137" s="898"/>
      <c r="AD137" s="898"/>
      <c r="AE137" s="898"/>
      <c r="AF137" s="898"/>
      <c r="AG137" s="898"/>
      <c r="AH137" s="898"/>
      <c r="AI137" s="898"/>
      <c r="AJ137" s="898"/>
      <c r="AK137" s="898"/>
      <c r="AL137" s="898"/>
      <c r="AM137" s="898"/>
      <c r="AN137" s="898"/>
    </row>
    <row r="138" spans="1:40" ht="15.75" customHeight="1">
      <c r="A138" s="883" t="s">
        <v>316</v>
      </c>
      <c r="B138" s="898" t="s">
        <v>73</v>
      </c>
      <c r="C138" s="911" t="s">
        <v>52</v>
      </c>
      <c r="D138" s="973"/>
      <c r="E138" s="993"/>
      <c r="F138" s="913">
        <v>1284.1532888888889</v>
      </c>
      <c r="G138" s="974"/>
      <c r="H138" s="993"/>
      <c r="I138" s="913"/>
      <c r="J138" s="911"/>
      <c r="K138" s="993"/>
      <c r="L138" s="913">
        <v>1509.94</v>
      </c>
      <c r="M138" s="911"/>
      <c r="N138" s="969">
        <v>225.78671111111112</v>
      </c>
      <c r="O138" s="911"/>
      <c r="P138" s="993"/>
      <c r="Q138" s="913">
        <v>865.26</v>
      </c>
      <c r="R138" s="911"/>
      <c r="S138" s="969">
        <v>644.68000000000006</v>
      </c>
      <c r="T138" s="898"/>
      <c r="U138" s="895"/>
      <c r="V138" s="898"/>
      <c r="W138" s="898"/>
      <c r="X138" s="898"/>
      <c r="Y138" s="898"/>
      <c r="Z138" s="898"/>
      <c r="AA138" s="898"/>
      <c r="AB138" s="898"/>
      <c r="AC138" s="898"/>
      <c r="AD138" s="898"/>
      <c r="AE138" s="898"/>
      <c r="AF138" s="898"/>
      <c r="AG138" s="898"/>
      <c r="AH138" s="898"/>
      <c r="AI138" s="898"/>
      <c r="AJ138" s="898"/>
      <c r="AK138" s="898"/>
      <c r="AL138" s="898"/>
      <c r="AM138" s="898"/>
      <c r="AN138" s="898"/>
    </row>
    <row r="139" spans="1:40" ht="15.75" customHeight="1">
      <c r="A139" s="883" t="s">
        <v>317</v>
      </c>
      <c r="B139" s="898" t="s">
        <v>73</v>
      </c>
      <c r="C139" s="918" t="s">
        <v>53</v>
      </c>
      <c r="D139" s="971"/>
      <c r="E139" s="898"/>
      <c r="F139" s="919">
        <v>3757.6856226933323</v>
      </c>
      <c r="G139" s="972"/>
      <c r="H139" s="898"/>
      <c r="I139" s="919"/>
      <c r="J139" s="918"/>
      <c r="K139" s="898"/>
      <c r="L139" s="921">
        <v>6179.12</v>
      </c>
      <c r="M139" s="918"/>
      <c r="N139" s="944">
        <v>2421.4343773066676</v>
      </c>
      <c r="O139" s="918"/>
      <c r="P139" s="898"/>
      <c r="Q139" s="921">
        <v>4362.13</v>
      </c>
      <c r="R139" s="918"/>
      <c r="S139" s="944">
        <v>1816.9899999999998</v>
      </c>
      <c r="T139" s="898"/>
      <c r="U139" s="898"/>
      <c r="V139" s="898"/>
      <c r="W139" s="898"/>
      <c r="X139" s="898"/>
      <c r="Y139" s="898"/>
      <c r="Z139" s="898"/>
      <c r="AA139" s="898"/>
      <c r="AB139" s="898"/>
      <c r="AC139" s="898"/>
      <c r="AD139" s="898"/>
      <c r="AE139" s="898"/>
      <c r="AF139" s="898"/>
      <c r="AG139" s="898"/>
      <c r="AH139" s="898"/>
      <c r="AI139" s="898"/>
      <c r="AJ139" s="898"/>
      <c r="AK139" s="898"/>
      <c r="AL139" s="898"/>
      <c r="AM139" s="898"/>
      <c r="AN139" s="898"/>
    </row>
    <row r="140" spans="1:40" ht="15.75" customHeight="1">
      <c r="A140" s="883" t="s">
        <v>318</v>
      </c>
      <c r="B140" s="898" t="s">
        <v>73</v>
      </c>
      <c r="C140" s="918" t="s">
        <v>54</v>
      </c>
      <c r="D140" s="971"/>
      <c r="E140" s="898"/>
      <c r="F140" s="919">
        <v>555.6702437740496</v>
      </c>
      <c r="G140" s="972"/>
      <c r="H140" s="898"/>
      <c r="I140" s="919"/>
      <c r="J140" s="918"/>
      <c r="K140" s="898"/>
      <c r="L140" s="921">
        <v>1355.33</v>
      </c>
      <c r="M140" s="918"/>
      <c r="N140" s="944">
        <v>799.65975622595033</v>
      </c>
      <c r="O140" s="918"/>
      <c r="P140" s="898"/>
      <c r="Q140" s="921">
        <v>1206.18</v>
      </c>
      <c r="R140" s="918"/>
      <c r="S140" s="944">
        <v>149.14999999999986</v>
      </c>
      <c r="T140" s="1033"/>
      <c r="U140" s="898"/>
      <c r="V140" s="898"/>
      <c r="W140" s="898"/>
      <c r="X140" s="898"/>
      <c r="Y140" s="898"/>
      <c r="Z140" s="898"/>
      <c r="AA140" s="898"/>
      <c r="AB140" s="898"/>
      <c r="AC140" s="898"/>
      <c r="AD140" s="898"/>
      <c r="AE140" s="898"/>
      <c r="AF140" s="898"/>
      <c r="AG140" s="898"/>
      <c r="AH140" s="898"/>
      <c r="AI140" s="898"/>
      <c r="AJ140" s="898"/>
      <c r="AK140" s="898"/>
      <c r="AL140" s="898"/>
      <c r="AM140" s="898"/>
      <c r="AN140" s="898"/>
    </row>
    <row r="141" spans="1:40" ht="15.75" customHeight="1">
      <c r="A141" s="883" t="s">
        <v>319</v>
      </c>
      <c r="B141" s="898" t="s">
        <v>73</v>
      </c>
      <c r="C141" s="911" t="s">
        <v>55</v>
      </c>
      <c r="D141" s="973"/>
      <c r="E141" s="993"/>
      <c r="F141" s="913">
        <v>1398.8494640536576</v>
      </c>
      <c r="G141" s="974"/>
      <c r="H141" s="993"/>
      <c r="I141" s="913"/>
      <c r="J141" s="911"/>
      <c r="K141" s="993"/>
      <c r="L141" s="913">
        <v>1941.11</v>
      </c>
      <c r="M141" s="911"/>
      <c r="N141" s="969">
        <v>542.26053594634232</v>
      </c>
      <c r="O141" s="911"/>
      <c r="P141" s="993"/>
      <c r="Q141" s="913">
        <v>2301.71</v>
      </c>
      <c r="R141" s="911"/>
      <c r="S141" s="969">
        <v>-360.60000000000014</v>
      </c>
      <c r="T141" s="898"/>
      <c r="U141" s="898"/>
      <c r="V141" s="898"/>
      <c r="W141" s="898"/>
      <c r="X141" s="898"/>
      <c r="Y141" s="898"/>
      <c r="Z141" s="898"/>
      <c r="AA141" s="898"/>
      <c r="AB141" s="898"/>
      <c r="AC141" s="898"/>
      <c r="AD141" s="898"/>
      <c r="AE141" s="898"/>
      <c r="AF141" s="898"/>
      <c r="AG141" s="898"/>
      <c r="AH141" s="898"/>
      <c r="AI141" s="898"/>
      <c r="AJ141" s="898"/>
      <c r="AK141" s="898"/>
      <c r="AL141" s="898"/>
      <c r="AM141" s="898"/>
      <c r="AN141" s="898"/>
    </row>
    <row r="142" spans="1:40" ht="15.75" customHeight="1">
      <c r="A142" s="883" t="s">
        <v>320</v>
      </c>
      <c r="B142" s="898" t="s">
        <v>73</v>
      </c>
      <c r="C142" s="918" t="s">
        <v>56</v>
      </c>
      <c r="D142" s="971"/>
      <c r="E142" s="898"/>
      <c r="F142" s="919">
        <v>83.885533333333328</v>
      </c>
      <c r="G142" s="972"/>
      <c r="H142" s="898"/>
      <c r="I142" s="919"/>
      <c r="J142" s="918"/>
      <c r="K142" s="898"/>
      <c r="L142" s="921">
        <v>9.6199999999999992</v>
      </c>
      <c r="M142" s="918"/>
      <c r="N142" s="944">
        <v>-74.265533333333323</v>
      </c>
      <c r="O142" s="918"/>
      <c r="P142" s="898"/>
      <c r="Q142" s="921">
        <v>74.7</v>
      </c>
      <c r="R142" s="918"/>
      <c r="S142" s="944">
        <v>-65.08</v>
      </c>
      <c r="T142" s="898"/>
      <c r="U142" s="898"/>
      <c r="V142" s="898"/>
      <c r="W142" s="898"/>
      <c r="X142" s="898"/>
      <c r="Y142" s="898"/>
      <c r="Z142" s="898"/>
      <c r="AA142" s="898"/>
      <c r="AB142" s="898"/>
      <c r="AC142" s="898"/>
      <c r="AD142" s="898"/>
      <c r="AE142" s="898"/>
      <c r="AF142" s="898"/>
      <c r="AG142" s="898"/>
      <c r="AH142" s="898"/>
      <c r="AI142" s="898"/>
      <c r="AJ142" s="898"/>
      <c r="AK142" s="898"/>
      <c r="AL142" s="898"/>
      <c r="AM142" s="898"/>
      <c r="AN142" s="898"/>
    </row>
    <row r="143" spans="1:40" ht="15.75" customHeight="1">
      <c r="A143" s="883" t="s">
        <v>321</v>
      </c>
      <c r="B143" s="898" t="s">
        <v>73</v>
      </c>
      <c r="C143" s="918" t="s">
        <v>57</v>
      </c>
      <c r="D143" s="971"/>
      <c r="E143" s="898"/>
      <c r="F143" s="919">
        <v>28.333333333333332</v>
      </c>
      <c r="G143" s="972"/>
      <c r="H143" s="898"/>
      <c r="I143" s="919"/>
      <c r="J143" s="918"/>
      <c r="K143" s="898"/>
      <c r="L143" s="921">
        <v>0</v>
      </c>
      <c r="M143" s="918"/>
      <c r="N143" s="944">
        <v>-28.333333333333332</v>
      </c>
      <c r="O143" s="918"/>
      <c r="P143" s="898"/>
      <c r="Q143" s="921">
        <v>0</v>
      </c>
      <c r="R143" s="918"/>
      <c r="S143" s="944">
        <v>0</v>
      </c>
      <c r="T143" s="898"/>
      <c r="U143" s="898"/>
      <c r="V143" s="898"/>
      <c r="W143" s="898"/>
      <c r="X143" s="898"/>
      <c r="Y143" s="898"/>
      <c r="Z143" s="898"/>
      <c r="AA143" s="898"/>
      <c r="AB143" s="898"/>
      <c r="AC143" s="898"/>
      <c r="AD143" s="898"/>
      <c r="AE143" s="898"/>
      <c r="AF143" s="898"/>
      <c r="AG143" s="898"/>
      <c r="AH143" s="898"/>
      <c r="AI143" s="898"/>
      <c r="AJ143" s="898"/>
      <c r="AK143" s="898"/>
      <c r="AL143" s="898"/>
      <c r="AM143" s="898"/>
      <c r="AN143" s="898"/>
    </row>
    <row r="144" spans="1:40" ht="15.75" customHeight="1">
      <c r="A144" s="883" t="s">
        <v>322</v>
      </c>
      <c r="B144" s="898" t="s">
        <v>73</v>
      </c>
      <c r="C144" s="918" t="s">
        <v>58</v>
      </c>
      <c r="D144" s="971"/>
      <c r="E144" s="898"/>
      <c r="F144" s="919">
        <v>323.61939737591996</v>
      </c>
      <c r="G144" s="972"/>
      <c r="H144" s="898"/>
      <c r="I144" s="919"/>
      <c r="J144" s="918"/>
      <c r="K144" s="898"/>
      <c r="L144" s="921">
        <v>112.33</v>
      </c>
      <c r="M144" s="918"/>
      <c r="N144" s="944">
        <v>-211.28939737591998</v>
      </c>
      <c r="O144" s="918"/>
      <c r="P144" s="898"/>
      <c r="Q144" s="921">
        <v>235.61</v>
      </c>
      <c r="R144" s="918"/>
      <c r="S144" s="944">
        <v>-123.28000000000002</v>
      </c>
      <c r="T144" s="898"/>
      <c r="U144" s="898"/>
      <c r="V144" s="898"/>
      <c r="W144" s="898"/>
      <c r="X144" s="898"/>
      <c r="Y144" s="898"/>
      <c r="Z144" s="898"/>
      <c r="AA144" s="898"/>
      <c r="AB144" s="898"/>
      <c r="AC144" s="898"/>
      <c r="AD144" s="898"/>
      <c r="AE144" s="898"/>
      <c r="AF144" s="898"/>
      <c r="AG144" s="898"/>
      <c r="AH144" s="898"/>
      <c r="AI144" s="898"/>
      <c r="AJ144" s="898"/>
      <c r="AK144" s="898"/>
      <c r="AL144" s="898"/>
      <c r="AM144" s="898"/>
      <c r="AN144" s="898"/>
    </row>
    <row r="145" spans="1:40" ht="15.75" customHeight="1">
      <c r="A145" s="883" t="s">
        <v>323</v>
      </c>
      <c r="B145" s="898" t="s">
        <v>73</v>
      </c>
      <c r="C145" s="918" t="s">
        <v>59</v>
      </c>
      <c r="D145" s="971"/>
      <c r="E145" s="898"/>
      <c r="F145" s="919">
        <v>62.764554844243328</v>
      </c>
      <c r="G145" s="972"/>
      <c r="H145" s="898"/>
      <c r="I145" s="919"/>
      <c r="J145" s="918"/>
      <c r="K145" s="898"/>
      <c r="L145" s="921">
        <v>82.14</v>
      </c>
      <c r="M145" s="918"/>
      <c r="N145" s="944">
        <v>19.375445155756672</v>
      </c>
      <c r="O145" s="918"/>
      <c r="P145" s="898"/>
      <c r="Q145" s="921">
        <v>84.07</v>
      </c>
      <c r="R145" s="918"/>
      <c r="S145" s="944">
        <v>-1.9299999999999926</v>
      </c>
      <c r="T145" s="898"/>
      <c r="U145" s="898"/>
      <c r="V145" s="898"/>
      <c r="W145" s="898"/>
      <c r="X145" s="898"/>
      <c r="Y145" s="898"/>
      <c r="Z145" s="898"/>
      <c r="AA145" s="898"/>
      <c r="AB145" s="898"/>
      <c r="AC145" s="898"/>
      <c r="AD145" s="898"/>
      <c r="AE145" s="898"/>
      <c r="AF145" s="898"/>
      <c r="AG145" s="898"/>
      <c r="AH145" s="898"/>
      <c r="AI145" s="898"/>
      <c r="AJ145" s="898"/>
      <c r="AK145" s="898"/>
      <c r="AL145" s="898"/>
      <c r="AM145" s="898"/>
      <c r="AN145" s="898"/>
    </row>
    <row r="146" spans="1:40" ht="15.75" customHeight="1">
      <c r="A146" s="883" t="s">
        <v>324</v>
      </c>
      <c r="B146" s="898" t="s">
        <v>73</v>
      </c>
      <c r="C146" s="918" t="s">
        <v>60</v>
      </c>
      <c r="D146" s="971"/>
      <c r="E146" s="898"/>
      <c r="F146" s="919">
        <v>48.216844138156659</v>
      </c>
      <c r="G146" s="972"/>
      <c r="H146" s="898"/>
      <c r="I146" s="919"/>
      <c r="J146" s="918"/>
      <c r="K146" s="898"/>
      <c r="L146" s="921">
        <v>29.32</v>
      </c>
      <c r="M146" s="918"/>
      <c r="N146" s="944">
        <v>-18.896844138156659</v>
      </c>
      <c r="O146" s="918"/>
      <c r="P146" s="898"/>
      <c r="Q146" s="921">
        <v>12.36</v>
      </c>
      <c r="R146" s="918"/>
      <c r="S146" s="944">
        <v>16.96</v>
      </c>
      <c r="T146" s="898"/>
      <c r="U146" s="898"/>
      <c r="V146" s="898"/>
      <c r="W146" s="898"/>
      <c r="X146" s="898"/>
      <c r="Y146" s="898"/>
      <c r="Z146" s="898"/>
      <c r="AA146" s="898"/>
      <c r="AB146" s="898"/>
      <c r="AC146" s="898"/>
      <c r="AD146" s="898"/>
      <c r="AE146" s="898"/>
      <c r="AF146" s="898"/>
      <c r="AG146" s="898"/>
      <c r="AH146" s="898"/>
      <c r="AI146" s="898"/>
      <c r="AJ146" s="898"/>
      <c r="AK146" s="898"/>
      <c r="AL146" s="898"/>
      <c r="AM146" s="898"/>
      <c r="AN146" s="898"/>
    </row>
    <row r="147" spans="1:40" ht="15.75" customHeight="1">
      <c r="A147" s="883" t="s">
        <v>325</v>
      </c>
      <c r="B147" s="898" t="s">
        <v>73</v>
      </c>
      <c r="C147" s="918" t="s">
        <v>61</v>
      </c>
      <c r="D147" s="971"/>
      <c r="E147" s="898"/>
      <c r="F147" s="919">
        <v>107.35161743797669</v>
      </c>
      <c r="G147" s="972"/>
      <c r="H147" s="898"/>
      <c r="I147" s="919"/>
      <c r="J147" s="918"/>
      <c r="K147" s="898"/>
      <c r="L147" s="921">
        <v>50.52</v>
      </c>
      <c r="M147" s="918"/>
      <c r="N147" s="944">
        <v>-56.831617437976682</v>
      </c>
      <c r="O147" s="918"/>
      <c r="P147" s="898"/>
      <c r="Q147" s="921">
        <v>56.99</v>
      </c>
      <c r="R147" s="918"/>
      <c r="S147" s="944">
        <v>-6.4699999999999989</v>
      </c>
      <c r="T147" s="898"/>
      <c r="U147" s="898"/>
      <c r="V147" s="898"/>
      <c r="W147" s="898"/>
      <c r="X147" s="898"/>
      <c r="Y147" s="898"/>
      <c r="Z147" s="898"/>
      <c r="AA147" s="898"/>
      <c r="AB147" s="898"/>
      <c r="AC147" s="898"/>
      <c r="AD147" s="898"/>
      <c r="AE147" s="898"/>
      <c r="AF147" s="898"/>
      <c r="AG147" s="898"/>
      <c r="AH147" s="898"/>
      <c r="AI147" s="898"/>
      <c r="AJ147" s="898"/>
      <c r="AK147" s="898"/>
      <c r="AL147" s="898"/>
      <c r="AM147" s="898"/>
      <c r="AN147" s="898"/>
    </row>
    <row r="148" spans="1:40" ht="15.75" customHeight="1">
      <c r="A148" s="883" t="s">
        <v>326</v>
      </c>
      <c r="B148" s="898" t="s">
        <v>73</v>
      </c>
      <c r="C148" s="918" t="s">
        <v>62</v>
      </c>
      <c r="D148" s="971"/>
      <c r="E148" s="898"/>
      <c r="F148" s="919">
        <v>218.46437169698484</v>
      </c>
      <c r="G148" s="972"/>
      <c r="H148" s="898"/>
      <c r="I148" s="919"/>
      <c r="J148" s="918"/>
      <c r="K148" s="898"/>
      <c r="L148" s="921">
        <v>256.98</v>
      </c>
      <c r="M148" s="918"/>
      <c r="N148" s="944">
        <v>38.515628303015177</v>
      </c>
      <c r="O148" s="918"/>
      <c r="P148" s="898"/>
      <c r="Q148" s="921">
        <v>250.46</v>
      </c>
      <c r="R148" s="918"/>
      <c r="S148" s="944">
        <v>6.5200000000000102</v>
      </c>
      <c r="T148" s="898"/>
      <c r="X148" s="898"/>
      <c r="Y148" s="898"/>
      <c r="Z148" s="898"/>
      <c r="AA148" s="898"/>
      <c r="AB148" s="898"/>
      <c r="AC148" s="898"/>
      <c r="AD148" s="898"/>
      <c r="AE148" s="898"/>
      <c r="AF148" s="898"/>
      <c r="AG148" s="898"/>
      <c r="AH148" s="898"/>
      <c r="AI148" s="898"/>
      <c r="AJ148" s="898"/>
      <c r="AK148" s="898"/>
      <c r="AL148" s="898"/>
      <c r="AM148" s="898"/>
      <c r="AN148" s="898"/>
    </row>
    <row r="149" spans="1:40" ht="15.75" customHeight="1">
      <c r="A149" s="883" t="s">
        <v>327</v>
      </c>
      <c r="B149" s="898" t="s">
        <v>73</v>
      </c>
      <c r="C149" s="918" t="s">
        <v>63</v>
      </c>
      <c r="D149" s="971"/>
      <c r="E149" s="898"/>
      <c r="F149" s="919">
        <v>722.2072596354127</v>
      </c>
      <c r="G149" s="972"/>
      <c r="H149" s="898"/>
      <c r="I149" s="919"/>
      <c r="J149" s="918"/>
      <c r="K149" s="898"/>
      <c r="L149" s="921">
        <v>892.55</v>
      </c>
      <c r="M149" s="918"/>
      <c r="N149" s="944">
        <v>170.34274036458726</v>
      </c>
      <c r="O149" s="918"/>
      <c r="P149" s="898"/>
      <c r="Q149" s="921">
        <v>726.02</v>
      </c>
      <c r="R149" s="918"/>
      <c r="S149" s="944">
        <v>166.52999999999997</v>
      </c>
      <c r="T149" s="960"/>
      <c r="X149" s="898"/>
      <c r="Y149" s="898"/>
      <c r="Z149" s="898"/>
      <c r="AA149" s="898"/>
      <c r="AB149" s="898"/>
      <c r="AC149" s="898"/>
      <c r="AD149" s="898"/>
      <c r="AE149" s="898"/>
      <c r="AF149" s="898"/>
      <c r="AG149" s="898"/>
      <c r="AH149" s="898"/>
      <c r="AI149" s="898"/>
      <c r="AJ149" s="898"/>
      <c r="AK149" s="898"/>
      <c r="AL149" s="898"/>
      <c r="AM149" s="898"/>
      <c r="AN149" s="898"/>
    </row>
    <row r="150" spans="1:40" ht="15.75" hidden="1" customHeight="1">
      <c r="A150" s="883" t="s">
        <v>303</v>
      </c>
      <c r="B150" s="898" t="s">
        <v>73</v>
      </c>
      <c r="C150" s="918" t="s">
        <v>20</v>
      </c>
      <c r="D150" s="971"/>
      <c r="E150" s="898"/>
      <c r="F150" s="919">
        <v>0</v>
      </c>
      <c r="G150" s="972"/>
      <c r="H150" s="898"/>
      <c r="I150" s="919"/>
      <c r="J150" s="918"/>
      <c r="K150" s="898"/>
      <c r="L150" s="921">
        <v>0</v>
      </c>
      <c r="M150" s="918"/>
      <c r="N150" s="944">
        <v>0</v>
      </c>
      <c r="O150" s="918"/>
      <c r="P150" s="898"/>
      <c r="Q150" s="921">
        <v>0</v>
      </c>
      <c r="R150" s="918"/>
      <c r="S150" s="944">
        <v>0</v>
      </c>
      <c r="T150" s="898"/>
      <c r="X150" s="898"/>
      <c r="Y150" s="898"/>
      <c r="Z150" s="898"/>
      <c r="AA150" s="898"/>
      <c r="AB150" s="898"/>
      <c r="AC150" s="898"/>
      <c r="AD150" s="898"/>
      <c r="AE150" s="898"/>
      <c r="AF150" s="898"/>
      <c r="AG150" s="898"/>
      <c r="AH150" s="898"/>
      <c r="AI150" s="898"/>
      <c r="AJ150" s="898"/>
      <c r="AK150" s="898"/>
      <c r="AL150" s="898"/>
      <c r="AM150" s="898"/>
      <c r="AN150" s="898"/>
    </row>
    <row r="151" spans="1:40" ht="15.75" hidden="1" customHeight="1">
      <c r="A151" s="883" t="s">
        <v>303</v>
      </c>
      <c r="B151" s="898" t="s">
        <v>73</v>
      </c>
      <c r="C151" s="918" t="s">
        <v>20</v>
      </c>
      <c r="D151" s="971"/>
      <c r="E151" s="898"/>
      <c r="F151" s="919">
        <v>0</v>
      </c>
      <c r="G151" s="972"/>
      <c r="H151" s="898"/>
      <c r="I151" s="919"/>
      <c r="J151" s="918"/>
      <c r="K151" s="898"/>
      <c r="L151" s="921">
        <v>0</v>
      </c>
      <c r="M151" s="918"/>
      <c r="N151" s="944">
        <v>0</v>
      </c>
      <c r="O151" s="918"/>
      <c r="P151" s="898"/>
      <c r="Q151" s="921">
        <v>0</v>
      </c>
      <c r="R151" s="918"/>
      <c r="S151" s="944">
        <v>0</v>
      </c>
      <c r="T151" s="898"/>
      <c r="X151" s="898"/>
      <c r="Y151" s="898"/>
      <c r="Z151" s="898"/>
      <c r="AA151" s="898"/>
      <c r="AB151" s="898"/>
      <c r="AC151" s="898"/>
      <c r="AD151" s="898"/>
      <c r="AE151" s="898"/>
      <c r="AF151" s="898"/>
      <c r="AG151" s="898"/>
      <c r="AH151" s="898"/>
      <c r="AI151" s="898"/>
      <c r="AJ151" s="898"/>
      <c r="AK151" s="898"/>
      <c r="AL151" s="898"/>
      <c r="AM151" s="898"/>
      <c r="AN151" s="898"/>
    </row>
    <row r="152" spans="1:40" ht="15.75" hidden="1" customHeight="1">
      <c r="A152" s="883" t="s">
        <v>303</v>
      </c>
      <c r="B152" s="898" t="s">
        <v>73</v>
      </c>
      <c r="C152" s="918" t="s">
        <v>20</v>
      </c>
      <c r="D152" s="971"/>
      <c r="E152" s="898"/>
      <c r="F152" s="919">
        <v>0</v>
      </c>
      <c r="G152" s="972"/>
      <c r="H152" s="898"/>
      <c r="I152" s="919"/>
      <c r="J152" s="918"/>
      <c r="K152" s="898"/>
      <c r="L152" s="921">
        <v>0</v>
      </c>
      <c r="M152" s="918"/>
      <c r="N152" s="944">
        <v>0</v>
      </c>
      <c r="O152" s="918"/>
      <c r="P152" s="898"/>
      <c r="Q152" s="921">
        <v>0</v>
      </c>
      <c r="R152" s="918"/>
      <c r="S152" s="944">
        <v>0</v>
      </c>
      <c r="T152" s="960"/>
      <c r="X152" s="898"/>
      <c r="Y152" s="898"/>
      <c r="Z152" s="898"/>
      <c r="AA152" s="898"/>
      <c r="AB152" s="898"/>
      <c r="AC152" s="898"/>
      <c r="AD152" s="898"/>
      <c r="AE152" s="898"/>
      <c r="AF152" s="898"/>
      <c r="AG152" s="898"/>
      <c r="AH152" s="898"/>
      <c r="AI152" s="898"/>
      <c r="AJ152" s="898"/>
      <c r="AK152" s="898"/>
      <c r="AL152" s="898"/>
      <c r="AM152" s="898"/>
      <c r="AN152" s="898"/>
    </row>
    <row r="153" spans="1:40" ht="15.75" customHeight="1">
      <c r="A153" s="883" t="s">
        <v>328</v>
      </c>
      <c r="B153" s="898" t="s">
        <v>73</v>
      </c>
      <c r="C153" s="978" t="s">
        <v>64</v>
      </c>
      <c r="D153" s="979" t="s">
        <v>39</v>
      </c>
      <c r="E153" s="980">
        <v>9.4305175973713365E-2</v>
      </c>
      <c r="F153" s="981">
        <v>8591.2015312052881</v>
      </c>
      <c r="G153" s="982"/>
      <c r="H153" s="980"/>
      <c r="I153" s="981"/>
      <c r="J153" s="982" t="s">
        <v>39</v>
      </c>
      <c r="K153" s="980">
        <v>9.3986544570796957E-2</v>
      </c>
      <c r="L153" s="981">
        <v>12418.96</v>
      </c>
      <c r="M153" s="985"/>
      <c r="N153" s="981">
        <v>3827.758468794711</v>
      </c>
      <c r="O153" s="982" t="s">
        <v>39</v>
      </c>
      <c r="P153" s="980">
        <v>9.8561803120486055E-2</v>
      </c>
      <c r="Q153" s="981">
        <v>10175.490000000002</v>
      </c>
      <c r="R153" s="985"/>
      <c r="S153" s="981">
        <v>2243.4699999999975</v>
      </c>
      <c r="T153" s="994"/>
      <c r="X153" s="898"/>
      <c r="Y153" s="898"/>
      <c r="Z153" s="898"/>
      <c r="AA153" s="898"/>
      <c r="AB153" s="898"/>
      <c r="AC153" s="898"/>
      <c r="AD153" s="898"/>
      <c r="AE153" s="898"/>
      <c r="AF153" s="898"/>
      <c r="AG153" s="898"/>
      <c r="AH153" s="898"/>
      <c r="AI153" s="898"/>
      <c r="AJ153" s="898"/>
      <c r="AK153" s="898"/>
      <c r="AL153" s="898"/>
      <c r="AM153" s="898"/>
      <c r="AN153" s="898"/>
    </row>
    <row r="154" spans="1:40" ht="15.75" customHeight="1">
      <c r="A154" s="883" t="s">
        <v>73</v>
      </c>
      <c r="B154" s="898" t="s">
        <v>73</v>
      </c>
      <c r="C154" s="911"/>
      <c r="D154" s="973"/>
      <c r="E154" s="993"/>
      <c r="F154" s="944"/>
      <c r="G154" s="974"/>
      <c r="H154" s="993"/>
      <c r="I154" s="944"/>
      <c r="J154" s="911"/>
      <c r="K154" s="993"/>
      <c r="L154" s="969"/>
      <c r="M154" s="911"/>
      <c r="N154" s="969"/>
      <c r="O154" s="911"/>
      <c r="P154" s="993"/>
      <c r="Q154" s="969"/>
      <c r="R154" s="911"/>
      <c r="S154" s="969"/>
      <c r="T154" s="994"/>
      <c r="U154" s="898"/>
      <c r="V154" s="898"/>
      <c r="W154" s="898"/>
      <c r="X154" s="898"/>
      <c r="Y154" s="898"/>
      <c r="Z154" s="898"/>
      <c r="AA154" s="898"/>
      <c r="AB154" s="898"/>
      <c r="AC154" s="898"/>
      <c r="AD154" s="898"/>
      <c r="AE154" s="898"/>
      <c r="AF154" s="898"/>
      <c r="AG154" s="898"/>
      <c r="AH154" s="898"/>
      <c r="AI154" s="898"/>
      <c r="AJ154" s="898"/>
      <c r="AK154" s="898"/>
      <c r="AL154" s="898"/>
      <c r="AM154" s="898"/>
      <c r="AN154" s="898"/>
    </row>
    <row r="155" spans="1:40" ht="15.75" customHeight="1">
      <c r="A155" s="883" t="s">
        <v>329</v>
      </c>
      <c r="B155" s="898" t="s">
        <v>73</v>
      </c>
      <c r="C155" s="978" t="s">
        <v>65</v>
      </c>
      <c r="D155" s="979" t="s">
        <v>39</v>
      </c>
      <c r="E155" s="980">
        <v>1.1758209244728102</v>
      </c>
      <c r="F155" s="981">
        <v>107117.286219473</v>
      </c>
      <c r="G155" s="982"/>
      <c r="H155" s="980"/>
      <c r="I155" s="981"/>
      <c r="J155" s="982" t="s">
        <v>39</v>
      </c>
      <c r="K155" s="980">
        <v>0.73739617760585252</v>
      </c>
      <c r="L155" s="981">
        <v>97436.22</v>
      </c>
      <c r="M155" s="985"/>
      <c r="N155" s="995">
        <v>-9681.0662194729957</v>
      </c>
      <c r="O155" s="982" t="s">
        <v>39</v>
      </c>
      <c r="P155" s="980">
        <v>1.0774548044458487</v>
      </c>
      <c r="Q155" s="981">
        <v>111236.09999999992</v>
      </c>
      <c r="R155" s="985"/>
      <c r="S155" s="995">
        <v>-13799.879999999917</v>
      </c>
      <c r="T155" s="994"/>
      <c r="U155" s="898"/>
      <c r="V155" s="898"/>
      <c r="W155" s="898"/>
      <c r="X155" s="898"/>
      <c r="Y155" s="898"/>
      <c r="Z155" s="898"/>
      <c r="AA155" s="898"/>
      <c r="AB155" s="898"/>
      <c r="AC155" s="898"/>
      <c r="AD155" s="898"/>
      <c r="AE155" s="898"/>
      <c r="AF155" s="898"/>
      <c r="AG155" s="898"/>
      <c r="AH155" s="898"/>
      <c r="AI155" s="898"/>
      <c r="AJ155" s="898"/>
      <c r="AK155" s="898"/>
      <c r="AL155" s="898"/>
      <c r="AM155" s="898"/>
      <c r="AN155" s="898"/>
    </row>
    <row r="156" spans="1:40" ht="15.75" customHeight="1">
      <c r="A156" s="883" t="s">
        <v>330</v>
      </c>
      <c r="B156" s="898" t="s">
        <v>73</v>
      </c>
      <c r="C156" s="918" t="s">
        <v>225</v>
      </c>
      <c r="D156" s="1036"/>
      <c r="E156" s="1037"/>
      <c r="F156" s="919">
        <v>0</v>
      </c>
      <c r="G156" s="1038"/>
      <c r="H156" s="1037"/>
      <c r="I156" s="919"/>
      <c r="J156" s="1038"/>
      <c r="K156" s="1037"/>
      <c r="L156" s="921">
        <v>0</v>
      </c>
      <c r="M156" s="918"/>
      <c r="N156" s="944">
        <v>0</v>
      </c>
      <c r="O156" s="1038"/>
      <c r="P156" s="1037"/>
      <c r="Q156" s="921">
        <v>0</v>
      </c>
      <c r="R156" s="918"/>
      <c r="S156" s="944">
        <v>0</v>
      </c>
      <c r="T156" s="994"/>
      <c r="U156" s="898"/>
      <c r="V156" s="898"/>
      <c r="W156" s="898"/>
      <c r="X156" s="898"/>
      <c r="Y156" s="898"/>
      <c r="Z156" s="898"/>
      <c r="AA156" s="898"/>
      <c r="AB156" s="898"/>
      <c r="AC156" s="898"/>
      <c r="AD156" s="898"/>
      <c r="AE156" s="898"/>
      <c r="AF156" s="898"/>
      <c r="AG156" s="898"/>
      <c r="AH156" s="898"/>
      <c r="AI156" s="898"/>
      <c r="AJ156" s="898"/>
      <c r="AK156" s="898"/>
      <c r="AL156" s="898"/>
      <c r="AM156" s="898"/>
      <c r="AN156" s="898"/>
    </row>
    <row r="157" spans="1:40" ht="15.75" customHeight="1">
      <c r="A157" s="883" t="s">
        <v>331</v>
      </c>
      <c r="B157" s="898" t="s">
        <v>73</v>
      </c>
      <c r="C157" s="918" t="s">
        <v>81</v>
      </c>
      <c r="D157" s="1036"/>
      <c r="E157" s="1037"/>
      <c r="F157" s="919">
        <v>0</v>
      </c>
      <c r="G157" s="1038"/>
      <c r="H157" s="1037"/>
      <c r="I157" s="919"/>
      <c r="J157" s="1038"/>
      <c r="K157" s="1037"/>
      <c r="L157" s="921">
        <v>0</v>
      </c>
      <c r="M157" s="918"/>
      <c r="N157" s="944">
        <v>0</v>
      </c>
      <c r="O157" s="1038"/>
      <c r="P157" s="1037"/>
      <c r="Q157" s="921">
        <v>0</v>
      </c>
      <c r="R157" s="918"/>
      <c r="S157" s="944">
        <v>0</v>
      </c>
      <c r="T157" s="994"/>
      <c r="U157" s="898"/>
      <c r="V157" s="898"/>
      <c r="W157" s="898"/>
      <c r="X157" s="898"/>
      <c r="Y157" s="898"/>
      <c r="Z157" s="898"/>
      <c r="AA157" s="898"/>
      <c r="AB157" s="898"/>
      <c r="AC157" s="898"/>
      <c r="AD157" s="898"/>
      <c r="AE157" s="898"/>
      <c r="AF157" s="898"/>
      <c r="AG157" s="898"/>
      <c r="AH157" s="898"/>
      <c r="AI157" s="898"/>
      <c r="AJ157" s="898"/>
      <c r="AK157" s="898"/>
      <c r="AL157" s="898"/>
      <c r="AM157" s="898"/>
      <c r="AN157" s="898"/>
    </row>
    <row r="158" spans="1:40" ht="15.75" customHeight="1">
      <c r="A158" s="883" t="s">
        <v>332</v>
      </c>
      <c r="B158" s="898" t="s">
        <v>73</v>
      </c>
      <c r="C158" s="918" t="s">
        <v>82</v>
      </c>
      <c r="D158" s="971"/>
      <c r="E158" s="898"/>
      <c r="F158" s="919">
        <v>0</v>
      </c>
      <c r="G158" s="972"/>
      <c r="H158" s="898"/>
      <c r="I158" s="919"/>
      <c r="J158" s="918"/>
      <c r="K158" s="898"/>
      <c r="L158" s="921">
        <v>0</v>
      </c>
      <c r="M158" s="918"/>
      <c r="N158" s="944">
        <v>0</v>
      </c>
      <c r="O158" s="918"/>
      <c r="P158" s="898"/>
      <c r="Q158" s="921">
        <v>0</v>
      </c>
      <c r="R158" s="918"/>
      <c r="S158" s="944">
        <v>0</v>
      </c>
      <c r="T158" s="994"/>
      <c r="U158" s="898"/>
      <c r="V158" s="898"/>
      <c r="W158" s="898"/>
      <c r="X158" s="898"/>
      <c r="Y158" s="898"/>
      <c r="Z158" s="898"/>
      <c r="AA158" s="898"/>
      <c r="AB158" s="898"/>
      <c r="AC158" s="898"/>
      <c r="AD158" s="898"/>
      <c r="AE158" s="898"/>
      <c r="AF158" s="898"/>
      <c r="AG158" s="898"/>
      <c r="AH158" s="898"/>
      <c r="AI158" s="898"/>
      <c r="AJ158" s="898"/>
      <c r="AK158" s="898"/>
      <c r="AL158" s="898"/>
      <c r="AM158" s="898"/>
      <c r="AN158" s="898"/>
    </row>
    <row r="159" spans="1:40" ht="15.75" customHeight="1">
      <c r="A159" s="883" t="s">
        <v>333</v>
      </c>
      <c r="B159" s="898" t="s">
        <v>73</v>
      </c>
      <c r="C159" s="918" t="s">
        <v>70</v>
      </c>
      <c r="D159" s="1039">
        <v>0.7996835443037974</v>
      </c>
      <c r="E159" s="1001">
        <v>379.04999999999995</v>
      </c>
      <c r="F159" s="919">
        <v>9097.1999999999989</v>
      </c>
      <c r="G159" s="972"/>
      <c r="H159" s="898"/>
      <c r="I159" s="919"/>
      <c r="J159" s="997">
        <v>0.89678675754625126</v>
      </c>
      <c r="K159" s="1001">
        <v>425.07692307692309</v>
      </c>
      <c r="L159" s="921">
        <v>11052</v>
      </c>
      <c r="M159" s="918"/>
      <c r="N159" s="944">
        <v>1954.8000000000011</v>
      </c>
      <c r="O159" s="918"/>
      <c r="P159" s="898"/>
      <c r="Q159" s="921">
        <v>13128</v>
      </c>
      <c r="R159" s="918"/>
      <c r="S159" s="944">
        <v>-2076</v>
      </c>
      <c r="T159" s="994"/>
      <c r="U159" s="898"/>
      <c r="V159" s="898"/>
      <c r="W159" s="898"/>
      <c r="X159" s="898"/>
      <c r="Y159" s="898"/>
      <c r="Z159" s="898"/>
      <c r="AA159" s="898"/>
      <c r="AB159" s="898"/>
      <c r="AC159" s="898"/>
      <c r="AD159" s="898"/>
      <c r="AE159" s="898"/>
      <c r="AF159" s="898"/>
      <c r="AG159" s="898"/>
      <c r="AH159" s="898"/>
      <c r="AI159" s="898"/>
      <c r="AJ159" s="898"/>
      <c r="AK159" s="898"/>
      <c r="AL159" s="898"/>
      <c r="AM159" s="898"/>
      <c r="AN159" s="898"/>
    </row>
    <row r="160" spans="1:40" ht="15.75" hidden="1" customHeight="1">
      <c r="A160" s="883" t="s">
        <v>303</v>
      </c>
      <c r="B160" s="898" t="s">
        <v>73</v>
      </c>
      <c r="C160" s="918" t="s">
        <v>20</v>
      </c>
      <c r="D160" s="971"/>
      <c r="E160" s="898"/>
      <c r="F160" s="919">
        <v>0</v>
      </c>
      <c r="G160" s="972"/>
      <c r="H160" s="898"/>
      <c r="I160" s="919"/>
      <c r="J160" s="918"/>
      <c r="K160" s="898"/>
      <c r="L160" s="921">
        <v>0</v>
      </c>
      <c r="M160" s="918"/>
      <c r="N160" s="944">
        <v>0</v>
      </c>
      <c r="O160" s="918"/>
      <c r="P160" s="898"/>
      <c r="Q160" s="921">
        <v>0</v>
      </c>
      <c r="R160" s="918"/>
      <c r="S160" s="944">
        <v>0</v>
      </c>
      <c r="T160" s="994"/>
      <c r="U160" s="898"/>
      <c r="V160" s="898"/>
      <c r="W160" s="898"/>
      <c r="X160" s="898"/>
      <c r="Y160" s="898"/>
      <c r="Z160" s="898"/>
      <c r="AA160" s="898"/>
      <c r="AB160" s="898"/>
      <c r="AC160" s="898"/>
      <c r="AD160" s="898"/>
      <c r="AE160" s="898"/>
      <c r="AF160" s="898"/>
      <c r="AG160" s="898"/>
      <c r="AH160" s="898"/>
      <c r="AI160" s="898"/>
      <c r="AJ160" s="898"/>
      <c r="AK160" s="898"/>
      <c r="AL160" s="898"/>
      <c r="AM160" s="898"/>
      <c r="AN160" s="898"/>
    </row>
    <row r="161" spans="1:40" ht="15.75" hidden="1" customHeight="1">
      <c r="A161" s="883" t="s">
        <v>303</v>
      </c>
      <c r="B161" s="898" t="s">
        <v>73</v>
      </c>
      <c r="C161" s="918" t="s">
        <v>20</v>
      </c>
      <c r="D161" s="971"/>
      <c r="E161" s="898"/>
      <c r="F161" s="919">
        <v>0</v>
      </c>
      <c r="G161" s="972"/>
      <c r="H161" s="898"/>
      <c r="I161" s="919"/>
      <c r="J161" s="918"/>
      <c r="K161" s="898"/>
      <c r="L161" s="921">
        <v>0</v>
      </c>
      <c r="M161" s="918"/>
      <c r="N161" s="944">
        <v>0</v>
      </c>
      <c r="O161" s="918"/>
      <c r="P161" s="898"/>
      <c r="Q161" s="921">
        <v>0</v>
      </c>
      <c r="R161" s="918"/>
      <c r="S161" s="944">
        <v>0</v>
      </c>
      <c r="T161" s="994"/>
      <c r="U161" s="898"/>
      <c r="V161" s="898"/>
      <c r="W161" s="898"/>
      <c r="X161" s="898"/>
      <c r="Y161" s="898"/>
      <c r="Z161" s="898"/>
      <c r="AA161" s="898"/>
      <c r="AB161" s="898"/>
      <c r="AC161" s="898"/>
      <c r="AD161" s="898"/>
      <c r="AE161" s="898"/>
      <c r="AF161" s="898"/>
      <c r="AG161" s="898"/>
      <c r="AH161" s="898"/>
      <c r="AI161" s="898"/>
      <c r="AJ161" s="898"/>
      <c r="AK161" s="898"/>
      <c r="AL161" s="898"/>
      <c r="AM161" s="898"/>
      <c r="AN161" s="898"/>
    </row>
    <row r="162" spans="1:40" ht="15.75" hidden="1" customHeight="1">
      <c r="A162" s="883" t="s">
        <v>303</v>
      </c>
      <c r="B162" s="898" t="s">
        <v>73</v>
      </c>
      <c r="C162" s="911" t="s">
        <v>20</v>
      </c>
      <c r="D162" s="973"/>
      <c r="E162" s="993"/>
      <c r="F162" s="919">
        <v>0</v>
      </c>
      <c r="G162" s="972"/>
      <c r="H162" s="898"/>
      <c r="I162" s="919"/>
      <c r="J162" s="918"/>
      <c r="K162" s="898"/>
      <c r="L162" s="921">
        <v>0</v>
      </c>
      <c r="M162" s="918"/>
      <c r="N162" s="944">
        <v>0</v>
      </c>
      <c r="O162" s="918"/>
      <c r="P162" s="898"/>
      <c r="Q162" s="921">
        <v>0</v>
      </c>
      <c r="R162" s="918"/>
      <c r="S162" s="944">
        <v>0</v>
      </c>
      <c r="T162" s="994"/>
      <c r="U162" s="898"/>
      <c r="V162" s="898"/>
      <c r="W162" s="898"/>
      <c r="X162" s="898"/>
      <c r="Y162" s="898"/>
      <c r="Z162" s="898"/>
      <c r="AA162" s="898"/>
      <c r="AB162" s="898"/>
      <c r="AC162" s="898"/>
      <c r="AD162" s="898"/>
      <c r="AE162" s="898"/>
      <c r="AF162" s="898"/>
      <c r="AG162" s="898"/>
      <c r="AH162" s="898"/>
      <c r="AI162" s="898"/>
      <c r="AJ162" s="898"/>
      <c r="AK162" s="898"/>
      <c r="AL162" s="898"/>
      <c r="AM162" s="898"/>
      <c r="AN162" s="898"/>
    </row>
    <row r="163" spans="1:40" ht="15.75" customHeight="1">
      <c r="B163" s="898"/>
      <c r="C163" s="978" t="s">
        <v>71</v>
      </c>
      <c r="D163" s="979"/>
      <c r="E163" s="980"/>
      <c r="F163" s="981">
        <v>9097.1999999999989</v>
      </c>
      <c r="G163" s="982"/>
      <c r="H163" s="980"/>
      <c r="I163" s="981"/>
      <c r="J163" s="982"/>
      <c r="K163" s="980"/>
      <c r="L163" s="981">
        <v>11052</v>
      </c>
      <c r="M163" s="985"/>
      <c r="N163" s="981">
        <v>1954.8000000000011</v>
      </c>
      <c r="O163" s="982"/>
      <c r="P163" s="980"/>
      <c r="Q163" s="981">
        <v>13128</v>
      </c>
      <c r="R163" s="985"/>
      <c r="S163" s="981">
        <v>-2076</v>
      </c>
      <c r="T163" s="994"/>
      <c r="U163" s="898"/>
      <c r="V163" s="898"/>
      <c r="W163" s="898"/>
      <c r="X163" s="898"/>
      <c r="Y163" s="898"/>
      <c r="Z163" s="898"/>
      <c r="AA163" s="898"/>
      <c r="AB163" s="898"/>
      <c r="AC163" s="898"/>
      <c r="AD163" s="898"/>
      <c r="AE163" s="898"/>
      <c r="AF163" s="898"/>
      <c r="AG163" s="898"/>
      <c r="AH163" s="898"/>
      <c r="AI163" s="898"/>
      <c r="AJ163" s="898"/>
      <c r="AK163" s="898"/>
      <c r="AL163" s="898"/>
      <c r="AM163" s="898"/>
      <c r="AN163" s="898"/>
    </row>
    <row r="164" spans="1:40" ht="15.75" customHeight="1">
      <c r="B164" s="898"/>
      <c r="C164" s="918"/>
      <c r="D164" s="971"/>
      <c r="E164" s="898"/>
      <c r="F164" s="944"/>
      <c r="G164" s="972"/>
      <c r="H164" s="898"/>
      <c r="I164" s="944"/>
      <c r="J164" s="918"/>
      <c r="K164" s="898"/>
      <c r="L164" s="944"/>
      <c r="M164" s="918"/>
      <c r="N164" s="944"/>
      <c r="O164" s="918"/>
      <c r="P164" s="898"/>
      <c r="Q164" s="944"/>
      <c r="R164" s="918"/>
      <c r="S164" s="944"/>
      <c r="T164" s="1037"/>
      <c r="U164" s="898"/>
      <c r="V164" s="898"/>
      <c r="W164" s="898"/>
      <c r="X164" s="898"/>
      <c r="Y164" s="898"/>
      <c r="Z164" s="898"/>
      <c r="AA164" s="898"/>
      <c r="AB164" s="898"/>
      <c r="AC164" s="898"/>
      <c r="AD164" s="898"/>
      <c r="AE164" s="898"/>
      <c r="AF164" s="898"/>
      <c r="AG164" s="898"/>
      <c r="AH164" s="898"/>
      <c r="AI164" s="898"/>
      <c r="AJ164" s="898"/>
      <c r="AK164" s="898"/>
      <c r="AL164" s="898"/>
      <c r="AM164" s="898"/>
      <c r="AN164" s="898"/>
    </row>
    <row r="165" spans="1:40" ht="15.75" customHeight="1" thickBot="1">
      <c r="B165" s="898"/>
      <c r="C165" s="1010" t="s">
        <v>72</v>
      </c>
      <c r="D165" s="1040"/>
      <c r="E165" s="1011"/>
      <c r="F165" s="1013">
        <v>-6920.086219472998</v>
      </c>
      <c r="G165" s="1041"/>
      <c r="H165" s="1011"/>
      <c r="I165" s="1013"/>
      <c r="J165" s="1010"/>
      <c r="K165" s="1012"/>
      <c r="L165" s="1013">
        <v>45751.290000000125</v>
      </c>
      <c r="M165" s="1010"/>
      <c r="N165" s="1013">
        <v>52671.376219473124</v>
      </c>
      <c r="O165" s="1010"/>
      <c r="P165" s="1015">
        <v>4.3975677759015208E-3</v>
      </c>
      <c r="Q165" s="1013">
        <v>5131.5899999999674</v>
      </c>
      <c r="R165" s="1010"/>
      <c r="S165" s="1013">
        <v>40619.700000000157</v>
      </c>
      <c r="T165" s="960"/>
      <c r="U165" s="898"/>
      <c r="V165" s="898"/>
      <c r="W165" s="898"/>
      <c r="X165" s="898"/>
      <c r="Y165" s="898"/>
      <c r="Z165" s="898"/>
      <c r="AA165" s="898"/>
      <c r="AB165" s="898"/>
      <c r="AC165" s="898"/>
      <c r="AD165" s="898"/>
      <c r="AE165" s="898"/>
      <c r="AF165" s="898"/>
      <c r="AG165" s="898"/>
      <c r="AH165" s="898"/>
      <c r="AI165" s="898"/>
      <c r="AJ165" s="898"/>
      <c r="AK165" s="898"/>
      <c r="AL165" s="898"/>
      <c r="AM165" s="898"/>
      <c r="AN165" s="898"/>
    </row>
    <row r="166" spans="1:40" ht="15.75" customHeight="1" thickTop="1">
      <c r="B166" s="898"/>
      <c r="C166" s="895"/>
      <c r="D166" s="895"/>
      <c r="E166" s="895"/>
      <c r="F166" s="1042"/>
      <c r="G166" s="895"/>
      <c r="H166" s="895"/>
      <c r="I166" s="895"/>
      <c r="J166" s="895"/>
      <c r="K166" s="895"/>
      <c r="L166" s="1042"/>
      <c r="M166" s="895"/>
      <c r="N166" s="895"/>
      <c r="O166" s="895"/>
      <c r="P166" s="895"/>
      <c r="Q166" s="895"/>
      <c r="R166" s="895"/>
      <c r="S166" s="895"/>
      <c r="T166" s="1042"/>
      <c r="U166" s="895"/>
      <c r="V166" s="898"/>
      <c r="W166" s="898"/>
      <c r="X166" s="898"/>
      <c r="Y166" s="898"/>
      <c r="Z166" s="898"/>
      <c r="AA166" s="898"/>
      <c r="AB166" s="898"/>
      <c r="AC166" s="898"/>
      <c r="AD166" s="898"/>
      <c r="AE166" s="898"/>
      <c r="AF166" s="898"/>
      <c r="AG166" s="898"/>
      <c r="AH166" s="898"/>
      <c r="AI166" s="898"/>
      <c r="AJ166" s="898"/>
      <c r="AK166" s="898"/>
      <c r="AL166" s="898"/>
      <c r="AM166" s="898"/>
      <c r="AN166" s="898"/>
    </row>
    <row r="167" spans="1:40" ht="8.25" customHeight="1">
      <c r="B167" s="898"/>
      <c r="C167" s="895"/>
      <c r="D167" s="895"/>
      <c r="E167" s="895"/>
      <c r="F167" s="895"/>
      <c r="G167" s="895"/>
      <c r="H167" s="895"/>
      <c r="I167" s="895"/>
      <c r="J167" s="895"/>
      <c r="K167" s="895"/>
      <c r="L167" s="895"/>
      <c r="M167" s="895"/>
      <c r="N167" s="895"/>
      <c r="O167" s="895"/>
      <c r="P167" s="895"/>
      <c r="Q167" s="895"/>
      <c r="R167" s="895"/>
      <c r="S167" s="895"/>
      <c r="T167" s="1042"/>
      <c r="U167" s="895"/>
      <c r="V167" s="895"/>
      <c r="W167" s="895"/>
      <c r="X167" s="895"/>
      <c r="Y167" s="895"/>
      <c r="Z167" s="895"/>
      <c r="AA167" s="895"/>
      <c r="AB167" s="895"/>
      <c r="AC167" s="895"/>
      <c r="AD167" s="895"/>
      <c r="AE167" s="895"/>
      <c r="AF167" s="895"/>
      <c r="AG167" s="895"/>
      <c r="AH167" s="895"/>
      <c r="AI167" s="895"/>
      <c r="AJ167" s="895"/>
      <c r="AK167" s="895"/>
      <c r="AL167" s="895"/>
      <c r="AM167" s="895"/>
      <c r="AN167" s="895"/>
    </row>
    <row r="168" spans="1:40" ht="33.75" customHeight="1">
      <c r="B168" s="898"/>
      <c r="C168" s="1020" t="s">
        <v>478</v>
      </c>
      <c r="D168" s="886"/>
      <c r="E168" s="886"/>
      <c r="F168" s="886"/>
      <c r="G168" s="886"/>
      <c r="H168" s="884"/>
      <c r="I168" s="884"/>
      <c r="J168" s="884"/>
      <c r="K168" s="888" t="s">
        <v>83</v>
      </c>
      <c r="L168" s="886"/>
      <c r="M168" s="886"/>
      <c r="N168" s="884"/>
      <c r="O168" s="884"/>
      <c r="P168" s="886"/>
      <c r="Q168" s="884"/>
      <c r="R168" s="886"/>
      <c r="S168" s="1021" t="s">
        <v>482</v>
      </c>
      <c r="T168" s="886"/>
      <c r="U168" s="884"/>
      <c r="V168" s="895"/>
      <c r="W168" s="895"/>
      <c r="X168" s="895"/>
      <c r="Y168" s="895"/>
      <c r="Z168" s="895"/>
      <c r="AA168" s="895"/>
      <c r="AB168" s="895"/>
      <c r="AC168" s="895"/>
      <c r="AD168" s="895"/>
      <c r="AE168" s="895"/>
      <c r="AF168" s="895"/>
      <c r="AG168" s="895"/>
      <c r="AH168" s="895"/>
      <c r="AI168" s="895"/>
      <c r="AJ168" s="895"/>
      <c r="AK168" s="895"/>
      <c r="AL168" s="895"/>
      <c r="AM168" s="895"/>
      <c r="AN168" s="895"/>
    </row>
    <row r="169" spans="1:40" ht="15.75" customHeight="1" thickBot="1">
      <c r="B169" s="898"/>
      <c r="C169" s="893"/>
      <c r="D169" s="895"/>
      <c r="E169" s="895"/>
      <c r="F169" s="895"/>
      <c r="G169" s="895"/>
      <c r="H169" s="895"/>
      <c r="I169" s="895"/>
      <c r="J169" s="895"/>
      <c r="K169" s="895"/>
      <c r="L169" s="895"/>
      <c r="M169" s="895"/>
      <c r="N169" s="895"/>
      <c r="O169" s="895"/>
      <c r="P169" s="895"/>
      <c r="Q169" s="895"/>
      <c r="R169" s="895"/>
      <c r="S169" s="895"/>
      <c r="T169" s="895"/>
      <c r="U169" s="895"/>
      <c r="V169" s="884"/>
      <c r="W169" s="884"/>
      <c r="X169" s="884"/>
      <c r="Y169" s="884"/>
      <c r="Z169" s="884"/>
      <c r="AA169" s="884"/>
      <c r="AB169" s="884"/>
      <c r="AC169" s="884"/>
      <c r="AD169" s="884"/>
      <c r="AE169" s="884"/>
      <c r="AF169" s="884"/>
      <c r="AG169" s="884"/>
      <c r="AH169" s="884"/>
      <c r="AI169" s="884"/>
      <c r="AJ169" s="884"/>
      <c r="AK169" s="884"/>
      <c r="AL169" s="884"/>
      <c r="AM169" s="884"/>
      <c r="AN169" s="884"/>
    </row>
    <row r="170" spans="1:40" ht="15.75" customHeight="1" thickTop="1">
      <c r="B170" s="898"/>
      <c r="C170" s="899"/>
      <c r="D170" s="900" t="s">
        <v>5</v>
      </c>
      <c r="E170" s="901"/>
      <c r="F170" s="902"/>
      <c r="G170" s="903"/>
      <c r="H170" s="901"/>
      <c r="I170" s="902"/>
      <c r="J170" s="903" t="s">
        <v>7</v>
      </c>
      <c r="K170" s="901"/>
      <c r="L170" s="902"/>
      <c r="M170" s="903" t="s">
        <v>220</v>
      </c>
      <c r="N170" s="902"/>
      <c r="O170" s="900" t="s">
        <v>8</v>
      </c>
      <c r="P170" s="901"/>
      <c r="Q170" s="902"/>
      <c r="R170" s="903" t="s">
        <v>221</v>
      </c>
      <c r="S170" s="902"/>
      <c r="T170" s="1036"/>
      <c r="AA170" s="895"/>
      <c r="AB170" s="895"/>
      <c r="AC170" s="895"/>
      <c r="AD170" s="895"/>
      <c r="AE170" s="895"/>
      <c r="AF170" s="895"/>
      <c r="AG170" s="895"/>
      <c r="AH170" s="895"/>
      <c r="AI170" s="895"/>
      <c r="AJ170" s="895"/>
      <c r="AK170" s="895"/>
      <c r="AL170" s="895"/>
      <c r="AM170" s="895"/>
      <c r="AN170" s="895"/>
    </row>
    <row r="171" spans="1:40" ht="15.75" customHeight="1">
      <c r="A171" s="883" t="s">
        <v>83</v>
      </c>
      <c r="B171" s="898" t="s">
        <v>83</v>
      </c>
      <c r="C171" s="918"/>
      <c r="D171" s="962" t="s">
        <v>40</v>
      </c>
      <c r="E171" s="962" t="s">
        <v>84</v>
      </c>
      <c r="F171" s="1043" t="s">
        <v>12</v>
      </c>
      <c r="G171" s="1044"/>
      <c r="H171" s="962"/>
      <c r="I171" s="1043"/>
      <c r="J171" s="1044" t="s">
        <v>40</v>
      </c>
      <c r="K171" s="962" t="s">
        <v>84</v>
      </c>
      <c r="L171" s="1043" t="s">
        <v>12</v>
      </c>
      <c r="M171" s="1044" t="s">
        <v>226</v>
      </c>
      <c r="N171" s="1043" t="s">
        <v>223</v>
      </c>
      <c r="O171" s="962" t="s">
        <v>40</v>
      </c>
      <c r="P171" s="962" t="s">
        <v>84</v>
      </c>
      <c r="Q171" s="1043" t="s">
        <v>12</v>
      </c>
      <c r="R171" s="1044" t="s">
        <v>85</v>
      </c>
      <c r="S171" s="1043" t="s">
        <v>12</v>
      </c>
      <c r="T171" s="962"/>
      <c r="AA171" s="898"/>
      <c r="AB171" s="898"/>
      <c r="AC171" s="898"/>
      <c r="AD171" s="898"/>
      <c r="AE171" s="898"/>
      <c r="AF171" s="898"/>
      <c r="AG171" s="898"/>
      <c r="AH171" s="898"/>
      <c r="AI171" s="898"/>
      <c r="AJ171" s="898"/>
      <c r="AK171" s="898"/>
      <c r="AL171" s="898"/>
      <c r="AM171" s="898"/>
      <c r="AN171" s="898"/>
    </row>
    <row r="172" spans="1:40" ht="15.75" customHeight="1">
      <c r="A172" s="883" t="s">
        <v>334</v>
      </c>
      <c r="B172" s="898" t="s">
        <v>83</v>
      </c>
      <c r="C172" s="918" t="s">
        <v>86</v>
      </c>
      <c r="D172" s="960">
        <v>389.74</v>
      </c>
      <c r="E172" s="960">
        <v>132511.6</v>
      </c>
      <c r="F172" s="960">
        <v>103359.04800000001</v>
      </c>
      <c r="G172" s="945"/>
      <c r="H172" s="960"/>
      <c r="I172" s="960"/>
      <c r="J172" s="945">
        <v>335</v>
      </c>
      <c r="K172" s="960">
        <v>128621.11</v>
      </c>
      <c r="L172" s="921">
        <v>102934.89</v>
      </c>
      <c r="M172" s="964">
        <v>-2.9359618327753984E-2</v>
      </c>
      <c r="N172" s="944">
        <v>-424.15800000001036</v>
      </c>
      <c r="O172" s="945">
        <v>342</v>
      </c>
      <c r="P172" s="919">
        <v>125119.18</v>
      </c>
      <c r="Q172" s="921">
        <v>100910.53</v>
      </c>
      <c r="R172" s="964">
        <v>0.97953216374269003</v>
      </c>
      <c r="S172" s="944">
        <v>2024.3600000000006</v>
      </c>
      <c r="T172" s="960"/>
      <c r="AA172" s="898"/>
      <c r="AB172" s="898"/>
      <c r="AC172" s="898"/>
      <c r="AD172" s="898"/>
      <c r="AE172" s="898"/>
      <c r="AF172" s="898"/>
      <c r="AG172" s="898"/>
      <c r="AH172" s="898"/>
      <c r="AI172" s="898"/>
      <c r="AJ172" s="898"/>
      <c r="AK172" s="898"/>
      <c r="AL172" s="898"/>
      <c r="AM172" s="898"/>
      <c r="AN172" s="898"/>
    </row>
    <row r="173" spans="1:40" ht="15.75" customHeight="1">
      <c r="A173" s="883" t="s">
        <v>335</v>
      </c>
      <c r="B173" s="898" t="s">
        <v>83</v>
      </c>
      <c r="C173" s="918" t="s">
        <v>87</v>
      </c>
      <c r="D173" s="960"/>
      <c r="E173" s="1029"/>
      <c r="F173" s="1045">
        <v>0.78</v>
      </c>
      <c r="G173" s="945"/>
      <c r="H173" s="1029"/>
      <c r="I173" s="1045"/>
      <c r="J173" s="945"/>
      <c r="K173" s="898"/>
      <c r="L173" s="1045">
        <v>0.80029545694326532</v>
      </c>
      <c r="M173" s="964"/>
      <c r="N173" s="944"/>
      <c r="O173" s="945"/>
      <c r="P173" s="898"/>
      <c r="Q173" s="1045">
        <v>0.80651527607517892</v>
      </c>
      <c r="R173" s="945"/>
      <c r="S173" s="944"/>
      <c r="T173" s="960"/>
      <c r="AA173" s="898"/>
      <c r="AB173" s="898"/>
      <c r="AC173" s="898"/>
      <c r="AD173" s="898"/>
      <c r="AE173" s="898"/>
      <c r="AF173" s="898"/>
      <c r="AG173" s="898"/>
      <c r="AH173" s="898"/>
      <c r="AI173" s="898"/>
      <c r="AJ173" s="898"/>
      <c r="AK173" s="898"/>
      <c r="AL173" s="898"/>
      <c r="AM173" s="898"/>
      <c r="AN173" s="898"/>
    </row>
    <row r="174" spans="1:40" ht="15.75" customHeight="1">
      <c r="A174" s="883" t="s">
        <v>83</v>
      </c>
      <c r="B174" s="898" t="s">
        <v>83</v>
      </c>
      <c r="C174" s="911"/>
      <c r="D174" s="967"/>
      <c r="E174" s="1046">
        <v>340</v>
      </c>
      <c r="F174" s="1047"/>
      <c r="G174" s="1048"/>
      <c r="H174" s="1046"/>
      <c r="I174" s="1047"/>
      <c r="J174" s="1048"/>
      <c r="K174" s="1046">
        <v>383.94361194029852</v>
      </c>
      <c r="L174" s="1047"/>
      <c r="M174" s="968"/>
      <c r="N174" s="969"/>
      <c r="O174" s="1048"/>
      <c r="P174" s="1046">
        <v>365.84555555555556</v>
      </c>
      <c r="Q174" s="1047"/>
      <c r="R174" s="1048"/>
      <c r="S174" s="969"/>
      <c r="T174" s="960"/>
      <c r="AA174" s="898"/>
      <c r="AB174" s="898"/>
      <c r="AC174" s="898"/>
      <c r="AD174" s="898"/>
      <c r="AE174" s="898"/>
      <c r="AF174" s="898"/>
      <c r="AG174" s="898"/>
      <c r="AH174" s="898"/>
      <c r="AI174" s="898"/>
      <c r="AJ174" s="898"/>
      <c r="AK174" s="898"/>
      <c r="AL174" s="898"/>
      <c r="AM174" s="898"/>
      <c r="AN174" s="898"/>
    </row>
    <row r="175" spans="1:40" ht="18" customHeight="1">
      <c r="A175" s="883" t="s">
        <v>336</v>
      </c>
      <c r="B175" s="898" t="s">
        <v>83</v>
      </c>
      <c r="C175" s="906" t="s">
        <v>88</v>
      </c>
      <c r="D175" s="1049">
        <v>143.85</v>
      </c>
      <c r="E175" s="960">
        <v>38839.5</v>
      </c>
      <c r="F175" s="960">
        <v>24857.279999999999</v>
      </c>
      <c r="G175" s="1050"/>
      <c r="H175" s="960"/>
      <c r="I175" s="960"/>
      <c r="J175" s="1050">
        <v>175</v>
      </c>
      <c r="K175" s="939">
        <v>71307.81</v>
      </c>
      <c r="L175" s="921">
        <v>47482.42</v>
      </c>
      <c r="M175" s="964">
        <v>0.83596107055961066</v>
      </c>
      <c r="N175" s="992">
        <v>22625.14</v>
      </c>
      <c r="O175" s="1050">
        <v>196</v>
      </c>
      <c r="P175" s="939">
        <v>45706.49</v>
      </c>
      <c r="Q175" s="921">
        <v>31099.46</v>
      </c>
      <c r="R175" s="964">
        <v>0.8928571428571429</v>
      </c>
      <c r="S175" s="944">
        <v>16382.96</v>
      </c>
      <c r="T175" s="960"/>
      <c r="U175" s="898"/>
      <c r="V175" s="919"/>
      <c r="W175" s="898"/>
      <c r="AA175" s="898"/>
      <c r="AB175" s="898"/>
      <c r="AC175" s="898"/>
      <c r="AD175" s="898"/>
      <c r="AE175" s="898"/>
      <c r="AF175" s="898"/>
      <c r="AG175" s="898"/>
      <c r="AH175" s="898"/>
      <c r="AI175" s="898"/>
      <c r="AJ175" s="898"/>
      <c r="AK175" s="898"/>
      <c r="AL175" s="898"/>
      <c r="AM175" s="898"/>
      <c r="AN175" s="898"/>
    </row>
    <row r="176" spans="1:40" ht="15.75" customHeight="1">
      <c r="A176" s="883" t="s">
        <v>335</v>
      </c>
      <c r="B176" s="898" t="s">
        <v>83</v>
      </c>
      <c r="C176" s="918" t="s">
        <v>87</v>
      </c>
      <c r="D176" s="898"/>
      <c r="E176" s="898"/>
      <c r="F176" s="1045">
        <v>0.64</v>
      </c>
      <c r="G176" s="918"/>
      <c r="H176" s="898"/>
      <c r="I176" s="1045"/>
      <c r="J176" s="918"/>
      <c r="K176" s="898"/>
      <c r="L176" s="1045">
        <v>0.66587965609938093</v>
      </c>
      <c r="M176" s="935"/>
      <c r="N176" s="936"/>
      <c r="O176" s="918"/>
      <c r="P176" s="898"/>
      <c r="Q176" s="1045">
        <v>0.68041671981375074</v>
      </c>
      <c r="R176" s="935"/>
      <c r="S176" s="936"/>
      <c r="T176" s="898"/>
      <c r="U176" s="898"/>
      <c r="V176" s="919"/>
      <c r="W176" s="1051"/>
      <c r="AA176" s="898"/>
      <c r="AB176" s="898"/>
      <c r="AC176" s="898"/>
      <c r="AD176" s="898"/>
      <c r="AE176" s="898"/>
      <c r="AF176" s="898"/>
      <c r="AG176" s="898"/>
      <c r="AH176" s="898"/>
      <c r="AI176" s="898"/>
      <c r="AJ176" s="898"/>
      <c r="AK176" s="898"/>
      <c r="AL176" s="898"/>
      <c r="AM176" s="898"/>
      <c r="AN176" s="898"/>
    </row>
    <row r="177" spans="1:40" ht="15.75" customHeight="1">
      <c r="A177" s="883" t="s">
        <v>83</v>
      </c>
      <c r="B177" s="898" t="s">
        <v>83</v>
      </c>
      <c r="C177" s="911"/>
      <c r="D177" s="993"/>
      <c r="E177" s="1046">
        <v>270</v>
      </c>
      <c r="F177" s="1047"/>
      <c r="G177" s="1048"/>
      <c r="H177" s="1046"/>
      <c r="I177" s="1047"/>
      <c r="J177" s="1048"/>
      <c r="K177" s="1046">
        <v>407.47319999999996</v>
      </c>
      <c r="L177" s="1047"/>
      <c r="M177" s="968"/>
      <c r="N177" s="969"/>
      <c r="O177" s="1048"/>
      <c r="P177" s="1046">
        <v>233.19637755102039</v>
      </c>
      <c r="Q177" s="1047"/>
      <c r="R177" s="1052"/>
      <c r="S177" s="1053"/>
      <c r="T177" s="898"/>
      <c r="AA177" s="898"/>
      <c r="AB177" s="898"/>
      <c r="AC177" s="898"/>
      <c r="AD177" s="898"/>
      <c r="AE177" s="898"/>
      <c r="AF177" s="898"/>
      <c r="AG177" s="898"/>
      <c r="AH177" s="898"/>
      <c r="AI177" s="898"/>
      <c r="AJ177" s="898"/>
      <c r="AK177" s="898"/>
      <c r="AL177" s="898"/>
      <c r="AM177" s="898"/>
      <c r="AN177" s="898"/>
    </row>
    <row r="178" spans="1:40" ht="15.75" customHeight="1">
      <c r="A178" s="883" t="s">
        <v>337</v>
      </c>
      <c r="B178" s="898" t="s">
        <v>83</v>
      </c>
      <c r="C178" s="918" t="s">
        <v>89</v>
      </c>
      <c r="D178" s="960">
        <v>241.84</v>
      </c>
      <c r="E178" s="960">
        <v>74249.716799999995</v>
      </c>
      <c r="F178" s="960">
        <v>54944.790431999994</v>
      </c>
      <c r="G178" s="945"/>
      <c r="H178" s="960"/>
      <c r="I178" s="960"/>
      <c r="J178" s="945">
        <v>328</v>
      </c>
      <c r="K178" s="939">
        <v>111311.12000000001</v>
      </c>
      <c r="L178" s="921">
        <v>87639.260000000009</v>
      </c>
      <c r="M178" s="964">
        <v>0.49914538125214797</v>
      </c>
      <c r="N178" s="944">
        <v>32694.469568000015</v>
      </c>
      <c r="O178" s="945">
        <v>202</v>
      </c>
      <c r="P178" s="939">
        <v>69014.759999999995</v>
      </c>
      <c r="Q178" s="921">
        <v>52711.83</v>
      </c>
      <c r="R178" s="964">
        <v>1.6237623762376239</v>
      </c>
      <c r="S178" s="944">
        <v>34927.430000000008</v>
      </c>
      <c r="T178" s="960"/>
      <c r="AA178" s="898"/>
      <c r="AB178" s="898"/>
      <c r="AC178" s="898"/>
      <c r="AD178" s="898"/>
      <c r="AE178" s="898"/>
      <c r="AF178" s="898"/>
      <c r="AG178" s="898"/>
      <c r="AH178" s="898"/>
      <c r="AI178" s="898"/>
      <c r="AJ178" s="898"/>
      <c r="AK178" s="898"/>
      <c r="AL178" s="898"/>
      <c r="AM178" s="898"/>
      <c r="AN178" s="898"/>
    </row>
    <row r="179" spans="1:40" ht="15.75" customHeight="1">
      <c r="A179" s="883" t="s">
        <v>335</v>
      </c>
      <c r="B179" s="898" t="s">
        <v>83</v>
      </c>
      <c r="C179" s="918" t="s">
        <v>87</v>
      </c>
      <c r="D179" s="960"/>
      <c r="E179" s="1029"/>
      <c r="F179" s="1045">
        <v>0.74</v>
      </c>
      <c r="G179" s="945"/>
      <c r="H179" s="1029"/>
      <c r="I179" s="1045"/>
      <c r="J179" s="945"/>
      <c r="K179" s="1029"/>
      <c r="L179" s="1045">
        <v>0.7873360720833642</v>
      </c>
      <c r="M179" s="964"/>
      <c r="N179" s="944">
        <v>4.7336072083364211E-2</v>
      </c>
      <c r="O179" s="945"/>
      <c r="P179" s="1029"/>
      <c r="Q179" s="1045">
        <v>0.76377618352943644</v>
      </c>
      <c r="R179" s="945">
        <v>0</v>
      </c>
      <c r="S179" s="944"/>
      <c r="T179" s="960"/>
      <c r="AA179" s="898"/>
      <c r="AB179" s="898"/>
      <c r="AC179" s="898"/>
      <c r="AD179" s="898"/>
      <c r="AE179" s="898"/>
      <c r="AF179" s="898"/>
      <c r="AG179" s="898"/>
      <c r="AH179" s="898"/>
      <c r="AI179" s="898"/>
      <c r="AJ179" s="898"/>
      <c r="AK179" s="898"/>
      <c r="AL179" s="898"/>
      <c r="AM179" s="898"/>
      <c r="AN179" s="898"/>
    </row>
    <row r="180" spans="1:40" ht="15.75" customHeight="1">
      <c r="A180" s="883" t="s">
        <v>83</v>
      </c>
      <c r="B180" s="898" t="s">
        <v>83</v>
      </c>
      <c r="C180" s="918"/>
      <c r="D180" s="960"/>
      <c r="E180" s="1046">
        <v>307.02</v>
      </c>
      <c r="F180" s="1047"/>
      <c r="G180" s="1048"/>
      <c r="H180" s="1046"/>
      <c r="I180" s="1047"/>
      <c r="J180" s="1048"/>
      <c r="K180" s="1046">
        <v>339.36317073170733</v>
      </c>
      <c r="L180" s="1047"/>
      <c r="M180" s="968"/>
      <c r="N180" s="969"/>
      <c r="O180" s="1048"/>
      <c r="P180" s="1046">
        <v>341.65722772277223</v>
      </c>
      <c r="Q180" s="1045"/>
      <c r="R180" s="1048"/>
      <c r="S180" s="944"/>
      <c r="T180" s="960"/>
      <c r="U180" s="938"/>
      <c r="AA180" s="898"/>
      <c r="AB180" s="898"/>
      <c r="AC180" s="898"/>
      <c r="AD180" s="898"/>
      <c r="AE180" s="898"/>
      <c r="AF180" s="898"/>
      <c r="AG180" s="898"/>
      <c r="AH180" s="898"/>
      <c r="AI180" s="898"/>
      <c r="AJ180" s="898"/>
      <c r="AK180" s="898"/>
      <c r="AL180" s="898"/>
      <c r="AM180" s="898"/>
      <c r="AN180" s="898"/>
    </row>
    <row r="181" spans="1:40" ht="15.75" customHeight="1">
      <c r="A181" s="883" t="s">
        <v>338</v>
      </c>
      <c r="B181" s="898" t="s">
        <v>83</v>
      </c>
      <c r="C181" s="906" t="s">
        <v>90</v>
      </c>
      <c r="D181" s="1049">
        <v>28.259999999999998</v>
      </c>
      <c r="E181" s="960">
        <v>7630.2</v>
      </c>
      <c r="F181" s="960">
        <v>5722.65</v>
      </c>
      <c r="G181" s="1050"/>
      <c r="H181" s="960"/>
      <c r="I181" s="960"/>
      <c r="J181" s="1050">
        <v>0</v>
      </c>
      <c r="K181" s="939">
        <v>8116.64</v>
      </c>
      <c r="L181" s="940">
        <v>6178.8</v>
      </c>
      <c r="M181" s="1054">
        <v>6.3751933107913356E-2</v>
      </c>
      <c r="N181" s="992">
        <v>456.15000000000055</v>
      </c>
      <c r="O181" s="1050">
        <v>0</v>
      </c>
      <c r="P181" s="939">
        <v>6965.21</v>
      </c>
      <c r="Q181" s="940">
        <v>5414.05</v>
      </c>
      <c r="R181" s="964">
        <v>0</v>
      </c>
      <c r="S181" s="992">
        <v>764.75</v>
      </c>
      <c r="T181" s="960"/>
      <c r="U181" s="938"/>
      <c r="AA181" s="898"/>
      <c r="AB181" s="898"/>
      <c r="AC181" s="898"/>
      <c r="AD181" s="898"/>
      <c r="AE181" s="898"/>
      <c r="AF181" s="898"/>
      <c r="AG181" s="898"/>
      <c r="AH181" s="898"/>
      <c r="AI181" s="898"/>
      <c r="AJ181" s="898"/>
      <c r="AK181" s="898"/>
      <c r="AL181" s="898"/>
      <c r="AM181" s="898"/>
      <c r="AN181" s="898"/>
    </row>
    <row r="182" spans="1:40" ht="15.75" customHeight="1">
      <c r="A182" s="883" t="s">
        <v>335</v>
      </c>
      <c r="B182" s="898" t="s">
        <v>83</v>
      </c>
      <c r="C182" s="918" t="s">
        <v>87</v>
      </c>
      <c r="D182" s="958"/>
      <c r="E182" s="1055"/>
      <c r="F182" s="1045">
        <v>0.75</v>
      </c>
      <c r="G182" s="937"/>
      <c r="H182" s="1055"/>
      <c r="I182" s="1045"/>
      <c r="J182" s="1056"/>
      <c r="K182" s="1055">
        <v>0</v>
      </c>
      <c r="L182" s="1045">
        <v>0.76125096098878353</v>
      </c>
      <c r="M182" s="945">
        <v>0</v>
      </c>
      <c r="N182" s="1057"/>
      <c r="O182" s="1056"/>
      <c r="P182" s="1055"/>
      <c r="Q182" s="1045">
        <v>0.77729888976786055</v>
      </c>
      <c r="R182" s="918"/>
      <c r="S182" s="1057"/>
      <c r="T182" s="994"/>
      <c r="U182" s="938"/>
      <c r="AA182" s="898"/>
      <c r="AB182" s="898"/>
      <c r="AC182" s="898"/>
      <c r="AD182" s="898"/>
      <c r="AE182" s="898"/>
      <c r="AF182" s="898"/>
      <c r="AG182" s="898"/>
      <c r="AH182" s="898"/>
      <c r="AI182" s="898"/>
      <c r="AJ182" s="898"/>
      <c r="AK182" s="898"/>
      <c r="AL182" s="898"/>
      <c r="AM182" s="898"/>
      <c r="AN182" s="898"/>
    </row>
    <row r="183" spans="1:40" ht="15.75" customHeight="1">
      <c r="A183" s="883" t="s">
        <v>83</v>
      </c>
      <c r="B183" s="898" t="s">
        <v>83</v>
      </c>
      <c r="C183" s="911"/>
      <c r="D183" s="1058"/>
      <c r="E183" s="1059"/>
      <c r="F183" s="1047"/>
      <c r="G183" s="931"/>
      <c r="H183" s="1059"/>
      <c r="I183" s="1047"/>
      <c r="J183" s="1060"/>
      <c r="K183" s="915"/>
      <c r="L183" s="1047"/>
      <c r="M183" s="1048"/>
      <c r="N183" s="1061"/>
      <c r="O183" s="1060"/>
      <c r="P183" s="915">
        <v>0</v>
      </c>
      <c r="Q183" s="1047"/>
      <c r="R183" s="911"/>
      <c r="S183" s="1061"/>
      <c r="T183" s="994"/>
      <c r="AA183" s="898"/>
      <c r="AB183" s="898"/>
      <c r="AC183" s="898"/>
      <c r="AD183" s="898"/>
      <c r="AE183" s="898"/>
      <c r="AF183" s="898"/>
      <c r="AG183" s="898"/>
      <c r="AH183" s="898"/>
      <c r="AI183" s="898"/>
      <c r="AJ183" s="898"/>
      <c r="AK183" s="898"/>
      <c r="AL183" s="898"/>
      <c r="AM183" s="898"/>
      <c r="AN183" s="898"/>
    </row>
    <row r="184" spans="1:40" ht="26.25" customHeight="1" thickBot="1">
      <c r="A184" s="883" t="s">
        <v>339</v>
      </c>
      <c r="B184" s="898" t="s">
        <v>83</v>
      </c>
      <c r="C184" s="918" t="s">
        <v>91</v>
      </c>
      <c r="D184" s="898"/>
      <c r="E184" s="898"/>
      <c r="F184" s="944">
        <v>-3056.6502247129561</v>
      </c>
      <c r="G184" s="918"/>
      <c r="H184" s="960"/>
      <c r="I184" s="960"/>
      <c r="J184" s="945"/>
      <c r="K184" s="960"/>
      <c r="L184" s="960">
        <v>-1318.36</v>
      </c>
      <c r="M184" s="1056"/>
      <c r="N184" s="944">
        <v>1738.2902247129562</v>
      </c>
      <c r="O184" s="945"/>
      <c r="P184" s="960"/>
      <c r="Q184" s="921">
        <v>-1692.49</v>
      </c>
      <c r="R184" s="1062"/>
      <c r="S184" s="944">
        <v>374.13000000000011</v>
      </c>
      <c r="T184" s="898"/>
      <c r="U184" s="898"/>
      <c r="V184" s="898"/>
      <c r="W184" s="898"/>
      <c r="X184" s="898"/>
      <c r="Y184" s="898"/>
      <c r="Z184" s="898"/>
      <c r="AA184" s="898"/>
      <c r="AB184" s="898"/>
      <c r="AC184" s="898"/>
      <c r="AD184" s="898"/>
      <c r="AE184" s="898"/>
      <c r="AF184" s="898"/>
      <c r="AG184" s="898"/>
      <c r="AH184" s="898"/>
      <c r="AI184" s="898"/>
      <c r="AJ184" s="898"/>
      <c r="AK184" s="898"/>
      <c r="AL184" s="898"/>
      <c r="AM184" s="898"/>
      <c r="AN184" s="898"/>
    </row>
    <row r="185" spans="1:40" ht="15.75" customHeight="1" thickTop="1">
      <c r="A185" s="883" t="s">
        <v>340</v>
      </c>
      <c r="B185" s="898" t="s">
        <v>83</v>
      </c>
      <c r="C185" s="1063" t="s">
        <v>92</v>
      </c>
      <c r="D185" s="1064">
        <v>803.69</v>
      </c>
      <c r="E185" s="1064">
        <v>253231.01680000001</v>
      </c>
      <c r="F185" s="1065">
        <v>185827.11820728701</v>
      </c>
      <c r="G185" s="1066"/>
      <c r="H185" s="1064"/>
      <c r="I185" s="1065"/>
      <c r="J185" s="1066">
        <v>838</v>
      </c>
      <c r="K185" s="1064">
        <v>319356.68</v>
      </c>
      <c r="L185" s="1065">
        <v>242917.01</v>
      </c>
      <c r="M185" s="1067">
        <v>0.26112781931537848</v>
      </c>
      <c r="N185" s="1065">
        <v>57089.891792712995</v>
      </c>
      <c r="O185" s="1066">
        <v>740</v>
      </c>
      <c r="P185" s="1064">
        <v>246805.63999999998</v>
      </c>
      <c r="Q185" s="1065">
        <v>188443.38</v>
      </c>
      <c r="R185" s="935">
        <v>1.1324324324324324</v>
      </c>
      <c r="S185" s="1065">
        <v>54473.630000000005</v>
      </c>
      <c r="T185" s="994"/>
      <c r="U185" s="898"/>
      <c r="V185" s="898"/>
      <c r="W185" s="898"/>
      <c r="X185" s="898"/>
      <c r="Y185" s="898"/>
      <c r="Z185" s="898"/>
      <c r="AA185" s="898"/>
      <c r="AB185" s="898"/>
      <c r="AC185" s="898"/>
      <c r="AD185" s="898"/>
      <c r="AE185" s="898"/>
      <c r="AF185" s="898"/>
      <c r="AG185" s="898"/>
      <c r="AH185" s="898"/>
      <c r="AI185" s="898"/>
      <c r="AJ185" s="898"/>
      <c r="AK185" s="898"/>
      <c r="AL185" s="898"/>
      <c r="AM185" s="898"/>
      <c r="AN185" s="898"/>
    </row>
    <row r="186" spans="1:40" ht="15.75" customHeight="1">
      <c r="A186" s="883" t="s">
        <v>341</v>
      </c>
      <c r="B186" s="898" t="s">
        <v>83</v>
      </c>
      <c r="C186" s="1068" t="s">
        <v>93</v>
      </c>
      <c r="D186" s="1069"/>
      <c r="E186" s="1070"/>
      <c r="F186" s="1071">
        <v>0.73382447598846823</v>
      </c>
      <c r="G186" s="1072"/>
      <c r="H186" s="1070"/>
      <c r="I186" s="936"/>
      <c r="J186" s="1072"/>
      <c r="K186" s="1070">
        <v>381.09389021479711</v>
      </c>
      <c r="L186" s="936">
        <v>0.76064483761542112</v>
      </c>
      <c r="M186" s="1072"/>
      <c r="N186" s="1071">
        <v>0.30722045492321626</v>
      </c>
      <c r="O186" s="1072"/>
      <c r="P186" s="1070">
        <v>333.52113513513513</v>
      </c>
      <c r="Q186" s="936">
        <v>0.763529472016928</v>
      </c>
      <c r="R186" s="1072"/>
      <c r="S186" s="936">
        <v>0.28907160336436338</v>
      </c>
      <c r="T186" s="994"/>
      <c r="U186" s="898"/>
      <c r="V186" s="898"/>
      <c r="W186" s="898"/>
      <c r="X186" s="898"/>
      <c r="Y186" s="898"/>
      <c r="Z186" s="898"/>
      <c r="AA186" s="898"/>
      <c r="AB186" s="898"/>
      <c r="AC186" s="898"/>
      <c r="AD186" s="898"/>
      <c r="AE186" s="898"/>
      <c r="AF186" s="898"/>
      <c r="AG186" s="898"/>
      <c r="AH186" s="898"/>
      <c r="AI186" s="898"/>
      <c r="AJ186" s="898"/>
      <c r="AK186" s="898"/>
      <c r="AL186" s="898"/>
      <c r="AM186" s="898"/>
      <c r="AN186" s="898"/>
    </row>
    <row r="187" spans="1:40" ht="15.75" customHeight="1">
      <c r="A187" s="883" t="s">
        <v>83</v>
      </c>
      <c r="B187" s="898" t="s">
        <v>83</v>
      </c>
      <c r="C187" s="924"/>
      <c r="D187" s="1073"/>
      <c r="E187" s="1074"/>
      <c r="F187" s="1075"/>
      <c r="G187" s="1076"/>
      <c r="H187" s="1074"/>
      <c r="I187" s="1075"/>
      <c r="J187" s="1076"/>
      <c r="K187" s="1074"/>
      <c r="L187" s="1075"/>
      <c r="M187" s="1076"/>
      <c r="N187" s="1075"/>
      <c r="O187" s="1076"/>
      <c r="P187" s="1074"/>
      <c r="Q187" s="1075"/>
      <c r="R187" s="1076"/>
      <c r="S187" s="1075"/>
      <c r="T187" s="994"/>
      <c r="U187" s="898"/>
      <c r="V187" s="898"/>
      <c r="W187" s="898"/>
      <c r="X187" s="898"/>
      <c r="Y187" s="898"/>
      <c r="Z187" s="898"/>
      <c r="AA187" s="898"/>
      <c r="AB187" s="898"/>
      <c r="AC187" s="898"/>
      <c r="AD187" s="898"/>
      <c r="AE187" s="898"/>
      <c r="AF187" s="898"/>
      <c r="AG187" s="898"/>
      <c r="AH187" s="898"/>
      <c r="AI187" s="898"/>
      <c r="AJ187" s="898"/>
      <c r="AK187" s="898"/>
      <c r="AL187" s="898"/>
      <c r="AM187" s="898"/>
      <c r="AN187" s="898"/>
    </row>
    <row r="188" spans="1:40" ht="19.5" customHeight="1">
      <c r="A188" s="883" t="s">
        <v>342</v>
      </c>
      <c r="B188" s="898" t="s">
        <v>83</v>
      </c>
      <c r="C188" s="918" t="s">
        <v>94</v>
      </c>
      <c r="D188" s="960"/>
      <c r="E188" s="960">
        <v>16971.84</v>
      </c>
      <c r="F188" s="960">
        <v>2987.0438399999998</v>
      </c>
      <c r="G188" s="945"/>
      <c r="H188" s="960"/>
      <c r="I188" s="960"/>
      <c r="J188" s="945"/>
      <c r="K188" s="919">
        <v>21348.949999999997</v>
      </c>
      <c r="L188" s="921">
        <v>4287.1999999999971</v>
      </c>
      <c r="M188" s="964">
        <v>0.25790426966080265</v>
      </c>
      <c r="N188" s="944">
        <v>1300.1561599999973</v>
      </c>
      <c r="O188" s="945"/>
      <c r="P188" s="919">
        <v>13150.5</v>
      </c>
      <c r="Q188" s="921">
        <v>2801.5</v>
      </c>
      <c r="R188" s="964">
        <v>0</v>
      </c>
      <c r="S188" s="944">
        <v>1485.6999999999971</v>
      </c>
      <c r="T188" s="994"/>
      <c r="U188" s="898"/>
      <c r="V188" s="898"/>
      <c r="W188" s="898"/>
      <c r="X188" s="898"/>
      <c r="Y188" s="898"/>
      <c r="Z188" s="898"/>
      <c r="AA188" s="898"/>
      <c r="AB188" s="898"/>
      <c r="AC188" s="898"/>
      <c r="AD188" s="898"/>
      <c r="AE188" s="898"/>
      <c r="AF188" s="898"/>
      <c r="AG188" s="898"/>
      <c r="AH188" s="898"/>
      <c r="AI188" s="898"/>
      <c r="AJ188" s="898"/>
      <c r="AK188" s="898"/>
      <c r="AL188" s="898"/>
      <c r="AM188" s="898"/>
      <c r="AN188" s="898"/>
    </row>
    <row r="189" spans="1:40" ht="21" customHeight="1">
      <c r="A189" s="883" t="s">
        <v>335</v>
      </c>
      <c r="B189" s="898" t="s">
        <v>83</v>
      </c>
      <c r="C189" s="918" t="s">
        <v>87</v>
      </c>
      <c r="D189" s="898"/>
      <c r="E189" s="1029"/>
      <c r="F189" s="1045">
        <v>0.17599999999999999</v>
      </c>
      <c r="G189" s="918"/>
      <c r="H189" s="1029"/>
      <c r="I189" s="1045"/>
      <c r="J189" s="1056"/>
      <c r="K189" s="1055"/>
      <c r="L189" s="1045">
        <v>0.20081549678087202</v>
      </c>
      <c r="M189" s="1056"/>
      <c r="N189" s="1057"/>
      <c r="O189" s="1056"/>
      <c r="P189" s="1055"/>
      <c r="Q189" s="1045">
        <v>0.21303372495342382</v>
      </c>
      <c r="R189" s="1056"/>
      <c r="S189" s="1057"/>
      <c r="T189" s="994"/>
      <c r="U189" s="898"/>
      <c r="V189" s="898"/>
      <c r="W189" s="898"/>
      <c r="X189" s="898"/>
      <c r="Y189" s="898"/>
      <c r="Z189" s="898"/>
      <c r="AA189" s="898"/>
      <c r="AB189" s="898"/>
      <c r="AC189" s="898"/>
      <c r="AD189" s="898"/>
      <c r="AE189" s="898"/>
      <c r="AF189" s="898"/>
      <c r="AG189" s="898"/>
      <c r="AH189" s="898"/>
      <c r="AI189" s="898"/>
      <c r="AJ189" s="898"/>
      <c r="AK189" s="898"/>
      <c r="AL189" s="898"/>
      <c r="AM189" s="898"/>
      <c r="AN189" s="898"/>
    </row>
    <row r="190" spans="1:40" ht="15.75" customHeight="1">
      <c r="A190" s="883" t="s">
        <v>83</v>
      </c>
      <c r="B190" s="898" t="s">
        <v>83</v>
      </c>
      <c r="C190" s="918"/>
      <c r="D190" s="898"/>
      <c r="E190" s="1029"/>
      <c r="F190" s="1045"/>
      <c r="G190" s="918"/>
      <c r="H190" s="1029"/>
      <c r="I190" s="1045"/>
      <c r="J190" s="1056"/>
      <c r="K190" s="1055"/>
      <c r="L190" s="1045"/>
      <c r="M190" s="1056"/>
      <c r="N190" s="1057"/>
      <c r="O190" s="1056"/>
      <c r="P190" s="1055"/>
      <c r="Q190" s="1045"/>
      <c r="R190" s="1056"/>
      <c r="S190" s="1057"/>
      <c r="T190" s="994"/>
      <c r="U190" s="898"/>
      <c r="V190" s="898"/>
      <c r="W190" s="898"/>
      <c r="X190" s="898"/>
      <c r="Y190" s="898"/>
      <c r="Z190" s="898"/>
      <c r="AA190" s="898"/>
      <c r="AB190" s="898"/>
      <c r="AC190" s="898"/>
      <c r="AD190" s="898"/>
      <c r="AE190" s="898"/>
      <c r="AF190" s="898"/>
      <c r="AG190" s="898"/>
      <c r="AH190" s="898"/>
      <c r="AI190" s="898"/>
      <c r="AJ190" s="898"/>
      <c r="AK190" s="898"/>
      <c r="AL190" s="898"/>
      <c r="AM190" s="898"/>
      <c r="AN190" s="898"/>
    </row>
    <row r="191" spans="1:40" ht="15.75" customHeight="1">
      <c r="A191" s="883" t="s">
        <v>343</v>
      </c>
      <c r="B191" s="898" t="s">
        <v>83</v>
      </c>
      <c r="C191" s="918" t="s">
        <v>95</v>
      </c>
      <c r="D191" s="898"/>
      <c r="E191" s="960">
        <v>5850</v>
      </c>
      <c r="F191" s="960">
        <v>4094.9999999999995</v>
      </c>
      <c r="G191" s="918"/>
      <c r="H191" s="960"/>
      <c r="I191" s="960"/>
      <c r="J191" s="945">
        <v>30</v>
      </c>
      <c r="K191" s="919">
        <v>6714.85</v>
      </c>
      <c r="L191" s="921">
        <v>5309.21</v>
      </c>
      <c r="M191" s="964">
        <v>0.14783760683760691</v>
      </c>
      <c r="N191" s="944">
        <v>1214.2100000000005</v>
      </c>
      <c r="O191" s="1056"/>
      <c r="P191" s="919">
        <v>8854.9500000000007</v>
      </c>
      <c r="Q191" s="921">
        <v>5544.1</v>
      </c>
      <c r="R191" s="1056"/>
      <c r="S191" s="1057"/>
      <c r="T191" s="994"/>
      <c r="U191" s="898"/>
      <c r="V191" s="898"/>
      <c r="W191" s="898"/>
      <c r="X191" s="898"/>
      <c r="Y191" s="898"/>
      <c r="Z191" s="898"/>
      <c r="AA191" s="898"/>
      <c r="AB191" s="898"/>
      <c r="AC191" s="898"/>
      <c r="AD191" s="898"/>
      <c r="AE191" s="898"/>
      <c r="AF191" s="898"/>
      <c r="AG191" s="898"/>
      <c r="AH191" s="898"/>
      <c r="AI191" s="898"/>
      <c r="AJ191" s="898"/>
      <c r="AK191" s="898"/>
      <c r="AL191" s="898"/>
      <c r="AM191" s="898"/>
      <c r="AN191" s="898"/>
    </row>
    <row r="192" spans="1:40" ht="15.75" customHeight="1">
      <c r="A192" s="883" t="s">
        <v>335</v>
      </c>
      <c r="B192" s="898" t="s">
        <v>83</v>
      </c>
      <c r="C192" s="918" t="s">
        <v>87</v>
      </c>
      <c r="D192" s="898"/>
      <c r="E192" s="1029"/>
      <c r="F192" s="1045">
        <v>0.7</v>
      </c>
      <c r="G192" s="918"/>
      <c r="H192" s="1029"/>
      <c r="I192" s="1045"/>
      <c r="J192" s="1056"/>
      <c r="K192" s="1055"/>
      <c r="L192" s="1045">
        <v>0.79066695458573155</v>
      </c>
      <c r="M192" s="1056"/>
      <c r="N192" s="1057"/>
      <c r="O192" s="1056"/>
      <c r="P192" s="1055"/>
      <c r="Q192" s="1045">
        <v>0.62610178487738499</v>
      </c>
      <c r="R192" s="1056"/>
      <c r="S192" s="1057"/>
      <c r="T192" s="994"/>
      <c r="U192" s="919"/>
      <c r="V192" s="898"/>
      <c r="W192" s="898"/>
      <c r="X192" s="898"/>
      <c r="Y192" s="898"/>
      <c r="Z192" s="898"/>
      <c r="AA192" s="898"/>
      <c r="AB192" s="898"/>
      <c r="AC192" s="898"/>
      <c r="AD192" s="898"/>
      <c r="AE192" s="898"/>
      <c r="AF192" s="898"/>
      <c r="AG192" s="898"/>
      <c r="AH192" s="898"/>
      <c r="AI192" s="898"/>
      <c r="AJ192" s="898"/>
      <c r="AK192" s="898"/>
      <c r="AL192" s="898"/>
      <c r="AM192" s="898"/>
      <c r="AN192" s="898"/>
    </row>
    <row r="193" spans="1:40" ht="15.75" customHeight="1" thickBot="1">
      <c r="A193" s="883" t="s">
        <v>83</v>
      </c>
      <c r="B193" s="898" t="s">
        <v>83</v>
      </c>
      <c r="C193" s="1077"/>
      <c r="D193" s="1078"/>
      <c r="E193" s="1079"/>
      <c r="F193" s="1080"/>
      <c r="G193" s="1081"/>
      <c r="H193" s="1079"/>
      <c r="I193" s="1080"/>
      <c r="J193" s="1081"/>
      <c r="K193" s="1079"/>
      <c r="L193" s="1080"/>
      <c r="M193" s="1081"/>
      <c r="N193" s="1080"/>
      <c r="O193" s="1081"/>
      <c r="P193" s="1079"/>
      <c r="Q193" s="1080"/>
      <c r="R193" s="1081"/>
      <c r="S193" s="1080"/>
      <c r="T193" s="994"/>
      <c r="U193" s="898"/>
      <c r="V193" s="898"/>
      <c r="W193" s="898"/>
      <c r="X193" s="898"/>
      <c r="Y193" s="898"/>
      <c r="Z193" s="898"/>
      <c r="AA193" s="898"/>
      <c r="AB193" s="898"/>
      <c r="AC193" s="898"/>
      <c r="AD193" s="898"/>
      <c r="AE193" s="898"/>
      <c r="AF193" s="898"/>
      <c r="AG193" s="898"/>
      <c r="AH193" s="898"/>
      <c r="AI193" s="898"/>
      <c r="AJ193" s="898"/>
      <c r="AK193" s="898"/>
      <c r="AL193" s="898"/>
      <c r="AM193" s="898"/>
      <c r="AN193" s="898"/>
    </row>
    <row r="194" spans="1:40" ht="24.75" customHeight="1" thickTop="1">
      <c r="A194" s="883" t="s">
        <v>344</v>
      </c>
      <c r="B194" s="898" t="s">
        <v>83</v>
      </c>
      <c r="C194" s="946" t="s">
        <v>96</v>
      </c>
      <c r="D194" s="947"/>
      <c r="E194" s="947">
        <v>276052.85680000001</v>
      </c>
      <c r="F194" s="949">
        <v>192909.16204728701</v>
      </c>
      <c r="G194" s="950"/>
      <c r="H194" s="947"/>
      <c r="I194" s="949"/>
      <c r="J194" s="950"/>
      <c r="K194" s="947">
        <v>347420.48</v>
      </c>
      <c r="L194" s="949">
        <v>252513.42</v>
      </c>
      <c r="M194" s="1082">
        <v>2.8011236454260846E-2</v>
      </c>
      <c r="N194" s="949">
        <v>59604.257952713</v>
      </c>
      <c r="O194" s="950"/>
      <c r="P194" s="947">
        <v>268811.08999999997</v>
      </c>
      <c r="Q194" s="949">
        <v>196788.98</v>
      </c>
      <c r="R194" s="1082"/>
      <c r="S194" s="949">
        <v>55724.44</v>
      </c>
      <c r="T194" s="994"/>
      <c r="U194" s="1039"/>
      <c r="V194" s="898"/>
      <c r="W194" s="898"/>
      <c r="X194" s="898"/>
      <c r="Y194" s="898"/>
      <c r="Z194" s="898"/>
      <c r="AA194" s="898"/>
      <c r="AB194" s="898"/>
      <c r="AC194" s="898"/>
      <c r="AD194" s="898"/>
      <c r="AE194" s="898"/>
      <c r="AF194" s="898"/>
      <c r="AG194" s="898"/>
      <c r="AH194" s="898"/>
      <c r="AI194" s="898"/>
      <c r="AJ194" s="898"/>
      <c r="AK194" s="898"/>
      <c r="AL194" s="898"/>
      <c r="AM194" s="898"/>
      <c r="AN194" s="898"/>
    </row>
    <row r="195" spans="1:40" ht="24" customHeight="1" thickBot="1">
      <c r="A195" s="883" t="s">
        <v>83</v>
      </c>
      <c r="B195" s="898" t="s">
        <v>83</v>
      </c>
      <c r="C195" s="951"/>
      <c r="D195" s="952"/>
      <c r="E195" s="952"/>
      <c r="F195" s="957">
        <v>0.69881240963591795</v>
      </c>
      <c r="G195" s="951"/>
      <c r="H195" s="952"/>
      <c r="I195" s="957"/>
      <c r="J195" s="951"/>
      <c r="K195" s="952"/>
      <c r="L195" s="957">
        <v>0.7268236460901788</v>
      </c>
      <c r="M195" s="956"/>
      <c r="N195" s="957">
        <v>0.30897577554197481</v>
      </c>
      <c r="O195" s="951"/>
      <c r="P195" s="952"/>
      <c r="Q195" s="957">
        <v>0.73207165671624652</v>
      </c>
      <c r="R195" s="956"/>
      <c r="S195" s="957">
        <v>4.5314662650714839</v>
      </c>
      <c r="T195" s="958"/>
      <c r="U195" s="898"/>
      <c r="V195" s="898"/>
      <c r="W195" s="898"/>
      <c r="X195" s="898"/>
      <c r="Y195" s="898"/>
      <c r="Z195" s="898"/>
      <c r="AA195" s="898"/>
      <c r="AB195" s="898"/>
      <c r="AC195" s="898"/>
      <c r="AD195" s="898"/>
      <c r="AE195" s="898"/>
      <c r="AF195" s="898"/>
      <c r="AG195" s="898"/>
      <c r="AH195" s="898"/>
      <c r="AI195" s="898"/>
      <c r="AJ195" s="898"/>
      <c r="AK195" s="898"/>
      <c r="AL195" s="898"/>
      <c r="AM195" s="898"/>
      <c r="AN195" s="898"/>
    </row>
    <row r="196" spans="1:40" ht="15.75" customHeight="1" thickTop="1">
      <c r="A196" s="883" t="s">
        <v>83</v>
      </c>
      <c r="B196" s="898" t="s">
        <v>83</v>
      </c>
      <c r="C196" s="937"/>
      <c r="D196" s="958"/>
      <c r="E196" s="958"/>
      <c r="F196" s="936"/>
      <c r="G196" s="937"/>
      <c r="H196" s="958"/>
      <c r="I196" s="936"/>
      <c r="J196" s="937"/>
      <c r="K196" s="994"/>
      <c r="L196" s="936"/>
      <c r="M196" s="935"/>
      <c r="N196" s="936"/>
      <c r="O196" s="937"/>
      <c r="P196" s="958"/>
      <c r="Q196" s="936"/>
      <c r="R196" s="935"/>
      <c r="S196" s="936"/>
      <c r="T196" s="958"/>
      <c r="U196" s="898"/>
      <c r="V196" s="898"/>
      <c r="W196" s="898"/>
      <c r="X196" s="898"/>
      <c r="Y196" s="898"/>
      <c r="Z196" s="898"/>
      <c r="AA196" s="898"/>
      <c r="AB196" s="898"/>
      <c r="AC196" s="898"/>
      <c r="AD196" s="898"/>
      <c r="AE196" s="898"/>
      <c r="AF196" s="898"/>
      <c r="AG196" s="898"/>
      <c r="AH196" s="898"/>
      <c r="AI196" s="898"/>
      <c r="AJ196" s="898"/>
      <c r="AK196" s="898"/>
      <c r="AL196" s="898"/>
      <c r="AM196" s="898"/>
      <c r="AN196" s="898"/>
    </row>
    <row r="197" spans="1:40" ht="15.75" customHeight="1">
      <c r="A197" s="883" t="s">
        <v>345</v>
      </c>
      <c r="B197" s="898" t="s">
        <v>83</v>
      </c>
      <c r="C197" s="961" t="s">
        <v>30</v>
      </c>
      <c r="D197" s="898"/>
      <c r="E197" s="898"/>
      <c r="F197" s="944"/>
      <c r="G197" s="918"/>
      <c r="H197" s="898"/>
      <c r="I197" s="944"/>
      <c r="J197" s="918"/>
      <c r="K197" s="898"/>
      <c r="L197" s="928"/>
      <c r="M197" s="918"/>
      <c r="N197" s="928"/>
      <c r="O197" s="918"/>
      <c r="P197" s="898"/>
      <c r="Q197" s="928"/>
      <c r="R197" s="918"/>
      <c r="S197" s="928"/>
      <c r="T197" s="898"/>
      <c r="U197" s="898"/>
      <c r="V197" s="898"/>
      <c r="W197" s="898"/>
      <c r="X197" s="898"/>
      <c r="Y197" s="898"/>
      <c r="Z197" s="898"/>
      <c r="AA197" s="898"/>
      <c r="AB197" s="898"/>
      <c r="AC197" s="898"/>
      <c r="AD197" s="898"/>
      <c r="AE197" s="898"/>
      <c r="AF197" s="898"/>
      <c r="AG197" s="898"/>
      <c r="AH197" s="898"/>
      <c r="AI197" s="898"/>
      <c r="AJ197" s="898"/>
      <c r="AK197" s="898"/>
      <c r="AL197" s="898"/>
      <c r="AM197" s="898"/>
      <c r="AN197" s="898"/>
    </row>
    <row r="198" spans="1:40" ht="15.75" customHeight="1">
      <c r="A198" s="883" t="s">
        <v>346</v>
      </c>
      <c r="B198" s="898" t="s">
        <v>83</v>
      </c>
      <c r="C198" s="986" t="s">
        <v>41</v>
      </c>
      <c r="D198" s="898"/>
      <c r="E198" s="898"/>
      <c r="F198" s="919">
        <v>15681.80576923077</v>
      </c>
      <c r="G198" s="918"/>
      <c r="H198" s="898"/>
      <c r="I198" s="919"/>
      <c r="J198" s="918"/>
      <c r="K198" s="898"/>
      <c r="L198" s="921">
        <v>15047.38</v>
      </c>
      <c r="M198" s="918"/>
      <c r="N198" s="921">
        <v>-634.42576923077104</v>
      </c>
      <c r="O198" s="918"/>
      <c r="P198" s="898"/>
      <c r="Q198" s="921">
        <v>13328.14</v>
      </c>
      <c r="R198" s="918"/>
      <c r="S198" s="921">
        <v>1719.2399999999998</v>
      </c>
      <c r="T198" s="898"/>
      <c r="U198" s="898"/>
      <c r="V198" s="898"/>
      <c r="W198" s="898"/>
      <c r="X198" s="898"/>
      <c r="Y198" s="898"/>
      <c r="Z198" s="898"/>
      <c r="AA198" s="898"/>
      <c r="AB198" s="898"/>
      <c r="AC198" s="898"/>
      <c r="AD198" s="898"/>
      <c r="AE198" s="898"/>
      <c r="AF198" s="898"/>
      <c r="AG198" s="898"/>
      <c r="AH198" s="898"/>
      <c r="AI198" s="898"/>
      <c r="AJ198" s="898"/>
      <c r="AK198" s="898"/>
      <c r="AL198" s="898"/>
      <c r="AM198" s="898"/>
      <c r="AN198" s="898"/>
    </row>
    <row r="199" spans="1:40" ht="15.75" customHeight="1">
      <c r="A199" s="883" t="s">
        <v>347</v>
      </c>
      <c r="B199" s="898" t="s">
        <v>83</v>
      </c>
      <c r="C199" s="988" t="s">
        <v>42</v>
      </c>
      <c r="D199" s="971"/>
      <c r="E199" s="898"/>
      <c r="F199" s="913">
        <v>8357.6063384615391</v>
      </c>
      <c r="G199" s="972"/>
      <c r="H199" s="898"/>
      <c r="I199" s="913"/>
      <c r="J199" s="918"/>
      <c r="K199" s="898"/>
      <c r="L199" s="921">
        <v>11197.86</v>
      </c>
      <c r="M199" s="918"/>
      <c r="N199" s="921">
        <v>2840.2536615384615</v>
      </c>
      <c r="O199" s="918"/>
      <c r="P199" s="898"/>
      <c r="Q199" s="921">
        <v>8059.49</v>
      </c>
      <c r="R199" s="918"/>
      <c r="S199" s="944">
        <v>3138.3700000000008</v>
      </c>
      <c r="T199" s="898"/>
      <c r="U199" s="898"/>
      <c r="V199" s="898"/>
      <c r="W199" s="898"/>
      <c r="X199" s="898"/>
      <c r="Y199" s="898"/>
      <c r="Z199" s="898"/>
      <c r="AA199" s="898"/>
      <c r="AB199" s="898"/>
      <c r="AC199" s="898"/>
      <c r="AD199" s="898"/>
      <c r="AE199" s="898"/>
      <c r="AF199" s="898"/>
      <c r="AG199" s="898"/>
      <c r="AH199" s="898"/>
      <c r="AI199" s="898"/>
      <c r="AJ199" s="898"/>
      <c r="AK199" s="898"/>
      <c r="AL199" s="898"/>
      <c r="AM199" s="898"/>
      <c r="AN199" s="898"/>
    </row>
    <row r="200" spans="1:40" ht="20.25">
      <c r="A200" s="883" t="s">
        <v>348</v>
      </c>
      <c r="B200" s="898" t="s">
        <v>83</v>
      </c>
      <c r="C200" s="986" t="s">
        <v>43</v>
      </c>
      <c r="D200" s="989"/>
      <c r="E200" s="990"/>
      <c r="F200" s="919">
        <v>15667.776923076923</v>
      </c>
      <c r="G200" s="991"/>
      <c r="H200" s="990"/>
      <c r="I200" s="919"/>
      <c r="J200" s="906"/>
      <c r="K200" s="990"/>
      <c r="L200" s="940">
        <v>17080.45</v>
      </c>
      <c r="M200" s="906"/>
      <c r="N200" s="940">
        <v>1412.673076923078</v>
      </c>
      <c r="O200" s="906"/>
      <c r="P200" s="990"/>
      <c r="Q200" s="940">
        <v>14095.06</v>
      </c>
      <c r="R200" s="906"/>
      <c r="S200" s="992">
        <v>2985.3900000000012</v>
      </c>
      <c r="T200" s="898"/>
      <c r="U200" s="898"/>
      <c r="V200" s="898"/>
      <c r="W200" s="898"/>
      <c r="X200" s="898"/>
      <c r="Y200" s="898"/>
      <c r="Z200" s="898"/>
      <c r="AA200" s="898"/>
      <c r="AB200" s="898"/>
      <c r="AC200" s="898"/>
      <c r="AD200" s="898"/>
      <c r="AE200" s="898"/>
      <c r="AF200" s="898"/>
      <c r="AG200" s="898"/>
      <c r="AH200" s="898"/>
      <c r="AI200" s="898"/>
      <c r="AJ200" s="898"/>
      <c r="AK200" s="898"/>
      <c r="AL200" s="898"/>
      <c r="AM200" s="898"/>
      <c r="AN200" s="898"/>
    </row>
    <row r="201" spans="1:40" ht="20.25">
      <c r="A201" s="883" t="s">
        <v>349</v>
      </c>
      <c r="B201" s="898" t="s">
        <v>83</v>
      </c>
      <c r="C201" s="986" t="s">
        <v>44</v>
      </c>
      <c r="D201" s="971"/>
      <c r="E201" s="987">
        <v>0.19404809485474361</v>
      </c>
      <c r="F201" s="919">
        <v>25713.623526153846</v>
      </c>
      <c r="G201" s="972"/>
      <c r="H201" s="898"/>
      <c r="I201" s="919"/>
      <c r="J201" s="918"/>
      <c r="K201" s="1083">
        <v>0.15901347764764276</v>
      </c>
      <c r="L201" s="921">
        <v>20452.490000000002</v>
      </c>
      <c r="M201" s="918"/>
      <c r="N201" s="921">
        <v>-5261.1335261538443</v>
      </c>
      <c r="O201" s="918"/>
      <c r="P201" s="898"/>
      <c r="Q201" s="921">
        <v>29269.82</v>
      </c>
      <c r="R201" s="918"/>
      <c r="S201" s="944">
        <v>-8817.3299999999981</v>
      </c>
      <c r="T201" s="898"/>
      <c r="U201" s="898"/>
      <c r="V201" s="898"/>
      <c r="W201" s="898"/>
      <c r="X201" s="898"/>
      <c r="Y201" s="898"/>
      <c r="Z201" s="898"/>
      <c r="AA201" s="898"/>
      <c r="AB201" s="898"/>
      <c r="AC201" s="898"/>
      <c r="AD201" s="898"/>
      <c r="AE201" s="898"/>
      <c r="AF201" s="898"/>
      <c r="AG201" s="898"/>
      <c r="AH201" s="898"/>
      <c r="AI201" s="898"/>
      <c r="AJ201" s="898"/>
      <c r="AK201" s="898"/>
      <c r="AL201" s="898"/>
      <c r="AM201" s="898"/>
      <c r="AN201" s="898"/>
    </row>
    <row r="202" spans="1:40" ht="15.75" hidden="1" customHeight="1">
      <c r="A202" s="883" t="s">
        <v>350</v>
      </c>
      <c r="B202" s="898" t="s">
        <v>83</v>
      </c>
      <c r="C202" s="918" t="s">
        <v>20</v>
      </c>
      <c r="D202" s="971"/>
      <c r="E202" s="898"/>
      <c r="F202" s="919">
        <v>0</v>
      </c>
      <c r="G202" s="972"/>
      <c r="H202" s="898"/>
      <c r="I202" s="919"/>
      <c r="J202" s="918"/>
      <c r="K202" s="898"/>
      <c r="L202" s="921">
        <v>0</v>
      </c>
      <c r="M202" s="918"/>
      <c r="N202" s="921">
        <v>0</v>
      </c>
      <c r="O202" s="918"/>
      <c r="P202" s="898"/>
      <c r="Q202" s="921">
        <v>0</v>
      </c>
      <c r="R202" s="918"/>
      <c r="S202" s="944">
        <v>0</v>
      </c>
      <c r="T202" s="898"/>
      <c r="U202" s="898"/>
      <c r="V202" s="898"/>
      <c r="W202" s="898"/>
      <c r="X202" s="898"/>
      <c r="Y202" s="898"/>
      <c r="Z202" s="898"/>
      <c r="AA202" s="898"/>
      <c r="AB202" s="898"/>
      <c r="AC202" s="898"/>
      <c r="AD202" s="898"/>
      <c r="AE202" s="898"/>
      <c r="AF202" s="898"/>
      <c r="AG202" s="898"/>
      <c r="AH202" s="898"/>
      <c r="AI202" s="898"/>
      <c r="AJ202" s="898"/>
      <c r="AK202" s="898"/>
      <c r="AL202" s="898"/>
      <c r="AM202" s="898"/>
      <c r="AN202" s="898"/>
    </row>
    <row r="203" spans="1:40" ht="15.75" hidden="1" customHeight="1">
      <c r="A203" s="883" t="s">
        <v>350</v>
      </c>
      <c r="B203" s="898" t="s">
        <v>83</v>
      </c>
      <c r="C203" s="918" t="s">
        <v>20</v>
      </c>
      <c r="D203" s="971"/>
      <c r="E203" s="898"/>
      <c r="F203" s="919">
        <v>0</v>
      </c>
      <c r="G203" s="972"/>
      <c r="H203" s="898"/>
      <c r="I203" s="919"/>
      <c r="J203" s="918"/>
      <c r="K203" s="898"/>
      <c r="L203" s="921">
        <v>0</v>
      </c>
      <c r="M203" s="918"/>
      <c r="N203" s="921">
        <v>0</v>
      </c>
      <c r="O203" s="918"/>
      <c r="P203" s="898"/>
      <c r="Q203" s="921">
        <v>0</v>
      </c>
      <c r="R203" s="918"/>
      <c r="S203" s="944">
        <v>0</v>
      </c>
      <c r="T203" s="898"/>
      <c r="U203" s="898"/>
      <c r="V203" s="898"/>
      <c r="W203" s="898"/>
      <c r="X203" s="898"/>
      <c r="Y203" s="898"/>
      <c r="Z203" s="898"/>
      <c r="AA203" s="898"/>
      <c r="AB203" s="898"/>
      <c r="AC203" s="898"/>
      <c r="AD203" s="898"/>
      <c r="AE203" s="898"/>
      <c r="AF203" s="898"/>
      <c r="AG203" s="898"/>
      <c r="AH203" s="898"/>
      <c r="AI203" s="898"/>
      <c r="AJ203" s="898"/>
      <c r="AK203" s="898"/>
      <c r="AL203" s="898"/>
      <c r="AM203" s="898"/>
      <c r="AN203" s="898"/>
    </row>
    <row r="204" spans="1:40" ht="15.75" hidden="1" customHeight="1">
      <c r="A204" s="883" t="s">
        <v>350</v>
      </c>
      <c r="B204" s="898" t="s">
        <v>83</v>
      </c>
      <c r="C204" s="918" t="s">
        <v>20</v>
      </c>
      <c r="D204" s="971"/>
      <c r="E204" s="898"/>
      <c r="F204" s="919">
        <v>0</v>
      </c>
      <c r="G204" s="972"/>
      <c r="H204" s="898"/>
      <c r="I204" s="919"/>
      <c r="J204" s="918"/>
      <c r="K204" s="898"/>
      <c r="L204" s="921">
        <v>0</v>
      </c>
      <c r="M204" s="918"/>
      <c r="N204" s="921">
        <v>0</v>
      </c>
      <c r="O204" s="918"/>
      <c r="P204" s="898"/>
      <c r="Q204" s="921">
        <v>0</v>
      </c>
      <c r="R204" s="918"/>
      <c r="S204" s="944">
        <v>0</v>
      </c>
      <c r="T204" s="898"/>
      <c r="U204" s="898"/>
      <c r="V204" s="898"/>
      <c r="W204" s="898"/>
      <c r="X204" s="898"/>
      <c r="Y204" s="898"/>
      <c r="Z204" s="898"/>
      <c r="AA204" s="898"/>
      <c r="AB204" s="898"/>
      <c r="AC204" s="898"/>
      <c r="AD204" s="898"/>
      <c r="AE204" s="898"/>
      <c r="AF204" s="898"/>
      <c r="AG204" s="898"/>
      <c r="AH204" s="898"/>
      <c r="AI204" s="898"/>
      <c r="AJ204" s="898"/>
      <c r="AK204" s="898"/>
      <c r="AL204" s="898"/>
      <c r="AM204" s="898"/>
      <c r="AN204" s="898"/>
    </row>
    <row r="205" spans="1:40" ht="20.25">
      <c r="A205" s="883" t="s">
        <v>351</v>
      </c>
      <c r="B205" s="898" t="s">
        <v>83</v>
      </c>
      <c r="C205" s="988" t="s">
        <v>45</v>
      </c>
      <c r="D205" s="971"/>
      <c r="E205" s="898"/>
      <c r="F205" s="919">
        <v>15446.301172214462</v>
      </c>
      <c r="G205" s="972"/>
      <c r="H205" s="898"/>
      <c r="I205" s="919"/>
      <c r="J205" s="918"/>
      <c r="K205" s="898"/>
      <c r="L205" s="921">
        <v>13494.11</v>
      </c>
      <c r="M205" s="918"/>
      <c r="N205" s="921">
        <v>-1952.1911722144614</v>
      </c>
      <c r="O205" s="918"/>
      <c r="P205" s="898"/>
      <c r="Q205" s="921">
        <v>14344.17</v>
      </c>
      <c r="R205" s="918"/>
      <c r="S205" s="944">
        <v>-850.05999999999949</v>
      </c>
      <c r="T205" s="898"/>
      <c r="U205" s="898"/>
      <c r="V205" s="898"/>
      <c r="W205" s="898"/>
      <c r="X205" s="898"/>
      <c r="Y205" s="898"/>
      <c r="Z205" s="898"/>
      <c r="AA205" s="898"/>
      <c r="AB205" s="898"/>
      <c r="AC205" s="898"/>
      <c r="AD205" s="898"/>
      <c r="AE205" s="898"/>
      <c r="AF205" s="898"/>
      <c r="AG205" s="898"/>
      <c r="AH205" s="898"/>
      <c r="AI205" s="898"/>
      <c r="AJ205" s="898"/>
      <c r="AK205" s="898"/>
      <c r="AL205" s="898"/>
      <c r="AM205" s="898"/>
      <c r="AN205" s="898"/>
    </row>
    <row r="206" spans="1:40" ht="15.75" customHeight="1">
      <c r="A206" s="883" t="s">
        <v>352</v>
      </c>
      <c r="B206" s="898" t="s">
        <v>83</v>
      </c>
      <c r="C206" s="986" t="s">
        <v>46</v>
      </c>
      <c r="D206" s="989"/>
      <c r="E206" s="990"/>
      <c r="F206" s="940">
        <v>18780.524773265162</v>
      </c>
      <c r="G206" s="991"/>
      <c r="H206" s="990"/>
      <c r="I206" s="940"/>
      <c r="J206" s="906"/>
      <c r="K206" s="990"/>
      <c r="L206" s="940">
        <v>16543.66</v>
      </c>
      <c r="M206" s="906"/>
      <c r="N206" s="940">
        <v>-2236.8647732651625</v>
      </c>
      <c r="O206" s="906"/>
      <c r="P206" s="990"/>
      <c r="Q206" s="940">
        <v>17350.25</v>
      </c>
      <c r="R206" s="906"/>
      <c r="S206" s="992">
        <v>-806.59000000000015</v>
      </c>
      <c r="T206" s="898"/>
      <c r="U206" s="898"/>
      <c r="V206" s="898"/>
      <c r="W206" s="898"/>
      <c r="X206" s="898"/>
      <c r="Y206" s="898"/>
      <c r="Z206" s="898"/>
      <c r="AA206" s="898"/>
      <c r="AB206" s="898"/>
      <c r="AC206" s="898"/>
      <c r="AD206" s="898"/>
      <c r="AE206" s="898"/>
      <c r="AF206" s="898"/>
      <c r="AG206" s="898"/>
      <c r="AH206" s="898"/>
      <c r="AI206" s="898"/>
      <c r="AJ206" s="898"/>
      <c r="AK206" s="898"/>
      <c r="AL206" s="898"/>
      <c r="AM206" s="898"/>
      <c r="AN206" s="898"/>
    </row>
    <row r="207" spans="1:40" ht="15.75" customHeight="1">
      <c r="A207" s="883" t="s">
        <v>353</v>
      </c>
      <c r="B207" s="898" t="s">
        <v>83</v>
      </c>
      <c r="C207" s="986" t="s">
        <v>47</v>
      </c>
      <c r="D207" s="971"/>
      <c r="E207" s="898"/>
      <c r="F207" s="919">
        <v>9676.0529810083535</v>
      </c>
      <c r="G207" s="972"/>
      <c r="H207" s="898"/>
      <c r="I207" s="919"/>
      <c r="J207" s="918"/>
      <c r="K207" s="898"/>
      <c r="L207" s="921">
        <v>7246.2999999999993</v>
      </c>
      <c r="M207" s="918"/>
      <c r="N207" s="921">
        <v>-2429.7529810083543</v>
      </c>
      <c r="O207" s="918"/>
      <c r="P207" s="898"/>
      <c r="Q207" s="921">
        <v>9093.58</v>
      </c>
      <c r="R207" s="918"/>
      <c r="S207" s="944">
        <v>-1847.2800000000007</v>
      </c>
      <c r="T207" s="898"/>
      <c r="U207" s="898"/>
      <c r="V207" s="898"/>
      <c r="W207" s="898"/>
      <c r="X207" s="898"/>
      <c r="Y207" s="898"/>
      <c r="Z207" s="898"/>
      <c r="AA207" s="898"/>
      <c r="AB207" s="898"/>
      <c r="AC207" s="898"/>
      <c r="AD207" s="898"/>
      <c r="AE207" s="898"/>
      <c r="AF207" s="898"/>
      <c r="AG207" s="898"/>
      <c r="AH207" s="898"/>
      <c r="AI207" s="898"/>
      <c r="AJ207" s="898"/>
      <c r="AK207" s="898"/>
      <c r="AL207" s="898"/>
      <c r="AM207" s="898"/>
      <c r="AN207" s="898"/>
    </row>
    <row r="208" spans="1:40" ht="15.75" customHeight="1">
      <c r="A208" s="883" t="s">
        <v>354</v>
      </c>
      <c r="B208" s="898" t="s">
        <v>83</v>
      </c>
      <c r="C208" s="986" t="s">
        <v>48</v>
      </c>
      <c r="D208" s="971"/>
      <c r="E208" s="898"/>
      <c r="F208" s="919">
        <v>4218.8135360233337</v>
      </c>
      <c r="G208" s="972"/>
      <c r="H208" s="898"/>
      <c r="I208" s="919"/>
      <c r="J208" s="918"/>
      <c r="K208" s="898"/>
      <c r="L208" s="921">
        <v>3495.07</v>
      </c>
      <c r="M208" s="918"/>
      <c r="N208" s="921">
        <v>-723.74353602333349</v>
      </c>
      <c r="O208" s="918"/>
      <c r="P208" s="898"/>
      <c r="Q208" s="921">
        <v>3769.52</v>
      </c>
      <c r="R208" s="918"/>
      <c r="S208" s="944">
        <v>-274.44999999999982</v>
      </c>
      <c r="T208" s="898"/>
      <c r="U208" s="898"/>
      <c r="V208" s="898"/>
      <c r="W208" s="898"/>
      <c r="X208" s="898"/>
      <c r="Y208" s="898"/>
      <c r="Z208" s="898"/>
      <c r="AA208" s="898"/>
      <c r="AB208" s="898"/>
      <c r="AC208" s="898"/>
      <c r="AD208" s="898"/>
      <c r="AE208" s="898"/>
      <c r="AF208" s="898"/>
      <c r="AG208" s="898"/>
      <c r="AH208" s="898"/>
      <c r="AI208" s="898"/>
      <c r="AJ208" s="898"/>
      <c r="AK208" s="898"/>
      <c r="AL208" s="898"/>
      <c r="AM208" s="898"/>
      <c r="AN208" s="898"/>
    </row>
    <row r="209" spans="1:40" ht="15.75" hidden="1" customHeight="1">
      <c r="A209" s="883" t="s">
        <v>350</v>
      </c>
      <c r="B209" s="898" t="s">
        <v>83</v>
      </c>
      <c r="C209" s="918" t="s">
        <v>20</v>
      </c>
      <c r="D209" s="973"/>
      <c r="E209" s="993"/>
      <c r="F209" s="919">
        <v>0</v>
      </c>
      <c r="G209" s="974"/>
      <c r="H209" s="993"/>
      <c r="I209" s="919"/>
      <c r="J209" s="911"/>
      <c r="K209" s="993"/>
      <c r="L209" s="921">
        <v>0</v>
      </c>
      <c r="M209" s="911"/>
      <c r="N209" s="921">
        <v>0</v>
      </c>
      <c r="O209" s="911"/>
      <c r="P209" s="993"/>
      <c r="Q209" s="921">
        <v>0</v>
      </c>
      <c r="R209" s="911"/>
      <c r="S209" s="969">
        <v>0</v>
      </c>
      <c r="T209" s="898"/>
      <c r="U209" s="898"/>
      <c r="V209" s="898"/>
      <c r="W209" s="898"/>
      <c r="X209" s="898"/>
      <c r="Y209" s="898"/>
      <c r="Z209" s="898"/>
      <c r="AA209" s="898"/>
      <c r="AB209" s="898"/>
      <c r="AC209" s="898"/>
      <c r="AD209" s="898"/>
      <c r="AE209" s="898"/>
      <c r="AF209" s="898"/>
      <c r="AG209" s="898"/>
      <c r="AH209" s="898"/>
      <c r="AI209" s="898"/>
      <c r="AJ209" s="898"/>
      <c r="AK209" s="898"/>
      <c r="AL209" s="898"/>
      <c r="AM209" s="898"/>
      <c r="AN209" s="898"/>
    </row>
    <row r="210" spans="1:40" ht="15.75" customHeight="1">
      <c r="A210" s="883" t="s">
        <v>355</v>
      </c>
      <c r="B210" s="898" t="s">
        <v>83</v>
      </c>
      <c r="C210" s="978" t="s">
        <v>49</v>
      </c>
      <c r="D210" s="979" t="s">
        <v>97</v>
      </c>
      <c r="E210" s="980">
        <v>0.58858015769931238</v>
      </c>
      <c r="F210" s="981">
        <v>113542.50501943439</v>
      </c>
      <c r="G210" s="982"/>
      <c r="H210" s="980"/>
      <c r="I210" s="981"/>
      <c r="J210" s="982" t="s">
        <v>97</v>
      </c>
      <c r="K210" s="980">
        <v>0.41406638902597737</v>
      </c>
      <c r="L210" s="981">
        <v>104557.32000000002</v>
      </c>
      <c r="M210" s="1035"/>
      <c r="N210" s="981">
        <v>-8985.1850194343715</v>
      </c>
      <c r="O210" s="982" t="s">
        <v>97</v>
      </c>
      <c r="P210" s="980">
        <v>0.55546824827284536</v>
      </c>
      <c r="Q210" s="981">
        <v>109310.03</v>
      </c>
      <c r="R210" s="1035"/>
      <c r="S210" s="995">
        <v>-4752.7099999999773</v>
      </c>
      <c r="T210" s="898"/>
      <c r="U210" s="898"/>
      <c r="V210" s="898"/>
      <c r="W210" s="898"/>
      <c r="X210" s="898"/>
      <c r="Y210" s="898"/>
      <c r="Z210" s="898"/>
      <c r="AA210" s="898"/>
      <c r="AB210" s="898"/>
      <c r="AC210" s="898"/>
      <c r="AD210" s="898"/>
      <c r="AE210" s="898"/>
      <c r="AF210" s="898"/>
      <c r="AG210" s="898"/>
      <c r="AH210" s="898"/>
      <c r="AI210" s="898"/>
      <c r="AJ210" s="898"/>
      <c r="AK210" s="898"/>
      <c r="AL210" s="898"/>
      <c r="AM210" s="898"/>
      <c r="AN210" s="898"/>
    </row>
    <row r="211" spans="1:40" ht="15.75" customHeight="1">
      <c r="A211" s="883" t="s">
        <v>356</v>
      </c>
      <c r="B211" s="898" t="s">
        <v>83</v>
      </c>
      <c r="C211" s="918" t="s">
        <v>50</v>
      </c>
      <c r="D211" s="971"/>
      <c r="E211" s="898"/>
      <c r="F211" s="919">
        <v>10872.379567878703</v>
      </c>
      <c r="G211" s="972"/>
      <c r="H211" s="898"/>
      <c r="I211" s="919"/>
      <c r="J211" s="918"/>
      <c r="K211" s="898"/>
      <c r="L211" s="921">
        <v>7362.47</v>
      </c>
      <c r="M211" s="918"/>
      <c r="N211" s="944">
        <v>-3509.9095678787025</v>
      </c>
      <c r="O211" s="918"/>
      <c r="P211" s="898"/>
      <c r="Q211" s="921">
        <v>9535.4699999999993</v>
      </c>
      <c r="R211" s="918"/>
      <c r="S211" s="944">
        <v>-2172.9999999999991</v>
      </c>
      <c r="T211" s="898"/>
      <c r="U211" s="898"/>
      <c r="V211" s="898"/>
      <c r="W211" s="898"/>
      <c r="X211" s="898"/>
      <c r="Y211" s="898"/>
      <c r="Z211" s="898"/>
      <c r="AA211" s="898"/>
      <c r="AB211" s="898"/>
      <c r="AC211" s="898"/>
      <c r="AD211" s="898"/>
      <c r="AE211" s="898"/>
      <c r="AF211" s="898"/>
      <c r="AG211" s="898"/>
      <c r="AH211" s="898"/>
      <c r="AI211" s="898"/>
      <c r="AJ211" s="898"/>
      <c r="AK211" s="898"/>
      <c r="AL211" s="898"/>
      <c r="AM211" s="898"/>
      <c r="AN211" s="898"/>
    </row>
    <row r="212" spans="1:40" ht="15.75" customHeight="1">
      <c r="A212" s="883" t="s">
        <v>357</v>
      </c>
      <c r="B212" s="898" t="s">
        <v>83</v>
      </c>
      <c r="C212" s="918" t="s">
        <v>51</v>
      </c>
      <c r="D212" s="971"/>
      <c r="E212" s="898"/>
      <c r="F212" s="919">
        <v>3422.1774033237093</v>
      </c>
      <c r="G212" s="972"/>
      <c r="H212" s="898"/>
      <c r="I212" s="919"/>
      <c r="J212" s="918"/>
      <c r="K212" s="898"/>
      <c r="L212" s="921">
        <v>2261.8000000000002</v>
      </c>
      <c r="M212" s="918"/>
      <c r="N212" s="944">
        <v>-1160.3774033237091</v>
      </c>
      <c r="O212" s="918"/>
      <c r="P212" s="898"/>
      <c r="Q212" s="921">
        <v>4245.42</v>
      </c>
      <c r="R212" s="918"/>
      <c r="S212" s="944">
        <v>-1983.62</v>
      </c>
      <c r="T212" s="898"/>
      <c r="V212" s="898"/>
      <c r="W212" s="898"/>
      <c r="X212" s="898"/>
      <c r="Y212" s="898"/>
      <c r="Z212" s="898"/>
      <c r="AA212" s="898"/>
      <c r="AB212" s="898"/>
      <c r="AC212" s="898"/>
      <c r="AD212" s="898"/>
      <c r="AE212" s="898"/>
      <c r="AF212" s="898"/>
      <c r="AG212" s="898"/>
      <c r="AH212" s="898"/>
      <c r="AI212" s="898"/>
      <c r="AJ212" s="898"/>
      <c r="AK212" s="898"/>
      <c r="AL212" s="898"/>
      <c r="AM212" s="898"/>
      <c r="AN212" s="898"/>
    </row>
    <row r="213" spans="1:40" ht="15.75" customHeight="1">
      <c r="A213" s="883" t="s">
        <v>358</v>
      </c>
      <c r="B213" s="898" t="s">
        <v>83</v>
      </c>
      <c r="C213" s="911" t="s">
        <v>52</v>
      </c>
      <c r="D213" s="973"/>
      <c r="E213" s="993"/>
      <c r="F213" s="913">
        <v>11083.739355555555</v>
      </c>
      <c r="G213" s="974"/>
      <c r="H213" s="993"/>
      <c r="I213" s="913"/>
      <c r="J213" s="911"/>
      <c r="K213" s="993"/>
      <c r="L213" s="921">
        <v>15661.24</v>
      </c>
      <c r="M213" s="911"/>
      <c r="N213" s="969">
        <v>4577.5006444444443</v>
      </c>
      <c r="O213" s="911"/>
      <c r="P213" s="993"/>
      <c r="Q213" s="921">
        <v>4823.2700000000004</v>
      </c>
      <c r="R213" s="911"/>
      <c r="S213" s="969">
        <v>10837.97</v>
      </c>
      <c r="T213" s="898"/>
      <c r="U213" s="898"/>
      <c r="V213" s="898"/>
      <c r="W213" s="898"/>
      <c r="X213" s="898"/>
      <c r="Y213" s="898"/>
      <c r="Z213" s="898"/>
      <c r="AA213" s="898"/>
      <c r="AB213" s="898"/>
      <c r="AC213" s="898"/>
      <c r="AD213" s="898"/>
      <c r="AE213" s="898"/>
      <c r="AF213" s="898"/>
      <c r="AG213" s="898"/>
      <c r="AH213" s="898"/>
      <c r="AI213" s="898"/>
      <c r="AJ213" s="898"/>
      <c r="AK213" s="898"/>
      <c r="AL213" s="898"/>
      <c r="AM213" s="898"/>
      <c r="AN213" s="898"/>
    </row>
    <row r="214" spans="1:40" ht="15.75" customHeight="1">
      <c r="A214" s="883" t="s">
        <v>359</v>
      </c>
      <c r="B214" s="898" t="s">
        <v>83</v>
      </c>
      <c r="C214" s="918" t="s">
        <v>53</v>
      </c>
      <c r="D214" s="971"/>
      <c r="E214" s="898"/>
      <c r="F214" s="919">
        <v>4783.316137386666</v>
      </c>
      <c r="G214" s="972"/>
      <c r="H214" s="898"/>
      <c r="I214" s="919"/>
      <c r="J214" s="918"/>
      <c r="K214" s="898"/>
      <c r="L214" s="940">
        <v>4887.62</v>
      </c>
      <c r="M214" s="918"/>
      <c r="N214" s="944">
        <v>104.30386261333388</v>
      </c>
      <c r="O214" s="918"/>
      <c r="P214" s="898"/>
      <c r="Q214" s="940">
        <v>5940.99</v>
      </c>
      <c r="R214" s="918"/>
      <c r="S214" s="944">
        <v>-1053.3699999999999</v>
      </c>
      <c r="T214" s="898"/>
      <c r="U214" s="898"/>
      <c r="V214" s="898"/>
      <c r="W214" s="898"/>
      <c r="X214" s="898"/>
      <c r="Y214" s="898"/>
      <c r="Z214" s="898"/>
      <c r="AA214" s="898"/>
      <c r="AB214" s="898"/>
      <c r="AC214" s="898"/>
      <c r="AD214" s="898"/>
      <c r="AE214" s="898"/>
      <c r="AF214" s="898"/>
      <c r="AG214" s="898"/>
      <c r="AH214" s="898"/>
      <c r="AI214" s="898"/>
      <c r="AJ214" s="898"/>
      <c r="AK214" s="898"/>
      <c r="AL214" s="898"/>
      <c r="AM214" s="898"/>
      <c r="AN214" s="898"/>
    </row>
    <row r="215" spans="1:40" ht="15.75" customHeight="1">
      <c r="A215" s="883" t="s">
        <v>360</v>
      </c>
      <c r="B215" s="898" t="s">
        <v>83</v>
      </c>
      <c r="C215" s="918" t="s">
        <v>54</v>
      </c>
      <c r="D215" s="971"/>
      <c r="E215" s="898"/>
      <c r="F215" s="919">
        <v>1050.8751805936904</v>
      </c>
      <c r="G215" s="972"/>
      <c r="H215" s="898"/>
      <c r="I215" s="919"/>
      <c r="J215" s="918"/>
      <c r="K215" s="898"/>
      <c r="L215" s="921">
        <v>638.63</v>
      </c>
      <c r="M215" s="918"/>
      <c r="N215" s="944">
        <v>-412.24518059369041</v>
      </c>
      <c r="O215" s="918"/>
      <c r="P215" s="898"/>
      <c r="Q215" s="921">
        <v>1402.71</v>
      </c>
      <c r="R215" s="918"/>
      <c r="S215" s="944">
        <v>-764.08</v>
      </c>
      <c r="T215" s="898"/>
      <c r="U215" s="898"/>
      <c r="V215" s="898"/>
      <c r="W215" s="898"/>
      <c r="X215" s="898"/>
      <c r="Y215" s="898"/>
      <c r="Z215" s="898"/>
      <c r="AA215" s="898"/>
      <c r="AB215" s="898"/>
      <c r="AC215" s="898"/>
      <c r="AD215" s="898"/>
      <c r="AE215" s="898"/>
      <c r="AF215" s="898"/>
      <c r="AG215" s="898"/>
      <c r="AH215" s="898"/>
      <c r="AI215" s="898"/>
      <c r="AJ215" s="898"/>
      <c r="AK215" s="898"/>
      <c r="AL215" s="898"/>
      <c r="AM215" s="898"/>
      <c r="AN215" s="898"/>
    </row>
    <row r="216" spans="1:40" ht="15.75" customHeight="1">
      <c r="A216" s="883" t="s">
        <v>361</v>
      </c>
      <c r="B216" s="898" t="s">
        <v>83</v>
      </c>
      <c r="C216" s="911" t="s">
        <v>55</v>
      </c>
      <c r="D216" s="973"/>
      <c r="E216" s="993"/>
      <c r="F216" s="913">
        <v>11128.231788350371</v>
      </c>
      <c r="G216" s="974"/>
      <c r="H216" s="993"/>
      <c r="I216" s="913"/>
      <c r="J216" s="911"/>
      <c r="K216" s="993"/>
      <c r="L216" s="921">
        <v>14265.64</v>
      </c>
      <c r="M216" s="911"/>
      <c r="N216" s="969">
        <v>3137.4082116496284</v>
      </c>
      <c r="O216" s="911"/>
      <c r="P216" s="993"/>
      <c r="Q216" s="921">
        <v>13426.65</v>
      </c>
      <c r="R216" s="911"/>
      <c r="S216" s="969">
        <v>838.98999999999978</v>
      </c>
      <c r="T216" s="898"/>
      <c r="U216" s="895"/>
      <c r="V216" s="898"/>
      <c r="W216" s="898"/>
      <c r="X216" s="898"/>
      <c r="Y216" s="898"/>
      <c r="Z216" s="898"/>
      <c r="AA216" s="898"/>
      <c r="AB216" s="898"/>
      <c r="AC216" s="898"/>
      <c r="AD216" s="898"/>
      <c r="AE216" s="898"/>
      <c r="AF216" s="898"/>
      <c r="AG216" s="898"/>
      <c r="AH216" s="898"/>
      <c r="AI216" s="898"/>
      <c r="AJ216" s="898"/>
      <c r="AK216" s="898"/>
      <c r="AL216" s="898"/>
      <c r="AM216" s="898"/>
      <c r="AN216" s="898"/>
    </row>
    <row r="217" spans="1:40" ht="15.75" customHeight="1">
      <c r="A217" s="883" t="s">
        <v>362</v>
      </c>
      <c r="B217" s="898" t="s">
        <v>83</v>
      </c>
      <c r="C217" s="918" t="s">
        <v>98</v>
      </c>
      <c r="D217" s="971"/>
      <c r="E217" s="898"/>
      <c r="F217" s="919"/>
      <c r="G217" s="972"/>
      <c r="H217" s="898"/>
      <c r="I217" s="919"/>
      <c r="J217" s="918"/>
      <c r="K217" s="898"/>
      <c r="L217" s="940">
        <v>0</v>
      </c>
      <c r="M217" s="918"/>
      <c r="N217" s="944">
        <v>0</v>
      </c>
      <c r="O217" s="918"/>
      <c r="P217" s="898"/>
      <c r="Q217" s="940">
        <v>0</v>
      </c>
      <c r="R217" s="918"/>
      <c r="S217" s="944">
        <v>0</v>
      </c>
      <c r="T217" s="898"/>
      <c r="U217" s="898"/>
      <c r="V217" s="898"/>
      <c r="W217" s="898"/>
      <c r="X217" s="898"/>
      <c r="Y217" s="898"/>
      <c r="Z217" s="898"/>
      <c r="AA217" s="898"/>
      <c r="AB217" s="898"/>
      <c r="AC217" s="898"/>
      <c r="AD217" s="898"/>
      <c r="AE217" s="898"/>
      <c r="AF217" s="898"/>
      <c r="AG217" s="898"/>
      <c r="AH217" s="898"/>
      <c r="AI217" s="898"/>
      <c r="AJ217" s="898"/>
      <c r="AK217" s="898"/>
      <c r="AL217" s="898"/>
      <c r="AM217" s="898"/>
      <c r="AN217" s="898"/>
    </row>
    <row r="218" spans="1:40" ht="15.75" customHeight="1">
      <c r="A218" s="883" t="s">
        <v>363</v>
      </c>
      <c r="B218" s="898" t="s">
        <v>83</v>
      </c>
      <c r="C218" s="918" t="s">
        <v>56</v>
      </c>
      <c r="D218" s="971"/>
      <c r="E218" s="898"/>
      <c r="F218" s="919">
        <v>4769.9204222222234</v>
      </c>
      <c r="G218" s="972"/>
      <c r="H218" s="898"/>
      <c r="I218" s="919"/>
      <c r="J218" s="918"/>
      <c r="K218" s="898"/>
      <c r="L218" s="921">
        <v>4463.1000000000004</v>
      </c>
      <c r="M218" s="918"/>
      <c r="N218" s="944">
        <v>-306.82042222222299</v>
      </c>
      <c r="O218" s="918"/>
      <c r="P218" s="898"/>
      <c r="Q218" s="921">
        <v>3918.87</v>
      </c>
      <c r="R218" s="918"/>
      <c r="S218" s="944">
        <v>544.23000000000047</v>
      </c>
      <c r="T218" s="898"/>
      <c r="U218" s="898"/>
      <c r="V218" s="898"/>
      <c r="W218" s="898"/>
      <c r="X218" s="898"/>
      <c r="Y218" s="898"/>
      <c r="Z218" s="898"/>
      <c r="AA218" s="898"/>
      <c r="AB218" s="898"/>
      <c r="AC218" s="898"/>
      <c r="AD218" s="898"/>
      <c r="AE218" s="898"/>
      <c r="AF218" s="898"/>
      <c r="AG218" s="898"/>
      <c r="AH218" s="898"/>
      <c r="AI218" s="898"/>
      <c r="AJ218" s="898"/>
      <c r="AK218" s="898"/>
      <c r="AL218" s="898"/>
      <c r="AM218" s="898"/>
      <c r="AN218" s="898"/>
    </row>
    <row r="219" spans="1:40" ht="15.75" customHeight="1">
      <c r="A219" s="883" t="s">
        <v>364</v>
      </c>
      <c r="B219" s="898" t="s">
        <v>83</v>
      </c>
      <c r="C219" s="918" t="s">
        <v>57</v>
      </c>
      <c r="D219" s="971"/>
      <c r="E219" s="898"/>
      <c r="F219" s="919">
        <v>1220.4654067864171</v>
      </c>
      <c r="G219" s="972"/>
      <c r="H219" s="898"/>
      <c r="I219" s="919"/>
      <c r="J219" s="918"/>
      <c r="K219" s="898"/>
      <c r="L219" s="921">
        <v>1000.92</v>
      </c>
      <c r="M219" s="918"/>
      <c r="N219" s="944">
        <v>-219.54540678641717</v>
      </c>
      <c r="O219" s="918"/>
      <c r="P219" s="898"/>
      <c r="Q219" s="921">
        <v>798.78</v>
      </c>
      <c r="R219" s="918"/>
      <c r="S219" s="944">
        <v>202.14</v>
      </c>
      <c r="T219" s="898"/>
      <c r="U219" s="898"/>
      <c r="V219" s="898"/>
      <c r="W219" s="898"/>
      <c r="X219" s="898"/>
      <c r="Y219" s="898"/>
      <c r="Z219" s="898"/>
      <c r="AA219" s="898"/>
      <c r="AB219" s="898"/>
      <c r="AC219" s="898"/>
      <c r="AD219" s="898"/>
      <c r="AE219" s="898"/>
      <c r="AF219" s="898"/>
      <c r="AG219" s="898"/>
      <c r="AH219" s="898"/>
      <c r="AI219" s="898"/>
      <c r="AJ219" s="898"/>
      <c r="AK219" s="898"/>
      <c r="AL219" s="898"/>
      <c r="AM219" s="898"/>
      <c r="AN219" s="898"/>
    </row>
    <row r="220" spans="1:40" ht="15.75" customHeight="1">
      <c r="A220" s="883" t="s">
        <v>365</v>
      </c>
      <c r="B220" s="898" t="s">
        <v>83</v>
      </c>
      <c r="C220" s="918" t="s">
        <v>58</v>
      </c>
      <c r="D220" s="971"/>
      <c r="E220" s="898"/>
      <c r="F220" s="919">
        <v>833.0541497518401</v>
      </c>
      <c r="G220" s="972"/>
      <c r="H220" s="898"/>
      <c r="I220" s="919"/>
      <c r="J220" s="918"/>
      <c r="K220" s="898"/>
      <c r="L220" s="921">
        <v>224.65</v>
      </c>
      <c r="M220" s="918"/>
      <c r="N220" s="944">
        <v>-608.40414975184012</v>
      </c>
      <c r="O220" s="918"/>
      <c r="P220" s="898"/>
      <c r="Q220" s="921">
        <v>664.75</v>
      </c>
      <c r="R220" s="918"/>
      <c r="S220" s="944">
        <v>-440.1</v>
      </c>
      <c r="T220" s="898"/>
      <c r="U220" s="898"/>
      <c r="V220" s="898"/>
      <c r="W220" s="898"/>
      <c r="X220" s="898"/>
      <c r="Y220" s="898"/>
      <c r="Z220" s="898"/>
      <c r="AA220" s="898"/>
      <c r="AB220" s="898"/>
      <c r="AC220" s="898"/>
      <c r="AD220" s="898"/>
      <c r="AE220" s="898"/>
      <c r="AF220" s="898"/>
      <c r="AG220" s="898"/>
      <c r="AH220" s="898"/>
      <c r="AI220" s="898"/>
      <c r="AJ220" s="898"/>
      <c r="AK220" s="898"/>
      <c r="AL220" s="898"/>
      <c r="AM220" s="898"/>
      <c r="AN220" s="898"/>
    </row>
    <row r="221" spans="1:40" ht="15.75" customHeight="1">
      <c r="A221" s="883" t="s">
        <v>366</v>
      </c>
      <c r="B221" s="898" t="s">
        <v>83</v>
      </c>
      <c r="C221" s="918" t="s">
        <v>59</v>
      </c>
      <c r="D221" s="971"/>
      <c r="E221" s="898"/>
      <c r="F221" s="919">
        <v>179.20450168848672</v>
      </c>
      <c r="G221" s="972"/>
      <c r="H221" s="898"/>
      <c r="I221" s="919"/>
      <c r="J221" s="918"/>
      <c r="K221" s="898"/>
      <c r="L221" s="921">
        <v>201.17</v>
      </c>
      <c r="M221" s="918"/>
      <c r="N221" s="944">
        <v>21.965498311513272</v>
      </c>
      <c r="O221" s="918"/>
      <c r="P221" s="898"/>
      <c r="Q221" s="921">
        <v>131.22</v>
      </c>
      <c r="R221" s="918"/>
      <c r="S221" s="944">
        <v>69.949999999999989</v>
      </c>
      <c r="T221" s="898"/>
      <c r="U221" s="898"/>
      <c r="V221" s="898"/>
      <c r="W221" s="898"/>
      <c r="X221" s="898"/>
      <c r="Y221" s="898"/>
      <c r="Z221" s="898"/>
      <c r="AA221" s="898"/>
      <c r="AB221" s="898"/>
      <c r="AC221" s="898"/>
      <c r="AD221" s="898"/>
      <c r="AE221" s="898"/>
      <c r="AF221" s="898"/>
      <c r="AG221" s="898"/>
      <c r="AH221" s="898"/>
      <c r="AI221" s="898"/>
      <c r="AJ221" s="898"/>
      <c r="AK221" s="898"/>
      <c r="AL221" s="898"/>
      <c r="AM221" s="898"/>
      <c r="AN221" s="898"/>
    </row>
    <row r="222" spans="1:40" ht="15.75" customHeight="1">
      <c r="A222" s="883" t="s">
        <v>367</v>
      </c>
      <c r="B222" s="898" t="s">
        <v>83</v>
      </c>
      <c r="C222" s="918" t="s">
        <v>60</v>
      </c>
      <c r="D222" s="971"/>
      <c r="E222" s="898"/>
      <c r="F222" s="919">
        <v>92.790571276313315</v>
      </c>
      <c r="G222" s="972"/>
      <c r="H222" s="898"/>
      <c r="I222" s="919"/>
      <c r="J222" s="918"/>
      <c r="K222" s="898"/>
      <c r="L222" s="921">
        <v>58.63</v>
      </c>
      <c r="M222" s="918"/>
      <c r="N222" s="944">
        <v>-34.160571276313313</v>
      </c>
      <c r="O222" s="918"/>
      <c r="P222" s="898"/>
      <c r="Q222" s="921">
        <v>38.619999999999997</v>
      </c>
      <c r="R222" s="918"/>
      <c r="S222" s="944">
        <v>20.010000000000005</v>
      </c>
      <c r="T222" s="898"/>
      <c r="U222" s="898"/>
      <c r="V222" s="898"/>
      <c r="W222" s="898"/>
      <c r="X222" s="898"/>
      <c r="Y222" s="898"/>
      <c r="Z222" s="898"/>
      <c r="AA222" s="898"/>
      <c r="AB222" s="898"/>
      <c r="AC222" s="898"/>
      <c r="AD222" s="898"/>
      <c r="AE222" s="898"/>
      <c r="AF222" s="898"/>
      <c r="AG222" s="898"/>
      <c r="AH222" s="898"/>
      <c r="AI222" s="898"/>
      <c r="AJ222" s="898"/>
      <c r="AK222" s="898"/>
      <c r="AL222" s="898"/>
      <c r="AM222" s="898"/>
      <c r="AN222" s="898"/>
    </row>
    <row r="223" spans="1:40" ht="15.75" customHeight="1">
      <c r="A223" s="883" t="s">
        <v>368</v>
      </c>
      <c r="B223" s="898" t="s">
        <v>83</v>
      </c>
      <c r="C223" s="918" t="s">
        <v>61</v>
      </c>
      <c r="D223" s="971"/>
      <c r="E223" s="898"/>
      <c r="F223" s="919">
        <v>152.45095187595334</v>
      </c>
      <c r="G223" s="972"/>
      <c r="H223" s="898"/>
      <c r="I223" s="919"/>
      <c r="J223" s="918"/>
      <c r="K223" s="898"/>
      <c r="L223" s="921">
        <v>101.04</v>
      </c>
      <c r="M223" s="918"/>
      <c r="N223" s="944">
        <v>-51.41095187595333</v>
      </c>
      <c r="O223" s="918"/>
      <c r="P223" s="898"/>
      <c r="Q223" s="921">
        <v>114</v>
      </c>
      <c r="R223" s="918"/>
      <c r="S223" s="944">
        <v>-12.959999999999994</v>
      </c>
      <c r="T223" s="898"/>
      <c r="U223" s="898"/>
      <c r="V223" s="898"/>
      <c r="W223" s="898"/>
      <c r="X223" s="898"/>
      <c r="Y223" s="898"/>
      <c r="Z223" s="898"/>
      <c r="AA223" s="898"/>
      <c r="AB223" s="898"/>
      <c r="AC223" s="898"/>
      <c r="AD223" s="898"/>
      <c r="AE223" s="898"/>
      <c r="AF223" s="898"/>
      <c r="AG223" s="898"/>
      <c r="AH223" s="898"/>
      <c r="AI223" s="898"/>
      <c r="AJ223" s="898"/>
      <c r="AK223" s="898"/>
      <c r="AL223" s="898"/>
      <c r="AM223" s="898"/>
      <c r="AN223" s="898"/>
    </row>
    <row r="224" spans="1:40" ht="15.75" customHeight="1">
      <c r="A224" s="883" t="s">
        <v>369</v>
      </c>
      <c r="B224" s="898" t="s">
        <v>83</v>
      </c>
      <c r="C224" s="918" t="s">
        <v>62</v>
      </c>
      <c r="D224" s="971"/>
      <c r="E224" s="898"/>
      <c r="F224" s="919">
        <v>3066.5133988524863</v>
      </c>
      <c r="G224" s="972"/>
      <c r="H224" s="898"/>
      <c r="I224" s="919"/>
      <c r="J224" s="918"/>
      <c r="K224" s="898"/>
      <c r="L224" s="921">
        <v>521.34</v>
      </c>
      <c r="M224" s="918"/>
      <c r="N224" s="944">
        <v>-2545.1733988524861</v>
      </c>
      <c r="O224" s="918"/>
      <c r="P224" s="898"/>
      <c r="Q224" s="921">
        <v>1018.26</v>
      </c>
      <c r="R224" s="918"/>
      <c r="S224" s="944">
        <v>-496.91999999999996</v>
      </c>
      <c r="T224" s="898"/>
      <c r="X224" s="898"/>
      <c r="Y224" s="898"/>
      <c r="Z224" s="898"/>
      <c r="AA224" s="898"/>
      <c r="AB224" s="898"/>
      <c r="AC224" s="898"/>
      <c r="AD224" s="898"/>
      <c r="AE224" s="898"/>
      <c r="AF224" s="898"/>
      <c r="AG224" s="898"/>
      <c r="AH224" s="898"/>
      <c r="AI224" s="898"/>
      <c r="AJ224" s="898"/>
      <c r="AK224" s="898"/>
      <c r="AL224" s="898"/>
      <c r="AM224" s="898"/>
      <c r="AN224" s="898"/>
    </row>
    <row r="225" spans="1:40" ht="15.75" customHeight="1">
      <c r="A225" s="883" t="s">
        <v>370</v>
      </c>
      <c r="B225" s="898" t="s">
        <v>83</v>
      </c>
      <c r="C225" s="918" t="s">
        <v>63</v>
      </c>
      <c r="D225" s="971"/>
      <c r="E225" s="898"/>
      <c r="F225" s="919">
        <v>1667.3948849465926</v>
      </c>
      <c r="G225" s="972"/>
      <c r="H225" s="898"/>
      <c r="I225" s="919"/>
      <c r="J225" s="918"/>
      <c r="K225" s="898"/>
      <c r="L225" s="921">
        <v>2008.24</v>
      </c>
      <c r="M225" s="918"/>
      <c r="N225" s="944">
        <v>340.84511505340743</v>
      </c>
      <c r="O225" s="918"/>
      <c r="P225" s="898"/>
      <c r="Q225" s="921">
        <v>1633.56</v>
      </c>
      <c r="R225" s="918"/>
      <c r="S225" s="944">
        <v>374.68000000000006</v>
      </c>
      <c r="T225" s="898"/>
      <c r="X225" s="898"/>
      <c r="Y225" s="898"/>
      <c r="Z225" s="898"/>
      <c r="AA225" s="898"/>
      <c r="AB225" s="898"/>
      <c r="AC225" s="898"/>
      <c r="AD225" s="898"/>
      <c r="AE225" s="898"/>
      <c r="AF225" s="898"/>
      <c r="AG225" s="898"/>
      <c r="AH225" s="898"/>
      <c r="AI225" s="898"/>
      <c r="AJ225" s="898"/>
      <c r="AK225" s="898"/>
      <c r="AL225" s="898"/>
      <c r="AM225" s="898"/>
      <c r="AN225" s="898"/>
    </row>
    <row r="226" spans="1:40" ht="15.75" hidden="1" customHeight="1">
      <c r="A226" s="883" t="s">
        <v>350</v>
      </c>
      <c r="B226" s="898" t="s">
        <v>83</v>
      </c>
      <c r="C226" s="918" t="s">
        <v>20</v>
      </c>
      <c r="D226" s="971"/>
      <c r="E226" s="898"/>
      <c r="F226" s="919">
        <v>0</v>
      </c>
      <c r="G226" s="972"/>
      <c r="H226" s="898"/>
      <c r="I226" s="919"/>
      <c r="J226" s="918"/>
      <c r="K226" s="898"/>
      <c r="L226" s="921">
        <v>0</v>
      </c>
      <c r="M226" s="918"/>
      <c r="N226" s="944">
        <v>0</v>
      </c>
      <c r="O226" s="918"/>
      <c r="P226" s="898"/>
      <c r="Q226" s="921">
        <v>0</v>
      </c>
      <c r="R226" s="918"/>
      <c r="S226" s="944">
        <v>0</v>
      </c>
      <c r="T226" s="898"/>
      <c r="U226" s="898"/>
      <c r="V226" s="898"/>
      <c r="W226" s="898"/>
      <c r="X226" s="898"/>
      <c r="Y226" s="898"/>
      <c r="Z226" s="898"/>
      <c r="AA226" s="898"/>
      <c r="AB226" s="898"/>
      <c r="AC226" s="898"/>
      <c r="AD226" s="898"/>
      <c r="AE226" s="898"/>
      <c r="AF226" s="898"/>
      <c r="AG226" s="898"/>
      <c r="AH226" s="898"/>
      <c r="AI226" s="898"/>
      <c r="AJ226" s="898"/>
      <c r="AK226" s="898"/>
      <c r="AL226" s="898"/>
      <c r="AM226" s="898"/>
      <c r="AN226" s="898"/>
    </row>
    <row r="227" spans="1:40" ht="15.75" hidden="1" customHeight="1">
      <c r="A227" s="883" t="s">
        <v>350</v>
      </c>
      <c r="B227" s="898" t="s">
        <v>83</v>
      </c>
      <c r="C227" s="918" t="s">
        <v>20</v>
      </c>
      <c r="D227" s="971"/>
      <c r="E227" s="898"/>
      <c r="F227" s="919">
        <v>0</v>
      </c>
      <c r="G227" s="972"/>
      <c r="H227" s="898"/>
      <c r="I227" s="919"/>
      <c r="J227" s="918"/>
      <c r="K227" s="898"/>
      <c r="L227" s="921">
        <v>0</v>
      </c>
      <c r="M227" s="918"/>
      <c r="N227" s="944">
        <v>0</v>
      </c>
      <c r="O227" s="918"/>
      <c r="P227" s="898"/>
      <c r="Q227" s="921">
        <v>0</v>
      </c>
      <c r="R227" s="918"/>
      <c r="S227" s="944">
        <v>0</v>
      </c>
      <c r="T227" s="898"/>
      <c r="U227" s="898"/>
      <c r="V227" s="898"/>
      <c r="W227" s="898"/>
      <c r="X227" s="898"/>
      <c r="Y227" s="898"/>
      <c r="Z227" s="898"/>
      <c r="AA227" s="898"/>
      <c r="AB227" s="898"/>
      <c r="AC227" s="898"/>
      <c r="AD227" s="898"/>
      <c r="AE227" s="898"/>
      <c r="AF227" s="898"/>
      <c r="AG227" s="898"/>
      <c r="AH227" s="898"/>
      <c r="AI227" s="898"/>
      <c r="AJ227" s="898"/>
      <c r="AK227" s="898"/>
      <c r="AL227" s="898"/>
      <c r="AM227" s="898"/>
      <c r="AN227" s="898"/>
    </row>
    <row r="228" spans="1:40" ht="15.75" hidden="1" customHeight="1">
      <c r="A228" s="883" t="s">
        <v>350</v>
      </c>
      <c r="B228" s="898" t="s">
        <v>83</v>
      </c>
      <c r="C228" s="918" t="s">
        <v>20</v>
      </c>
      <c r="D228" s="971"/>
      <c r="E228" s="898"/>
      <c r="F228" s="919">
        <v>0</v>
      </c>
      <c r="G228" s="972"/>
      <c r="H228" s="898"/>
      <c r="I228" s="919"/>
      <c r="J228" s="918"/>
      <c r="K228" s="898"/>
      <c r="L228" s="921">
        <v>0</v>
      </c>
      <c r="M228" s="918"/>
      <c r="N228" s="944">
        <v>0</v>
      </c>
      <c r="O228" s="918"/>
      <c r="P228" s="898"/>
      <c r="Q228" s="921">
        <v>0</v>
      </c>
      <c r="R228" s="918"/>
      <c r="S228" s="944">
        <v>0</v>
      </c>
      <c r="T228" s="898"/>
      <c r="U228" s="898"/>
      <c r="V228" s="898"/>
      <c r="W228" s="898"/>
      <c r="X228" s="898"/>
      <c r="Y228" s="898"/>
      <c r="Z228" s="898"/>
      <c r="AA228" s="898"/>
      <c r="AB228" s="898"/>
      <c r="AC228" s="898"/>
      <c r="AD228" s="898"/>
      <c r="AE228" s="898"/>
      <c r="AF228" s="898"/>
      <c r="AG228" s="898"/>
      <c r="AH228" s="898"/>
      <c r="AI228" s="898"/>
      <c r="AJ228" s="898"/>
      <c r="AK228" s="898"/>
      <c r="AL228" s="898"/>
      <c r="AM228" s="898"/>
      <c r="AN228" s="898"/>
    </row>
    <row r="229" spans="1:40" ht="15.75" customHeight="1">
      <c r="B229" s="898"/>
      <c r="C229" s="978" t="s">
        <v>64</v>
      </c>
      <c r="D229" s="979" t="s">
        <v>97</v>
      </c>
      <c r="E229" s="980">
        <v>0.28159633862891992</v>
      </c>
      <c r="F229" s="981">
        <v>54322.51372048902</v>
      </c>
      <c r="G229" s="982"/>
      <c r="H229" s="980"/>
      <c r="I229" s="981"/>
      <c r="J229" s="982" t="s">
        <v>97</v>
      </c>
      <c r="K229" s="980">
        <v>0.21248965698535938</v>
      </c>
      <c r="L229" s="981">
        <v>53656.489999999991</v>
      </c>
      <c r="M229" s="985"/>
      <c r="N229" s="981">
        <v>-666.02372048902907</v>
      </c>
      <c r="O229" s="982" t="s">
        <v>97</v>
      </c>
      <c r="P229" s="980">
        <v>0.24235386554673949</v>
      </c>
      <c r="Q229" s="981">
        <v>47692.570000000007</v>
      </c>
      <c r="R229" s="985"/>
      <c r="S229" s="981">
        <v>5963.9199999999837</v>
      </c>
      <c r="T229" s="898"/>
      <c r="U229" s="898"/>
      <c r="V229" s="898"/>
      <c r="W229" s="898"/>
      <c r="X229" s="898"/>
      <c r="Y229" s="898"/>
      <c r="Z229" s="898"/>
      <c r="AA229" s="898"/>
      <c r="AB229" s="898"/>
      <c r="AC229" s="898"/>
      <c r="AD229" s="898"/>
      <c r="AE229" s="898"/>
      <c r="AF229" s="898"/>
      <c r="AG229" s="898"/>
      <c r="AH229" s="898"/>
      <c r="AI229" s="898"/>
      <c r="AJ229" s="898"/>
      <c r="AK229" s="898"/>
      <c r="AL229" s="898"/>
      <c r="AM229" s="898"/>
      <c r="AN229" s="898"/>
    </row>
    <row r="230" spans="1:40" ht="15.75" customHeight="1">
      <c r="B230" s="898"/>
      <c r="C230" s="911"/>
      <c r="D230" s="973"/>
      <c r="E230" s="993"/>
      <c r="F230" s="944"/>
      <c r="G230" s="974"/>
      <c r="H230" s="993"/>
      <c r="I230" s="944"/>
      <c r="J230" s="911"/>
      <c r="K230" s="993"/>
      <c r="L230" s="969"/>
      <c r="M230" s="911"/>
      <c r="N230" s="969"/>
      <c r="O230" s="911"/>
      <c r="P230" s="993"/>
      <c r="Q230" s="969"/>
      <c r="R230" s="911"/>
      <c r="S230" s="969"/>
      <c r="T230" s="898"/>
      <c r="U230" s="898"/>
      <c r="V230" s="898"/>
      <c r="W230" s="898"/>
      <c r="X230" s="898"/>
      <c r="Y230" s="898"/>
      <c r="Z230" s="898"/>
      <c r="AA230" s="898"/>
      <c r="AB230" s="898"/>
      <c r="AC230" s="898"/>
      <c r="AD230" s="898"/>
      <c r="AE230" s="898"/>
      <c r="AF230" s="898"/>
      <c r="AG230" s="898"/>
      <c r="AH230" s="898"/>
      <c r="AI230" s="898"/>
      <c r="AJ230" s="898"/>
      <c r="AK230" s="898"/>
      <c r="AL230" s="898"/>
      <c r="AM230" s="898"/>
      <c r="AN230" s="898"/>
    </row>
    <row r="231" spans="1:40" ht="15.75" customHeight="1">
      <c r="B231" s="898"/>
      <c r="C231" s="978" t="s">
        <v>65</v>
      </c>
      <c r="D231" s="979" t="s">
        <v>39</v>
      </c>
      <c r="E231" s="980">
        <v>0.87017649632823235</v>
      </c>
      <c r="F231" s="981">
        <v>167865.01873992343</v>
      </c>
      <c r="G231" s="982"/>
      <c r="H231" s="980"/>
      <c r="I231" s="981"/>
      <c r="J231" s="982" t="s">
        <v>39</v>
      </c>
      <c r="K231" s="980">
        <v>0.62655604601133674</v>
      </c>
      <c r="L231" s="981">
        <v>158213.81</v>
      </c>
      <c r="M231" s="985"/>
      <c r="N231" s="995">
        <v>-9651.2087399234297</v>
      </c>
      <c r="O231" s="982" t="s">
        <v>39</v>
      </c>
      <c r="P231" s="980">
        <v>0.79782211381958479</v>
      </c>
      <c r="Q231" s="981">
        <v>157002.6</v>
      </c>
      <c r="R231" s="985"/>
      <c r="S231" s="995">
        <v>1211.2099999999919</v>
      </c>
      <c r="T231" s="898"/>
      <c r="U231" s="898"/>
      <c r="V231" s="898"/>
      <c r="W231" s="898"/>
      <c r="X231" s="898"/>
      <c r="Y231" s="898"/>
      <c r="Z231" s="898"/>
      <c r="AA231" s="898"/>
      <c r="AB231" s="898"/>
      <c r="AC231" s="898"/>
      <c r="AD231" s="898"/>
      <c r="AE231" s="898"/>
      <c r="AF231" s="898"/>
      <c r="AG231" s="898"/>
      <c r="AH231" s="898"/>
      <c r="AI231" s="898"/>
      <c r="AJ231" s="898"/>
      <c r="AK231" s="898"/>
      <c r="AL231" s="898"/>
      <c r="AM231" s="898"/>
      <c r="AN231" s="898"/>
    </row>
    <row r="232" spans="1:40" ht="15.75" customHeight="1">
      <c r="B232" s="898"/>
      <c r="C232" s="918"/>
      <c r="D232" s="971"/>
      <c r="E232" s="898"/>
      <c r="F232" s="944"/>
      <c r="G232" s="972"/>
      <c r="H232" s="898"/>
      <c r="I232" s="944"/>
      <c r="J232" s="918"/>
      <c r="K232" s="898"/>
      <c r="L232" s="944"/>
      <c r="M232" s="918"/>
      <c r="N232" s="944">
        <v>0</v>
      </c>
      <c r="O232" s="918"/>
      <c r="P232" s="898"/>
      <c r="Q232" s="944"/>
      <c r="R232" s="918"/>
      <c r="S232" s="944"/>
      <c r="T232" s="898"/>
      <c r="U232" s="898"/>
      <c r="V232" s="898"/>
      <c r="W232" s="898"/>
      <c r="X232" s="898"/>
      <c r="Y232" s="898"/>
      <c r="Z232" s="898"/>
      <c r="AA232" s="898"/>
      <c r="AB232" s="898"/>
      <c r="AC232" s="898"/>
      <c r="AD232" s="898"/>
      <c r="AE232" s="898"/>
      <c r="AF232" s="898"/>
      <c r="AG232" s="898"/>
      <c r="AH232" s="898"/>
      <c r="AI232" s="898"/>
      <c r="AJ232" s="898"/>
      <c r="AK232" s="898"/>
      <c r="AL232" s="898"/>
      <c r="AM232" s="898"/>
      <c r="AN232" s="898"/>
    </row>
    <row r="233" spans="1:40" ht="15.75" customHeight="1" thickBot="1">
      <c r="B233" s="898"/>
      <c r="C233" s="1010" t="s">
        <v>72</v>
      </c>
      <c r="D233" s="1040"/>
      <c r="E233" s="1011"/>
      <c r="F233" s="1013">
        <v>25044.143307363585</v>
      </c>
      <c r="G233" s="1041"/>
      <c r="H233" s="1011"/>
      <c r="I233" s="1013"/>
      <c r="J233" s="1010"/>
      <c r="K233" s="1012"/>
      <c r="L233" s="1013">
        <v>94299.610000000015</v>
      </c>
      <c r="M233" s="1010"/>
      <c r="N233" s="1013">
        <v>69255.46669263643</v>
      </c>
      <c r="O233" s="1010"/>
      <c r="P233" s="1015">
        <v>0.14800870008748526</v>
      </c>
      <c r="Q233" s="1013">
        <v>39786.380000000005</v>
      </c>
      <c r="R233" s="1010"/>
      <c r="S233" s="1013">
        <v>54513.23000000001</v>
      </c>
      <c r="T233" s="898"/>
      <c r="U233" s="898"/>
      <c r="V233" s="898"/>
      <c r="W233" s="898"/>
      <c r="X233" s="898"/>
      <c r="Y233" s="898"/>
      <c r="Z233" s="898"/>
      <c r="AA233" s="898"/>
      <c r="AB233" s="898"/>
      <c r="AC233" s="898"/>
      <c r="AD233" s="898"/>
      <c r="AE233" s="898"/>
      <c r="AF233" s="898"/>
      <c r="AG233" s="898"/>
      <c r="AH233" s="898"/>
      <c r="AI233" s="898"/>
      <c r="AJ233" s="898"/>
      <c r="AK233" s="898"/>
      <c r="AL233" s="898"/>
      <c r="AM233" s="898"/>
      <c r="AN233" s="898"/>
    </row>
    <row r="234" spans="1:40" ht="15.75" customHeight="1" thickTop="1">
      <c r="B234" s="898"/>
      <c r="C234" s="898"/>
      <c r="D234" s="898"/>
      <c r="E234" s="898"/>
      <c r="F234" s="898"/>
      <c r="G234" s="898"/>
      <c r="H234" s="898"/>
      <c r="I234" s="898"/>
      <c r="J234" s="898"/>
      <c r="K234" s="898"/>
      <c r="L234" s="960"/>
      <c r="M234" s="960"/>
      <c r="N234" s="898"/>
      <c r="O234" s="960"/>
      <c r="P234" s="898"/>
      <c r="Q234" s="960"/>
      <c r="R234" s="898"/>
      <c r="S234" s="898"/>
      <c r="T234" s="898"/>
      <c r="U234" s="898"/>
      <c r="V234" s="898"/>
      <c r="W234" s="898"/>
      <c r="X234" s="898"/>
      <c r="Y234" s="898"/>
      <c r="Z234" s="898"/>
      <c r="AA234" s="898"/>
      <c r="AB234" s="898"/>
      <c r="AC234" s="898"/>
      <c r="AD234" s="898"/>
      <c r="AE234" s="898"/>
      <c r="AF234" s="898"/>
      <c r="AG234" s="898"/>
      <c r="AH234" s="898"/>
      <c r="AI234" s="898"/>
      <c r="AJ234" s="898"/>
      <c r="AK234" s="898"/>
      <c r="AL234" s="898"/>
      <c r="AM234" s="898"/>
      <c r="AN234" s="898"/>
    </row>
    <row r="235" spans="1:40" ht="15.75" customHeight="1">
      <c r="B235" s="898"/>
      <c r="C235" s="895"/>
      <c r="D235" s="895"/>
      <c r="E235" s="895"/>
      <c r="F235" s="895"/>
      <c r="G235" s="895"/>
      <c r="H235" s="895"/>
      <c r="I235" s="895"/>
      <c r="J235" s="895"/>
      <c r="K235" s="895"/>
      <c r="L235" s="1042"/>
      <c r="M235" s="1042"/>
      <c r="N235" s="895"/>
      <c r="O235" s="1042"/>
      <c r="P235" s="895"/>
      <c r="Q235" s="1042"/>
      <c r="R235" s="895"/>
      <c r="S235" s="895"/>
      <c r="T235" s="895"/>
      <c r="U235" s="895"/>
      <c r="V235" s="898"/>
      <c r="W235" s="898"/>
      <c r="X235" s="898"/>
      <c r="Y235" s="898"/>
      <c r="Z235" s="898"/>
      <c r="AA235" s="898"/>
      <c r="AB235" s="898"/>
      <c r="AC235" s="898"/>
      <c r="AD235" s="898"/>
      <c r="AE235" s="898"/>
      <c r="AF235" s="898"/>
      <c r="AG235" s="898"/>
      <c r="AH235" s="898"/>
      <c r="AI235" s="898"/>
      <c r="AJ235" s="898"/>
      <c r="AK235" s="898"/>
      <c r="AL235" s="898"/>
      <c r="AM235" s="898"/>
      <c r="AN235" s="898"/>
    </row>
    <row r="236" spans="1:40" ht="33" customHeight="1">
      <c r="B236" s="898"/>
      <c r="C236" s="1020" t="s">
        <v>478</v>
      </c>
      <c r="D236" s="886"/>
      <c r="E236" s="886"/>
      <c r="F236" s="886"/>
      <c r="G236" s="886"/>
      <c r="H236" s="884"/>
      <c r="I236" s="884"/>
      <c r="J236" s="884"/>
      <c r="K236" s="888" t="s">
        <v>99</v>
      </c>
      <c r="L236" s="886"/>
      <c r="M236" s="886"/>
      <c r="N236" s="884"/>
      <c r="O236" s="884"/>
      <c r="P236" s="886"/>
      <c r="Q236" s="884"/>
      <c r="R236" s="886"/>
      <c r="S236" s="1021" t="s">
        <v>482</v>
      </c>
      <c r="T236" s="886"/>
      <c r="U236" s="884"/>
      <c r="V236" s="895"/>
      <c r="W236" s="895"/>
      <c r="X236" s="895"/>
      <c r="Y236" s="895"/>
      <c r="Z236" s="895"/>
      <c r="AA236" s="895"/>
      <c r="AB236" s="895"/>
      <c r="AC236" s="895"/>
      <c r="AD236" s="895"/>
      <c r="AE236" s="895"/>
      <c r="AF236" s="895"/>
      <c r="AG236" s="895"/>
      <c r="AH236" s="895"/>
      <c r="AI236" s="895"/>
      <c r="AJ236" s="895"/>
      <c r="AK236" s="895"/>
      <c r="AL236" s="895"/>
      <c r="AM236" s="895"/>
      <c r="AN236" s="895"/>
    </row>
    <row r="237" spans="1:40" ht="24" customHeight="1" thickBot="1">
      <c r="B237" s="898"/>
      <c r="C237" s="893"/>
      <c r="D237" s="895"/>
      <c r="E237" s="895"/>
      <c r="F237" s="895"/>
      <c r="G237" s="895"/>
      <c r="H237" s="895"/>
      <c r="I237" s="895"/>
      <c r="J237" s="895"/>
      <c r="K237" s="895"/>
      <c r="L237" s="895"/>
      <c r="M237" s="895"/>
      <c r="N237" s="895"/>
      <c r="O237" s="895"/>
      <c r="P237" s="895"/>
      <c r="Q237" s="895"/>
      <c r="R237" s="895"/>
      <c r="S237" s="895"/>
      <c r="T237" s="895"/>
      <c r="U237" s="895"/>
      <c r="V237" s="884"/>
      <c r="W237" s="884"/>
      <c r="X237" s="884"/>
      <c r="Y237" s="884"/>
      <c r="Z237" s="884"/>
      <c r="AA237" s="884"/>
      <c r="AB237" s="884"/>
      <c r="AC237" s="884"/>
      <c r="AD237" s="884"/>
      <c r="AE237" s="884"/>
      <c r="AF237" s="884"/>
      <c r="AG237" s="884"/>
      <c r="AH237" s="884"/>
      <c r="AI237" s="884"/>
      <c r="AJ237" s="884"/>
      <c r="AK237" s="884"/>
      <c r="AL237" s="884"/>
      <c r="AM237" s="884"/>
      <c r="AN237" s="884"/>
    </row>
    <row r="238" spans="1:40" ht="15.75" customHeight="1" thickTop="1">
      <c r="B238" s="898"/>
      <c r="C238" s="899"/>
      <c r="D238" s="900" t="s">
        <v>5</v>
      </c>
      <c r="E238" s="901"/>
      <c r="F238" s="902"/>
      <c r="G238" s="903"/>
      <c r="H238" s="901"/>
      <c r="I238" s="902"/>
      <c r="J238" s="903" t="s">
        <v>7</v>
      </c>
      <c r="K238" s="901"/>
      <c r="L238" s="902"/>
      <c r="M238" s="903" t="s">
        <v>220</v>
      </c>
      <c r="N238" s="902"/>
      <c r="O238" s="900" t="s">
        <v>8</v>
      </c>
      <c r="P238" s="901"/>
      <c r="Q238" s="902"/>
      <c r="R238" s="903" t="s">
        <v>221</v>
      </c>
      <c r="S238" s="902"/>
      <c r="T238" s="1036"/>
      <c r="U238" s="898"/>
      <c r="V238" s="895"/>
      <c r="W238" s="895"/>
      <c r="X238" s="895"/>
      <c r="Y238" s="895"/>
      <c r="Z238" s="895"/>
      <c r="AA238" s="895"/>
      <c r="AB238" s="895"/>
      <c r="AC238" s="895"/>
      <c r="AD238" s="895"/>
      <c r="AE238" s="895"/>
      <c r="AF238" s="895"/>
      <c r="AG238" s="895"/>
      <c r="AH238" s="895"/>
      <c r="AI238" s="895"/>
      <c r="AJ238" s="895"/>
      <c r="AK238" s="895"/>
      <c r="AL238" s="895"/>
      <c r="AM238" s="895"/>
      <c r="AN238" s="895"/>
    </row>
    <row r="239" spans="1:40" ht="15.75" customHeight="1">
      <c r="A239" s="883" t="s">
        <v>99</v>
      </c>
      <c r="B239" s="898" t="s">
        <v>99</v>
      </c>
      <c r="C239" s="918"/>
      <c r="D239" s="962" t="s">
        <v>40</v>
      </c>
      <c r="E239" s="962" t="s">
        <v>84</v>
      </c>
      <c r="F239" s="1043" t="s">
        <v>12</v>
      </c>
      <c r="G239" s="1044"/>
      <c r="H239" s="962"/>
      <c r="I239" s="1043"/>
      <c r="J239" s="1044" t="s">
        <v>40</v>
      </c>
      <c r="K239" s="962" t="s">
        <v>84</v>
      </c>
      <c r="L239" s="1043" t="s">
        <v>12</v>
      </c>
      <c r="M239" s="1044" t="s">
        <v>40</v>
      </c>
      <c r="N239" s="1043" t="s">
        <v>223</v>
      </c>
      <c r="O239" s="962" t="s">
        <v>40</v>
      </c>
      <c r="P239" s="962" t="s">
        <v>84</v>
      </c>
      <c r="Q239" s="1043" t="s">
        <v>12</v>
      </c>
      <c r="R239" s="1044" t="s">
        <v>85</v>
      </c>
      <c r="S239" s="1043" t="s">
        <v>12</v>
      </c>
      <c r="T239" s="962"/>
      <c r="U239" s="898"/>
      <c r="V239" s="898"/>
      <c r="W239" s="898"/>
      <c r="X239" s="898"/>
      <c r="Y239" s="898"/>
      <c r="Z239" s="898"/>
      <c r="AA239" s="898"/>
      <c r="AB239" s="898"/>
      <c r="AC239" s="898"/>
      <c r="AD239" s="898"/>
      <c r="AE239" s="898"/>
      <c r="AF239" s="898"/>
      <c r="AG239" s="898"/>
      <c r="AH239" s="898"/>
      <c r="AI239" s="898"/>
      <c r="AJ239" s="898"/>
      <c r="AK239" s="898"/>
      <c r="AL239" s="898"/>
      <c r="AM239" s="898"/>
      <c r="AN239" s="898"/>
    </row>
    <row r="240" spans="1:40" ht="15.75" customHeight="1">
      <c r="A240" s="883" t="s">
        <v>99</v>
      </c>
      <c r="B240" s="898" t="s">
        <v>99</v>
      </c>
      <c r="C240" s="918"/>
      <c r="D240" s="962"/>
      <c r="E240" s="962"/>
      <c r="F240" s="1043"/>
      <c r="G240" s="1044"/>
      <c r="H240" s="962"/>
      <c r="I240" s="1043"/>
      <c r="J240" s="1044"/>
      <c r="K240" s="919"/>
      <c r="L240" s="921"/>
      <c r="M240" s="1044"/>
      <c r="N240" s="1043"/>
      <c r="O240" s="962"/>
      <c r="P240" s="962"/>
      <c r="Q240" s="1043"/>
      <c r="R240" s="1044"/>
      <c r="S240" s="1043"/>
      <c r="T240" s="962"/>
      <c r="U240" s="898"/>
      <c r="V240" s="898"/>
      <c r="W240" s="898"/>
      <c r="X240" s="898"/>
      <c r="Y240" s="898"/>
      <c r="Z240" s="898"/>
      <c r="AA240" s="898"/>
      <c r="AB240" s="898"/>
      <c r="AC240" s="898"/>
      <c r="AD240" s="898"/>
      <c r="AE240" s="898"/>
      <c r="AF240" s="898"/>
      <c r="AG240" s="898"/>
      <c r="AH240" s="898"/>
      <c r="AI240" s="898"/>
      <c r="AJ240" s="898"/>
      <c r="AK240" s="898"/>
      <c r="AL240" s="898"/>
      <c r="AM240" s="898"/>
      <c r="AN240" s="898"/>
    </row>
    <row r="241" spans="1:40" ht="15.75" customHeight="1">
      <c r="A241" s="883" t="s">
        <v>371</v>
      </c>
      <c r="B241" s="898" t="s">
        <v>99</v>
      </c>
      <c r="C241" s="918" t="s">
        <v>100</v>
      </c>
      <c r="D241" s="1084">
        <v>0</v>
      </c>
      <c r="E241" s="960">
        <v>54000</v>
      </c>
      <c r="F241" s="960">
        <v>11880</v>
      </c>
      <c r="G241" s="1085"/>
      <c r="H241" s="960"/>
      <c r="I241" s="960"/>
      <c r="J241" s="945">
        <v>28</v>
      </c>
      <c r="K241" s="960">
        <v>92272.26999999999</v>
      </c>
      <c r="L241" s="960">
        <v>13019</v>
      </c>
      <c r="M241" s="964">
        <v>0.70874574074074059</v>
      </c>
      <c r="N241" s="944">
        <v>1139</v>
      </c>
      <c r="O241" s="945">
        <v>4</v>
      </c>
      <c r="P241" s="919">
        <v>10846.7499999999</v>
      </c>
      <c r="Q241" s="921">
        <v>4670.5899999999901</v>
      </c>
      <c r="R241" s="964">
        <v>7</v>
      </c>
      <c r="S241" s="944">
        <v>8348.4100000000108</v>
      </c>
      <c r="T241" s="962"/>
      <c r="U241" s="898"/>
      <c r="V241" s="898"/>
      <c r="W241" s="898"/>
      <c r="X241" s="898"/>
      <c r="Y241" s="898"/>
      <c r="Z241" s="898"/>
      <c r="AA241" s="898"/>
      <c r="AB241" s="898"/>
      <c r="AC241" s="898"/>
      <c r="AD241" s="898"/>
      <c r="AE241" s="898"/>
      <c r="AF241" s="898"/>
      <c r="AG241" s="898"/>
      <c r="AH241" s="898"/>
      <c r="AI241" s="898"/>
      <c r="AJ241" s="898"/>
      <c r="AK241" s="898"/>
      <c r="AL241" s="898"/>
      <c r="AM241" s="898"/>
      <c r="AN241" s="898"/>
    </row>
    <row r="242" spans="1:40" ht="15.75" customHeight="1">
      <c r="A242" s="883" t="s">
        <v>372</v>
      </c>
      <c r="B242" s="898" t="s">
        <v>99</v>
      </c>
      <c r="C242" s="918" t="s">
        <v>87</v>
      </c>
      <c r="D242" s="962"/>
      <c r="E242" s="1029"/>
      <c r="F242" s="1045">
        <v>0.22</v>
      </c>
      <c r="G242" s="918"/>
      <c r="H242" s="1029"/>
      <c r="I242" s="1045"/>
      <c r="J242" s="945"/>
      <c r="K242" s="898"/>
      <c r="L242" s="1045">
        <v>0.14109331004862025</v>
      </c>
      <c r="M242" s="964"/>
      <c r="N242" s="944">
        <v>1607.064331433699</v>
      </c>
      <c r="O242" s="945"/>
      <c r="P242" s="898"/>
      <c r="Q242" s="1045">
        <v>0.43059810542328653</v>
      </c>
      <c r="R242" s="945"/>
      <c r="S242" s="944">
        <v>1192.6300000000015</v>
      </c>
      <c r="T242" s="962"/>
      <c r="U242" s="898"/>
      <c r="V242" s="898"/>
      <c r="W242" s="898"/>
      <c r="X242" s="898"/>
      <c r="Y242" s="898"/>
      <c r="Z242" s="898"/>
      <c r="AA242" s="898"/>
      <c r="AB242" s="898"/>
      <c r="AC242" s="898"/>
      <c r="AD242" s="898"/>
      <c r="AE242" s="898"/>
      <c r="AF242" s="898"/>
      <c r="AG242" s="898"/>
      <c r="AH242" s="898"/>
      <c r="AI242" s="898"/>
      <c r="AJ242" s="898"/>
      <c r="AK242" s="898"/>
      <c r="AL242" s="898"/>
      <c r="AM242" s="898"/>
      <c r="AN242" s="898"/>
    </row>
    <row r="243" spans="1:40" ht="15.75" customHeight="1">
      <c r="A243" s="883" t="s">
        <v>99</v>
      </c>
      <c r="B243" s="898" t="s">
        <v>99</v>
      </c>
      <c r="C243" s="918"/>
      <c r="D243" s="962"/>
      <c r="E243" s="1086"/>
      <c r="F243" s="1023"/>
      <c r="G243" s="1044"/>
      <c r="H243" s="1086"/>
      <c r="I243" s="1023"/>
      <c r="J243" s="1044"/>
      <c r="K243" s="962"/>
      <c r="L243" s="1043"/>
      <c r="M243" s="1044"/>
      <c r="N243" s="1043"/>
      <c r="O243" s="1044"/>
      <c r="P243" s="962"/>
      <c r="Q243" s="1043"/>
      <c r="R243" s="1022"/>
      <c r="S243" s="1043"/>
      <c r="T243" s="962"/>
      <c r="U243" s="898"/>
      <c r="V243" s="898"/>
      <c r="W243" s="898"/>
      <c r="X243" s="898"/>
      <c r="Y243" s="898"/>
      <c r="Z243" s="898"/>
      <c r="AA243" s="898"/>
      <c r="AB243" s="898"/>
      <c r="AC243" s="898"/>
      <c r="AD243" s="898"/>
      <c r="AE243" s="898"/>
      <c r="AF243" s="898"/>
      <c r="AG243" s="898"/>
      <c r="AH243" s="898"/>
      <c r="AI243" s="898"/>
      <c r="AJ243" s="898"/>
      <c r="AK243" s="898"/>
      <c r="AL243" s="898"/>
      <c r="AM243" s="898"/>
      <c r="AN243" s="898"/>
    </row>
    <row r="244" spans="1:40" ht="15.75" customHeight="1">
      <c r="A244" s="883" t="s">
        <v>373</v>
      </c>
      <c r="B244" s="898" t="s">
        <v>99</v>
      </c>
      <c r="C244" s="906" t="s">
        <v>101</v>
      </c>
      <c r="D244" s="1049">
        <v>0</v>
      </c>
      <c r="E244" s="960">
        <v>0</v>
      </c>
      <c r="F244" s="960">
        <v>0</v>
      </c>
      <c r="G244" s="1087"/>
      <c r="H244" s="960"/>
      <c r="I244" s="960"/>
      <c r="J244" s="1050">
        <v>0</v>
      </c>
      <c r="K244" s="939">
        <v>0</v>
      </c>
      <c r="L244" s="940">
        <v>0</v>
      </c>
      <c r="M244" s="1054">
        <v>0</v>
      </c>
      <c r="N244" s="992">
        <v>0</v>
      </c>
      <c r="O244" s="1050">
        <v>0</v>
      </c>
      <c r="P244" s="939">
        <v>0</v>
      </c>
      <c r="Q244" s="940">
        <v>0</v>
      </c>
      <c r="R244" s="964">
        <v>0</v>
      </c>
      <c r="S244" s="992">
        <v>0</v>
      </c>
      <c r="T244" s="1033"/>
      <c r="U244" s="898"/>
      <c r="V244" s="898"/>
      <c r="W244" s="898"/>
      <c r="X244" s="898"/>
      <c r="Y244" s="898"/>
      <c r="Z244" s="898"/>
      <c r="AA244" s="898"/>
      <c r="AB244" s="898"/>
      <c r="AC244" s="898"/>
      <c r="AD244" s="898"/>
      <c r="AE244" s="898"/>
      <c r="AF244" s="898"/>
      <c r="AG244" s="898"/>
      <c r="AH244" s="898"/>
      <c r="AI244" s="898"/>
      <c r="AJ244" s="898"/>
      <c r="AK244" s="898"/>
      <c r="AL244" s="898"/>
      <c r="AM244" s="898"/>
      <c r="AN244" s="898"/>
    </row>
    <row r="245" spans="1:40" ht="15.75" customHeight="1">
      <c r="A245" s="883" t="s">
        <v>372</v>
      </c>
      <c r="B245" s="898" t="s">
        <v>99</v>
      </c>
      <c r="C245" s="918" t="s">
        <v>87</v>
      </c>
      <c r="D245" s="898"/>
      <c r="E245" s="1029"/>
      <c r="F245" s="1045" t="e">
        <v>#DIV/0!</v>
      </c>
      <c r="G245" s="918"/>
      <c r="H245" s="1029"/>
      <c r="I245" s="1045"/>
      <c r="J245" s="945"/>
      <c r="K245" s="898"/>
      <c r="L245" s="1045">
        <v>0</v>
      </c>
      <c r="M245" s="964"/>
      <c r="N245" s="944">
        <v>0</v>
      </c>
      <c r="O245" s="945"/>
      <c r="P245" s="898"/>
      <c r="Q245" s="1045">
        <v>0</v>
      </c>
      <c r="R245" s="945"/>
      <c r="S245" s="944">
        <v>0</v>
      </c>
      <c r="T245" s="1033"/>
      <c r="U245" s="898"/>
      <c r="V245" s="898"/>
      <c r="W245" s="898"/>
      <c r="X245" s="898"/>
      <c r="Y245" s="898"/>
      <c r="Z245" s="898"/>
      <c r="AA245" s="898"/>
      <c r="AB245" s="898"/>
      <c r="AC245" s="898"/>
      <c r="AD245" s="898"/>
      <c r="AE245" s="898"/>
      <c r="AF245" s="898"/>
      <c r="AG245" s="898"/>
      <c r="AH245" s="898"/>
      <c r="AI245" s="898"/>
      <c r="AJ245" s="898"/>
      <c r="AK245" s="898"/>
      <c r="AL245" s="898"/>
      <c r="AM245" s="898"/>
      <c r="AN245" s="898"/>
    </row>
    <row r="246" spans="1:40" ht="15.75" customHeight="1">
      <c r="A246" s="883" t="s">
        <v>99</v>
      </c>
      <c r="B246" s="898" t="s">
        <v>99</v>
      </c>
      <c r="C246" s="911"/>
      <c r="D246" s="993"/>
      <c r="E246" s="1088"/>
      <c r="F246" s="1047"/>
      <c r="G246" s="911"/>
      <c r="H246" s="1088"/>
      <c r="I246" s="1047"/>
      <c r="J246" s="1048"/>
      <c r="K246" s="1089"/>
      <c r="L246" s="1047"/>
      <c r="M246" s="968"/>
      <c r="N246" s="969"/>
      <c r="O246" s="1048"/>
      <c r="P246" s="1089"/>
      <c r="Q246" s="1047"/>
      <c r="R246" s="1048"/>
      <c r="S246" s="969"/>
      <c r="T246" s="1033"/>
      <c r="U246" s="898"/>
      <c r="V246" s="898"/>
      <c r="W246" s="898"/>
      <c r="X246" s="898"/>
      <c r="Y246" s="898"/>
      <c r="Z246" s="898"/>
      <c r="AA246" s="898"/>
      <c r="AB246" s="898"/>
      <c r="AC246" s="898"/>
      <c r="AD246" s="898"/>
      <c r="AE246" s="898"/>
      <c r="AF246" s="898"/>
      <c r="AG246" s="898"/>
      <c r="AH246" s="898"/>
      <c r="AI246" s="898"/>
      <c r="AJ246" s="898"/>
      <c r="AK246" s="898"/>
      <c r="AL246" s="898"/>
      <c r="AM246" s="898"/>
      <c r="AN246" s="898"/>
    </row>
    <row r="247" spans="1:40" ht="15.75" customHeight="1">
      <c r="A247" s="883" t="s">
        <v>374</v>
      </c>
      <c r="B247" s="898" t="s">
        <v>99</v>
      </c>
      <c r="C247" s="906" t="s">
        <v>102</v>
      </c>
      <c r="D247" s="1049">
        <v>0</v>
      </c>
      <c r="E247" s="960">
        <v>0</v>
      </c>
      <c r="F247" s="960">
        <v>0</v>
      </c>
      <c r="G247" s="1050"/>
      <c r="H247" s="960"/>
      <c r="I247" s="960"/>
      <c r="J247" s="1050">
        <v>0</v>
      </c>
      <c r="K247" s="919">
        <v>0</v>
      </c>
      <c r="L247" s="921">
        <v>0</v>
      </c>
      <c r="M247" s="964">
        <v>0</v>
      </c>
      <c r="N247" s="992">
        <v>0</v>
      </c>
      <c r="O247" s="1050">
        <v>0</v>
      </c>
      <c r="P247" s="919">
        <v>0</v>
      </c>
      <c r="Q247" s="921">
        <v>0</v>
      </c>
      <c r="R247" s="964">
        <v>0</v>
      </c>
      <c r="S247" s="944">
        <v>0</v>
      </c>
      <c r="T247" s="1033"/>
      <c r="U247" s="898"/>
      <c r="V247" s="898"/>
      <c r="W247" s="898"/>
      <c r="X247" s="898"/>
      <c r="Y247" s="898"/>
      <c r="Z247" s="898"/>
      <c r="AA247" s="898"/>
      <c r="AB247" s="898"/>
      <c r="AC247" s="898"/>
      <c r="AD247" s="898"/>
      <c r="AE247" s="898"/>
      <c r="AF247" s="898"/>
      <c r="AG247" s="898"/>
      <c r="AH247" s="898"/>
      <c r="AI247" s="898"/>
      <c r="AJ247" s="898"/>
      <c r="AK247" s="898"/>
      <c r="AL247" s="898"/>
      <c r="AM247" s="898"/>
      <c r="AN247" s="898"/>
    </row>
    <row r="248" spans="1:40" ht="15.75" customHeight="1">
      <c r="A248" s="883" t="s">
        <v>372</v>
      </c>
      <c r="B248" s="898" t="s">
        <v>99</v>
      </c>
      <c r="C248" s="918" t="s">
        <v>87</v>
      </c>
      <c r="D248" s="898"/>
      <c r="E248" s="898"/>
      <c r="F248" s="1045" t="e">
        <v>#DIV/0!</v>
      </c>
      <c r="G248" s="918"/>
      <c r="H248" s="898"/>
      <c r="I248" s="1045"/>
      <c r="J248" s="918"/>
      <c r="K248" s="898"/>
      <c r="L248" s="1045">
        <v>0</v>
      </c>
      <c r="M248" s="935"/>
      <c r="N248" s="936">
        <v>0</v>
      </c>
      <c r="O248" s="918"/>
      <c r="P248" s="898"/>
      <c r="Q248" s="1045">
        <v>0</v>
      </c>
      <c r="R248" s="935"/>
      <c r="S248" s="936">
        <v>0</v>
      </c>
      <c r="T248" s="1033"/>
      <c r="U248" s="898"/>
      <c r="V248" s="898"/>
      <c r="W248" s="898"/>
      <c r="X248" s="898"/>
      <c r="Y248" s="898"/>
      <c r="Z248" s="898"/>
      <c r="AA248" s="898"/>
      <c r="AB248" s="898"/>
      <c r="AC248" s="898"/>
      <c r="AD248" s="898"/>
      <c r="AE248" s="898"/>
      <c r="AF248" s="898"/>
      <c r="AG248" s="898"/>
      <c r="AH248" s="898"/>
      <c r="AI248" s="898"/>
      <c r="AJ248" s="898"/>
      <c r="AK248" s="898"/>
      <c r="AL248" s="898"/>
      <c r="AM248" s="898"/>
      <c r="AN248" s="898"/>
    </row>
    <row r="249" spans="1:40" ht="15.75" customHeight="1" thickBot="1">
      <c r="A249" s="883" t="s">
        <v>99</v>
      </c>
      <c r="B249" s="898" t="s">
        <v>99</v>
      </c>
      <c r="C249" s="918"/>
      <c r="D249" s="898"/>
      <c r="E249" s="898"/>
      <c r="F249" s="1045"/>
      <c r="G249" s="918"/>
      <c r="H249" s="898"/>
      <c r="I249" s="1045"/>
      <c r="J249" s="918"/>
      <c r="K249" s="898"/>
      <c r="L249" s="1045"/>
      <c r="M249" s="935"/>
      <c r="N249" s="936"/>
      <c r="O249" s="918"/>
      <c r="P249" s="898"/>
      <c r="Q249" s="1045"/>
      <c r="R249" s="935"/>
      <c r="S249" s="936"/>
      <c r="T249" s="1033"/>
      <c r="U249" s="898"/>
      <c r="V249" s="898"/>
      <c r="W249" s="898"/>
      <c r="X249" s="898"/>
      <c r="Y249" s="898"/>
      <c r="Z249" s="898"/>
      <c r="AA249" s="898"/>
      <c r="AB249" s="898"/>
      <c r="AC249" s="898"/>
      <c r="AD249" s="898"/>
      <c r="AE249" s="898"/>
      <c r="AF249" s="898"/>
      <c r="AG249" s="898"/>
      <c r="AH249" s="898"/>
      <c r="AI249" s="898"/>
      <c r="AJ249" s="898"/>
      <c r="AK249" s="898"/>
      <c r="AL249" s="898"/>
      <c r="AM249" s="898"/>
      <c r="AN249" s="898"/>
    </row>
    <row r="250" spans="1:40" ht="15.75" customHeight="1" thickTop="1">
      <c r="A250" s="883" t="s">
        <v>375</v>
      </c>
      <c r="B250" s="898" t="s">
        <v>99</v>
      </c>
      <c r="C250" s="946" t="s">
        <v>96</v>
      </c>
      <c r="D250" s="947"/>
      <c r="E250" s="947">
        <v>54000</v>
      </c>
      <c r="F250" s="949">
        <v>11880</v>
      </c>
      <c r="G250" s="950"/>
      <c r="H250" s="947"/>
      <c r="I250" s="949"/>
      <c r="J250" s="950"/>
      <c r="K250" s="947">
        <v>92272.26999999999</v>
      </c>
      <c r="L250" s="949">
        <v>13019</v>
      </c>
      <c r="M250" s="1082">
        <v>-7.8906689951379755E-2</v>
      </c>
      <c r="N250" s="949">
        <v>1139</v>
      </c>
      <c r="O250" s="950"/>
      <c r="P250" s="947">
        <v>10846.7499999999</v>
      </c>
      <c r="Q250" s="949">
        <v>4670.5899999999901</v>
      </c>
      <c r="R250" s="1090">
        <v>-0.28950479537466628</v>
      </c>
      <c r="S250" s="949">
        <v>8348.4100000000108</v>
      </c>
      <c r="T250" s="1033"/>
      <c r="U250" s="898"/>
      <c r="V250" s="898"/>
      <c r="W250" s="898"/>
      <c r="X250" s="898"/>
      <c r="Y250" s="898"/>
      <c r="Z250" s="898"/>
      <c r="AA250" s="898"/>
      <c r="AB250" s="898"/>
      <c r="AC250" s="898"/>
      <c r="AD250" s="898"/>
      <c r="AE250" s="898"/>
      <c r="AF250" s="898"/>
      <c r="AG250" s="898"/>
      <c r="AH250" s="898"/>
      <c r="AI250" s="898"/>
      <c r="AJ250" s="898"/>
      <c r="AK250" s="898"/>
      <c r="AL250" s="898"/>
      <c r="AM250" s="898"/>
      <c r="AN250" s="898"/>
    </row>
    <row r="251" spans="1:40" ht="23.25" customHeight="1" thickBot="1">
      <c r="A251" s="883" t="s">
        <v>99</v>
      </c>
      <c r="B251" s="898" t="s">
        <v>99</v>
      </c>
      <c r="C251" s="951"/>
      <c r="D251" s="952"/>
      <c r="E251" s="952"/>
      <c r="F251" s="957">
        <v>0.22</v>
      </c>
      <c r="G251" s="951"/>
      <c r="H251" s="952"/>
      <c r="I251" s="957"/>
      <c r="J251" s="951"/>
      <c r="K251" s="952"/>
      <c r="L251" s="957">
        <v>0.14109331004862025</v>
      </c>
      <c r="M251" s="956"/>
      <c r="N251" s="957">
        <v>9.5875420875420878E-2</v>
      </c>
      <c r="O251" s="951"/>
      <c r="P251" s="952"/>
      <c r="Q251" s="957">
        <v>0.43059810542328653</v>
      </c>
      <c r="R251" s="956"/>
      <c r="S251" s="957">
        <v>1.7874422717472587</v>
      </c>
      <c r="T251" s="1033"/>
      <c r="U251" s="898"/>
      <c r="V251" s="898"/>
      <c r="W251" s="898"/>
      <c r="X251" s="898"/>
      <c r="Y251" s="898"/>
      <c r="Z251" s="898"/>
      <c r="AA251" s="898"/>
      <c r="AB251" s="898"/>
      <c r="AC251" s="898"/>
      <c r="AD251" s="898"/>
      <c r="AE251" s="898"/>
      <c r="AF251" s="898"/>
      <c r="AG251" s="898"/>
      <c r="AH251" s="898"/>
      <c r="AI251" s="898"/>
      <c r="AJ251" s="898"/>
      <c r="AK251" s="898"/>
      <c r="AL251" s="898"/>
      <c r="AM251" s="898"/>
      <c r="AN251" s="898"/>
    </row>
    <row r="252" spans="1:40" ht="15.75" customHeight="1" thickTop="1">
      <c r="A252" s="883" t="s">
        <v>99</v>
      </c>
      <c r="B252" s="898" t="s">
        <v>99</v>
      </c>
      <c r="C252" s="918"/>
      <c r="D252" s="898"/>
      <c r="E252" s="898"/>
      <c r="F252" s="944"/>
      <c r="G252" s="918"/>
      <c r="H252" s="898"/>
      <c r="I252" s="944"/>
      <c r="J252" s="918"/>
      <c r="K252" s="898"/>
      <c r="L252" s="928"/>
      <c r="M252" s="918"/>
      <c r="N252" s="928"/>
      <c r="O252" s="918"/>
      <c r="P252" s="898"/>
      <c r="Q252" s="928"/>
      <c r="R252" s="918"/>
      <c r="S252" s="928"/>
      <c r="T252" s="898"/>
      <c r="U252" s="898"/>
      <c r="V252" s="898"/>
      <c r="W252" s="898"/>
      <c r="X252" s="898"/>
      <c r="Y252" s="898"/>
      <c r="Z252" s="898"/>
      <c r="AA252" s="898"/>
      <c r="AB252" s="898"/>
      <c r="AC252" s="898"/>
      <c r="AD252" s="898"/>
      <c r="AE252" s="898"/>
      <c r="AF252" s="898"/>
      <c r="AG252" s="898"/>
      <c r="AH252" s="898"/>
      <c r="AI252" s="898"/>
      <c r="AJ252" s="898"/>
      <c r="AK252" s="898"/>
      <c r="AL252" s="898"/>
      <c r="AM252" s="898"/>
      <c r="AN252" s="898"/>
    </row>
    <row r="253" spans="1:40" ht="15.75" customHeight="1">
      <c r="A253" s="883" t="s">
        <v>376</v>
      </c>
      <c r="B253" s="898" t="s">
        <v>99</v>
      </c>
      <c r="C253" s="961" t="s">
        <v>30</v>
      </c>
      <c r="D253" s="898"/>
      <c r="E253" s="898"/>
      <c r="F253" s="944"/>
      <c r="G253" s="918"/>
      <c r="H253" s="898"/>
      <c r="I253" s="944"/>
      <c r="J253" s="918"/>
      <c r="K253" s="898"/>
      <c r="L253" s="928"/>
      <c r="M253" s="918"/>
      <c r="N253" s="928"/>
      <c r="O253" s="918"/>
      <c r="P253" s="898"/>
      <c r="Q253" s="928"/>
      <c r="R253" s="918"/>
      <c r="S253" s="928"/>
      <c r="T253" s="898"/>
      <c r="U253" s="898"/>
      <c r="V253" s="898"/>
      <c r="W253" s="898"/>
      <c r="X253" s="898"/>
      <c r="Y253" s="898"/>
      <c r="Z253" s="898"/>
      <c r="AA253" s="898"/>
      <c r="AB253" s="898"/>
      <c r="AC253" s="898"/>
      <c r="AD253" s="898"/>
      <c r="AE253" s="898"/>
      <c r="AF253" s="898"/>
      <c r="AG253" s="898"/>
      <c r="AH253" s="898"/>
      <c r="AI253" s="898"/>
      <c r="AJ253" s="898"/>
      <c r="AK253" s="898"/>
      <c r="AL253" s="898"/>
      <c r="AM253" s="898"/>
      <c r="AN253" s="898"/>
    </row>
    <row r="254" spans="1:40" ht="15.75" customHeight="1">
      <c r="A254" s="883" t="s">
        <v>377</v>
      </c>
      <c r="B254" s="898" t="s">
        <v>99</v>
      </c>
      <c r="C254" s="986" t="s">
        <v>41</v>
      </c>
      <c r="D254" s="898"/>
      <c r="E254" s="898"/>
      <c r="F254" s="919">
        <v>297.32500000000005</v>
      </c>
      <c r="G254" s="918"/>
      <c r="H254" s="898"/>
      <c r="I254" s="919"/>
      <c r="J254" s="918"/>
      <c r="K254" s="898"/>
      <c r="L254" s="921">
        <v>901.88</v>
      </c>
      <c r="M254" s="918"/>
      <c r="N254" s="944">
        <v>604.55499999999995</v>
      </c>
      <c r="O254" s="918"/>
      <c r="P254" s="898"/>
      <c r="Q254" s="921">
        <v>901.88</v>
      </c>
      <c r="R254" s="918"/>
      <c r="S254" s="921">
        <v>0</v>
      </c>
      <c r="T254" s="898"/>
      <c r="U254" s="898"/>
      <c r="V254" s="898"/>
      <c r="W254" s="898"/>
      <c r="X254" s="898"/>
      <c r="Y254" s="898"/>
      <c r="Z254" s="898"/>
      <c r="AA254" s="898"/>
      <c r="AB254" s="898"/>
      <c r="AC254" s="898"/>
      <c r="AD254" s="898"/>
      <c r="AE254" s="898"/>
      <c r="AF254" s="898"/>
      <c r="AG254" s="898"/>
      <c r="AH254" s="898"/>
      <c r="AI254" s="898"/>
      <c r="AJ254" s="898"/>
      <c r="AK254" s="898"/>
      <c r="AL254" s="898"/>
      <c r="AM254" s="898"/>
      <c r="AN254" s="898"/>
    </row>
    <row r="255" spans="1:40" ht="15.75" customHeight="1">
      <c r="A255" s="883" t="s">
        <v>378</v>
      </c>
      <c r="B255" s="898" t="s">
        <v>99</v>
      </c>
      <c r="C255" s="988" t="s">
        <v>42</v>
      </c>
      <c r="D255" s="971"/>
      <c r="E255" s="898"/>
      <c r="F255" s="913">
        <v>4847.8046153846153</v>
      </c>
      <c r="G255" s="972"/>
      <c r="H255" s="898"/>
      <c r="I255" s="913"/>
      <c r="J255" s="918"/>
      <c r="K255" s="898"/>
      <c r="L255" s="921">
        <v>4995.33</v>
      </c>
      <c r="M255" s="918"/>
      <c r="N255" s="944">
        <v>147.52538461538461</v>
      </c>
      <c r="O255" s="918"/>
      <c r="P255" s="898"/>
      <c r="Q255" s="921">
        <v>446.82</v>
      </c>
      <c r="R255" s="918"/>
      <c r="S255" s="944">
        <v>4548.51</v>
      </c>
      <c r="T255" s="898"/>
      <c r="U255" s="898"/>
      <c r="V255" s="898"/>
      <c r="W255" s="898"/>
      <c r="X255" s="898"/>
      <c r="Y255" s="898"/>
      <c r="Z255" s="898"/>
      <c r="AA255" s="898"/>
      <c r="AB255" s="898"/>
      <c r="AC255" s="898"/>
      <c r="AD255" s="898"/>
      <c r="AE255" s="898"/>
      <c r="AF255" s="898"/>
      <c r="AG255" s="898"/>
      <c r="AH255" s="898"/>
      <c r="AI255" s="898"/>
      <c r="AJ255" s="898"/>
      <c r="AK255" s="898"/>
      <c r="AL255" s="898"/>
      <c r="AM255" s="898"/>
      <c r="AN255" s="898"/>
    </row>
    <row r="256" spans="1:40" ht="15.75" customHeight="1">
      <c r="A256" s="883" t="s">
        <v>379</v>
      </c>
      <c r="B256" s="898" t="s">
        <v>99</v>
      </c>
      <c r="C256" s="986" t="s">
        <v>43</v>
      </c>
      <c r="D256" s="989"/>
      <c r="E256" s="990"/>
      <c r="F256" s="919">
        <v>17.530769230769231</v>
      </c>
      <c r="G256" s="991"/>
      <c r="H256" s="990"/>
      <c r="I256" s="919"/>
      <c r="J256" s="906"/>
      <c r="K256" s="990"/>
      <c r="L256" s="940">
        <v>0.08</v>
      </c>
      <c r="M256" s="906"/>
      <c r="N256" s="992">
        <v>-17.450769230769232</v>
      </c>
      <c r="O256" s="906"/>
      <c r="P256" s="990"/>
      <c r="Q256" s="940">
        <v>0.08</v>
      </c>
      <c r="R256" s="906"/>
      <c r="S256" s="992">
        <v>0</v>
      </c>
      <c r="T256" s="898"/>
      <c r="U256" s="898"/>
      <c r="V256" s="898"/>
      <c r="W256" s="898"/>
      <c r="X256" s="898"/>
      <c r="Y256" s="898"/>
      <c r="Z256" s="898"/>
      <c r="AA256" s="898"/>
      <c r="AB256" s="898"/>
      <c r="AC256" s="898"/>
      <c r="AD256" s="898"/>
      <c r="AE256" s="898"/>
      <c r="AF256" s="898"/>
      <c r="AG256" s="898"/>
      <c r="AH256" s="898"/>
      <c r="AI256" s="898"/>
      <c r="AJ256" s="898"/>
      <c r="AK256" s="898"/>
      <c r="AL256" s="898"/>
      <c r="AM256" s="898"/>
      <c r="AN256" s="898"/>
    </row>
    <row r="257" spans="1:40" ht="15.75" customHeight="1">
      <c r="A257" s="883" t="s">
        <v>380</v>
      </c>
      <c r="B257" s="898" t="s">
        <v>99</v>
      </c>
      <c r="C257" s="986" t="s">
        <v>44</v>
      </c>
      <c r="D257" s="971"/>
      <c r="E257" s="898"/>
      <c r="F257" s="919">
        <v>0</v>
      </c>
      <c r="G257" s="972"/>
      <c r="H257" s="898"/>
      <c r="I257" s="919"/>
      <c r="J257" s="918"/>
      <c r="K257" s="898"/>
      <c r="L257" s="921">
        <v>0</v>
      </c>
      <c r="M257" s="918"/>
      <c r="N257" s="944">
        <v>0</v>
      </c>
      <c r="O257" s="918"/>
      <c r="P257" s="898"/>
      <c r="Q257" s="921">
        <v>0</v>
      </c>
      <c r="R257" s="918"/>
      <c r="S257" s="944">
        <v>0</v>
      </c>
      <c r="T257" s="898"/>
      <c r="U257" s="898"/>
      <c r="V257" s="898"/>
      <c r="W257" s="898"/>
      <c r="X257" s="898"/>
      <c r="Y257" s="898"/>
      <c r="Z257" s="898"/>
      <c r="AA257" s="898"/>
      <c r="AB257" s="898"/>
      <c r="AC257" s="898"/>
      <c r="AD257" s="898"/>
      <c r="AE257" s="898"/>
      <c r="AF257" s="898"/>
      <c r="AG257" s="898"/>
      <c r="AH257" s="898"/>
      <c r="AI257" s="898"/>
      <c r="AJ257" s="898"/>
      <c r="AK257" s="898"/>
      <c r="AL257" s="898"/>
      <c r="AM257" s="898"/>
      <c r="AN257" s="898"/>
    </row>
    <row r="258" spans="1:40" ht="15.75" hidden="1" customHeight="1">
      <c r="A258" s="883" t="s">
        <v>381</v>
      </c>
      <c r="B258" s="898" t="s">
        <v>99</v>
      </c>
      <c r="C258" s="918" t="s">
        <v>20</v>
      </c>
      <c r="D258" s="971"/>
      <c r="E258" s="898"/>
      <c r="F258" s="919">
        <v>0</v>
      </c>
      <c r="G258" s="972"/>
      <c r="H258" s="898"/>
      <c r="I258" s="919"/>
      <c r="J258" s="918"/>
      <c r="K258" s="898"/>
      <c r="L258" s="921">
        <v>0</v>
      </c>
      <c r="M258" s="918"/>
      <c r="N258" s="944">
        <v>0</v>
      </c>
      <c r="O258" s="918"/>
      <c r="P258" s="898"/>
      <c r="Q258" s="921">
        <v>0</v>
      </c>
      <c r="R258" s="918"/>
      <c r="S258" s="944">
        <v>0</v>
      </c>
      <c r="T258" s="898"/>
      <c r="U258" s="898"/>
      <c r="V258" s="898"/>
      <c r="W258" s="898"/>
      <c r="X258" s="898"/>
      <c r="Y258" s="898"/>
      <c r="Z258" s="898"/>
      <c r="AA258" s="898"/>
      <c r="AB258" s="898"/>
      <c r="AC258" s="898"/>
      <c r="AD258" s="898"/>
      <c r="AE258" s="898"/>
      <c r="AF258" s="898"/>
      <c r="AG258" s="898"/>
      <c r="AH258" s="898"/>
      <c r="AI258" s="898"/>
      <c r="AJ258" s="898"/>
      <c r="AK258" s="898"/>
      <c r="AL258" s="898"/>
      <c r="AM258" s="898"/>
      <c r="AN258" s="898"/>
    </row>
    <row r="259" spans="1:40" ht="15.75" hidden="1" customHeight="1">
      <c r="A259" s="883" t="s">
        <v>381</v>
      </c>
      <c r="B259" s="898" t="s">
        <v>99</v>
      </c>
      <c r="C259" s="918" t="s">
        <v>20</v>
      </c>
      <c r="D259" s="971"/>
      <c r="E259" s="898"/>
      <c r="F259" s="919">
        <v>0</v>
      </c>
      <c r="G259" s="972"/>
      <c r="H259" s="898"/>
      <c r="I259" s="919"/>
      <c r="J259" s="918"/>
      <c r="K259" s="898"/>
      <c r="L259" s="921">
        <v>0</v>
      </c>
      <c r="M259" s="918"/>
      <c r="N259" s="944">
        <v>0</v>
      </c>
      <c r="O259" s="918"/>
      <c r="P259" s="898"/>
      <c r="Q259" s="921">
        <v>0</v>
      </c>
      <c r="R259" s="918"/>
      <c r="S259" s="944">
        <v>0</v>
      </c>
      <c r="T259" s="898"/>
      <c r="U259" s="898"/>
      <c r="V259" s="898"/>
      <c r="W259" s="898"/>
      <c r="X259" s="898"/>
      <c r="Y259" s="898"/>
      <c r="Z259" s="898"/>
      <c r="AA259" s="898"/>
      <c r="AB259" s="898"/>
      <c r="AC259" s="898"/>
      <c r="AD259" s="898"/>
      <c r="AE259" s="898"/>
      <c r="AF259" s="898"/>
      <c r="AG259" s="898"/>
      <c r="AH259" s="898"/>
      <c r="AI259" s="898"/>
      <c r="AJ259" s="898"/>
      <c r="AK259" s="898"/>
      <c r="AL259" s="898"/>
      <c r="AM259" s="898"/>
      <c r="AN259" s="898"/>
    </row>
    <row r="260" spans="1:40" ht="15.75" hidden="1" customHeight="1">
      <c r="A260" s="883" t="s">
        <v>381</v>
      </c>
      <c r="B260" s="898" t="s">
        <v>99</v>
      </c>
      <c r="C260" s="918" t="s">
        <v>20</v>
      </c>
      <c r="D260" s="971"/>
      <c r="E260" s="898"/>
      <c r="F260" s="919">
        <v>0</v>
      </c>
      <c r="G260" s="972"/>
      <c r="H260" s="898"/>
      <c r="I260" s="919"/>
      <c r="J260" s="918"/>
      <c r="K260" s="898"/>
      <c r="L260" s="921">
        <v>0</v>
      </c>
      <c r="M260" s="918"/>
      <c r="N260" s="944">
        <v>0</v>
      </c>
      <c r="O260" s="918"/>
      <c r="P260" s="898"/>
      <c r="Q260" s="921">
        <v>0</v>
      </c>
      <c r="R260" s="918"/>
      <c r="S260" s="944">
        <v>0</v>
      </c>
      <c r="T260" s="898"/>
      <c r="U260" s="898"/>
      <c r="V260" s="898"/>
      <c r="W260" s="898"/>
      <c r="X260" s="898"/>
      <c r="Y260" s="898"/>
      <c r="Z260" s="898"/>
      <c r="AA260" s="898"/>
      <c r="AB260" s="898"/>
      <c r="AC260" s="898"/>
      <c r="AD260" s="898"/>
      <c r="AE260" s="898"/>
      <c r="AF260" s="898"/>
      <c r="AG260" s="898"/>
      <c r="AH260" s="898"/>
      <c r="AI260" s="898"/>
      <c r="AJ260" s="898"/>
      <c r="AK260" s="898"/>
      <c r="AL260" s="898"/>
      <c r="AM260" s="898"/>
      <c r="AN260" s="898"/>
    </row>
    <row r="261" spans="1:40" ht="15.75" customHeight="1">
      <c r="A261" s="883" t="s">
        <v>382</v>
      </c>
      <c r="B261" s="898" t="s">
        <v>99</v>
      </c>
      <c r="C261" s="988" t="s">
        <v>45</v>
      </c>
      <c r="D261" s="971"/>
      <c r="E261" s="898"/>
      <c r="F261" s="913">
        <v>619.8155113461537</v>
      </c>
      <c r="G261" s="972"/>
      <c r="H261" s="898"/>
      <c r="I261" s="913"/>
      <c r="J261" s="918"/>
      <c r="K261" s="898"/>
      <c r="L261" s="921">
        <v>545.54999999999995</v>
      </c>
      <c r="M261" s="918"/>
      <c r="N261" s="944">
        <v>-74.265511346153744</v>
      </c>
      <c r="O261" s="918"/>
      <c r="P261" s="898"/>
      <c r="Q261" s="921">
        <v>222.13</v>
      </c>
      <c r="R261" s="918"/>
      <c r="S261" s="944">
        <v>323.41999999999996</v>
      </c>
      <c r="T261" s="898"/>
      <c r="U261" s="898"/>
      <c r="V261" s="898"/>
      <c r="W261" s="898"/>
      <c r="X261" s="898"/>
      <c r="Y261" s="898"/>
      <c r="Z261" s="898"/>
      <c r="AA261" s="898"/>
      <c r="AB261" s="898"/>
      <c r="AC261" s="898"/>
      <c r="AD261" s="898"/>
      <c r="AE261" s="898"/>
      <c r="AF261" s="898"/>
      <c r="AG261" s="898"/>
      <c r="AH261" s="898"/>
      <c r="AI261" s="898"/>
      <c r="AJ261" s="898"/>
      <c r="AK261" s="898"/>
      <c r="AL261" s="898"/>
      <c r="AM261" s="898"/>
      <c r="AN261" s="898"/>
    </row>
    <row r="262" spans="1:40" ht="15.75" customHeight="1">
      <c r="A262" s="883" t="s">
        <v>383</v>
      </c>
      <c r="B262" s="898" t="s">
        <v>99</v>
      </c>
      <c r="C262" s="986" t="s">
        <v>46</v>
      </c>
      <c r="D262" s="989"/>
      <c r="E262" s="990"/>
      <c r="F262" s="919">
        <v>753.60828692307689</v>
      </c>
      <c r="G262" s="991"/>
      <c r="H262" s="990"/>
      <c r="I262" s="919"/>
      <c r="J262" s="906"/>
      <c r="K262" s="990"/>
      <c r="L262" s="940">
        <v>1443.66</v>
      </c>
      <c r="M262" s="906"/>
      <c r="N262" s="992">
        <v>690.05171307692319</v>
      </c>
      <c r="O262" s="906"/>
      <c r="P262" s="990"/>
      <c r="Q262" s="940">
        <v>801.22</v>
      </c>
      <c r="R262" s="906"/>
      <c r="S262" s="992">
        <v>642.44000000000005</v>
      </c>
      <c r="T262" s="898"/>
      <c r="U262" s="898"/>
      <c r="V262" s="898"/>
      <c r="W262" s="898"/>
      <c r="X262" s="898"/>
      <c r="Y262" s="898"/>
      <c r="Z262" s="898"/>
      <c r="AA262" s="898"/>
      <c r="AB262" s="898"/>
      <c r="AC262" s="898"/>
      <c r="AD262" s="898"/>
      <c r="AE262" s="898"/>
      <c r="AF262" s="898"/>
      <c r="AG262" s="898"/>
      <c r="AH262" s="898"/>
      <c r="AI262" s="898"/>
      <c r="AJ262" s="898"/>
      <c r="AK262" s="898"/>
      <c r="AL262" s="898"/>
      <c r="AM262" s="898"/>
      <c r="AN262" s="898"/>
    </row>
    <row r="263" spans="1:40" ht="15.75" customHeight="1">
      <c r="A263" s="883" t="s">
        <v>384</v>
      </c>
      <c r="B263" s="898" t="s">
        <v>99</v>
      </c>
      <c r="C263" s="986" t="s">
        <v>47</v>
      </c>
      <c r="D263" s="971"/>
      <c r="E263" s="898"/>
      <c r="F263" s="919">
        <v>388.27209565384607</v>
      </c>
      <c r="G263" s="972"/>
      <c r="H263" s="898"/>
      <c r="I263" s="919"/>
      <c r="J263" s="918"/>
      <c r="K263" s="898"/>
      <c r="L263" s="921">
        <v>98.28</v>
      </c>
      <c r="M263" s="918"/>
      <c r="N263" s="944">
        <v>-289.99209565384604</v>
      </c>
      <c r="O263" s="918"/>
      <c r="P263" s="898"/>
      <c r="Q263" s="921">
        <v>97.21</v>
      </c>
      <c r="R263" s="918"/>
      <c r="S263" s="944">
        <v>1.0700000000000074</v>
      </c>
      <c r="T263" s="898"/>
      <c r="U263" s="898"/>
      <c r="V263" s="898"/>
      <c r="W263" s="898"/>
      <c r="X263" s="898"/>
      <c r="Y263" s="898"/>
      <c r="Z263" s="898"/>
      <c r="AA263" s="898"/>
      <c r="AB263" s="898"/>
      <c r="AC263" s="898"/>
      <c r="AD263" s="898"/>
      <c r="AE263" s="898"/>
      <c r="AF263" s="898"/>
      <c r="AG263" s="898"/>
      <c r="AH263" s="898"/>
      <c r="AI263" s="898"/>
      <c r="AJ263" s="898"/>
      <c r="AK263" s="898"/>
      <c r="AL263" s="898"/>
      <c r="AM263" s="898"/>
      <c r="AN263" s="898"/>
    </row>
    <row r="264" spans="1:40" ht="15.75" customHeight="1">
      <c r="A264" s="883" t="s">
        <v>385</v>
      </c>
      <c r="B264" s="898" t="s">
        <v>99</v>
      </c>
      <c r="C264" s="986" t="s">
        <v>48</v>
      </c>
      <c r="D264" s="971"/>
      <c r="E264" s="898"/>
      <c r="F264" s="919">
        <v>169.28881807692304</v>
      </c>
      <c r="G264" s="972"/>
      <c r="H264" s="898"/>
      <c r="I264" s="919"/>
      <c r="J264" s="918"/>
      <c r="K264" s="898"/>
      <c r="L264" s="921">
        <v>139.08000000000001</v>
      </c>
      <c r="M264" s="918"/>
      <c r="N264" s="944">
        <v>-30.208818076923023</v>
      </c>
      <c r="O264" s="918"/>
      <c r="P264" s="898"/>
      <c r="Q264" s="921">
        <v>42.2</v>
      </c>
      <c r="R264" s="918"/>
      <c r="S264" s="944">
        <v>96.88000000000001</v>
      </c>
      <c r="T264" s="898"/>
      <c r="U264" s="898"/>
      <c r="V264" s="898"/>
      <c r="W264" s="898"/>
      <c r="X264" s="898"/>
      <c r="Y264" s="898"/>
      <c r="Z264" s="898"/>
      <c r="AA264" s="898"/>
      <c r="AB264" s="898"/>
      <c r="AC264" s="898"/>
      <c r="AD264" s="898"/>
      <c r="AE264" s="898"/>
      <c r="AF264" s="898"/>
      <c r="AG264" s="898"/>
      <c r="AH264" s="898"/>
      <c r="AI264" s="898"/>
      <c r="AJ264" s="898"/>
      <c r="AK264" s="898"/>
      <c r="AL264" s="898"/>
      <c r="AM264" s="898"/>
      <c r="AN264" s="898"/>
    </row>
    <row r="265" spans="1:40" ht="15.75" hidden="1" customHeight="1">
      <c r="A265" s="883" t="s">
        <v>381</v>
      </c>
      <c r="B265" s="898" t="s">
        <v>99</v>
      </c>
      <c r="C265" s="918" t="s">
        <v>20</v>
      </c>
      <c r="D265" s="973"/>
      <c r="E265" s="993"/>
      <c r="F265" s="919">
        <v>0</v>
      </c>
      <c r="G265" s="974"/>
      <c r="H265" s="993"/>
      <c r="I265" s="919"/>
      <c r="J265" s="911"/>
      <c r="K265" s="993"/>
      <c r="L265" s="921">
        <v>0</v>
      </c>
      <c r="M265" s="911"/>
      <c r="N265" s="969">
        <v>0</v>
      </c>
      <c r="O265" s="911"/>
      <c r="P265" s="993"/>
      <c r="Q265" s="921">
        <v>0</v>
      </c>
      <c r="R265" s="911"/>
      <c r="S265" s="969">
        <v>0</v>
      </c>
      <c r="T265" s="898"/>
      <c r="U265" s="898"/>
      <c r="V265" s="898"/>
      <c r="W265" s="898"/>
      <c r="X265" s="898"/>
      <c r="Y265" s="898"/>
      <c r="Z265" s="898"/>
      <c r="AA265" s="898"/>
      <c r="AB265" s="898"/>
      <c r="AC265" s="898"/>
      <c r="AD265" s="898"/>
      <c r="AE265" s="898"/>
      <c r="AF265" s="898"/>
      <c r="AG265" s="898"/>
      <c r="AH265" s="898"/>
      <c r="AI265" s="898"/>
      <c r="AJ265" s="898"/>
      <c r="AK265" s="898"/>
      <c r="AL265" s="898"/>
      <c r="AM265" s="898"/>
      <c r="AN265" s="898"/>
    </row>
    <row r="266" spans="1:40" ht="15.75" customHeight="1">
      <c r="A266" s="883" t="s">
        <v>386</v>
      </c>
      <c r="B266" s="898" t="s">
        <v>99</v>
      </c>
      <c r="C266" s="978" t="s">
        <v>49</v>
      </c>
      <c r="D266" s="979" t="s">
        <v>39</v>
      </c>
      <c r="E266" s="980">
        <v>0.59710817311577302</v>
      </c>
      <c r="F266" s="981">
        <v>7093.6450966153834</v>
      </c>
      <c r="G266" s="982"/>
      <c r="H266" s="980"/>
      <c r="I266" s="981"/>
      <c r="J266" s="982" t="s">
        <v>39</v>
      </c>
      <c r="K266" s="980">
        <v>0.62400030724325983</v>
      </c>
      <c r="L266" s="981">
        <v>8123.86</v>
      </c>
      <c r="M266" s="1035"/>
      <c r="N266" s="995">
        <v>1030.2149033846163</v>
      </c>
      <c r="O266" s="982" t="s">
        <v>39</v>
      </c>
      <c r="P266" s="980">
        <v>0</v>
      </c>
      <c r="Q266" s="981">
        <v>2511.54</v>
      </c>
      <c r="R266" s="1035"/>
      <c r="S266" s="995">
        <v>5612.32</v>
      </c>
      <c r="T266" s="898"/>
      <c r="U266" s="898"/>
      <c r="V266" s="898"/>
      <c r="W266" s="898"/>
      <c r="X266" s="898"/>
      <c r="Y266" s="898"/>
      <c r="Z266" s="898"/>
      <c r="AA266" s="898"/>
      <c r="AB266" s="898"/>
      <c r="AC266" s="898"/>
      <c r="AD266" s="898"/>
      <c r="AE266" s="898"/>
      <c r="AF266" s="898"/>
      <c r="AG266" s="898"/>
      <c r="AH266" s="898"/>
      <c r="AI266" s="898"/>
      <c r="AJ266" s="898"/>
      <c r="AK266" s="898"/>
      <c r="AL266" s="898"/>
      <c r="AM266" s="898"/>
      <c r="AN266" s="898"/>
    </row>
    <row r="267" spans="1:40" ht="15.75" customHeight="1">
      <c r="A267" s="883" t="s">
        <v>387</v>
      </c>
      <c r="B267" s="898" t="s">
        <v>99</v>
      </c>
      <c r="C267" s="1091" t="s">
        <v>50</v>
      </c>
      <c r="D267" s="971"/>
      <c r="E267" s="898"/>
      <c r="F267" s="919">
        <v>48.333333333333336</v>
      </c>
      <c r="G267" s="972"/>
      <c r="H267" s="898"/>
      <c r="I267" s="919"/>
      <c r="J267" s="918"/>
      <c r="K267" s="898"/>
      <c r="L267" s="921">
        <v>14</v>
      </c>
      <c r="M267" s="918"/>
      <c r="N267" s="944">
        <v>-34.333333333333336</v>
      </c>
      <c r="O267" s="918"/>
      <c r="P267" s="898"/>
      <c r="Q267" s="944">
        <v>110.1</v>
      </c>
      <c r="R267" s="918"/>
      <c r="S267" s="944">
        <v>-96.1</v>
      </c>
      <c r="T267" s="898"/>
      <c r="U267" s="898"/>
      <c r="V267" s="898"/>
      <c r="W267" s="898"/>
      <c r="X267" s="898"/>
      <c r="Y267" s="898"/>
      <c r="Z267" s="898"/>
      <c r="AA267" s="898"/>
      <c r="AB267" s="898"/>
      <c r="AC267" s="898"/>
      <c r="AD267" s="898"/>
      <c r="AE267" s="898"/>
      <c r="AF267" s="898"/>
      <c r="AG267" s="898"/>
      <c r="AH267" s="898"/>
      <c r="AI267" s="898"/>
      <c r="AJ267" s="898"/>
      <c r="AK267" s="898"/>
      <c r="AL267" s="898"/>
      <c r="AM267" s="898"/>
      <c r="AN267" s="898"/>
    </row>
    <row r="268" spans="1:40" ht="15.75" customHeight="1">
      <c r="A268" s="883" t="s">
        <v>388</v>
      </c>
      <c r="B268" s="898" t="s">
        <v>99</v>
      </c>
      <c r="C268" s="986" t="s">
        <v>51</v>
      </c>
      <c r="D268" s="971"/>
      <c r="E268" s="898"/>
      <c r="F268" s="919">
        <v>561.67798128057109</v>
      </c>
      <c r="G268" s="972"/>
      <c r="H268" s="898"/>
      <c r="I268" s="919"/>
      <c r="J268" s="918"/>
      <c r="K268" s="898"/>
      <c r="L268" s="921">
        <v>88.95</v>
      </c>
      <c r="M268" s="918"/>
      <c r="N268" s="944">
        <v>-472.7279812805711</v>
      </c>
      <c r="O268" s="918"/>
      <c r="P268" s="898"/>
      <c r="Q268" s="944">
        <v>2260.6799999999998</v>
      </c>
      <c r="R268" s="918"/>
      <c r="S268" s="944">
        <v>-2171.73</v>
      </c>
      <c r="T268" s="898"/>
      <c r="V268" s="898"/>
      <c r="W268" s="898"/>
      <c r="X268" s="898"/>
      <c r="Y268" s="898"/>
      <c r="Z268" s="898"/>
      <c r="AA268" s="898"/>
      <c r="AB268" s="898"/>
      <c r="AC268" s="898"/>
      <c r="AD268" s="898"/>
      <c r="AE268" s="898"/>
      <c r="AF268" s="898"/>
      <c r="AG268" s="898"/>
      <c r="AH268" s="898"/>
      <c r="AI268" s="898"/>
      <c r="AJ268" s="898"/>
      <c r="AK268" s="898"/>
      <c r="AL268" s="898"/>
      <c r="AM268" s="898"/>
      <c r="AN268" s="898"/>
    </row>
    <row r="269" spans="1:40" ht="15.75" customHeight="1">
      <c r="A269" s="883" t="s">
        <v>389</v>
      </c>
      <c r="B269" s="898" t="s">
        <v>99</v>
      </c>
      <c r="C269" s="988" t="s">
        <v>52</v>
      </c>
      <c r="D269" s="973"/>
      <c r="E269" s="993"/>
      <c r="F269" s="913">
        <v>124.50360000000001</v>
      </c>
      <c r="G269" s="974"/>
      <c r="H269" s="993"/>
      <c r="I269" s="913"/>
      <c r="J269" s="911"/>
      <c r="K269" s="993"/>
      <c r="L269" s="921">
        <v>157.77000000000001</v>
      </c>
      <c r="M269" s="911"/>
      <c r="N269" s="969">
        <v>33.266400000000004</v>
      </c>
      <c r="O269" s="911"/>
      <c r="P269" s="993"/>
      <c r="Q269" s="969">
        <v>157.77000000000001</v>
      </c>
      <c r="R269" s="911"/>
      <c r="S269" s="969">
        <v>0</v>
      </c>
      <c r="T269" s="898"/>
      <c r="U269" s="898" t="s">
        <v>1</v>
      </c>
      <c r="V269" s="898"/>
      <c r="W269" s="898"/>
      <c r="X269" s="898"/>
      <c r="Y269" s="898"/>
      <c r="Z269" s="898"/>
      <c r="AA269" s="898"/>
      <c r="AB269" s="898"/>
      <c r="AC269" s="898"/>
      <c r="AD269" s="898"/>
      <c r="AE269" s="898"/>
      <c r="AF269" s="898"/>
      <c r="AG269" s="898"/>
      <c r="AH269" s="898"/>
      <c r="AI269" s="898"/>
      <c r="AJ269" s="898"/>
      <c r="AK269" s="898"/>
      <c r="AL269" s="898"/>
      <c r="AM269" s="898"/>
      <c r="AN269" s="898"/>
    </row>
    <row r="270" spans="1:40" ht="15.75" customHeight="1">
      <c r="A270" s="883" t="s">
        <v>390</v>
      </c>
      <c r="B270" s="898" t="s">
        <v>99</v>
      </c>
      <c r="C270" s="986" t="s">
        <v>53</v>
      </c>
      <c r="D270" s="971"/>
      <c r="E270" s="898"/>
      <c r="F270" s="919">
        <v>1450.4268862377776</v>
      </c>
      <c r="G270" s="972"/>
      <c r="H270" s="898"/>
      <c r="I270" s="919"/>
      <c r="J270" s="918"/>
      <c r="K270" s="898"/>
      <c r="L270" s="940">
        <v>1496.8</v>
      </c>
      <c r="M270" s="918"/>
      <c r="N270" s="944">
        <v>46.373113762222374</v>
      </c>
      <c r="O270" s="918"/>
      <c r="P270" s="898"/>
      <c r="Q270" s="944">
        <v>1444.63</v>
      </c>
      <c r="R270" s="918"/>
      <c r="S270" s="944">
        <v>52.169999999999845</v>
      </c>
      <c r="T270" s="898"/>
      <c r="U270" s="898"/>
      <c r="V270" s="898"/>
      <c r="W270" s="898"/>
      <c r="X270" s="898"/>
      <c r="Y270" s="898"/>
      <c r="Z270" s="898"/>
      <c r="AA270" s="898"/>
      <c r="AB270" s="898"/>
      <c r="AC270" s="898"/>
      <c r="AD270" s="898"/>
      <c r="AE270" s="898"/>
      <c r="AF270" s="898"/>
      <c r="AG270" s="898"/>
      <c r="AH270" s="898"/>
      <c r="AI270" s="898"/>
      <c r="AJ270" s="898"/>
      <c r="AK270" s="898"/>
      <c r="AL270" s="898"/>
      <c r="AM270" s="898"/>
      <c r="AN270" s="898"/>
    </row>
    <row r="271" spans="1:40" ht="15.75" customHeight="1">
      <c r="A271" s="883" t="s">
        <v>391</v>
      </c>
      <c r="B271" s="898" t="s">
        <v>99</v>
      </c>
      <c r="C271" s="986" t="s">
        <v>54</v>
      </c>
      <c r="D271" s="971"/>
      <c r="E271" s="898"/>
      <c r="F271" s="919">
        <v>214.03823837858201</v>
      </c>
      <c r="G271" s="972"/>
      <c r="H271" s="898"/>
      <c r="I271" s="919"/>
      <c r="J271" s="918"/>
      <c r="K271" s="898"/>
      <c r="L271" s="921">
        <v>186.27</v>
      </c>
      <c r="M271" s="918"/>
      <c r="N271" s="944">
        <v>-27.768238378581998</v>
      </c>
      <c r="O271" s="918"/>
      <c r="P271" s="898"/>
      <c r="Q271" s="944">
        <v>395.97</v>
      </c>
      <c r="R271" s="918"/>
      <c r="S271" s="944">
        <v>-209.70000000000002</v>
      </c>
      <c r="T271" s="898"/>
      <c r="U271" s="898"/>
      <c r="V271" s="898"/>
      <c r="W271" s="898"/>
      <c r="X271" s="898"/>
      <c r="Y271" s="898"/>
      <c r="Z271" s="898"/>
      <c r="AA271" s="898"/>
      <c r="AB271" s="898"/>
      <c r="AC271" s="898"/>
      <c r="AD271" s="898"/>
      <c r="AE271" s="898"/>
      <c r="AF271" s="898"/>
      <c r="AG271" s="898"/>
      <c r="AH271" s="898"/>
      <c r="AI271" s="898"/>
      <c r="AJ271" s="898"/>
      <c r="AK271" s="898"/>
      <c r="AL271" s="898"/>
      <c r="AM271" s="898"/>
      <c r="AN271" s="898"/>
    </row>
    <row r="272" spans="1:40" ht="15.75" customHeight="1">
      <c r="A272" s="883" t="s">
        <v>392</v>
      </c>
      <c r="B272" s="898" t="s">
        <v>99</v>
      </c>
      <c r="C272" s="986" t="s">
        <v>55</v>
      </c>
      <c r="D272" s="973"/>
      <c r="E272" s="993"/>
      <c r="F272" s="913">
        <v>687.14674435248071</v>
      </c>
      <c r="G272" s="974"/>
      <c r="H272" s="993"/>
      <c r="I272" s="913"/>
      <c r="J272" s="911"/>
      <c r="K272" s="993"/>
      <c r="L272" s="921">
        <v>978.56</v>
      </c>
      <c r="M272" s="911"/>
      <c r="N272" s="969">
        <v>291.41325564751924</v>
      </c>
      <c r="O272" s="911"/>
      <c r="P272" s="993"/>
      <c r="Q272" s="969">
        <v>890.04</v>
      </c>
      <c r="R272" s="911"/>
      <c r="S272" s="969">
        <v>88.519999999999982</v>
      </c>
      <c r="T272" s="898"/>
      <c r="U272" s="898"/>
      <c r="V272" s="898"/>
      <c r="W272" s="898"/>
      <c r="X272" s="898"/>
      <c r="Y272" s="898"/>
      <c r="Z272" s="898"/>
      <c r="AA272" s="898"/>
      <c r="AB272" s="898"/>
      <c r="AC272" s="898"/>
      <c r="AD272" s="898"/>
      <c r="AE272" s="898"/>
      <c r="AF272" s="898"/>
      <c r="AG272" s="898"/>
      <c r="AH272" s="898"/>
      <c r="AI272" s="898"/>
      <c r="AJ272" s="898"/>
      <c r="AK272" s="898"/>
      <c r="AL272" s="898"/>
      <c r="AM272" s="898"/>
      <c r="AN272" s="898"/>
    </row>
    <row r="273" spans="1:40" ht="15.75" customHeight="1">
      <c r="A273" s="883" t="s">
        <v>393</v>
      </c>
      <c r="B273" s="898" t="s">
        <v>99</v>
      </c>
      <c r="C273" s="1091" t="s">
        <v>98</v>
      </c>
      <c r="D273" s="971"/>
      <c r="E273" s="898"/>
      <c r="F273" s="919"/>
      <c r="G273" s="972"/>
      <c r="H273" s="898"/>
      <c r="I273" s="919"/>
      <c r="J273" s="918"/>
      <c r="K273" s="898"/>
      <c r="L273" s="940">
        <v>0</v>
      </c>
      <c r="M273" s="918"/>
      <c r="N273" s="944">
        <v>0</v>
      </c>
      <c r="O273" s="918"/>
      <c r="P273" s="898"/>
      <c r="Q273" s="944">
        <v>0</v>
      </c>
      <c r="R273" s="918"/>
      <c r="S273" s="944">
        <v>0</v>
      </c>
      <c r="T273" s="898"/>
      <c r="U273" s="898"/>
      <c r="V273" s="898"/>
      <c r="W273" s="898"/>
      <c r="X273" s="898"/>
      <c r="Y273" s="898"/>
      <c r="Z273" s="898"/>
      <c r="AA273" s="898"/>
      <c r="AB273" s="898"/>
      <c r="AC273" s="898"/>
      <c r="AD273" s="898"/>
      <c r="AE273" s="898"/>
      <c r="AF273" s="898"/>
      <c r="AG273" s="898"/>
      <c r="AH273" s="898"/>
      <c r="AI273" s="898"/>
      <c r="AJ273" s="898"/>
      <c r="AK273" s="898"/>
      <c r="AL273" s="898"/>
      <c r="AM273" s="898"/>
      <c r="AN273" s="898"/>
    </row>
    <row r="274" spans="1:40" ht="15.75" customHeight="1">
      <c r="A274" s="883" t="s">
        <v>394</v>
      </c>
      <c r="B274" s="898" t="s">
        <v>99</v>
      </c>
      <c r="C274" s="986" t="s">
        <v>56</v>
      </c>
      <c r="D274" s="971"/>
      <c r="E274" s="898"/>
      <c r="F274" s="919">
        <v>45.951533333333337</v>
      </c>
      <c r="G274" s="972"/>
      <c r="H274" s="898"/>
      <c r="I274" s="919"/>
      <c r="J274" s="918"/>
      <c r="K274" s="898"/>
      <c r="L274" s="921">
        <v>5.61</v>
      </c>
      <c r="M274" s="918"/>
      <c r="N274" s="944">
        <v>-40.341533333333338</v>
      </c>
      <c r="O274" s="918"/>
      <c r="P274" s="898"/>
      <c r="Q274" s="944">
        <v>0</v>
      </c>
      <c r="R274" s="918"/>
      <c r="S274" s="944">
        <v>5.61</v>
      </c>
      <c r="T274" s="898"/>
      <c r="U274" s="898"/>
      <c r="V274" s="898"/>
      <c r="W274" s="898"/>
      <c r="X274" s="898"/>
      <c r="Y274" s="898"/>
      <c r="Z274" s="898"/>
      <c r="AA274" s="898"/>
      <c r="AB274" s="898"/>
      <c r="AC274" s="898"/>
      <c r="AD274" s="898"/>
      <c r="AE274" s="898"/>
      <c r="AF274" s="898"/>
      <c r="AG274" s="898"/>
      <c r="AH274" s="898"/>
      <c r="AI274" s="898"/>
      <c r="AJ274" s="898"/>
      <c r="AK274" s="898"/>
      <c r="AL274" s="898"/>
      <c r="AM274" s="898"/>
      <c r="AN274" s="898"/>
    </row>
    <row r="275" spans="1:40" ht="15.75" customHeight="1">
      <c r="A275" s="883" t="s">
        <v>395</v>
      </c>
      <c r="B275" s="898" t="s">
        <v>99</v>
      </c>
      <c r="C275" s="986" t="s">
        <v>57</v>
      </c>
      <c r="D275" s="971"/>
      <c r="E275" s="898"/>
      <c r="F275" s="919">
        <v>28.333333333333332</v>
      </c>
      <c r="G275" s="972"/>
      <c r="H275" s="898"/>
      <c r="I275" s="919"/>
      <c r="J275" s="918"/>
      <c r="K275" s="898"/>
      <c r="L275" s="921">
        <v>0</v>
      </c>
      <c r="M275" s="918"/>
      <c r="N275" s="944">
        <v>-28.333333333333332</v>
      </c>
      <c r="O275" s="918"/>
      <c r="P275" s="898"/>
      <c r="Q275" s="944">
        <v>0</v>
      </c>
      <c r="R275" s="918"/>
      <c r="S275" s="944">
        <v>0</v>
      </c>
      <c r="T275" s="898"/>
      <c r="U275" s="898"/>
      <c r="V275" s="898"/>
      <c r="W275" s="898"/>
      <c r="X275" s="898"/>
      <c r="Y275" s="898"/>
      <c r="Z275" s="898"/>
      <c r="AA275" s="898"/>
      <c r="AB275" s="898"/>
      <c r="AC275" s="898"/>
      <c r="AD275" s="898"/>
      <c r="AE275" s="898"/>
      <c r="AF275" s="898"/>
      <c r="AG275" s="898"/>
      <c r="AH275" s="898"/>
      <c r="AI275" s="898"/>
      <c r="AJ275" s="898"/>
      <c r="AK275" s="898"/>
      <c r="AL275" s="898"/>
      <c r="AM275" s="898"/>
      <c r="AN275" s="898"/>
    </row>
    <row r="276" spans="1:40" ht="15.75" customHeight="1">
      <c r="A276" s="883" t="s">
        <v>396</v>
      </c>
      <c r="B276" s="898" t="s">
        <v>99</v>
      </c>
      <c r="C276" s="986" t="s">
        <v>58</v>
      </c>
      <c r="D276" s="971"/>
      <c r="E276" s="898"/>
      <c r="F276" s="919">
        <v>146.23689705261995</v>
      </c>
      <c r="G276" s="972"/>
      <c r="H276" s="898"/>
      <c r="I276" s="919"/>
      <c r="J276" s="918"/>
      <c r="K276" s="898"/>
      <c r="L276" s="921">
        <v>65.52</v>
      </c>
      <c r="M276" s="918"/>
      <c r="N276" s="944">
        <v>-80.716897052619956</v>
      </c>
      <c r="O276" s="918"/>
      <c r="P276" s="898"/>
      <c r="Q276" s="944">
        <v>137.44</v>
      </c>
      <c r="R276" s="918"/>
      <c r="S276" s="944">
        <v>-71.92</v>
      </c>
      <c r="T276" s="898"/>
      <c r="U276" s="898"/>
      <c r="V276" s="898"/>
      <c r="W276" s="898"/>
      <c r="X276" s="898"/>
      <c r="Y276" s="898"/>
      <c r="Z276" s="898"/>
      <c r="AA276" s="898"/>
      <c r="AB276" s="898"/>
      <c r="AC276" s="898"/>
      <c r="AD276" s="898"/>
      <c r="AE276" s="898"/>
      <c r="AF276" s="898"/>
      <c r="AG276" s="898"/>
      <c r="AH276" s="898"/>
      <c r="AI276" s="898"/>
      <c r="AJ276" s="898"/>
      <c r="AK276" s="898"/>
      <c r="AL276" s="898"/>
      <c r="AM276" s="898"/>
      <c r="AN276" s="898"/>
    </row>
    <row r="277" spans="1:40" ht="15.75" customHeight="1">
      <c r="A277" s="883" t="s">
        <v>397</v>
      </c>
      <c r="B277" s="898" t="s">
        <v>99</v>
      </c>
      <c r="C277" s="986" t="s">
        <v>59</v>
      </c>
      <c r="D277" s="971"/>
      <c r="E277" s="898"/>
      <c r="F277" s="919">
        <v>32.368975325808613</v>
      </c>
      <c r="G277" s="972"/>
      <c r="H277" s="898"/>
      <c r="I277" s="919"/>
      <c r="J277" s="918"/>
      <c r="K277" s="898"/>
      <c r="L277" s="921">
        <v>26.36</v>
      </c>
      <c r="M277" s="918"/>
      <c r="N277" s="944">
        <v>-6.0089753258086134</v>
      </c>
      <c r="O277" s="918"/>
      <c r="P277" s="898"/>
      <c r="Q277" s="944">
        <v>27.51</v>
      </c>
      <c r="R277" s="918"/>
      <c r="S277" s="944">
        <v>-1.1500000000000021</v>
      </c>
      <c r="T277" s="898"/>
      <c r="U277" s="898"/>
      <c r="V277" s="898"/>
      <c r="W277" s="898"/>
      <c r="X277" s="898"/>
      <c r="Y277" s="898"/>
      <c r="Z277" s="898"/>
      <c r="AA277" s="898"/>
      <c r="AB277" s="898"/>
      <c r="AC277" s="898"/>
      <c r="AD277" s="898"/>
      <c r="AE277" s="898"/>
      <c r="AF277" s="898"/>
      <c r="AG277" s="898"/>
      <c r="AH277" s="898"/>
      <c r="AI277" s="898"/>
      <c r="AJ277" s="898"/>
      <c r="AK277" s="898"/>
      <c r="AL277" s="898"/>
      <c r="AM277" s="898"/>
      <c r="AN277" s="898"/>
    </row>
    <row r="278" spans="1:40" ht="15.75" customHeight="1">
      <c r="A278" s="883" t="s">
        <v>398</v>
      </c>
      <c r="B278" s="898" t="s">
        <v>99</v>
      </c>
      <c r="C278" s="986" t="s">
        <v>60</v>
      </c>
      <c r="D278" s="971"/>
      <c r="E278" s="898"/>
      <c r="F278" s="919">
        <v>22.492098830591392</v>
      </c>
      <c r="G278" s="972"/>
      <c r="H278" s="898"/>
      <c r="I278" s="919"/>
      <c r="J278" s="918"/>
      <c r="K278" s="898"/>
      <c r="L278" s="921">
        <v>17.11</v>
      </c>
      <c r="M278" s="918"/>
      <c r="N278" s="944">
        <v>-5.3820988305913922</v>
      </c>
      <c r="O278" s="918"/>
      <c r="P278" s="898"/>
      <c r="Q278" s="944">
        <v>7.21</v>
      </c>
      <c r="R278" s="918"/>
      <c r="S278" s="944">
        <v>9.8999999999999986</v>
      </c>
      <c r="T278" s="898"/>
      <c r="U278" s="898"/>
      <c r="V278" s="898"/>
      <c r="W278" s="898"/>
      <c r="X278" s="898"/>
      <c r="Y278" s="898"/>
      <c r="Z278" s="898"/>
      <c r="AA278" s="898"/>
      <c r="AB278" s="898"/>
      <c r="AC278" s="898"/>
      <c r="AD278" s="898"/>
      <c r="AE278" s="898"/>
      <c r="AF278" s="898"/>
      <c r="AG278" s="898"/>
      <c r="AH278" s="898"/>
      <c r="AI278" s="898"/>
      <c r="AJ278" s="898"/>
      <c r="AK278" s="898"/>
      <c r="AL278" s="898"/>
      <c r="AM278" s="898"/>
      <c r="AN278" s="898"/>
    </row>
    <row r="279" spans="1:40" ht="15.75" customHeight="1">
      <c r="A279" s="883" t="s">
        <v>399</v>
      </c>
      <c r="B279" s="898" t="s">
        <v>99</v>
      </c>
      <c r="C279" s="986" t="s">
        <v>61</v>
      </c>
      <c r="D279" s="971"/>
      <c r="E279" s="898"/>
      <c r="F279" s="919">
        <v>102.90506750548639</v>
      </c>
      <c r="G279" s="972"/>
      <c r="H279" s="898"/>
      <c r="I279" s="919"/>
      <c r="J279" s="918"/>
      <c r="K279" s="898"/>
      <c r="L279" s="921">
        <v>29.47</v>
      </c>
      <c r="M279" s="918"/>
      <c r="N279" s="944">
        <v>-73.435067505486387</v>
      </c>
      <c r="O279" s="918"/>
      <c r="P279" s="898"/>
      <c r="Q279" s="944">
        <v>33.26</v>
      </c>
      <c r="R279" s="918"/>
      <c r="S279" s="944">
        <v>-3.7899999999999991</v>
      </c>
      <c r="T279" s="898"/>
      <c r="U279" s="898"/>
      <c r="V279" s="898"/>
      <c r="W279" s="898"/>
      <c r="X279" s="898"/>
      <c r="Y279" s="898"/>
      <c r="Z279" s="898"/>
      <c r="AA279" s="898"/>
      <c r="AB279" s="898"/>
      <c r="AC279" s="898"/>
      <c r="AD279" s="898"/>
      <c r="AE279" s="898"/>
      <c r="AF279" s="898"/>
      <c r="AG279" s="898"/>
      <c r="AH279" s="898"/>
      <c r="AI279" s="898"/>
      <c r="AJ279" s="898"/>
      <c r="AK279" s="898"/>
      <c r="AL279" s="898"/>
      <c r="AM279" s="898"/>
      <c r="AN279" s="898"/>
    </row>
    <row r="280" spans="1:40" ht="15.75" customHeight="1">
      <c r="A280" s="883" t="s">
        <v>400</v>
      </c>
      <c r="B280" s="898" t="s">
        <v>99</v>
      </c>
      <c r="C280" s="986" t="s">
        <v>62</v>
      </c>
      <c r="D280" s="971"/>
      <c r="E280" s="898"/>
      <c r="F280" s="919">
        <v>175.49870178698256</v>
      </c>
      <c r="G280" s="972"/>
      <c r="H280" s="898"/>
      <c r="I280" s="919"/>
      <c r="J280" s="918"/>
      <c r="K280" s="898"/>
      <c r="L280" s="921">
        <v>90.63</v>
      </c>
      <c r="M280" s="918"/>
      <c r="N280" s="944">
        <v>-84.86870178698257</v>
      </c>
      <c r="O280" s="918"/>
      <c r="P280" s="898"/>
      <c r="Q280" s="944">
        <v>146.1</v>
      </c>
      <c r="R280" s="918"/>
      <c r="S280" s="944">
        <v>-55.47</v>
      </c>
      <c r="T280" s="898"/>
      <c r="X280" s="898"/>
      <c r="Y280" s="898"/>
      <c r="Z280" s="898"/>
      <c r="AA280" s="898"/>
      <c r="AB280" s="898"/>
      <c r="AC280" s="898"/>
      <c r="AD280" s="898"/>
      <c r="AE280" s="898"/>
      <c r="AF280" s="898"/>
      <c r="AG280" s="898"/>
      <c r="AH280" s="898"/>
      <c r="AI280" s="898"/>
      <c r="AJ280" s="898"/>
      <c r="AK280" s="898"/>
      <c r="AL280" s="898"/>
      <c r="AM280" s="898"/>
      <c r="AN280" s="898"/>
    </row>
    <row r="281" spans="1:40" ht="15.75" customHeight="1">
      <c r="A281" s="883" t="s">
        <v>401</v>
      </c>
      <c r="B281" s="898" t="s">
        <v>99</v>
      </c>
      <c r="C281" s="986" t="s">
        <v>63</v>
      </c>
      <c r="D281" s="971"/>
      <c r="E281" s="898"/>
      <c r="F281" s="919">
        <v>181.82370823817581</v>
      </c>
      <c r="G281" s="972"/>
      <c r="H281" s="898"/>
      <c r="I281" s="919"/>
      <c r="J281" s="918"/>
      <c r="K281" s="898"/>
      <c r="L281" s="921">
        <v>223.14</v>
      </c>
      <c r="M281" s="918"/>
      <c r="N281" s="944">
        <v>41.316291761824175</v>
      </c>
      <c r="O281" s="918"/>
      <c r="P281" s="898"/>
      <c r="Q281" s="944">
        <v>181.51</v>
      </c>
      <c r="R281" s="918"/>
      <c r="S281" s="944">
        <v>41.629999999999995</v>
      </c>
      <c r="T281" s="898"/>
      <c r="X281" s="898"/>
      <c r="Y281" s="898"/>
      <c r="Z281" s="898"/>
      <c r="AA281" s="898"/>
      <c r="AB281" s="898"/>
      <c r="AC281" s="898"/>
      <c r="AD281" s="898"/>
      <c r="AE281" s="898"/>
      <c r="AF281" s="898"/>
      <c r="AG281" s="898"/>
      <c r="AH281" s="898"/>
      <c r="AI281" s="898"/>
      <c r="AJ281" s="898"/>
      <c r="AK281" s="898"/>
      <c r="AL281" s="898"/>
      <c r="AM281" s="898"/>
      <c r="AN281" s="898"/>
    </row>
    <row r="282" spans="1:40" ht="15.75" hidden="1" customHeight="1">
      <c r="A282" s="883" t="s">
        <v>381</v>
      </c>
      <c r="B282" s="898" t="s">
        <v>99</v>
      </c>
      <c r="C282" s="986" t="s">
        <v>20</v>
      </c>
      <c r="D282" s="971"/>
      <c r="E282" s="898"/>
      <c r="F282" s="919">
        <v>0</v>
      </c>
      <c r="G282" s="972"/>
      <c r="H282" s="898"/>
      <c r="I282" s="919"/>
      <c r="J282" s="918"/>
      <c r="K282" s="898"/>
      <c r="L282" s="921">
        <v>0</v>
      </c>
      <c r="M282" s="918"/>
      <c r="N282" s="944">
        <v>0</v>
      </c>
      <c r="O282" s="918"/>
      <c r="P282" s="898"/>
      <c r="Q282" s="921">
        <v>0</v>
      </c>
      <c r="R282" s="918"/>
      <c r="S282" s="944">
        <v>0</v>
      </c>
      <c r="T282" s="898"/>
      <c r="X282" s="898"/>
      <c r="Y282" s="898"/>
      <c r="Z282" s="898"/>
      <c r="AA282" s="898"/>
      <c r="AB282" s="898"/>
      <c r="AC282" s="898"/>
      <c r="AD282" s="898"/>
      <c r="AE282" s="898"/>
      <c r="AF282" s="898"/>
      <c r="AG282" s="898"/>
      <c r="AH282" s="898"/>
      <c r="AI282" s="898"/>
      <c r="AJ282" s="898"/>
      <c r="AK282" s="898"/>
      <c r="AL282" s="898"/>
      <c r="AM282" s="898"/>
      <c r="AN282" s="898"/>
    </row>
    <row r="283" spans="1:40" ht="15.75" hidden="1" customHeight="1">
      <c r="A283" s="883" t="s">
        <v>381</v>
      </c>
      <c r="B283" s="898" t="s">
        <v>99</v>
      </c>
      <c r="C283" s="986" t="s">
        <v>20</v>
      </c>
      <c r="D283" s="971"/>
      <c r="E283" s="898"/>
      <c r="F283" s="919">
        <v>0</v>
      </c>
      <c r="G283" s="972"/>
      <c r="H283" s="898"/>
      <c r="I283" s="919"/>
      <c r="J283" s="918"/>
      <c r="K283" s="898"/>
      <c r="L283" s="921">
        <v>0</v>
      </c>
      <c r="M283" s="918"/>
      <c r="N283" s="944">
        <v>0</v>
      </c>
      <c r="O283" s="918"/>
      <c r="P283" s="898"/>
      <c r="Q283" s="921">
        <v>0</v>
      </c>
      <c r="R283" s="918"/>
      <c r="S283" s="944">
        <v>0</v>
      </c>
      <c r="T283" s="898"/>
      <c r="X283" s="898"/>
      <c r="Y283" s="898"/>
      <c r="Z283" s="898"/>
      <c r="AA283" s="898"/>
      <c r="AB283" s="898"/>
      <c r="AC283" s="898"/>
      <c r="AD283" s="898"/>
      <c r="AE283" s="898"/>
      <c r="AF283" s="898"/>
      <c r="AG283" s="898"/>
      <c r="AH283" s="898"/>
      <c r="AI283" s="898"/>
      <c r="AJ283" s="898"/>
      <c r="AK283" s="898"/>
      <c r="AL283" s="898"/>
      <c r="AM283" s="898"/>
      <c r="AN283" s="898"/>
    </row>
    <row r="284" spans="1:40" ht="15.75" hidden="1" customHeight="1">
      <c r="A284" s="883" t="s">
        <v>381</v>
      </c>
      <c r="B284" s="898" t="s">
        <v>99</v>
      </c>
      <c r="C284" s="986" t="s">
        <v>20</v>
      </c>
      <c r="D284" s="971"/>
      <c r="E284" s="898"/>
      <c r="F284" s="919">
        <v>0</v>
      </c>
      <c r="G284" s="972"/>
      <c r="H284" s="898"/>
      <c r="I284" s="919"/>
      <c r="J284" s="918"/>
      <c r="K284" s="898"/>
      <c r="L284" s="921">
        <v>0</v>
      </c>
      <c r="M284" s="918"/>
      <c r="N284" s="944">
        <v>0</v>
      </c>
      <c r="O284" s="918"/>
      <c r="P284" s="898"/>
      <c r="Q284" s="921">
        <v>0</v>
      </c>
      <c r="R284" s="918"/>
      <c r="S284" s="944">
        <v>0</v>
      </c>
      <c r="T284" s="898"/>
      <c r="X284" s="898"/>
      <c r="Y284" s="898"/>
      <c r="Z284" s="898"/>
      <c r="AA284" s="898"/>
      <c r="AB284" s="898"/>
      <c r="AC284" s="898"/>
      <c r="AD284" s="898"/>
      <c r="AE284" s="898"/>
      <c r="AF284" s="898"/>
      <c r="AG284" s="898"/>
      <c r="AH284" s="898"/>
      <c r="AI284" s="898"/>
      <c r="AJ284" s="898"/>
      <c r="AK284" s="898"/>
      <c r="AL284" s="898"/>
      <c r="AM284" s="898"/>
      <c r="AN284" s="898"/>
    </row>
    <row r="285" spans="1:40" ht="15.75" customHeight="1">
      <c r="B285" s="898"/>
      <c r="C285" s="978" t="s">
        <v>64</v>
      </c>
      <c r="D285" s="979" t="s">
        <v>39</v>
      </c>
      <c r="E285" s="980" t="e">
        <v>#DIV/0!</v>
      </c>
      <c r="F285" s="981">
        <v>3821.737098989076</v>
      </c>
      <c r="G285" s="982"/>
      <c r="H285" s="980"/>
      <c r="I285" s="981"/>
      <c r="J285" s="982" t="s">
        <v>39</v>
      </c>
      <c r="K285" s="980">
        <v>0.25963514862892695</v>
      </c>
      <c r="L285" s="981">
        <v>3380.19</v>
      </c>
      <c r="M285" s="985"/>
      <c r="N285" s="981">
        <v>-441.54709898907623</v>
      </c>
      <c r="O285" s="982" t="s">
        <v>39</v>
      </c>
      <c r="P285" s="980">
        <v>0</v>
      </c>
      <c r="Q285" s="981">
        <v>5792.22</v>
      </c>
      <c r="R285" s="985"/>
      <c r="S285" s="981">
        <v>-2412.0300000000002</v>
      </c>
      <c r="T285" s="958"/>
      <c r="X285" s="898"/>
      <c r="Y285" s="898"/>
      <c r="Z285" s="898"/>
      <c r="AA285" s="898"/>
      <c r="AB285" s="898"/>
      <c r="AC285" s="898"/>
      <c r="AD285" s="898"/>
      <c r="AE285" s="898"/>
      <c r="AF285" s="898"/>
      <c r="AG285" s="898"/>
      <c r="AH285" s="898"/>
      <c r="AI285" s="898"/>
      <c r="AJ285" s="898"/>
      <c r="AK285" s="898"/>
      <c r="AL285" s="898"/>
      <c r="AM285" s="898"/>
      <c r="AN285" s="898"/>
    </row>
    <row r="286" spans="1:40" ht="15.75" customHeight="1">
      <c r="B286" s="898"/>
      <c r="C286" s="911"/>
      <c r="D286" s="973"/>
      <c r="E286" s="993"/>
      <c r="F286" s="944"/>
      <c r="G286" s="974"/>
      <c r="H286" s="993"/>
      <c r="I286" s="944"/>
      <c r="J286" s="911"/>
      <c r="K286" s="993"/>
      <c r="L286" s="969"/>
      <c r="M286" s="911"/>
      <c r="N286" s="969"/>
      <c r="O286" s="911"/>
      <c r="P286" s="993"/>
      <c r="Q286" s="969"/>
      <c r="R286" s="911"/>
      <c r="S286" s="969"/>
      <c r="T286" s="958"/>
      <c r="U286" s="898"/>
      <c r="V286" s="898"/>
      <c r="W286" s="898"/>
      <c r="X286" s="898"/>
      <c r="Y286" s="898"/>
      <c r="Z286" s="898"/>
      <c r="AA286" s="898"/>
      <c r="AB286" s="898"/>
      <c r="AC286" s="898"/>
      <c r="AD286" s="898"/>
      <c r="AE286" s="898"/>
      <c r="AF286" s="898"/>
      <c r="AG286" s="898"/>
      <c r="AH286" s="898"/>
      <c r="AI286" s="898"/>
      <c r="AJ286" s="898"/>
      <c r="AK286" s="898"/>
      <c r="AL286" s="898"/>
      <c r="AM286" s="898"/>
      <c r="AN286" s="898"/>
    </row>
    <row r="287" spans="1:40" ht="15.75" customHeight="1">
      <c r="B287" s="898"/>
      <c r="C287" s="978" t="s">
        <v>65</v>
      </c>
      <c r="D287" s="979" t="s">
        <v>39</v>
      </c>
      <c r="E287" s="980" t="e">
        <v>#DIV/0!</v>
      </c>
      <c r="F287" s="981">
        <v>10915.382195604459</v>
      </c>
      <c r="G287" s="982"/>
      <c r="H287" s="980"/>
      <c r="I287" s="981"/>
      <c r="J287" s="982" t="s">
        <v>39</v>
      </c>
      <c r="K287" s="980">
        <v>0.88363545587218673</v>
      </c>
      <c r="L287" s="981">
        <v>11504.05</v>
      </c>
      <c r="M287" s="985"/>
      <c r="N287" s="995">
        <v>588.66780439553986</v>
      </c>
      <c r="O287" s="982" t="s">
        <v>39</v>
      </c>
      <c r="P287" s="980">
        <v>0</v>
      </c>
      <c r="Q287" s="981">
        <v>8303.76</v>
      </c>
      <c r="R287" s="985"/>
      <c r="S287" s="995">
        <v>3200.2899999999991</v>
      </c>
      <c r="T287" s="958"/>
      <c r="U287" s="898"/>
      <c r="V287" s="898"/>
      <c r="W287" s="898"/>
      <c r="X287" s="898"/>
      <c r="Y287" s="898"/>
      <c r="Z287" s="898"/>
      <c r="AA287" s="898"/>
      <c r="AB287" s="898"/>
      <c r="AC287" s="898"/>
      <c r="AD287" s="898"/>
      <c r="AE287" s="898"/>
      <c r="AF287" s="898"/>
      <c r="AG287" s="898"/>
      <c r="AH287" s="898"/>
      <c r="AI287" s="898"/>
      <c r="AJ287" s="898"/>
      <c r="AK287" s="898"/>
      <c r="AL287" s="898"/>
      <c r="AM287" s="898"/>
      <c r="AN287" s="898"/>
    </row>
    <row r="288" spans="1:40" ht="15.75" customHeight="1">
      <c r="B288" s="898"/>
      <c r="C288" s="918"/>
      <c r="D288" s="971"/>
      <c r="E288" s="898"/>
      <c r="F288" s="944"/>
      <c r="G288" s="972"/>
      <c r="H288" s="898"/>
      <c r="I288" s="944"/>
      <c r="J288" s="918"/>
      <c r="K288" s="898"/>
      <c r="L288" s="944"/>
      <c r="M288" s="918"/>
      <c r="N288" s="944">
        <v>0</v>
      </c>
      <c r="O288" s="918"/>
      <c r="P288" s="898"/>
      <c r="Q288" s="944"/>
      <c r="R288" s="918"/>
      <c r="S288" s="944"/>
      <c r="T288" s="898"/>
      <c r="U288" s="898"/>
      <c r="V288" s="898"/>
      <c r="W288" s="898"/>
      <c r="X288" s="898"/>
      <c r="Y288" s="898"/>
      <c r="Z288" s="898"/>
      <c r="AA288" s="898"/>
      <c r="AB288" s="898"/>
      <c r="AC288" s="898"/>
      <c r="AD288" s="898"/>
      <c r="AE288" s="898"/>
      <c r="AF288" s="898"/>
      <c r="AG288" s="898"/>
      <c r="AH288" s="898"/>
      <c r="AI288" s="898"/>
      <c r="AJ288" s="898"/>
      <c r="AK288" s="898"/>
      <c r="AL288" s="898"/>
      <c r="AM288" s="898"/>
      <c r="AN288" s="898"/>
    </row>
    <row r="289" spans="1:40" ht="29.25" customHeight="1" thickBot="1">
      <c r="B289" s="898"/>
      <c r="C289" s="1010" t="s">
        <v>72</v>
      </c>
      <c r="D289" s="1040"/>
      <c r="E289" s="1011"/>
      <c r="F289" s="1013">
        <v>964.61780439554059</v>
      </c>
      <c r="G289" s="1041"/>
      <c r="H289" s="1011"/>
      <c r="I289" s="1013"/>
      <c r="J289" s="1010"/>
      <c r="K289" s="1012"/>
      <c r="L289" s="1013">
        <v>1514.9500000000007</v>
      </c>
      <c r="M289" s="1010"/>
      <c r="N289" s="1013">
        <v>550.33219560446014</v>
      </c>
      <c r="O289" s="1010"/>
      <c r="P289" s="1015">
        <v>-0.33495470993616</v>
      </c>
      <c r="Q289" s="1013">
        <v>-3633.1700000000101</v>
      </c>
      <c r="R289" s="1010"/>
      <c r="S289" s="1013">
        <v>5148.1200000000108</v>
      </c>
      <c r="T289" s="958"/>
      <c r="U289" s="898"/>
      <c r="V289" s="898"/>
      <c r="W289" s="898"/>
      <c r="X289" s="898"/>
      <c r="Y289" s="898"/>
      <c r="Z289" s="898"/>
      <c r="AA289" s="898"/>
      <c r="AB289" s="898"/>
      <c r="AC289" s="898"/>
      <c r="AD289" s="898"/>
      <c r="AE289" s="898"/>
      <c r="AF289" s="898"/>
      <c r="AG289" s="898"/>
      <c r="AH289" s="898"/>
      <c r="AI289" s="898"/>
      <c r="AJ289" s="898"/>
      <c r="AK289" s="898"/>
      <c r="AL289" s="898"/>
      <c r="AM289" s="898"/>
      <c r="AN289" s="898"/>
    </row>
    <row r="290" spans="1:40" ht="15.75" customHeight="1" thickTop="1">
      <c r="B290" s="898"/>
      <c r="C290" s="898"/>
      <c r="D290" s="898"/>
      <c r="E290" s="898"/>
      <c r="F290" s="898"/>
      <c r="G290" s="898"/>
      <c r="H290" s="898"/>
      <c r="I290" s="898"/>
      <c r="J290" s="898"/>
      <c r="K290" s="898"/>
      <c r="L290" s="960"/>
      <c r="M290" s="898"/>
      <c r="N290" s="898"/>
      <c r="O290" s="898"/>
      <c r="P290" s="898"/>
      <c r="Q290" s="898"/>
      <c r="R290" s="898"/>
      <c r="S290" s="898"/>
      <c r="T290" s="898"/>
      <c r="U290" s="898"/>
      <c r="V290" s="898"/>
      <c r="W290" s="898"/>
      <c r="X290" s="898"/>
      <c r="Y290" s="898"/>
      <c r="Z290" s="898"/>
      <c r="AA290" s="898"/>
      <c r="AB290" s="898"/>
      <c r="AC290" s="898"/>
      <c r="AD290" s="898"/>
      <c r="AE290" s="898"/>
      <c r="AF290" s="898"/>
      <c r="AG290" s="898"/>
      <c r="AH290" s="898"/>
      <c r="AI290" s="898"/>
      <c r="AJ290" s="898"/>
      <c r="AK290" s="898"/>
      <c r="AL290" s="898"/>
      <c r="AM290" s="898"/>
      <c r="AN290" s="898"/>
    </row>
    <row r="291" spans="1:40" ht="36" customHeight="1">
      <c r="B291" s="898"/>
      <c r="C291" s="1020" t="s">
        <v>478</v>
      </c>
      <c r="D291" s="886"/>
      <c r="E291" s="886"/>
      <c r="F291" s="886"/>
      <c r="G291" s="886"/>
      <c r="H291" s="884"/>
      <c r="I291" s="884"/>
      <c r="J291" s="884"/>
      <c r="K291" s="888" t="s">
        <v>103</v>
      </c>
      <c r="L291" s="886"/>
      <c r="M291" s="886"/>
      <c r="N291" s="884"/>
      <c r="O291" s="884"/>
      <c r="P291" s="886"/>
      <c r="Q291" s="884"/>
      <c r="R291" s="886"/>
      <c r="S291" s="1021" t="s">
        <v>482</v>
      </c>
      <c r="T291" s="898"/>
      <c r="U291" s="898"/>
      <c r="V291" s="898"/>
      <c r="W291" s="898"/>
      <c r="X291" s="898"/>
      <c r="Y291" s="898"/>
      <c r="Z291" s="898"/>
      <c r="AA291" s="898"/>
      <c r="AB291" s="898"/>
      <c r="AC291" s="898"/>
      <c r="AD291" s="898"/>
      <c r="AE291" s="898"/>
      <c r="AF291" s="898"/>
      <c r="AG291" s="898"/>
      <c r="AH291" s="898"/>
      <c r="AI291" s="898"/>
      <c r="AJ291" s="898"/>
      <c r="AK291" s="898"/>
      <c r="AL291" s="898"/>
      <c r="AM291" s="898"/>
      <c r="AN291" s="898"/>
    </row>
    <row r="292" spans="1:40" ht="15.75" customHeight="1" thickBot="1">
      <c r="B292" s="898"/>
      <c r="C292" s="893"/>
      <c r="D292" s="895"/>
      <c r="E292" s="895"/>
      <c r="F292" s="895"/>
      <c r="G292" s="895"/>
      <c r="H292" s="895"/>
      <c r="I292" s="895"/>
      <c r="J292" s="895"/>
      <c r="K292" s="895"/>
      <c r="L292" s="895"/>
      <c r="M292" s="895"/>
      <c r="N292" s="895"/>
      <c r="O292" s="895"/>
      <c r="P292" s="895"/>
      <c r="Q292" s="895"/>
      <c r="R292" s="895"/>
      <c r="S292" s="895"/>
      <c r="T292" s="898"/>
      <c r="U292" s="898"/>
      <c r="V292" s="898"/>
      <c r="W292" s="898"/>
      <c r="X292" s="898"/>
      <c r="Y292" s="898"/>
      <c r="Z292" s="898"/>
      <c r="AA292" s="898"/>
      <c r="AB292" s="898"/>
      <c r="AC292" s="898"/>
      <c r="AD292" s="898"/>
      <c r="AE292" s="898"/>
      <c r="AF292" s="898"/>
      <c r="AG292" s="898"/>
      <c r="AH292" s="898"/>
      <c r="AI292" s="898"/>
      <c r="AJ292" s="898"/>
      <c r="AK292" s="898"/>
      <c r="AL292" s="898"/>
      <c r="AM292" s="898"/>
      <c r="AN292" s="898"/>
    </row>
    <row r="293" spans="1:40" ht="15.75" customHeight="1" thickTop="1">
      <c r="B293" s="898"/>
      <c r="C293" s="899"/>
      <c r="D293" s="900" t="s">
        <v>5</v>
      </c>
      <c r="E293" s="901"/>
      <c r="F293" s="902"/>
      <c r="G293" s="903"/>
      <c r="H293" s="901"/>
      <c r="I293" s="902"/>
      <c r="J293" s="903" t="s">
        <v>7</v>
      </c>
      <c r="K293" s="901"/>
      <c r="L293" s="902"/>
      <c r="M293" s="903" t="s">
        <v>220</v>
      </c>
      <c r="N293" s="902"/>
      <c r="O293" s="900" t="s">
        <v>8</v>
      </c>
      <c r="P293" s="901"/>
      <c r="Q293" s="902"/>
      <c r="R293" s="903" t="s">
        <v>221</v>
      </c>
      <c r="S293" s="902"/>
      <c r="T293" s="898"/>
      <c r="U293" s="898"/>
      <c r="V293" s="898"/>
      <c r="W293" s="898"/>
      <c r="X293" s="898"/>
      <c r="Y293" s="898"/>
      <c r="Z293" s="898"/>
      <c r="AA293" s="898"/>
      <c r="AB293" s="898"/>
      <c r="AC293" s="898"/>
      <c r="AD293" s="898"/>
      <c r="AE293" s="898"/>
      <c r="AF293" s="898"/>
      <c r="AG293" s="898"/>
      <c r="AH293" s="898"/>
      <c r="AI293" s="898"/>
      <c r="AJ293" s="898"/>
      <c r="AK293" s="898"/>
      <c r="AL293" s="898"/>
      <c r="AM293" s="898"/>
      <c r="AN293" s="898"/>
    </row>
    <row r="294" spans="1:40" ht="15.75" customHeight="1">
      <c r="A294" s="883" t="s">
        <v>103</v>
      </c>
      <c r="B294" s="898" t="s">
        <v>103</v>
      </c>
      <c r="C294" s="918"/>
      <c r="D294" s="962" t="s">
        <v>84</v>
      </c>
      <c r="E294" s="962" t="s">
        <v>104</v>
      </c>
      <c r="F294" s="1043" t="s">
        <v>12</v>
      </c>
      <c r="G294" s="1044"/>
      <c r="H294" s="962"/>
      <c r="I294" s="1043"/>
      <c r="J294" s="1044" t="s">
        <v>84</v>
      </c>
      <c r="K294" s="962" t="s">
        <v>104</v>
      </c>
      <c r="L294" s="1043" t="s">
        <v>12</v>
      </c>
      <c r="M294" s="1044" t="s">
        <v>40</v>
      </c>
      <c r="N294" s="1043" t="s">
        <v>223</v>
      </c>
      <c r="O294" s="962" t="s">
        <v>84</v>
      </c>
      <c r="P294" s="962" t="s">
        <v>104</v>
      </c>
      <c r="Q294" s="1043" t="s">
        <v>12</v>
      </c>
      <c r="R294" s="1044" t="s">
        <v>85</v>
      </c>
      <c r="S294" s="1043" t="s">
        <v>12</v>
      </c>
      <c r="T294" s="898"/>
      <c r="U294" s="898"/>
      <c r="V294" s="898"/>
      <c r="W294" s="898"/>
      <c r="X294" s="898"/>
      <c r="Y294" s="898"/>
      <c r="Z294" s="898"/>
      <c r="AA294" s="898"/>
      <c r="AB294" s="898"/>
      <c r="AC294" s="898"/>
      <c r="AD294" s="898"/>
      <c r="AE294" s="898"/>
      <c r="AF294" s="898"/>
      <c r="AG294" s="898"/>
      <c r="AH294" s="898"/>
      <c r="AI294" s="898"/>
      <c r="AJ294" s="898"/>
      <c r="AK294" s="898"/>
      <c r="AL294" s="898"/>
      <c r="AM294" s="898"/>
      <c r="AN294" s="898"/>
    </row>
    <row r="295" spans="1:40" ht="15.75" customHeight="1">
      <c r="A295" s="883" t="s">
        <v>402</v>
      </c>
      <c r="B295" s="898" t="s">
        <v>103</v>
      </c>
      <c r="C295" s="918" t="s">
        <v>105</v>
      </c>
      <c r="D295" s="960">
        <v>75306.342279999997</v>
      </c>
      <c r="E295" s="1033">
        <v>0.35699999999999998</v>
      </c>
      <c r="F295" s="944">
        <v>26884.364193959998</v>
      </c>
      <c r="G295" s="960"/>
      <c r="H295" s="1033"/>
      <c r="I295" s="944"/>
      <c r="J295" s="960">
        <v>86276.05</v>
      </c>
      <c r="K295" s="1033">
        <v>0.38774375971083513</v>
      </c>
      <c r="L295" s="944">
        <v>33453</v>
      </c>
      <c r="M295" s="964">
        <v>0.14566778026760385</v>
      </c>
      <c r="N295" s="944">
        <v>6568.6358060400016</v>
      </c>
      <c r="O295" s="919">
        <v>93978.35</v>
      </c>
      <c r="P295" s="1033">
        <v>0.36370547046207985</v>
      </c>
      <c r="Q295" s="944">
        <v>34180.44</v>
      </c>
      <c r="R295" s="964">
        <v>-8.1958238253810614E-2</v>
      </c>
      <c r="S295" s="944">
        <v>-727.44000000000233</v>
      </c>
      <c r="T295" s="898"/>
      <c r="U295" s="898"/>
      <c r="V295" s="898"/>
      <c r="W295" s="898"/>
      <c r="X295" s="898"/>
      <c r="Y295" s="898"/>
      <c r="Z295" s="898"/>
      <c r="AA295" s="898"/>
      <c r="AB295" s="898"/>
      <c r="AC295" s="898"/>
      <c r="AD295" s="898"/>
      <c r="AE295" s="898"/>
      <c r="AF295" s="898"/>
      <c r="AG295" s="898"/>
      <c r="AH295" s="898"/>
      <c r="AI295" s="898"/>
      <c r="AJ295" s="898"/>
      <c r="AK295" s="898"/>
      <c r="AL295" s="898"/>
      <c r="AM295" s="898"/>
      <c r="AN295" s="898"/>
    </row>
    <row r="296" spans="1:40" ht="15.75" customHeight="1">
      <c r="A296" s="883" t="s">
        <v>403</v>
      </c>
      <c r="B296" s="898" t="s">
        <v>103</v>
      </c>
      <c r="C296" s="918" t="s">
        <v>106</v>
      </c>
      <c r="D296" s="960">
        <v>32400</v>
      </c>
      <c r="E296" s="1033">
        <v>0.248</v>
      </c>
      <c r="F296" s="944">
        <v>8035.2</v>
      </c>
      <c r="G296" s="960"/>
      <c r="H296" s="1033"/>
      <c r="I296" s="944"/>
      <c r="J296" s="960">
        <v>61917.71</v>
      </c>
      <c r="K296" s="1033">
        <v>0.23422248658744002</v>
      </c>
      <c r="L296" s="944">
        <v>14502.52</v>
      </c>
      <c r="M296" s="964">
        <v>0.9110404320987654</v>
      </c>
      <c r="N296" s="944">
        <v>6467.3200000000006</v>
      </c>
      <c r="O296" s="919">
        <v>5777.21</v>
      </c>
      <c r="P296" s="1033">
        <v>0.23101808658504538</v>
      </c>
      <c r="Q296" s="944">
        <v>1334.6399999999901</v>
      </c>
      <c r="R296" s="964">
        <v>9.7175799391055548</v>
      </c>
      <c r="S296" s="944">
        <v>13167.88000000001</v>
      </c>
      <c r="T296" s="898"/>
      <c r="U296" s="898"/>
      <c r="V296" s="898"/>
      <c r="W296" s="898"/>
      <c r="X296" s="898"/>
      <c r="Y296" s="898"/>
      <c r="Z296" s="898"/>
      <c r="AA296" s="898"/>
      <c r="AB296" s="898"/>
      <c r="AC296" s="898"/>
      <c r="AD296" s="898"/>
      <c r="AE296" s="898"/>
      <c r="AF296" s="898"/>
      <c r="AG296" s="898"/>
      <c r="AH296" s="898"/>
      <c r="AI296" s="898"/>
      <c r="AJ296" s="898"/>
      <c r="AK296" s="898"/>
      <c r="AL296" s="898"/>
      <c r="AM296" s="898"/>
      <c r="AN296" s="898"/>
    </row>
    <row r="297" spans="1:40" ht="15.75" customHeight="1">
      <c r="A297" s="883" t="s">
        <v>404</v>
      </c>
      <c r="B297" s="898" t="s">
        <v>103</v>
      </c>
      <c r="C297" s="918" t="s">
        <v>107</v>
      </c>
      <c r="D297" s="960">
        <v>58614.412499999999</v>
      </c>
      <c r="E297" s="1033">
        <v>0.23699999999999999</v>
      </c>
      <c r="F297" s="944">
        <v>13891.6157625</v>
      </c>
      <c r="G297" s="960"/>
      <c r="H297" s="1033"/>
      <c r="I297" s="944"/>
      <c r="J297" s="960">
        <v>97642.15</v>
      </c>
      <c r="K297" s="1033">
        <v>0.23087375687651282</v>
      </c>
      <c r="L297" s="944">
        <v>22543.009999999995</v>
      </c>
      <c r="M297" s="964">
        <v>0.6658385853479295</v>
      </c>
      <c r="N297" s="944">
        <v>8651.3942374999951</v>
      </c>
      <c r="O297" s="919">
        <v>45362.87</v>
      </c>
      <c r="P297" s="1033">
        <v>0.23190860719350428</v>
      </c>
      <c r="Q297" s="944">
        <v>10520.04</v>
      </c>
      <c r="R297" s="964">
        <v>1.1524685276747257</v>
      </c>
      <c r="S297" s="944">
        <v>12022.969999999994</v>
      </c>
      <c r="T297" s="898"/>
      <c r="U297" s="898"/>
      <c r="V297" s="898"/>
      <c r="W297" s="898"/>
      <c r="X297" s="898"/>
      <c r="Y297" s="898"/>
      <c r="Z297" s="898"/>
      <c r="AA297" s="898"/>
      <c r="AB297" s="898"/>
      <c r="AC297" s="898"/>
      <c r="AD297" s="898"/>
      <c r="AE297" s="898"/>
      <c r="AF297" s="898"/>
      <c r="AG297" s="898"/>
      <c r="AH297" s="898"/>
      <c r="AI297" s="898"/>
      <c r="AJ297" s="898"/>
      <c r="AK297" s="898"/>
      <c r="AL297" s="898"/>
      <c r="AM297" s="898"/>
      <c r="AN297" s="898"/>
    </row>
    <row r="298" spans="1:40" ht="15.75" customHeight="1">
      <c r="A298" s="883" t="s">
        <v>405</v>
      </c>
      <c r="B298" s="898" t="s">
        <v>103</v>
      </c>
      <c r="C298" s="918" t="s">
        <v>108</v>
      </c>
      <c r="D298" s="960">
        <v>58088.183999999994</v>
      </c>
      <c r="E298" s="1033">
        <v>0.29399999999999993</v>
      </c>
      <c r="F298" s="944">
        <v>17077.926095999996</v>
      </c>
      <c r="G298" s="960"/>
      <c r="H298" s="1033"/>
      <c r="I298" s="944"/>
      <c r="J298" s="960">
        <v>82005.509999999995</v>
      </c>
      <c r="K298" s="1033">
        <v>0.28171643588339368</v>
      </c>
      <c r="L298" s="944">
        <v>23102.299999999996</v>
      </c>
      <c r="M298" s="964">
        <v>0.41174167193796252</v>
      </c>
      <c r="N298" s="944">
        <v>6024.373904</v>
      </c>
      <c r="O298" s="919">
        <v>68022.740000000005</v>
      </c>
      <c r="P298" s="1033">
        <v>0.34120001634747438</v>
      </c>
      <c r="Q298" s="944">
        <v>23209.360000000001</v>
      </c>
      <c r="R298" s="964">
        <v>0.20556022882935895</v>
      </c>
      <c r="S298" s="944">
        <v>-107.06000000000495</v>
      </c>
      <c r="T298" s="898"/>
      <c r="U298" s="898"/>
      <c r="V298" s="898"/>
      <c r="W298" s="898"/>
      <c r="X298" s="898"/>
      <c r="Y298" s="898"/>
      <c r="Z298" s="898"/>
      <c r="AA298" s="898"/>
      <c r="AB298" s="898"/>
      <c r="AC298" s="898"/>
      <c r="AD298" s="898"/>
      <c r="AE298" s="898"/>
      <c r="AF298" s="898"/>
      <c r="AG298" s="898"/>
      <c r="AH298" s="898"/>
      <c r="AI298" s="898"/>
      <c r="AJ298" s="898"/>
      <c r="AK298" s="898"/>
      <c r="AL298" s="898"/>
      <c r="AM298" s="898"/>
      <c r="AN298" s="898"/>
    </row>
    <row r="299" spans="1:40" ht="15.75" customHeight="1">
      <c r="A299" s="883" t="s">
        <v>406</v>
      </c>
      <c r="B299" s="898" t="s">
        <v>103</v>
      </c>
      <c r="C299" s="918" t="s">
        <v>109</v>
      </c>
      <c r="D299" s="960">
        <v>21055.217999999997</v>
      </c>
      <c r="E299" s="1033">
        <v>0.27700000000000002</v>
      </c>
      <c r="F299" s="944">
        <v>5832.2953859999998</v>
      </c>
      <c r="G299" s="960"/>
      <c r="H299" s="1033"/>
      <c r="I299" s="944"/>
      <c r="J299" s="960">
        <v>25579.81</v>
      </c>
      <c r="K299" s="1033">
        <v>0.29575669248520614</v>
      </c>
      <c r="L299" s="944">
        <v>7565.4000000000015</v>
      </c>
      <c r="M299" s="964">
        <v>0.21489171947780378</v>
      </c>
      <c r="N299" s="944">
        <v>1733.1046140000017</v>
      </c>
      <c r="O299" s="919">
        <v>19863.93</v>
      </c>
      <c r="P299" s="1033">
        <v>0.2095733321653872</v>
      </c>
      <c r="Q299" s="944">
        <v>4162.95</v>
      </c>
      <c r="R299" s="964">
        <v>0.28775171881898504</v>
      </c>
      <c r="S299" s="944">
        <v>3402.4500000000016</v>
      </c>
      <c r="T299" s="898"/>
      <c r="U299" s="898"/>
      <c r="V299" s="898"/>
      <c r="W299" s="898"/>
      <c r="X299" s="898"/>
      <c r="Y299" s="898"/>
      <c r="Z299" s="898"/>
      <c r="AA299" s="898"/>
      <c r="AB299" s="898"/>
      <c r="AC299" s="898"/>
      <c r="AD299" s="898"/>
      <c r="AE299" s="898"/>
      <c r="AF299" s="898"/>
      <c r="AG299" s="898"/>
      <c r="AH299" s="898"/>
      <c r="AI299" s="898"/>
      <c r="AJ299" s="898"/>
      <c r="AK299" s="898"/>
      <c r="AL299" s="898"/>
      <c r="AM299" s="898"/>
      <c r="AN299" s="898"/>
    </row>
    <row r="300" spans="1:40" ht="15.75" customHeight="1">
      <c r="A300" s="883" t="s">
        <v>407</v>
      </c>
      <c r="B300" s="898" t="s">
        <v>103</v>
      </c>
      <c r="C300" s="918" t="s">
        <v>110</v>
      </c>
      <c r="D300" s="960">
        <v>169827.19500000001</v>
      </c>
      <c r="E300" s="1033">
        <v>0.13500000000000001</v>
      </c>
      <c r="F300" s="944">
        <v>22926.671325000003</v>
      </c>
      <c r="G300" s="960"/>
      <c r="H300" s="1033"/>
      <c r="I300" s="944"/>
      <c r="J300" s="960">
        <v>193165.16</v>
      </c>
      <c r="K300" s="1033">
        <v>0.12674071245560023</v>
      </c>
      <c r="L300" s="944">
        <v>24481.89000000001</v>
      </c>
      <c r="M300" s="964">
        <v>0.13742183635547886</v>
      </c>
      <c r="N300" s="944">
        <v>1555.2186750000074</v>
      </c>
      <c r="O300" s="919">
        <v>160121.54</v>
      </c>
      <c r="P300" s="1033">
        <v>0.1305157319870893</v>
      </c>
      <c r="Q300" s="944">
        <v>20898.38</v>
      </c>
      <c r="R300" s="964">
        <v>0.20636586433030804</v>
      </c>
      <c r="S300" s="944">
        <v>3583.5100000000093</v>
      </c>
      <c r="T300" s="898"/>
      <c r="U300" s="898"/>
      <c r="V300" s="898"/>
      <c r="W300" s="898"/>
      <c r="X300" s="898"/>
      <c r="Y300" s="898"/>
      <c r="Z300" s="898"/>
      <c r="AA300" s="898"/>
      <c r="AB300" s="898"/>
      <c r="AC300" s="898"/>
      <c r="AD300" s="898"/>
      <c r="AE300" s="898"/>
      <c r="AF300" s="898"/>
      <c r="AG300" s="898"/>
      <c r="AH300" s="898"/>
      <c r="AI300" s="898"/>
      <c r="AJ300" s="898"/>
      <c r="AK300" s="898"/>
      <c r="AL300" s="898"/>
      <c r="AM300" s="898"/>
      <c r="AN300" s="898"/>
    </row>
    <row r="301" spans="1:40" ht="15.75" hidden="1" customHeight="1">
      <c r="A301" s="883" t="s">
        <v>408</v>
      </c>
      <c r="B301" s="898" t="s">
        <v>103</v>
      </c>
      <c r="C301" s="918" t="s">
        <v>20</v>
      </c>
      <c r="D301" s="960">
        <v>0</v>
      </c>
      <c r="E301" s="1033">
        <v>0</v>
      </c>
      <c r="F301" s="944">
        <v>0</v>
      </c>
      <c r="G301" s="960"/>
      <c r="H301" s="1033"/>
      <c r="I301" s="944"/>
      <c r="J301" s="960">
        <v>0</v>
      </c>
      <c r="K301" s="1033">
        <v>0</v>
      </c>
      <c r="L301" s="944">
        <v>0</v>
      </c>
      <c r="M301" s="964" t="e">
        <v>#DIV/0!</v>
      </c>
      <c r="N301" s="944">
        <v>0</v>
      </c>
      <c r="O301" s="919">
        <v>0</v>
      </c>
      <c r="P301" s="1033">
        <v>0</v>
      </c>
      <c r="Q301" s="944">
        <v>0</v>
      </c>
      <c r="R301" s="964">
        <v>0</v>
      </c>
      <c r="S301" s="944">
        <v>0</v>
      </c>
      <c r="T301" s="898"/>
      <c r="U301" s="898"/>
      <c r="V301" s="898"/>
      <c r="W301" s="898"/>
      <c r="X301" s="898"/>
      <c r="Y301" s="898"/>
      <c r="Z301" s="898"/>
      <c r="AA301" s="898"/>
      <c r="AB301" s="898"/>
      <c r="AC301" s="898"/>
      <c r="AD301" s="898"/>
      <c r="AE301" s="898"/>
      <c r="AF301" s="898"/>
      <c r="AG301" s="898"/>
      <c r="AH301" s="898"/>
      <c r="AI301" s="898"/>
      <c r="AJ301" s="898"/>
      <c r="AK301" s="898"/>
      <c r="AL301" s="898"/>
      <c r="AM301" s="898"/>
      <c r="AN301" s="898"/>
    </row>
    <row r="302" spans="1:40" ht="15.75" customHeight="1">
      <c r="A302" s="883" t="s">
        <v>409</v>
      </c>
      <c r="B302" s="898" t="s">
        <v>103</v>
      </c>
      <c r="C302" s="918" t="s">
        <v>111</v>
      </c>
      <c r="D302" s="960">
        <v>0</v>
      </c>
      <c r="E302" s="1033">
        <v>0</v>
      </c>
      <c r="F302" s="944">
        <v>10647.307480648535</v>
      </c>
      <c r="G302" s="960"/>
      <c r="H302" s="1033"/>
      <c r="I302" s="944"/>
      <c r="J302" s="960">
        <v>0</v>
      </c>
      <c r="K302" s="1033">
        <v>0</v>
      </c>
      <c r="L302" s="944">
        <v>6967.79</v>
      </c>
      <c r="M302" s="964"/>
      <c r="N302" s="944">
        <v>-3679.5174806485347</v>
      </c>
      <c r="O302" s="919">
        <v>0</v>
      </c>
      <c r="P302" s="1033">
        <v>0</v>
      </c>
      <c r="Q302" s="944">
        <v>9003.5</v>
      </c>
      <c r="R302" s="964">
        <v>0</v>
      </c>
      <c r="S302" s="944">
        <v>-2035.71</v>
      </c>
      <c r="T302" s="898"/>
      <c r="U302" s="898"/>
      <c r="V302" s="898"/>
      <c r="W302" s="898"/>
      <c r="X302" s="898"/>
      <c r="Y302" s="898"/>
      <c r="Z302" s="898"/>
      <c r="AA302" s="898"/>
      <c r="AB302" s="898"/>
      <c r="AC302" s="898"/>
      <c r="AD302" s="898"/>
      <c r="AE302" s="898"/>
      <c r="AF302" s="898"/>
      <c r="AG302" s="898"/>
      <c r="AH302" s="898"/>
      <c r="AI302" s="898"/>
      <c r="AJ302" s="898"/>
      <c r="AK302" s="898"/>
      <c r="AL302" s="898"/>
      <c r="AM302" s="898"/>
      <c r="AN302" s="898"/>
    </row>
    <row r="303" spans="1:40" ht="15.75" customHeight="1">
      <c r="A303" s="883" t="s">
        <v>410</v>
      </c>
      <c r="B303" s="898" t="s">
        <v>103</v>
      </c>
      <c r="C303" s="911" t="s">
        <v>112</v>
      </c>
      <c r="D303" s="960">
        <v>0</v>
      </c>
      <c r="E303" s="1033">
        <v>0</v>
      </c>
      <c r="F303" s="944">
        <v>0</v>
      </c>
      <c r="G303" s="960"/>
      <c r="H303" s="1033"/>
      <c r="I303" s="944"/>
      <c r="J303" s="960">
        <v>0</v>
      </c>
      <c r="K303" s="1033">
        <v>0</v>
      </c>
      <c r="L303" s="944">
        <v>0</v>
      </c>
      <c r="M303" s="964"/>
      <c r="N303" s="944">
        <v>0</v>
      </c>
      <c r="O303" s="919">
        <v>0</v>
      </c>
      <c r="P303" s="1033">
        <v>0</v>
      </c>
      <c r="Q303" s="944">
        <v>0</v>
      </c>
      <c r="R303" s="964">
        <v>0</v>
      </c>
      <c r="S303" s="944">
        <v>0</v>
      </c>
      <c r="T303" s="898"/>
      <c r="U303" s="898"/>
      <c r="V303" s="898"/>
      <c r="W303" s="898"/>
      <c r="X303" s="898"/>
      <c r="Y303" s="898"/>
      <c r="Z303" s="898"/>
      <c r="AA303" s="898"/>
      <c r="AB303" s="898"/>
      <c r="AC303" s="898"/>
      <c r="AD303" s="898"/>
      <c r="AE303" s="898"/>
      <c r="AF303" s="898"/>
      <c r="AG303" s="898"/>
      <c r="AH303" s="898"/>
      <c r="AI303" s="898"/>
      <c r="AJ303" s="898"/>
      <c r="AK303" s="898"/>
      <c r="AL303" s="898"/>
      <c r="AM303" s="898"/>
      <c r="AN303" s="898"/>
    </row>
    <row r="304" spans="1:40" ht="15.75" customHeight="1">
      <c r="A304" s="883" t="s">
        <v>411</v>
      </c>
      <c r="B304" s="898" t="s">
        <v>103</v>
      </c>
      <c r="C304" s="937" t="s">
        <v>113</v>
      </c>
      <c r="D304" s="1073">
        <v>415291.35177999997</v>
      </c>
      <c r="E304" s="1092">
        <v>0.25354580535519705</v>
      </c>
      <c r="F304" s="1075">
        <v>105295.38024410853</v>
      </c>
      <c r="G304" s="1073"/>
      <c r="H304" s="1092"/>
      <c r="I304" s="1075"/>
      <c r="J304" s="1073">
        <v>546586.39</v>
      </c>
      <c r="K304" s="1092">
        <v>0.2426257082617809</v>
      </c>
      <c r="L304" s="1075">
        <v>132615.91</v>
      </c>
      <c r="M304" s="1093">
        <v>0.31615163103505561</v>
      </c>
      <c r="N304" s="1075">
        <v>27320.529755891475</v>
      </c>
      <c r="O304" s="1073">
        <v>393126.64</v>
      </c>
      <c r="P304" s="1092">
        <v>0.26278888146577906</v>
      </c>
      <c r="Q304" s="1075">
        <v>103309.31</v>
      </c>
      <c r="R304" s="1093">
        <v>0.39035703609401795</v>
      </c>
      <c r="S304" s="1075">
        <v>29306.600000000006</v>
      </c>
      <c r="T304" s="898"/>
      <c r="U304" s="898"/>
      <c r="V304" s="898"/>
      <c r="W304" s="898"/>
      <c r="X304" s="898"/>
      <c r="Y304" s="898"/>
      <c r="Z304" s="898"/>
      <c r="AA304" s="898"/>
      <c r="AB304" s="898"/>
      <c r="AC304" s="898"/>
      <c r="AD304" s="898"/>
      <c r="AE304" s="898"/>
      <c r="AF304" s="898"/>
      <c r="AG304" s="898"/>
      <c r="AH304" s="898"/>
      <c r="AI304" s="898"/>
      <c r="AJ304" s="898"/>
      <c r="AK304" s="898"/>
      <c r="AL304" s="898"/>
      <c r="AM304" s="898"/>
      <c r="AN304" s="898"/>
    </row>
    <row r="305" spans="1:40" ht="15.75" customHeight="1">
      <c r="A305" s="883" t="s">
        <v>103</v>
      </c>
      <c r="B305" s="898" t="s">
        <v>103</v>
      </c>
      <c r="C305" s="918"/>
      <c r="D305" s="898"/>
      <c r="E305" s="898"/>
      <c r="F305" s="928"/>
      <c r="G305" s="918"/>
      <c r="H305" s="898"/>
      <c r="I305" s="928"/>
      <c r="J305" s="918"/>
      <c r="K305" s="898"/>
      <c r="L305" s="928"/>
      <c r="M305" s="918"/>
      <c r="N305" s="936">
        <v>0.25946560706228239</v>
      </c>
      <c r="O305" s="918"/>
      <c r="P305" s="898"/>
      <c r="Q305" s="928"/>
      <c r="R305" s="918"/>
      <c r="S305" s="936">
        <v>0.28367820867257759</v>
      </c>
      <c r="T305" s="898"/>
      <c r="U305" s="898"/>
      <c r="V305" s="898"/>
      <c r="W305" s="898"/>
      <c r="X305" s="898"/>
      <c r="Y305" s="898"/>
      <c r="Z305" s="898"/>
      <c r="AA305" s="898"/>
      <c r="AB305" s="898"/>
      <c r="AC305" s="898"/>
      <c r="AD305" s="898"/>
      <c r="AE305" s="898"/>
      <c r="AF305" s="898"/>
      <c r="AG305" s="898"/>
      <c r="AH305" s="898"/>
      <c r="AI305" s="898"/>
      <c r="AJ305" s="898"/>
      <c r="AK305" s="898"/>
      <c r="AL305" s="898"/>
      <c r="AM305" s="898"/>
      <c r="AN305" s="898"/>
    </row>
    <row r="306" spans="1:40" ht="15.75" customHeight="1">
      <c r="A306" s="883" t="s">
        <v>103</v>
      </c>
      <c r="B306" s="898" t="s">
        <v>103</v>
      </c>
      <c r="C306" s="911"/>
      <c r="D306" s="993"/>
      <c r="E306" s="993"/>
      <c r="F306" s="1094"/>
      <c r="G306" s="911"/>
      <c r="H306" s="993"/>
      <c r="I306" s="1094"/>
      <c r="J306" s="911"/>
      <c r="K306" s="993"/>
      <c r="L306" s="1094"/>
      <c r="M306" s="911"/>
      <c r="N306" s="1053"/>
      <c r="O306" s="911"/>
      <c r="P306" s="993"/>
      <c r="Q306" s="1094"/>
      <c r="R306" s="911"/>
      <c r="S306" s="1053"/>
      <c r="T306" s="898"/>
      <c r="U306" s="898"/>
      <c r="V306" s="898"/>
      <c r="W306" s="898"/>
      <c r="X306" s="898"/>
      <c r="Y306" s="898"/>
      <c r="Z306" s="898"/>
      <c r="AA306" s="898"/>
      <c r="AB306" s="898"/>
      <c r="AC306" s="898"/>
      <c r="AD306" s="898"/>
      <c r="AE306" s="898"/>
      <c r="AF306" s="898"/>
      <c r="AG306" s="898"/>
      <c r="AH306" s="898"/>
      <c r="AI306" s="898"/>
      <c r="AJ306" s="898"/>
      <c r="AK306" s="898"/>
      <c r="AL306" s="898"/>
      <c r="AM306" s="898"/>
      <c r="AN306" s="898"/>
    </row>
    <row r="307" spans="1:40" ht="15.75" customHeight="1">
      <c r="A307" s="883" t="s">
        <v>412</v>
      </c>
      <c r="B307" s="898" t="s">
        <v>103</v>
      </c>
      <c r="C307" s="918" t="s">
        <v>114</v>
      </c>
      <c r="D307" s="960">
        <v>34522.26</v>
      </c>
      <c r="E307" s="1033">
        <v>0.17100000000000001</v>
      </c>
      <c r="F307" s="992">
        <v>5903.3064600000007</v>
      </c>
      <c r="G307" s="960"/>
      <c r="H307" s="1033"/>
      <c r="I307" s="992"/>
      <c r="J307" s="919">
        <v>40681.85</v>
      </c>
      <c r="K307" s="1033">
        <v>0.1991182800192223</v>
      </c>
      <c r="L307" s="992">
        <v>8100.4999999999982</v>
      </c>
      <c r="M307" s="964">
        <v>0.17842371849351682</v>
      </c>
      <c r="N307" s="944">
        <v>2197.1935399999975</v>
      </c>
      <c r="O307" s="919">
        <v>21329.79</v>
      </c>
      <c r="P307" s="1033">
        <v>0.16221209866576275</v>
      </c>
      <c r="Q307" s="992">
        <v>3459.95</v>
      </c>
      <c r="R307" s="964">
        <v>0.90727850578932079</v>
      </c>
      <c r="S307" s="944">
        <v>4640.5499999999984</v>
      </c>
      <c r="T307" s="898"/>
      <c r="U307" s="898"/>
      <c r="V307" s="898"/>
      <c r="W307" s="898"/>
      <c r="X307" s="898"/>
      <c r="Y307" s="898"/>
      <c r="Z307" s="898"/>
      <c r="AA307" s="898"/>
      <c r="AB307" s="898"/>
      <c r="AC307" s="898"/>
      <c r="AD307" s="898"/>
      <c r="AE307" s="898"/>
      <c r="AF307" s="898"/>
      <c r="AG307" s="898"/>
      <c r="AH307" s="898"/>
      <c r="AI307" s="898"/>
      <c r="AJ307" s="898"/>
      <c r="AK307" s="898"/>
      <c r="AL307" s="898"/>
      <c r="AM307" s="898"/>
      <c r="AN307" s="898"/>
    </row>
    <row r="308" spans="1:40" ht="15.75" customHeight="1">
      <c r="A308" s="883" t="s">
        <v>413</v>
      </c>
      <c r="B308" s="898" t="s">
        <v>103</v>
      </c>
      <c r="C308" s="911" t="s">
        <v>115</v>
      </c>
      <c r="D308" s="960">
        <v>25072.157744688273</v>
      </c>
      <c r="E308" s="1033">
        <v>0.25600000000000001</v>
      </c>
      <c r="F308" s="969">
        <v>6418.4723826401978</v>
      </c>
      <c r="G308" s="960"/>
      <c r="H308" s="1033"/>
      <c r="I308" s="969"/>
      <c r="J308" s="919">
        <v>23823.07</v>
      </c>
      <c r="K308" s="1033">
        <v>0.28768542425472449</v>
      </c>
      <c r="L308" s="969">
        <v>6853.5499999999993</v>
      </c>
      <c r="M308" s="964">
        <v>-4.9819714657502984E-2</v>
      </c>
      <c r="N308" s="944">
        <v>435.07761735980148</v>
      </c>
      <c r="O308" s="919">
        <v>22305.64</v>
      </c>
      <c r="P308" s="1033">
        <v>0.25898606809757491</v>
      </c>
      <c r="Q308" s="969">
        <v>5776.8499999999904</v>
      </c>
      <c r="R308" s="964">
        <v>6.8028982804349047E-2</v>
      </c>
      <c r="S308" s="944">
        <v>1076.7000000000089</v>
      </c>
      <c r="T308" s="898"/>
      <c r="U308" s="898"/>
      <c r="V308" s="898"/>
      <c r="W308" s="898"/>
      <c r="X308" s="898"/>
      <c r="Y308" s="898"/>
      <c r="Z308" s="898"/>
      <c r="AA308" s="898"/>
      <c r="AB308" s="898"/>
      <c r="AC308" s="898"/>
      <c r="AD308" s="898"/>
      <c r="AE308" s="898"/>
      <c r="AF308" s="898"/>
      <c r="AG308" s="898"/>
      <c r="AH308" s="898"/>
      <c r="AI308" s="898"/>
      <c r="AJ308" s="898"/>
      <c r="AK308" s="898"/>
      <c r="AL308" s="898"/>
      <c r="AM308" s="898"/>
      <c r="AN308" s="898"/>
    </row>
    <row r="309" spans="1:40" ht="15.75" customHeight="1">
      <c r="A309" s="883" t="s">
        <v>414</v>
      </c>
      <c r="B309" s="898" t="s">
        <v>103</v>
      </c>
      <c r="C309" s="937" t="s">
        <v>116</v>
      </c>
      <c r="D309" s="1073">
        <v>474885.76952468825</v>
      </c>
      <c r="E309" s="1092">
        <v>0.24767463384820185</v>
      </c>
      <c r="F309" s="1075">
        <v>117617.15908674874</v>
      </c>
      <c r="G309" s="1076"/>
      <c r="H309" s="1092"/>
      <c r="I309" s="1075"/>
      <c r="J309" s="1076">
        <v>611091.30999999994</v>
      </c>
      <c r="K309" s="1092">
        <v>0.24148594094718842</v>
      </c>
      <c r="L309" s="1075">
        <v>147569.96</v>
      </c>
      <c r="M309" s="1093">
        <v>0.28681748162645387</v>
      </c>
      <c r="N309" s="1075">
        <v>29952.800913251252</v>
      </c>
      <c r="O309" s="1076">
        <v>436762.07</v>
      </c>
      <c r="P309" s="1092">
        <v>0.25768288441347481</v>
      </c>
      <c r="Q309" s="1075">
        <v>112546.10999999999</v>
      </c>
      <c r="R309" s="1093">
        <v>0.39914006268905156</v>
      </c>
      <c r="S309" s="1075">
        <v>35023.850000000006</v>
      </c>
      <c r="T309" s="898"/>
      <c r="U309" s="960"/>
      <c r="V309" s="898"/>
      <c r="W309" s="898"/>
      <c r="X309" s="898"/>
      <c r="Y309" s="898"/>
      <c r="Z309" s="898"/>
      <c r="AA309" s="898"/>
      <c r="AB309" s="898"/>
      <c r="AC309" s="898"/>
      <c r="AD309" s="898"/>
      <c r="AE309" s="898"/>
      <c r="AF309" s="898"/>
      <c r="AG309" s="898"/>
      <c r="AH309" s="898"/>
      <c r="AI309" s="898"/>
      <c r="AJ309" s="898"/>
      <c r="AK309" s="898"/>
      <c r="AL309" s="898"/>
      <c r="AM309" s="898"/>
      <c r="AN309" s="898"/>
    </row>
    <row r="310" spans="1:40" ht="15.75" customHeight="1">
      <c r="A310" s="883" t="s">
        <v>103</v>
      </c>
      <c r="B310" s="898" t="s">
        <v>103</v>
      </c>
      <c r="C310" s="918"/>
      <c r="D310" s="898"/>
      <c r="E310" s="898"/>
      <c r="F310" s="928"/>
      <c r="G310" s="918"/>
      <c r="H310" s="898"/>
      <c r="I310" s="928"/>
      <c r="J310" s="918"/>
      <c r="K310" s="898"/>
      <c r="L310" s="928"/>
      <c r="M310" s="918"/>
      <c r="N310" s="936">
        <v>0.25466352992899199</v>
      </c>
      <c r="O310" s="918"/>
      <c r="P310" s="898"/>
      <c r="Q310" s="928"/>
      <c r="R310" s="918"/>
      <c r="S310" s="936">
        <v>0.3111955624232593</v>
      </c>
      <c r="T310" s="898"/>
      <c r="U310" s="898"/>
      <c r="V310" s="898"/>
      <c r="W310" s="898"/>
      <c r="X310" s="898"/>
      <c r="Y310" s="898"/>
      <c r="Z310" s="898"/>
      <c r="AA310" s="898"/>
      <c r="AB310" s="898"/>
      <c r="AC310" s="898"/>
      <c r="AD310" s="898"/>
      <c r="AE310" s="898"/>
      <c r="AF310" s="898"/>
      <c r="AG310" s="898"/>
      <c r="AH310" s="898"/>
      <c r="AI310" s="898"/>
      <c r="AJ310" s="898"/>
      <c r="AK310" s="898"/>
      <c r="AL310" s="898"/>
      <c r="AM310" s="898"/>
      <c r="AN310" s="898"/>
    </row>
    <row r="311" spans="1:40" ht="15.75" customHeight="1">
      <c r="A311" s="883" t="s">
        <v>103</v>
      </c>
      <c r="B311" s="898" t="s">
        <v>103</v>
      </c>
      <c r="C311" s="918"/>
      <c r="D311" s="898"/>
      <c r="E311" s="898"/>
      <c r="F311" s="928"/>
      <c r="G311" s="918"/>
      <c r="H311" s="898"/>
      <c r="I311" s="928"/>
      <c r="J311" s="918"/>
      <c r="K311" s="898"/>
      <c r="L311" s="928"/>
      <c r="M311" s="918"/>
      <c r="N311" s="936"/>
      <c r="O311" s="918"/>
      <c r="P311" s="898"/>
      <c r="Q311" s="928"/>
      <c r="R311" s="918"/>
      <c r="S311" s="936"/>
      <c r="T311" s="898"/>
      <c r="U311" s="898"/>
      <c r="V311" s="898"/>
      <c r="W311" s="898"/>
      <c r="X311" s="898"/>
      <c r="Y311" s="898"/>
      <c r="Z311" s="898"/>
      <c r="AA311" s="898"/>
      <c r="AB311" s="898"/>
      <c r="AC311" s="898"/>
      <c r="AD311" s="898"/>
      <c r="AE311" s="898"/>
      <c r="AF311" s="898"/>
      <c r="AG311" s="898"/>
      <c r="AH311" s="898"/>
      <c r="AI311" s="898"/>
      <c r="AJ311" s="898"/>
      <c r="AK311" s="898"/>
      <c r="AL311" s="898"/>
      <c r="AM311" s="898"/>
      <c r="AN311" s="898"/>
    </row>
    <row r="312" spans="1:40" ht="15.75" customHeight="1">
      <c r="A312" s="883" t="s">
        <v>415</v>
      </c>
      <c r="B312" s="898" t="s">
        <v>103</v>
      </c>
      <c r="C312" s="911" t="s">
        <v>117</v>
      </c>
      <c r="D312" s="967">
        <v>0</v>
      </c>
      <c r="E312" s="1095">
        <v>0</v>
      </c>
      <c r="F312" s="969">
        <v>0</v>
      </c>
      <c r="G312" s="1048"/>
      <c r="H312" s="1095"/>
      <c r="I312" s="969"/>
      <c r="J312" s="932">
        <v>0</v>
      </c>
      <c r="K312" s="1095">
        <v>0</v>
      </c>
      <c r="L312" s="913">
        <v>0</v>
      </c>
      <c r="M312" s="1095">
        <v>0</v>
      </c>
      <c r="N312" s="969">
        <v>0</v>
      </c>
      <c r="O312" s="932">
        <v>0</v>
      </c>
      <c r="P312" s="1095">
        <v>0</v>
      </c>
      <c r="Q312" s="913">
        <v>0</v>
      </c>
      <c r="R312" s="1095">
        <v>0</v>
      </c>
      <c r="S312" s="969">
        <v>0</v>
      </c>
      <c r="T312" s="898"/>
      <c r="U312" s="960"/>
      <c r="V312" s="898"/>
      <c r="W312" s="898"/>
      <c r="X312" s="898"/>
      <c r="Y312" s="898"/>
      <c r="Z312" s="898"/>
      <c r="AA312" s="898"/>
      <c r="AB312" s="898"/>
      <c r="AC312" s="898"/>
      <c r="AD312" s="898"/>
      <c r="AE312" s="898"/>
      <c r="AF312" s="898"/>
      <c r="AG312" s="898"/>
      <c r="AH312" s="898"/>
      <c r="AI312" s="898"/>
      <c r="AJ312" s="898"/>
      <c r="AK312" s="898"/>
      <c r="AL312" s="898"/>
      <c r="AM312" s="898"/>
      <c r="AN312" s="898"/>
    </row>
    <row r="313" spans="1:40" ht="15.75" customHeight="1" thickBot="1">
      <c r="A313" s="883" t="s">
        <v>103</v>
      </c>
      <c r="B313" s="898" t="s">
        <v>103</v>
      </c>
      <c r="C313" s="918"/>
      <c r="D313" s="960"/>
      <c r="E313" s="1033"/>
      <c r="F313" s="944"/>
      <c r="G313" s="945"/>
      <c r="H313" s="1033"/>
      <c r="I313" s="944"/>
      <c r="J313" s="945"/>
      <c r="K313" s="1033"/>
      <c r="L313" s="944"/>
      <c r="M313" s="964"/>
      <c r="N313" s="944"/>
      <c r="O313" s="945"/>
      <c r="P313" s="1033"/>
      <c r="Q313" s="944"/>
      <c r="R313" s="964"/>
      <c r="S313" s="944"/>
      <c r="T313" s="898"/>
      <c r="U313" s="898"/>
      <c r="V313" s="898"/>
      <c r="W313" s="898"/>
      <c r="X313" s="898"/>
      <c r="Y313" s="898"/>
      <c r="Z313" s="898"/>
      <c r="AA313" s="898"/>
      <c r="AB313" s="898"/>
      <c r="AC313" s="898"/>
      <c r="AD313" s="898"/>
      <c r="AE313" s="898"/>
      <c r="AF313" s="898"/>
      <c r="AG313" s="898"/>
      <c r="AH313" s="898"/>
      <c r="AI313" s="898"/>
      <c r="AJ313" s="898"/>
      <c r="AK313" s="898"/>
      <c r="AL313" s="898"/>
      <c r="AM313" s="898"/>
      <c r="AN313" s="898"/>
    </row>
    <row r="314" spans="1:40" ht="15.75" customHeight="1" thickTop="1">
      <c r="A314" s="883" t="s">
        <v>416</v>
      </c>
      <c r="B314" s="898" t="s">
        <v>103</v>
      </c>
      <c r="C314" s="946" t="s">
        <v>118</v>
      </c>
      <c r="D314" s="947">
        <v>474885.76952468825</v>
      </c>
      <c r="E314" s="1096">
        <v>0.24767463384820185</v>
      </c>
      <c r="F314" s="949">
        <v>117617.15908674874</v>
      </c>
      <c r="G314" s="950"/>
      <c r="H314" s="1096"/>
      <c r="I314" s="949"/>
      <c r="J314" s="950">
        <v>611091.30999999994</v>
      </c>
      <c r="K314" s="1096">
        <v>0.24148594094718842</v>
      </c>
      <c r="L314" s="949">
        <v>147569.96</v>
      </c>
      <c r="M314" s="1097">
        <v>0.28681748162645387</v>
      </c>
      <c r="N314" s="1098">
        <v>29952.800913251252</v>
      </c>
      <c r="O314" s="950">
        <v>436762.07</v>
      </c>
      <c r="P314" s="1096">
        <v>0.25768288441347481</v>
      </c>
      <c r="Q314" s="949">
        <v>112546.10999999999</v>
      </c>
      <c r="R314" s="1097">
        <v>0.39914006268905156</v>
      </c>
      <c r="S314" s="1098">
        <v>35023.850000000006</v>
      </c>
      <c r="T314" s="898"/>
      <c r="U314" s="1042"/>
      <c r="V314" s="960"/>
      <c r="W314" s="960"/>
      <c r="X314" s="898"/>
      <c r="Y314" s="898"/>
      <c r="Z314" s="898"/>
      <c r="AA314" s="898"/>
      <c r="AB314" s="898"/>
      <c r="AC314" s="898"/>
      <c r="AD314" s="898"/>
      <c r="AE314" s="898"/>
      <c r="AF314" s="898"/>
      <c r="AG314" s="898"/>
      <c r="AH314" s="898"/>
      <c r="AI314" s="898"/>
      <c r="AJ314" s="898"/>
      <c r="AK314" s="898"/>
      <c r="AL314" s="898"/>
      <c r="AM314" s="898"/>
      <c r="AN314" s="898"/>
    </row>
    <row r="315" spans="1:40" ht="15.75" customHeight="1" thickBot="1">
      <c r="A315" s="883" t="s">
        <v>103</v>
      </c>
      <c r="B315" s="898" t="s">
        <v>103</v>
      </c>
      <c r="C315" s="1010"/>
      <c r="D315" s="1099"/>
      <c r="E315" s="1100"/>
      <c r="F315" s="1013"/>
      <c r="G315" s="1101"/>
      <c r="H315" s="1100"/>
      <c r="I315" s="1013"/>
      <c r="J315" s="1101"/>
      <c r="K315" s="1100"/>
      <c r="L315" s="1102">
        <v>1.2546635299289921</v>
      </c>
      <c r="M315" s="1103"/>
      <c r="N315" s="957">
        <v>0.25466352992899199</v>
      </c>
      <c r="O315" s="1101"/>
      <c r="P315" s="1100"/>
      <c r="Q315" s="1013"/>
      <c r="R315" s="1103"/>
      <c r="S315" s="957">
        <v>0.3111955624232593</v>
      </c>
      <c r="T315" s="898"/>
      <c r="U315" s="895"/>
      <c r="V315" s="898"/>
      <c r="W315" s="898"/>
      <c r="X315" s="898"/>
      <c r="Y315" s="898"/>
      <c r="Z315" s="898"/>
      <c r="AA315" s="898"/>
      <c r="AB315" s="898"/>
      <c r="AC315" s="898"/>
      <c r="AD315" s="898"/>
      <c r="AE315" s="898"/>
      <c r="AF315" s="898"/>
      <c r="AG315" s="898"/>
      <c r="AH315" s="898"/>
      <c r="AI315" s="898"/>
      <c r="AJ315" s="898"/>
      <c r="AK315" s="898"/>
      <c r="AL315" s="898"/>
      <c r="AM315" s="898"/>
      <c r="AN315" s="898"/>
    </row>
    <row r="316" spans="1:40" ht="15.75" customHeight="1" thickTop="1">
      <c r="A316" s="883" t="s">
        <v>103</v>
      </c>
      <c r="B316" s="898" t="s">
        <v>103</v>
      </c>
      <c r="C316" s="937"/>
      <c r="D316" s="994"/>
      <c r="E316" s="1055"/>
      <c r="F316" s="1057"/>
      <c r="G316" s="1056"/>
      <c r="H316" s="1055"/>
      <c r="I316" s="1057"/>
      <c r="J316" s="1056"/>
      <c r="K316" s="1055"/>
      <c r="L316" s="1057"/>
      <c r="M316" s="918"/>
      <c r="N316" s="936"/>
      <c r="O316" s="1056"/>
      <c r="P316" s="1055"/>
      <c r="Q316" s="1057"/>
      <c r="R316" s="918"/>
      <c r="S316" s="936"/>
      <c r="T316" s="898"/>
      <c r="U316" s="895"/>
      <c r="V316" s="898"/>
      <c r="W316" s="898"/>
      <c r="X316" s="898"/>
      <c r="Y316" s="898"/>
      <c r="Z316" s="898"/>
      <c r="AA316" s="898"/>
      <c r="AB316" s="898"/>
      <c r="AC316" s="898"/>
      <c r="AD316" s="898"/>
      <c r="AE316" s="898"/>
      <c r="AF316" s="898"/>
      <c r="AG316" s="898"/>
      <c r="AH316" s="898"/>
      <c r="AI316" s="898"/>
      <c r="AJ316" s="898"/>
      <c r="AK316" s="898"/>
      <c r="AL316" s="898"/>
      <c r="AM316" s="898"/>
      <c r="AN316" s="898"/>
    </row>
    <row r="317" spans="1:40" ht="15.75" customHeight="1">
      <c r="A317" s="883" t="s">
        <v>417</v>
      </c>
      <c r="B317" s="898" t="s">
        <v>103</v>
      </c>
      <c r="C317" s="961" t="s">
        <v>30</v>
      </c>
      <c r="D317" s="898"/>
      <c r="E317" s="898"/>
      <c r="F317" s="944"/>
      <c r="G317" s="918"/>
      <c r="H317" s="898"/>
      <c r="I317" s="944"/>
      <c r="J317" s="918"/>
      <c r="K317" s="898"/>
      <c r="L317" s="928"/>
      <c r="M317" s="918"/>
      <c r="N317" s="928"/>
      <c r="O317" s="918"/>
      <c r="P317" s="898"/>
      <c r="Q317" s="928"/>
      <c r="R317" s="918"/>
      <c r="S317" s="928"/>
      <c r="T317" s="898"/>
      <c r="U317" s="895"/>
      <c r="V317" s="898"/>
      <c r="W317" s="898"/>
      <c r="X317" s="898"/>
      <c r="Y317" s="898"/>
      <c r="Z317" s="898"/>
      <c r="AA317" s="898"/>
      <c r="AB317" s="898"/>
      <c r="AC317" s="898"/>
      <c r="AD317" s="898"/>
      <c r="AE317" s="898"/>
      <c r="AF317" s="898"/>
      <c r="AG317" s="898"/>
      <c r="AH317" s="898"/>
      <c r="AI317" s="898"/>
      <c r="AJ317" s="898"/>
      <c r="AK317" s="898"/>
      <c r="AL317" s="898"/>
      <c r="AM317" s="898"/>
      <c r="AN317" s="898"/>
    </row>
    <row r="318" spans="1:40" ht="15.75" customHeight="1">
      <c r="A318" s="883" t="s">
        <v>418</v>
      </c>
      <c r="B318" s="898" t="s">
        <v>103</v>
      </c>
      <c r="C318" s="986" t="s">
        <v>41</v>
      </c>
      <c r="D318" s="898"/>
      <c r="E318" s="898"/>
      <c r="F318" s="919">
        <v>6935.8538461538465</v>
      </c>
      <c r="G318" s="918"/>
      <c r="H318" s="898"/>
      <c r="I318" s="919"/>
      <c r="J318" s="918"/>
      <c r="K318" s="898"/>
      <c r="L318" s="921">
        <v>10042.18</v>
      </c>
      <c r="M318" s="918"/>
      <c r="N318" s="921">
        <v>3106.3261538461538</v>
      </c>
      <c r="O318" s="918"/>
      <c r="P318" s="898"/>
      <c r="Q318" s="921">
        <v>9892.69</v>
      </c>
      <c r="R318" s="918"/>
      <c r="S318" s="921">
        <v>149.48999999999978</v>
      </c>
      <c r="T318" s="898"/>
      <c r="U318" s="895"/>
      <c r="V318" s="898"/>
      <c r="W318" s="898"/>
      <c r="X318" s="898"/>
      <c r="Y318" s="898"/>
      <c r="Z318" s="898"/>
      <c r="AA318" s="898"/>
      <c r="AB318" s="898"/>
      <c r="AC318" s="898"/>
      <c r="AD318" s="898"/>
      <c r="AE318" s="898"/>
      <c r="AF318" s="898"/>
      <c r="AG318" s="898"/>
      <c r="AH318" s="898"/>
      <c r="AI318" s="898"/>
      <c r="AJ318" s="898"/>
      <c r="AK318" s="898"/>
      <c r="AL318" s="898"/>
      <c r="AM318" s="898"/>
      <c r="AN318" s="898"/>
    </row>
    <row r="319" spans="1:40" ht="15.75" customHeight="1">
      <c r="A319" s="883" t="s">
        <v>419</v>
      </c>
      <c r="B319" s="898" t="s">
        <v>103</v>
      </c>
      <c r="C319" s="988" t="s">
        <v>42</v>
      </c>
      <c r="D319" s="971"/>
      <c r="E319" s="898"/>
      <c r="F319" s="913">
        <v>26364.924123076926</v>
      </c>
      <c r="G319" s="972"/>
      <c r="H319" s="898"/>
      <c r="I319" s="913"/>
      <c r="J319" s="918"/>
      <c r="K319" s="898"/>
      <c r="L319" s="921">
        <v>25984.86</v>
      </c>
      <c r="M319" s="918"/>
      <c r="N319" s="921">
        <v>-380.06412307692517</v>
      </c>
      <c r="O319" s="918"/>
      <c r="P319" s="898"/>
      <c r="Q319" s="921">
        <v>25295.599999999999</v>
      </c>
      <c r="R319" s="918"/>
      <c r="S319" s="944">
        <v>689.26000000000204</v>
      </c>
      <c r="T319" s="898"/>
      <c r="U319" s="895"/>
      <c r="V319" s="898"/>
      <c r="W319" s="898"/>
      <c r="X319" s="898"/>
      <c r="Y319" s="898"/>
      <c r="Z319" s="898"/>
      <c r="AA319" s="898"/>
      <c r="AB319" s="898"/>
      <c r="AC319" s="898"/>
      <c r="AD319" s="898"/>
      <c r="AE319" s="898"/>
      <c r="AF319" s="898"/>
      <c r="AG319" s="898"/>
      <c r="AH319" s="898"/>
      <c r="AI319" s="898"/>
      <c r="AJ319" s="898"/>
      <c r="AK319" s="898"/>
      <c r="AL319" s="898"/>
      <c r="AM319" s="898"/>
      <c r="AN319" s="898"/>
    </row>
    <row r="320" spans="1:40" ht="15.75" customHeight="1">
      <c r="A320" s="883" t="s">
        <v>420</v>
      </c>
      <c r="B320" s="898" t="s">
        <v>103</v>
      </c>
      <c r="C320" s="986" t="s">
        <v>43</v>
      </c>
      <c r="D320" s="989"/>
      <c r="E320" s="990"/>
      <c r="F320" s="919">
        <v>140.24615384615385</v>
      </c>
      <c r="G320" s="991"/>
      <c r="H320" s="990"/>
      <c r="I320" s="919"/>
      <c r="J320" s="906"/>
      <c r="K320" s="990"/>
      <c r="L320" s="940">
        <v>113.92</v>
      </c>
      <c r="M320" s="906"/>
      <c r="N320" s="940">
        <v>-26.326153846153844</v>
      </c>
      <c r="O320" s="906"/>
      <c r="P320" s="990"/>
      <c r="Q320" s="940">
        <v>113.92</v>
      </c>
      <c r="R320" s="906"/>
      <c r="S320" s="992">
        <v>0</v>
      </c>
      <c r="T320" s="898"/>
      <c r="U320" s="1104"/>
      <c r="V320" s="1105"/>
      <c r="W320" s="898"/>
      <c r="X320" s="898"/>
      <c r="Y320" s="898"/>
      <c r="Z320" s="898"/>
      <c r="AA320" s="898"/>
      <c r="AB320" s="898"/>
      <c r="AC320" s="898"/>
      <c r="AD320" s="898"/>
      <c r="AE320" s="898"/>
      <c r="AF320" s="898"/>
      <c r="AG320" s="898"/>
      <c r="AH320" s="898"/>
      <c r="AI320" s="898"/>
      <c r="AJ320" s="898"/>
      <c r="AK320" s="898"/>
      <c r="AL320" s="898"/>
      <c r="AM320" s="898"/>
      <c r="AN320" s="898"/>
    </row>
    <row r="321" spans="1:40" ht="15.75" customHeight="1">
      <c r="A321" s="883" t="s">
        <v>421</v>
      </c>
      <c r="B321" s="898" t="s">
        <v>103</v>
      </c>
      <c r="C321" s="986" t="s">
        <v>44</v>
      </c>
      <c r="D321" s="971"/>
      <c r="E321" s="898"/>
      <c r="F321" s="919">
        <v>0</v>
      </c>
      <c r="G321" s="972"/>
      <c r="H321" s="898"/>
      <c r="I321" s="919"/>
      <c r="J321" s="918"/>
      <c r="K321" s="898"/>
      <c r="L321" s="921">
        <v>0</v>
      </c>
      <c r="M321" s="918"/>
      <c r="N321" s="921">
        <v>0</v>
      </c>
      <c r="O321" s="918"/>
      <c r="P321" s="898"/>
      <c r="Q321" s="921">
        <v>0</v>
      </c>
      <c r="R321" s="918"/>
      <c r="S321" s="944">
        <v>0</v>
      </c>
      <c r="T321" s="898"/>
      <c r="U321" s="895"/>
      <c r="V321" s="898"/>
      <c r="W321" s="898"/>
      <c r="X321" s="898"/>
      <c r="Y321" s="898"/>
      <c r="Z321" s="898"/>
      <c r="AA321" s="898"/>
      <c r="AB321" s="898"/>
      <c r="AC321" s="898"/>
      <c r="AD321" s="898"/>
      <c r="AE321" s="898"/>
      <c r="AF321" s="898"/>
      <c r="AG321" s="898"/>
      <c r="AH321" s="898"/>
      <c r="AI321" s="898"/>
      <c r="AJ321" s="898"/>
      <c r="AK321" s="898"/>
      <c r="AL321" s="898"/>
      <c r="AM321" s="898"/>
      <c r="AN321" s="898"/>
    </row>
    <row r="322" spans="1:40" ht="15.75" hidden="1" customHeight="1">
      <c r="A322" s="883" t="s">
        <v>408</v>
      </c>
      <c r="B322" s="898" t="s">
        <v>103</v>
      </c>
      <c r="C322" s="918" t="s">
        <v>20</v>
      </c>
      <c r="D322" s="971"/>
      <c r="E322" s="898"/>
      <c r="F322" s="919">
        <v>0</v>
      </c>
      <c r="G322" s="972"/>
      <c r="H322" s="898"/>
      <c r="I322" s="919"/>
      <c r="J322" s="918"/>
      <c r="K322" s="898"/>
      <c r="L322" s="921">
        <v>0</v>
      </c>
      <c r="M322" s="918"/>
      <c r="N322" s="921">
        <v>0</v>
      </c>
      <c r="O322" s="918"/>
      <c r="P322" s="898"/>
      <c r="Q322" s="921">
        <v>0</v>
      </c>
      <c r="R322" s="918"/>
      <c r="S322" s="944">
        <v>0</v>
      </c>
      <c r="T322" s="898"/>
      <c r="U322" s="895"/>
      <c r="V322" s="898"/>
      <c r="W322" s="898"/>
      <c r="X322" s="898"/>
      <c r="Y322" s="898"/>
      <c r="Z322" s="898"/>
      <c r="AA322" s="898"/>
      <c r="AB322" s="898"/>
      <c r="AC322" s="898"/>
      <c r="AD322" s="898"/>
      <c r="AE322" s="898"/>
      <c r="AF322" s="898"/>
      <c r="AG322" s="898"/>
      <c r="AH322" s="898"/>
      <c r="AI322" s="898"/>
      <c r="AJ322" s="898"/>
      <c r="AK322" s="898"/>
      <c r="AL322" s="898"/>
      <c r="AM322" s="898"/>
      <c r="AN322" s="898"/>
    </row>
    <row r="323" spans="1:40" ht="15.75" hidden="1" customHeight="1">
      <c r="A323" s="883" t="s">
        <v>408</v>
      </c>
      <c r="B323" s="898" t="s">
        <v>103</v>
      </c>
      <c r="C323" s="918" t="s">
        <v>20</v>
      </c>
      <c r="D323" s="971"/>
      <c r="E323" s="898"/>
      <c r="F323" s="919">
        <v>0</v>
      </c>
      <c r="G323" s="972"/>
      <c r="H323" s="898"/>
      <c r="I323" s="919"/>
      <c r="J323" s="918"/>
      <c r="K323" s="898"/>
      <c r="L323" s="921">
        <v>0</v>
      </c>
      <c r="M323" s="918"/>
      <c r="N323" s="921">
        <v>0</v>
      </c>
      <c r="O323" s="918"/>
      <c r="P323" s="898"/>
      <c r="Q323" s="921">
        <v>0</v>
      </c>
      <c r="R323" s="918"/>
      <c r="S323" s="944">
        <v>0</v>
      </c>
      <c r="T323" s="898"/>
      <c r="U323" s="895"/>
      <c r="V323" s="898"/>
      <c r="W323" s="898"/>
      <c r="X323" s="898"/>
      <c r="Y323" s="898"/>
      <c r="Z323" s="898"/>
      <c r="AA323" s="898"/>
      <c r="AB323" s="898"/>
      <c r="AC323" s="898"/>
      <c r="AD323" s="898"/>
      <c r="AE323" s="898"/>
      <c r="AF323" s="898"/>
      <c r="AG323" s="898"/>
      <c r="AH323" s="898"/>
      <c r="AI323" s="898"/>
      <c r="AJ323" s="898"/>
      <c r="AK323" s="898"/>
      <c r="AL323" s="898"/>
      <c r="AM323" s="898"/>
      <c r="AN323" s="898"/>
    </row>
    <row r="324" spans="1:40" ht="15.75" hidden="1" customHeight="1">
      <c r="A324" s="883" t="s">
        <v>408</v>
      </c>
      <c r="B324" s="898" t="s">
        <v>103</v>
      </c>
      <c r="C324" s="918" t="s">
        <v>20</v>
      </c>
      <c r="D324" s="971"/>
      <c r="E324" s="898"/>
      <c r="F324" s="919">
        <v>0</v>
      </c>
      <c r="G324" s="972"/>
      <c r="H324" s="898"/>
      <c r="I324" s="919"/>
      <c r="J324" s="918"/>
      <c r="K324" s="898"/>
      <c r="L324" s="921">
        <v>0</v>
      </c>
      <c r="M324" s="918"/>
      <c r="N324" s="921">
        <v>0</v>
      </c>
      <c r="O324" s="918"/>
      <c r="P324" s="898"/>
      <c r="Q324" s="921">
        <v>0</v>
      </c>
      <c r="R324" s="918"/>
      <c r="S324" s="944">
        <v>0</v>
      </c>
      <c r="T324" s="898"/>
      <c r="U324" s="895"/>
      <c r="V324" s="898"/>
      <c r="W324" s="898"/>
      <c r="X324" s="898"/>
      <c r="Y324" s="898"/>
      <c r="Z324" s="898"/>
      <c r="AA324" s="898"/>
      <c r="AB324" s="898"/>
      <c r="AC324" s="898"/>
      <c r="AD324" s="898"/>
      <c r="AE324" s="898"/>
      <c r="AF324" s="898"/>
      <c r="AG324" s="898"/>
      <c r="AH324" s="898"/>
      <c r="AI324" s="898"/>
      <c r="AJ324" s="898"/>
      <c r="AK324" s="898"/>
      <c r="AL324" s="898"/>
      <c r="AM324" s="898"/>
      <c r="AN324" s="898"/>
    </row>
    <row r="325" spans="1:40" ht="15.75" customHeight="1">
      <c r="A325" s="883" t="s">
        <v>422</v>
      </c>
      <c r="B325" s="898" t="s">
        <v>103</v>
      </c>
      <c r="C325" s="988" t="s">
        <v>45</v>
      </c>
      <c r="D325" s="971"/>
      <c r="E325" s="898"/>
      <c r="F325" s="913">
        <v>4125.0641995076921</v>
      </c>
      <c r="G325" s="972"/>
      <c r="H325" s="898"/>
      <c r="I325" s="913"/>
      <c r="J325" s="918"/>
      <c r="K325" s="898"/>
      <c r="L325" s="921">
        <v>1519.03</v>
      </c>
      <c r="M325" s="918"/>
      <c r="N325" s="921">
        <v>-2606.0341995076924</v>
      </c>
      <c r="O325" s="918"/>
      <c r="P325" s="898"/>
      <c r="Q325" s="921">
        <v>3852.87</v>
      </c>
      <c r="R325" s="918"/>
      <c r="S325" s="944">
        <v>-2333.84</v>
      </c>
      <c r="T325" s="898"/>
      <c r="U325" s="895"/>
      <c r="V325" s="898"/>
      <c r="W325" s="898"/>
      <c r="X325" s="898"/>
      <c r="Y325" s="898"/>
      <c r="Z325" s="898"/>
      <c r="AA325" s="898"/>
      <c r="AB325" s="898"/>
      <c r="AC325" s="898"/>
      <c r="AD325" s="898"/>
      <c r="AE325" s="898"/>
      <c r="AF325" s="898"/>
      <c r="AG325" s="898"/>
      <c r="AH325" s="898"/>
      <c r="AI325" s="898"/>
      <c r="AJ325" s="898"/>
      <c r="AK325" s="898"/>
      <c r="AL325" s="898"/>
      <c r="AM325" s="898"/>
      <c r="AN325" s="898"/>
    </row>
    <row r="326" spans="1:40" ht="15.75" customHeight="1">
      <c r="A326" s="883" t="s">
        <v>423</v>
      </c>
      <c r="B326" s="898" t="s">
        <v>103</v>
      </c>
      <c r="C326" s="986" t="s">
        <v>46</v>
      </c>
      <c r="D326" s="989"/>
      <c r="E326" s="990"/>
      <c r="F326" s="919">
        <v>5015.4965597538467</v>
      </c>
      <c r="G326" s="991"/>
      <c r="H326" s="990"/>
      <c r="I326" s="919"/>
      <c r="J326" s="906"/>
      <c r="K326" s="990"/>
      <c r="L326" s="940">
        <v>301.86000000000013</v>
      </c>
      <c r="M326" s="906"/>
      <c r="N326" s="940">
        <v>-4713.6365597538461</v>
      </c>
      <c r="O326" s="906"/>
      <c r="P326" s="990"/>
      <c r="Q326" s="940">
        <v>6777.44</v>
      </c>
      <c r="R326" s="906"/>
      <c r="S326" s="992">
        <v>-6475.58</v>
      </c>
      <c r="T326" s="898"/>
      <c r="U326" s="895"/>
      <c r="V326" s="898"/>
      <c r="W326" s="898"/>
      <c r="X326" s="898"/>
      <c r="Y326" s="898"/>
      <c r="Z326" s="898"/>
      <c r="AA326" s="898"/>
      <c r="AB326" s="898"/>
      <c r="AC326" s="898"/>
      <c r="AD326" s="898"/>
      <c r="AE326" s="898"/>
      <c r="AF326" s="898"/>
      <c r="AG326" s="898"/>
      <c r="AH326" s="898"/>
      <c r="AI326" s="898"/>
      <c r="AJ326" s="898"/>
      <c r="AK326" s="898"/>
      <c r="AL326" s="898"/>
      <c r="AM326" s="898"/>
      <c r="AN326" s="898"/>
    </row>
    <row r="327" spans="1:40" ht="15.75" customHeight="1">
      <c r="A327" s="883" t="s">
        <v>424</v>
      </c>
      <c r="B327" s="898" t="s">
        <v>103</v>
      </c>
      <c r="C327" s="986" t="s">
        <v>47</v>
      </c>
      <c r="D327" s="971"/>
      <c r="E327" s="898"/>
      <c r="F327" s="919">
        <v>2584.0710536123074</v>
      </c>
      <c r="G327" s="972"/>
      <c r="H327" s="898"/>
      <c r="I327" s="919"/>
      <c r="J327" s="918"/>
      <c r="K327" s="898"/>
      <c r="L327" s="921">
        <v>1554.18</v>
      </c>
      <c r="M327" s="918"/>
      <c r="N327" s="921">
        <v>-1029.8910536123074</v>
      </c>
      <c r="O327" s="918"/>
      <c r="P327" s="898"/>
      <c r="Q327" s="921">
        <v>1354.21</v>
      </c>
      <c r="R327" s="918"/>
      <c r="S327" s="944">
        <v>199.97000000000003</v>
      </c>
      <c r="T327" s="898"/>
      <c r="U327" s="895"/>
      <c r="V327" s="898"/>
      <c r="W327" s="898"/>
      <c r="X327" s="898"/>
      <c r="Y327" s="898"/>
      <c r="Z327" s="898"/>
      <c r="AA327" s="898"/>
      <c r="AB327" s="898"/>
      <c r="AC327" s="898"/>
      <c r="AD327" s="898"/>
      <c r="AE327" s="898"/>
      <c r="AF327" s="898"/>
      <c r="AG327" s="898"/>
      <c r="AH327" s="898"/>
      <c r="AI327" s="898"/>
      <c r="AJ327" s="898"/>
      <c r="AK327" s="898"/>
      <c r="AL327" s="898"/>
      <c r="AM327" s="898"/>
      <c r="AN327" s="898"/>
    </row>
    <row r="328" spans="1:40" ht="15.75" customHeight="1">
      <c r="A328" s="883" t="s">
        <v>425</v>
      </c>
      <c r="B328" s="898" t="s">
        <v>103</v>
      </c>
      <c r="C328" s="986" t="s">
        <v>48</v>
      </c>
      <c r="D328" s="971"/>
      <c r="E328" s="898"/>
      <c r="F328" s="919">
        <v>1126.6695170461537</v>
      </c>
      <c r="G328" s="972"/>
      <c r="H328" s="898"/>
      <c r="I328" s="919"/>
      <c r="J328" s="918"/>
      <c r="K328" s="898"/>
      <c r="L328" s="921">
        <v>695.16</v>
      </c>
      <c r="M328" s="918"/>
      <c r="N328" s="921">
        <v>-431.50951704615375</v>
      </c>
      <c r="O328" s="918"/>
      <c r="P328" s="898"/>
      <c r="Q328" s="921">
        <v>876.26</v>
      </c>
      <c r="R328" s="918"/>
      <c r="S328" s="944">
        <v>-181.10000000000002</v>
      </c>
      <c r="T328" s="898"/>
      <c r="U328" s="895"/>
      <c r="V328" s="898"/>
      <c r="W328" s="898"/>
      <c r="X328" s="898"/>
      <c r="Y328" s="898"/>
      <c r="Z328" s="898"/>
      <c r="AA328" s="898"/>
      <c r="AB328" s="898"/>
      <c r="AC328" s="898"/>
      <c r="AD328" s="898"/>
      <c r="AE328" s="898"/>
      <c r="AF328" s="898"/>
      <c r="AG328" s="898"/>
      <c r="AH328" s="898"/>
      <c r="AI328" s="898"/>
      <c r="AJ328" s="898"/>
      <c r="AK328" s="898"/>
      <c r="AL328" s="898"/>
      <c r="AM328" s="898"/>
      <c r="AN328" s="898"/>
    </row>
    <row r="329" spans="1:40" ht="15.75" hidden="1" customHeight="1">
      <c r="A329" s="883" t="s">
        <v>408</v>
      </c>
      <c r="B329" s="898" t="s">
        <v>103</v>
      </c>
      <c r="C329" s="918" t="s">
        <v>20</v>
      </c>
      <c r="D329" s="973"/>
      <c r="E329" s="993"/>
      <c r="F329" s="919">
        <v>0</v>
      </c>
      <c r="G329" s="974"/>
      <c r="H329" s="993"/>
      <c r="I329" s="919"/>
      <c r="J329" s="911"/>
      <c r="K329" s="993"/>
      <c r="L329" s="921">
        <v>0</v>
      </c>
      <c r="M329" s="911"/>
      <c r="N329" s="969">
        <v>0</v>
      </c>
      <c r="O329" s="911"/>
      <c r="P329" s="993"/>
      <c r="Q329" s="921">
        <v>0</v>
      </c>
      <c r="R329" s="911"/>
      <c r="S329" s="969">
        <v>0</v>
      </c>
      <c r="T329" s="898"/>
      <c r="U329" s="895"/>
      <c r="V329" s="898"/>
      <c r="W329" s="898"/>
      <c r="X329" s="898"/>
      <c r="Y329" s="898"/>
      <c r="Z329" s="898"/>
      <c r="AA329" s="898"/>
      <c r="AB329" s="898"/>
      <c r="AC329" s="898"/>
      <c r="AD329" s="898"/>
      <c r="AE329" s="898"/>
      <c r="AF329" s="898"/>
      <c r="AG329" s="898"/>
      <c r="AH329" s="898"/>
      <c r="AI329" s="898"/>
      <c r="AJ329" s="898"/>
      <c r="AK329" s="898"/>
      <c r="AL329" s="898"/>
      <c r="AM329" s="898"/>
      <c r="AN329" s="898"/>
    </row>
    <row r="330" spans="1:40" ht="15.75" customHeight="1">
      <c r="A330" s="883" t="s">
        <v>426</v>
      </c>
      <c r="B330" s="898" t="s">
        <v>103</v>
      </c>
      <c r="C330" s="978" t="s">
        <v>49</v>
      </c>
      <c r="D330" s="979" t="s">
        <v>39</v>
      </c>
      <c r="E330" s="980">
        <v>0.39358479504554217</v>
      </c>
      <c r="F330" s="981">
        <v>46292.325452996927</v>
      </c>
      <c r="G330" s="982"/>
      <c r="H330" s="980"/>
      <c r="I330" s="981"/>
      <c r="J330" s="982" t="s">
        <v>39</v>
      </c>
      <c r="K330" s="980">
        <v>0.27248899437256746</v>
      </c>
      <c r="L330" s="981">
        <v>40211.19</v>
      </c>
      <c r="M330" s="1035"/>
      <c r="N330" s="995">
        <v>-6081.1354529969249</v>
      </c>
      <c r="O330" s="982" t="s">
        <v>39</v>
      </c>
      <c r="P330" s="980">
        <v>0.4279400682973406</v>
      </c>
      <c r="Q330" s="981">
        <v>48162.990000000005</v>
      </c>
      <c r="R330" s="1035"/>
      <c r="S330" s="995">
        <v>-7951.8000000000029</v>
      </c>
      <c r="T330" s="898"/>
      <c r="U330" s="895"/>
      <c r="V330" s="898"/>
      <c r="W330" s="898"/>
      <c r="X330" s="898"/>
      <c r="Y330" s="898"/>
      <c r="Z330" s="898"/>
      <c r="AA330" s="898"/>
      <c r="AB330" s="898"/>
      <c r="AC330" s="898"/>
      <c r="AD330" s="898"/>
      <c r="AE330" s="898"/>
      <c r="AF330" s="898"/>
      <c r="AG330" s="898"/>
      <c r="AH330" s="898"/>
      <c r="AI330" s="898"/>
      <c r="AJ330" s="898"/>
      <c r="AK330" s="898"/>
      <c r="AL330" s="898"/>
      <c r="AM330" s="898"/>
      <c r="AN330" s="898"/>
    </row>
    <row r="331" spans="1:40" ht="15.75" customHeight="1">
      <c r="A331" s="883" t="s">
        <v>427</v>
      </c>
      <c r="B331" s="898" t="s">
        <v>103</v>
      </c>
      <c r="C331" s="1091" t="s">
        <v>50</v>
      </c>
      <c r="D331" s="971"/>
      <c r="E331" s="898"/>
      <c r="F331" s="919">
        <v>3927.9676362892696</v>
      </c>
      <c r="G331" s="972"/>
      <c r="H331" s="898"/>
      <c r="I331" s="919"/>
      <c r="J331" s="918"/>
      <c r="K331" s="898"/>
      <c r="L331" s="921">
        <v>784.84</v>
      </c>
      <c r="M331" s="918"/>
      <c r="N331" s="944">
        <v>-3143.1276362892695</v>
      </c>
      <c r="O331" s="918"/>
      <c r="P331" s="898"/>
      <c r="Q331" s="921">
        <v>2915.97</v>
      </c>
      <c r="R331" s="918"/>
      <c r="S331" s="944">
        <v>-2131.1299999999997</v>
      </c>
      <c r="T331" s="898"/>
      <c r="U331" s="895"/>
      <c r="V331" s="898"/>
      <c r="W331" s="960"/>
      <c r="X331" s="898"/>
      <c r="Y331" s="898"/>
      <c r="Z331" s="898"/>
      <c r="AA331" s="898"/>
      <c r="AB331" s="898"/>
      <c r="AC331" s="898"/>
      <c r="AD331" s="898"/>
      <c r="AE331" s="898"/>
      <c r="AF331" s="898"/>
      <c r="AG331" s="898"/>
      <c r="AH331" s="898"/>
      <c r="AI331" s="898"/>
      <c r="AJ331" s="898"/>
      <c r="AK331" s="898"/>
      <c r="AL331" s="898"/>
      <c r="AM331" s="898"/>
      <c r="AN331" s="898"/>
    </row>
    <row r="332" spans="1:40" ht="15.75" customHeight="1">
      <c r="A332" s="883" t="s">
        <v>428</v>
      </c>
      <c r="B332" s="898" t="s">
        <v>103</v>
      </c>
      <c r="C332" s="986" t="s">
        <v>51</v>
      </c>
      <c r="D332" s="971"/>
      <c r="E332" s="898"/>
      <c r="F332" s="919">
        <v>561.52577820142733</v>
      </c>
      <c r="G332" s="972"/>
      <c r="H332" s="898"/>
      <c r="I332" s="919"/>
      <c r="J332" s="918"/>
      <c r="K332" s="898"/>
      <c r="L332" s="921">
        <v>-678.09</v>
      </c>
      <c r="M332" s="918"/>
      <c r="N332" s="944">
        <v>-1239.6157782014275</v>
      </c>
      <c r="O332" s="918"/>
      <c r="P332" s="898"/>
      <c r="Q332" s="921">
        <v>167.75</v>
      </c>
      <c r="R332" s="918"/>
      <c r="S332" s="944">
        <v>-845.84</v>
      </c>
      <c r="T332" s="898"/>
      <c r="U332" s="895"/>
      <c r="V332" s="898"/>
      <c r="W332" s="898"/>
      <c r="X332" s="898"/>
      <c r="Y332" s="898"/>
      <c r="Z332" s="898"/>
      <c r="AA332" s="898"/>
      <c r="AB332" s="898"/>
      <c r="AC332" s="898"/>
      <c r="AD332" s="898"/>
      <c r="AE332" s="898"/>
      <c r="AF332" s="898"/>
      <c r="AG332" s="898"/>
      <c r="AH332" s="898"/>
      <c r="AI332" s="898"/>
      <c r="AJ332" s="898"/>
      <c r="AK332" s="898"/>
      <c r="AL332" s="898"/>
      <c r="AM332" s="898"/>
      <c r="AN332" s="898"/>
    </row>
    <row r="333" spans="1:40" ht="15.75" customHeight="1">
      <c r="A333" s="883" t="s">
        <v>429</v>
      </c>
      <c r="B333" s="898" t="s">
        <v>103</v>
      </c>
      <c r="C333" s="988" t="s">
        <v>52</v>
      </c>
      <c r="D333" s="973"/>
      <c r="E333" s="993"/>
      <c r="F333" s="913">
        <v>1264.3204888888893</v>
      </c>
      <c r="G333" s="974"/>
      <c r="H333" s="993"/>
      <c r="I333" s="913"/>
      <c r="J333" s="911"/>
      <c r="K333" s="993"/>
      <c r="L333" s="921">
        <v>1142.53</v>
      </c>
      <c r="M333" s="911"/>
      <c r="N333" s="969">
        <v>-121.79048888888929</v>
      </c>
      <c r="O333" s="911"/>
      <c r="P333" s="993"/>
      <c r="Q333" s="921">
        <v>1168.49</v>
      </c>
      <c r="R333" s="911"/>
      <c r="S333" s="969">
        <v>-25.960000000000036</v>
      </c>
      <c r="T333" s="898"/>
      <c r="U333" s="895"/>
      <c r="V333" s="898"/>
      <c r="W333" s="898"/>
      <c r="X333" s="898"/>
      <c r="Y333" s="898"/>
      <c r="Z333" s="898"/>
      <c r="AA333" s="898"/>
      <c r="AB333" s="898"/>
      <c r="AC333" s="898"/>
      <c r="AD333" s="898"/>
      <c r="AE333" s="898"/>
      <c r="AF333" s="898"/>
      <c r="AG333" s="898"/>
      <c r="AH333" s="898"/>
      <c r="AI333" s="898"/>
      <c r="AJ333" s="898"/>
      <c r="AK333" s="898"/>
      <c r="AL333" s="898"/>
      <c r="AM333" s="898"/>
      <c r="AN333" s="898"/>
    </row>
    <row r="334" spans="1:40" ht="15.75" customHeight="1">
      <c r="A334" s="883" t="s">
        <v>430</v>
      </c>
      <c r="B334" s="898" t="s">
        <v>103</v>
      </c>
      <c r="C334" s="986" t="s">
        <v>53</v>
      </c>
      <c r="D334" s="971"/>
      <c r="E334" s="898"/>
      <c r="F334" s="919">
        <v>4449.6567389444454</v>
      </c>
      <c r="G334" s="972"/>
      <c r="H334" s="898"/>
      <c r="I334" s="919"/>
      <c r="J334" s="918"/>
      <c r="K334" s="898"/>
      <c r="L334" s="940">
        <v>5607.23</v>
      </c>
      <c r="M334" s="918"/>
      <c r="N334" s="944">
        <v>1157.5732610555542</v>
      </c>
      <c r="O334" s="918"/>
      <c r="P334" s="898"/>
      <c r="Q334" s="940">
        <v>6152.41</v>
      </c>
      <c r="R334" s="918"/>
      <c r="S334" s="944">
        <v>-545.18000000000029</v>
      </c>
      <c r="T334" s="898"/>
      <c r="U334" s="895"/>
      <c r="V334" s="898"/>
      <c r="W334" s="898"/>
      <c r="X334" s="898"/>
      <c r="Y334" s="898"/>
      <c r="Z334" s="898"/>
      <c r="AA334" s="898"/>
      <c r="AB334" s="898"/>
      <c r="AC334" s="898"/>
      <c r="AD334" s="898"/>
      <c r="AE334" s="898"/>
      <c r="AF334" s="898"/>
      <c r="AG334" s="898"/>
      <c r="AH334" s="898"/>
      <c r="AI334" s="898"/>
      <c r="AJ334" s="898"/>
      <c r="AK334" s="898"/>
      <c r="AL334" s="898"/>
      <c r="AM334" s="898"/>
      <c r="AN334" s="898"/>
    </row>
    <row r="335" spans="1:40" ht="15.75" customHeight="1">
      <c r="A335" s="883" t="s">
        <v>431</v>
      </c>
      <c r="B335" s="898" t="s">
        <v>103</v>
      </c>
      <c r="C335" s="986" t="s">
        <v>54</v>
      </c>
      <c r="D335" s="971"/>
      <c r="E335" s="898"/>
      <c r="F335" s="919">
        <v>818.27646887680896</v>
      </c>
      <c r="G335" s="972"/>
      <c r="H335" s="898"/>
      <c r="I335" s="919"/>
      <c r="J335" s="918"/>
      <c r="K335" s="898"/>
      <c r="L335" s="921">
        <v>665.2</v>
      </c>
      <c r="M335" s="918"/>
      <c r="N335" s="944">
        <v>-153.07646887680892</v>
      </c>
      <c r="O335" s="918"/>
      <c r="P335" s="898"/>
      <c r="Q335" s="921">
        <v>1414.19</v>
      </c>
      <c r="R335" s="918"/>
      <c r="S335" s="944">
        <v>-748.99</v>
      </c>
      <c r="T335" s="898"/>
      <c r="U335" s="895"/>
      <c r="V335" s="898"/>
      <c r="W335" s="898"/>
      <c r="X335" s="898"/>
      <c r="Y335" s="898"/>
      <c r="Z335" s="898"/>
      <c r="AA335" s="898"/>
      <c r="AB335" s="898"/>
      <c r="AC335" s="898"/>
      <c r="AD335" s="898"/>
      <c r="AE335" s="898"/>
      <c r="AF335" s="898"/>
      <c r="AG335" s="898"/>
      <c r="AH335" s="898"/>
      <c r="AI335" s="898"/>
      <c r="AJ335" s="898"/>
      <c r="AK335" s="898"/>
      <c r="AL335" s="898"/>
      <c r="AM335" s="898"/>
      <c r="AN335" s="898"/>
    </row>
    <row r="336" spans="1:40" ht="15.75" customHeight="1">
      <c r="A336" s="883" t="s">
        <v>432</v>
      </c>
      <c r="B336" s="898" t="s">
        <v>103</v>
      </c>
      <c r="C336" s="988" t="s">
        <v>55</v>
      </c>
      <c r="D336" s="973"/>
      <c r="E336" s="993"/>
      <c r="F336" s="913">
        <v>12488.085877265243</v>
      </c>
      <c r="G336" s="974"/>
      <c r="H336" s="993"/>
      <c r="I336" s="913"/>
      <c r="J336" s="911"/>
      <c r="K336" s="993"/>
      <c r="L336" s="913">
        <v>16512.89</v>
      </c>
      <c r="M336" s="911"/>
      <c r="N336" s="969">
        <v>4024.8041227347567</v>
      </c>
      <c r="O336" s="911"/>
      <c r="P336" s="993"/>
      <c r="Q336" s="913">
        <v>12590.01</v>
      </c>
      <c r="R336" s="911"/>
      <c r="S336" s="969">
        <v>3922.8799999999992</v>
      </c>
      <c r="T336" s="898"/>
      <c r="U336" s="895"/>
      <c r="V336" s="898"/>
      <c r="W336" s="898"/>
      <c r="X336" s="898"/>
      <c r="Y336" s="898"/>
      <c r="Z336" s="898"/>
      <c r="AA336" s="898"/>
      <c r="AB336" s="898"/>
      <c r="AC336" s="898"/>
      <c r="AD336" s="898"/>
      <c r="AE336" s="898"/>
      <c r="AF336" s="898"/>
      <c r="AG336" s="898"/>
      <c r="AH336" s="898"/>
      <c r="AI336" s="898"/>
      <c r="AJ336" s="898"/>
      <c r="AK336" s="898"/>
      <c r="AL336" s="898"/>
      <c r="AM336" s="898"/>
      <c r="AN336" s="898"/>
    </row>
    <row r="337" spans="1:40" ht="15.75" customHeight="1">
      <c r="A337" s="883" t="s">
        <v>433</v>
      </c>
      <c r="B337" s="898" t="s">
        <v>103</v>
      </c>
      <c r="C337" s="986" t="s">
        <v>98</v>
      </c>
      <c r="D337" s="971"/>
      <c r="E337" s="898"/>
      <c r="F337" s="919"/>
      <c r="G337" s="972"/>
      <c r="H337" s="898"/>
      <c r="I337" s="919"/>
      <c r="J337" s="918"/>
      <c r="K337" s="898"/>
      <c r="L337" s="921">
        <v>0</v>
      </c>
      <c r="M337" s="918"/>
      <c r="N337" s="944">
        <v>0</v>
      </c>
      <c r="O337" s="918"/>
      <c r="P337" s="898"/>
      <c r="Q337" s="921">
        <v>0</v>
      </c>
      <c r="R337" s="918"/>
      <c r="S337" s="944">
        <v>0</v>
      </c>
      <c r="T337" s="898"/>
      <c r="U337" s="895"/>
      <c r="V337" s="898"/>
      <c r="W337" s="898"/>
      <c r="X337" s="898"/>
      <c r="Y337" s="898"/>
      <c r="Z337" s="898"/>
      <c r="AA337" s="898"/>
      <c r="AB337" s="898"/>
      <c r="AC337" s="898"/>
      <c r="AD337" s="898"/>
      <c r="AE337" s="898"/>
      <c r="AF337" s="898"/>
      <c r="AG337" s="898"/>
      <c r="AH337" s="898"/>
      <c r="AI337" s="898"/>
      <c r="AJ337" s="898"/>
      <c r="AK337" s="898"/>
      <c r="AL337" s="898"/>
      <c r="AM337" s="898"/>
      <c r="AN337" s="898"/>
    </row>
    <row r="338" spans="1:40" ht="15.75" customHeight="1">
      <c r="A338" s="883" t="s">
        <v>434</v>
      </c>
      <c r="B338" s="898" t="s">
        <v>103</v>
      </c>
      <c r="C338" s="986" t="s">
        <v>56</v>
      </c>
      <c r="D338" s="971"/>
      <c r="E338" s="898"/>
      <c r="F338" s="919">
        <v>255.67533333333333</v>
      </c>
      <c r="G338" s="972"/>
      <c r="H338" s="898"/>
      <c r="I338" s="919"/>
      <c r="J338" s="918"/>
      <c r="K338" s="898"/>
      <c r="L338" s="921">
        <v>20.04</v>
      </c>
      <c r="M338" s="918"/>
      <c r="N338" s="944">
        <v>-235.63533333333334</v>
      </c>
      <c r="O338" s="918"/>
      <c r="P338" s="898"/>
      <c r="Q338" s="921">
        <v>0</v>
      </c>
      <c r="R338" s="918"/>
      <c r="S338" s="944">
        <v>20.04</v>
      </c>
      <c r="T338" s="898"/>
      <c r="U338" s="895"/>
      <c r="V338" s="898"/>
      <c r="W338" s="898"/>
      <c r="X338" s="898"/>
      <c r="Y338" s="898"/>
      <c r="Z338" s="898"/>
      <c r="AA338" s="898"/>
      <c r="AB338" s="898"/>
      <c r="AC338" s="898"/>
      <c r="AD338" s="898"/>
      <c r="AE338" s="898"/>
      <c r="AF338" s="898"/>
      <c r="AG338" s="898"/>
      <c r="AH338" s="898"/>
      <c r="AI338" s="898"/>
      <c r="AJ338" s="898"/>
      <c r="AK338" s="898"/>
      <c r="AL338" s="898"/>
      <c r="AM338" s="898"/>
      <c r="AN338" s="898"/>
    </row>
    <row r="339" spans="1:40" ht="15.75" customHeight="1">
      <c r="A339" s="883" t="s">
        <v>435</v>
      </c>
      <c r="B339" s="898" t="s">
        <v>103</v>
      </c>
      <c r="C339" s="986" t="s">
        <v>57</v>
      </c>
      <c r="D339" s="971"/>
      <c r="E339" s="898"/>
      <c r="F339" s="919">
        <v>28.333333333333332</v>
      </c>
      <c r="G339" s="972"/>
      <c r="H339" s="898"/>
      <c r="I339" s="919"/>
      <c r="J339" s="918"/>
      <c r="K339" s="898"/>
      <c r="L339" s="921">
        <v>0</v>
      </c>
      <c r="M339" s="918"/>
      <c r="N339" s="944">
        <v>-28.333333333333332</v>
      </c>
      <c r="O339" s="918"/>
      <c r="P339" s="898"/>
      <c r="Q339" s="921">
        <v>0</v>
      </c>
      <c r="R339" s="918"/>
      <c r="S339" s="944">
        <v>0</v>
      </c>
      <c r="T339" s="898"/>
      <c r="U339" s="895"/>
      <c r="V339" s="898"/>
      <c r="W339" s="898"/>
      <c r="X339" s="898"/>
      <c r="Y339" s="898"/>
      <c r="Z339" s="898"/>
      <c r="AA339" s="898"/>
      <c r="AB339" s="898"/>
      <c r="AC339" s="898"/>
      <c r="AD339" s="898"/>
      <c r="AE339" s="898"/>
      <c r="AF339" s="898"/>
      <c r="AG339" s="898"/>
      <c r="AH339" s="898"/>
      <c r="AI339" s="898"/>
      <c r="AJ339" s="898"/>
      <c r="AK339" s="898"/>
      <c r="AL339" s="898"/>
      <c r="AM339" s="898"/>
      <c r="AN339" s="898"/>
    </row>
    <row r="340" spans="1:40" ht="15.75" customHeight="1">
      <c r="A340" s="883" t="s">
        <v>436</v>
      </c>
      <c r="B340" s="898" t="s">
        <v>103</v>
      </c>
      <c r="C340" s="986" t="s">
        <v>58</v>
      </c>
      <c r="D340" s="971"/>
      <c r="E340" s="898"/>
      <c r="F340" s="919">
        <v>716.40904661649995</v>
      </c>
      <c r="G340" s="972"/>
      <c r="H340" s="898"/>
      <c r="I340" s="919"/>
      <c r="J340" s="918"/>
      <c r="K340" s="898"/>
      <c r="L340" s="921">
        <v>234.02</v>
      </c>
      <c r="M340" s="918"/>
      <c r="N340" s="944">
        <v>-482.38904661649997</v>
      </c>
      <c r="O340" s="918"/>
      <c r="P340" s="898"/>
      <c r="Q340" s="921">
        <v>490.86</v>
      </c>
      <c r="R340" s="918"/>
      <c r="S340" s="944">
        <v>-256.84000000000003</v>
      </c>
      <c r="T340" s="898"/>
      <c r="U340" s="895"/>
      <c r="V340" s="898"/>
      <c r="W340" s="898"/>
      <c r="X340" s="898"/>
      <c r="Y340" s="898"/>
      <c r="Z340" s="898"/>
      <c r="AA340" s="898"/>
      <c r="AB340" s="898"/>
      <c r="AC340" s="898"/>
      <c r="AD340" s="898"/>
      <c r="AE340" s="898"/>
      <c r="AF340" s="898"/>
      <c r="AG340" s="898"/>
      <c r="AH340" s="898"/>
      <c r="AI340" s="898"/>
      <c r="AJ340" s="898"/>
      <c r="AK340" s="898"/>
      <c r="AL340" s="898"/>
      <c r="AM340" s="898"/>
      <c r="AN340" s="898"/>
    </row>
    <row r="341" spans="1:40" ht="15.75" customHeight="1">
      <c r="A341" s="883" t="s">
        <v>437</v>
      </c>
      <c r="B341" s="898" t="s">
        <v>103</v>
      </c>
      <c r="C341" s="986" t="s">
        <v>59</v>
      </c>
      <c r="D341" s="971"/>
      <c r="E341" s="898"/>
      <c r="F341" s="919">
        <v>115.54074359217363</v>
      </c>
      <c r="G341" s="972"/>
      <c r="H341" s="898"/>
      <c r="I341" s="919"/>
      <c r="J341" s="918"/>
      <c r="K341" s="898"/>
      <c r="L341" s="921">
        <v>94.15</v>
      </c>
      <c r="M341" s="918"/>
      <c r="N341" s="944">
        <v>-21.390743592173621</v>
      </c>
      <c r="O341" s="918"/>
      <c r="P341" s="898"/>
      <c r="Q341" s="921">
        <v>98.17</v>
      </c>
      <c r="R341" s="918"/>
      <c r="S341" s="944">
        <v>-4.019999999999996</v>
      </c>
      <c r="T341" s="898"/>
      <c r="U341" s="895"/>
      <c r="V341" s="898"/>
      <c r="W341" s="898"/>
      <c r="X341" s="898"/>
      <c r="Y341" s="898"/>
      <c r="Z341" s="898"/>
      <c r="AA341" s="898"/>
      <c r="AB341" s="898"/>
      <c r="AC341" s="898"/>
      <c r="AD341" s="898"/>
      <c r="AE341" s="898"/>
      <c r="AF341" s="898"/>
      <c r="AG341" s="898"/>
      <c r="AH341" s="898"/>
      <c r="AI341" s="898"/>
      <c r="AJ341" s="898"/>
      <c r="AK341" s="898"/>
      <c r="AL341" s="898"/>
      <c r="AM341" s="898"/>
      <c r="AN341" s="898"/>
    </row>
    <row r="342" spans="1:40" ht="15.75" customHeight="1">
      <c r="A342" s="883" t="s">
        <v>438</v>
      </c>
      <c r="B342" s="898" t="s">
        <v>103</v>
      </c>
      <c r="C342" s="986" t="s">
        <v>60</v>
      </c>
      <c r="D342" s="971"/>
      <c r="E342" s="898"/>
      <c r="F342" s="919">
        <v>-31.110347462173621</v>
      </c>
      <c r="G342" s="972"/>
      <c r="H342" s="898"/>
      <c r="I342" s="919"/>
      <c r="J342" s="918"/>
      <c r="K342" s="898"/>
      <c r="L342" s="921">
        <v>-2231.29</v>
      </c>
      <c r="M342" s="918"/>
      <c r="N342" s="944">
        <v>-2200.1796525378263</v>
      </c>
      <c r="O342" s="918"/>
      <c r="P342" s="898"/>
      <c r="Q342" s="921">
        <v>-183.24</v>
      </c>
      <c r="R342" s="918"/>
      <c r="S342" s="944">
        <v>-2048.0500000000002</v>
      </c>
      <c r="T342" s="898"/>
      <c r="U342" s="895"/>
      <c r="V342" s="898"/>
      <c r="W342" s="898"/>
      <c r="X342" s="898"/>
      <c r="Y342" s="898"/>
      <c r="Z342" s="898"/>
      <c r="AA342" s="898"/>
      <c r="AB342" s="898"/>
      <c r="AC342" s="898"/>
      <c r="AD342" s="898"/>
      <c r="AE342" s="898"/>
      <c r="AF342" s="898"/>
      <c r="AG342" s="898"/>
      <c r="AH342" s="898"/>
      <c r="AI342" s="898"/>
      <c r="AJ342" s="898"/>
      <c r="AK342" s="898"/>
      <c r="AL342" s="898"/>
      <c r="AM342" s="898"/>
      <c r="AN342" s="898"/>
    </row>
    <row r="343" spans="1:40" ht="15.75" customHeight="1">
      <c r="A343" s="883" t="s">
        <v>439</v>
      </c>
      <c r="B343" s="898" t="s">
        <v>103</v>
      </c>
      <c r="C343" s="986" t="s">
        <v>61</v>
      </c>
      <c r="D343" s="971"/>
      <c r="E343" s="898"/>
      <c r="F343" s="919">
        <v>156.51117666245145</v>
      </c>
      <c r="G343" s="972"/>
      <c r="H343" s="898"/>
      <c r="I343" s="919"/>
      <c r="J343" s="918"/>
      <c r="K343" s="898"/>
      <c r="L343" s="921">
        <v>105.25</v>
      </c>
      <c r="M343" s="918"/>
      <c r="N343" s="944">
        <v>-51.261176662451447</v>
      </c>
      <c r="O343" s="918"/>
      <c r="P343" s="898"/>
      <c r="Q343" s="921">
        <v>118.76</v>
      </c>
      <c r="R343" s="918"/>
      <c r="S343" s="944">
        <v>-13.510000000000005</v>
      </c>
      <c r="T343" s="898"/>
      <c r="U343" s="895"/>
      <c r="V343" s="898"/>
      <c r="W343" s="898"/>
      <c r="X343" s="898"/>
      <c r="Y343" s="898"/>
      <c r="Z343" s="898"/>
      <c r="AA343" s="898"/>
      <c r="AB343" s="898"/>
      <c r="AC343" s="898"/>
      <c r="AD343" s="898"/>
      <c r="AE343" s="898"/>
      <c r="AF343" s="898"/>
      <c r="AG343" s="898"/>
      <c r="AH343" s="898"/>
      <c r="AI343" s="898"/>
      <c r="AJ343" s="898"/>
      <c r="AK343" s="898"/>
      <c r="AL343" s="898"/>
      <c r="AM343" s="898"/>
      <c r="AN343" s="898"/>
    </row>
    <row r="344" spans="1:40" ht="15.75" customHeight="1">
      <c r="A344" s="883" t="s">
        <v>440</v>
      </c>
      <c r="B344" s="898" t="s">
        <v>103</v>
      </c>
      <c r="C344" s="986" t="s">
        <v>62</v>
      </c>
      <c r="D344" s="971"/>
      <c r="E344" s="898"/>
      <c r="F344" s="919">
        <v>378.95432121431327</v>
      </c>
      <c r="G344" s="972"/>
      <c r="H344" s="898"/>
      <c r="I344" s="919"/>
      <c r="J344" s="918"/>
      <c r="K344" s="898"/>
      <c r="L344" s="921">
        <v>323.68</v>
      </c>
      <c r="M344" s="918"/>
      <c r="N344" s="944">
        <v>-55.274321214313261</v>
      </c>
      <c r="O344" s="918"/>
      <c r="P344" s="898"/>
      <c r="Q344" s="921">
        <v>521.79</v>
      </c>
      <c r="R344" s="918"/>
      <c r="S344" s="944">
        <v>-198.10999999999996</v>
      </c>
      <c r="T344" s="898"/>
      <c r="U344" s="1106"/>
      <c r="X344" s="898"/>
      <c r="Y344" s="898"/>
      <c r="Z344" s="898"/>
      <c r="AA344" s="898"/>
      <c r="AB344" s="898"/>
      <c r="AC344" s="898"/>
      <c r="AD344" s="898"/>
      <c r="AE344" s="898"/>
      <c r="AF344" s="898"/>
      <c r="AG344" s="898"/>
      <c r="AH344" s="898"/>
      <c r="AI344" s="898"/>
      <c r="AJ344" s="898"/>
      <c r="AK344" s="898"/>
      <c r="AL344" s="898"/>
      <c r="AM344" s="898"/>
      <c r="AN344" s="898"/>
    </row>
    <row r="345" spans="1:40" ht="15.75" customHeight="1">
      <c r="A345" s="883" t="s">
        <v>441</v>
      </c>
      <c r="B345" s="898" t="s">
        <v>103</v>
      </c>
      <c r="C345" s="986" t="s">
        <v>63</v>
      </c>
      <c r="D345" s="971"/>
      <c r="E345" s="898"/>
      <c r="F345" s="919">
        <v>1405.2879790725349</v>
      </c>
      <c r="G345" s="972"/>
      <c r="H345" s="898"/>
      <c r="I345" s="919"/>
      <c r="J345" s="918"/>
      <c r="K345" s="898"/>
      <c r="L345" s="921">
        <v>1785.08</v>
      </c>
      <c r="M345" s="918"/>
      <c r="N345" s="944">
        <v>379.79202092746505</v>
      </c>
      <c r="O345" s="918"/>
      <c r="P345" s="898"/>
      <c r="Q345" s="921">
        <v>1452.03</v>
      </c>
      <c r="R345" s="918"/>
      <c r="S345" s="944">
        <v>333.04999999999995</v>
      </c>
      <c r="T345" s="898"/>
      <c r="U345" s="1106"/>
      <c r="X345" s="898"/>
      <c r="Y345" s="898"/>
      <c r="Z345" s="898"/>
      <c r="AA345" s="898"/>
      <c r="AB345" s="898"/>
      <c r="AC345" s="898"/>
      <c r="AD345" s="898"/>
      <c r="AE345" s="898"/>
      <c r="AF345" s="898"/>
      <c r="AG345" s="898"/>
      <c r="AH345" s="898"/>
      <c r="AI345" s="898"/>
      <c r="AJ345" s="898"/>
      <c r="AK345" s="898"/>
      <c r="AL345" s="898"/>
      <c r="AM345" s="898"/>
      <c r="AN345" s="898"/>
    </row>
    <row r="346" spans="1:40" ht="15.75" hidden="1" customHeight="1">
      <c r="A346" s="883" t="s">
        <v>408</v>
      </c>
      <c r="B346" s="898" t="s">
        <v>103</v>
      </c>
      <c r="C346" s="986" t="s">
        <v>20</v>
      </c>
      <c r="D346" s="971"/>
      <c r="E346" s="898"/>
      <c r="F346" s="919">
        <v>0</v>
      </c>
      <c r="G346" s="972"/>
      <c r="H346" s="898"/>
      <c r="I346" s="919"/>
      <c r="J346" s="918"/>
      <c r="K346" s="898"/>
      <c r="L346" s="921">
        <v>0</v>
      </c>
      <c r="M346" s="918"/>
      <c r="N346" s="944">
        <v>0</v>
      </c>
      <c r="O346" s="918"/>
      <c r="P346" s="898"/>
      <c r="Q346" s="921">
        <v>0</v>
      </c>
      <c r="R346" s="918"/>
      <c r="S346" s="944">
        <v>0</v>
      </c>
      <c r="T346" s="898"/>
      <c r="U346" s="1106"/>
      <c r="X346" s="898"/>
      <c r="Y346" s="898"/>
      <c r="Z346" s="898"/>
      <c r="AA346" s="898"/>
      <c r="AB346" s="898"/>
      <c r="AC346" s="898"/>
      <c r="AD346" s="898"/>
      <c r="AE346" s="898"/>
      <c r="AF346" s="898"/>
      <c r="AG346" s="898"/>
      <c r="AH346" s="898"/>
      <c r="AI346" s="898"/>
      <c r="AJ346" s="898"/>
      <c r="AK346" s="898"/>
      <c r="AL346" s="898"/>
      <c r="AM346" s="898"/>
      <c r="AN346" s="898"/>
    </row>
    <row r="347" spans="1:40" ht="15.75" hidden="1" customHeight="1">
      <c r="A347" s="883" t="s">
        <v>408</v>
      </c>
      <c r="B347" s="898" t="s">
        <v>103</v>
      </c>
      <c r="C347" s="986" t="s">
        <v>20</v>
      </c>
      <c r="D347" s="971"/>
      <c r="E347" s="898"/>
      <c r="F347" s="919">
        <v>0</v>
      </c>
      <c r="G347" s="972"/>
      <c r="H347" s="898"/>
      <c r="I347" s="919"/>
      <c r="J347" s="918"/>
      <c r="K347" s="898"/>
      <c r="L347" s="921">
        <v>0</v>
      </c>
      <c r="M347" s="918"/>
      <c r="N347" s="944">
        <v>0</v>
      </c>
      <c r="O347" s="918"/>
      <c r="P347" s="898"/>
      <c r="Q347" s="921">
        <v>0</v>
      </c>
      <c r="R347" s="918"/>
      <c r="S347" s="944">
        <v>0</v>
      </c>
      <c r="T347" s="898"/>
      <c r="U347" s="1106"/>
      <c r="X347" s="898"/>
      <c r="Y347" s="898"/>
      <c r="Z347" s="898"/>
      <c r="AA347" s="898"/>
      <c r="AB347" s="898"/>
      <c r="AC347" s="898"/>
      <c r="AD347" s="898"/>
      <c r="AE347" s="898"/>
      <c r="AF347" s="898"/>
      <c r="AG347" s="898"/>
      <c r="AH347" s="898"/>
      <c r="AI347" s="898"/>
      <c r="AJ347" s="898"/>
      <c r="AK347" s="898"/>
      <c r="AL347" s="898"/>
      <c r="AM347" s="898"/>
      <c r="AN347" s="898"/>
    </row>
    <row r="348" spans="1:40" ht="15.75" hidden="1" customHeight="1">
      <c r="A348" s="883" t="s">
        <v>408</v>
      </c>
      <c r="B348" s="898" t="s">
        <v>103</v>
      </c>
      <c r="C348" s="986" t="s">
        <v>20</v>
      </c>
      <c r="D348" s="971"/>
      <c r="E348" s="898"/>
      <c r="F348" s="919">
        <v>0</v>
      </c>
      <c r="G348" s="972"/>
      <c r="H348" s="898"/>
      <c r="I348" s="919"/>
      <c r="J348" s="918"/>
      <c r="K348" s="898"/>
      <c r="L348" s="921">
        <v>0</v>
      </c>
      <c r="M348" s="918"/>
      <c r="N348" s="944">
        <v>0</v>
      </c>
      <c r="O348" s="918"/>
      <c r="P348" s="898"/>
      <c r="Q348" s="921">
        <v>0</v>
      </c>
      <c r="R348" s="918"/>
      <c r="S348" s="944">
        <v>0</v>
      </c>
      <c r="T348" s="898"/>
      <c r="U348" s="1106"/>
      <c r="X348" s="898"/>
      <c r="Y348" s="898"/>
      <c r="Z348" s="898"/>
      <c r="AA348" s="898"/>
      <c r="AB348" s="898"/>
      <c r="AC348" s="898"/>
      <c r="AD348" s="898"/>
      <c r="AE348" s="898"/>
      <c r="AF348" s="898"/>
      <c r="AG348" s="898"/>
      <c r="AH348" s="898"/>
      <c r="AI348" s="898"/>
      <c r="AJ348" s="898"/>
      <c r="AK348" s="898"/>
      <c r="AL348" s="898"/>
      <c r="AM348" s="898"/>
      <c r="AN348" s="898"/>
    </row>
    <row r="349" spans="1:40" ht="15.75" customHeight="1">
      <c r="B349" s="892"/>
      <c r="C349" s="978" t="s">
        <v>64</v>
      </c>
      <c r="D349" s="979" t="s">
        <v>39</v>
      </c>
      <c r="E349" s="980">
        <v>0.22560853178962853</v>
      </c>
      <c r="F349" s="981">
        <v>26535.434574828549</v>
      </c>
      <c r="G349" s="982"/>
      <c r="H349" s="980"/>
      <c r="I349" s="981"/>
      <c r="J349" s="982" t="s">
        <v>39</v>
      </c>
      <c r="K349" s="980">
        <v>0.16511172056968776</v>
      </c>
      <c r="L349" s="981">
        <v>24365.53</v>
      </c>
      <c r="M349" s="985"/>
      <c r="N349" s="981">
        <v>-2169.9045748285507</v>
      </c>
      <c r="O349" s="982" t="s">
        <v>39</v>
      </c>
      <c r="P349" s="980">
        <v>0.23907703251582837</v>
      </c>
      <c r="Q349" s="981">
        <v>26907.189999999995</v>
      </c>
      <c r="R349" s="985"/>
      <c r="S349" s="981">
        <v>-2541.6600000000017</v>
      </c>
      <c r="T349" s="898"/>
      <c r="U349" s="1106"/>
      <c r="X349" s="898"/>
      <c r="Y349" s="898"/>
      <c r="Z349" s="898"/>
      <c r="AA349" s="898"/>
      <c r="AB349" s="898"/>
      <c r="AC349" s="898"/>
      <c r="AD349" s="898"/>
      <c r="AE349" s="898"/>
      <c r="AF349" s="898"/>
      <c r="AG349" s="898"/>
      <c r="AH349" s="898"/>
      <c r="AI349" s="898"/>
      <c r="AJ349" s="898"/>
      <c r="AK349" s="898"/>
      <c r="AL349" s="898"/>
      <c r="AM349" s="898"/>
      <c r="AN349" s="898"/>
    </row>
    <row r="350" spans="1:40" ht="15.75" customHeight="1">
      <c r="B350" s="892"/>
      <c r="C350" s="911"/>
      <c r="D350" s="973"/>
      <c r="E350" s="993"/>
      <c r="F350" s="944"/>
      <c r="G350" s="974"/>
      <c r="H350" s="993"/>
      <c r="I350" s="944"/>
      <c r="J350" s="911"/>
      <c r="K350" s="993"/>
      <c r="L350" s="969"/>
      <c r="M350" s="911"/>
      <c r="N350" s="969"/>
      <c r="O350" s="911"/>
      <c r="P350" s="993"/>
      <c r="Q350" s="969"/>
      <c r="R350" s="911"/>
      <c r="S350" s="969"/>
      <c r="T350" s="898"/>
      <c r="U350" s="895"/>
      <c r="V350" s="898"/>
      <c r="W350" s="898"/>
      <c r="X350" s="898"/>
      <c r="Y350" s="898"/>
      <c r="Z350" s="898"/>
      <c r="AA350" s="898"/>
      <c r="AB350" s="898"/>
      <c r="AC350" s="898"/>
      <c r="AD350" s="898"/>
      <c r="AE350" s="898"/>
      <c r="AF350" s="898"/>
      <c r="AG350" s="898"/>
      <c r="AH350" s="898"/>
      <c r="AI350" s="898"/>
      <c r="AJ350" s="898"/>
      <c r="AK350" s="898"/>
      <c r="AL350" s="898"/>
      <c r="AM350" s="898"/>
      <c r="AN350" s="898"/>
    </row>
    <row r="351" spans="1:40" ht="15.75" customHeight="1">
      <c r="B351" s="892"/>
      <c r="C351" s="978" t="s">
        <v>65</v>
      </c>
      <c r="D351" s="979" t="s">
        <v>39</v>
      </c>
      <c r="E351" s="980">
        <v>0.6191933268351707</v>
      </c>
      <c r="F351" s="981">
        <v>72827.760027825483</v>
      </c>
      <c r="G351" s="982"/>
      <c r="H351" s="980"/>
      <c r="I351" s="981"/>
      <c r="J351" s="982" t="s">
        <v>39</v>
      </c>
      <c r="K351" s="980">
        <v>0.43760071494225522</v>
      </c>
      <c r="L351" s="981">
        <v>64576.72</v>
      </c>
      <c r="M351" s="985"/>
      <c r="N351" s="995">
        <v>-8251.040027825482</v>
      </c>
      <c r="O351" s="982" t="s">
        <v>39</v>
      </c>
      <c r="P351" s="980">
        <v>0.66701710081316901</v>
      </c>
      <c r="Q351" s="981">
        <v>75070.179999999993</v>
      </c>
      <c r="R351" s="985"/>
      <c r="S351" s="995">
        <v>-10493.459999999992</v>
      </c>
      <c r="T351" s="898"/>
      <c r="U351" s="895"/>
      <c r="V351" s="898"/>
      <c r="W351" s="898"/>
      <c r="X351" s="898"/>
      <c r="Y351" s="898"/>
      <c r="Z351" s="898"/>
      <c r="AA351" s="898"/>
      <c r="AB351" s="898"/>
      <c r="AC351" s="898"/>
      <c r="AD351" s="898"/>
      <c r="AE351" s="898"/>
      <c r="AF351" s="898"/>
      <c r="AG351" s="898"/>
      <c r="AH351" s="898"/>
      <c r="AI351" s="898"/>
      <c r="AJ351" s="898"/>
      <c r="AK351" s="898"/>
      <c r="AL351" s="898"/>
      <c r="AM351" s="898"/>
      <c r="AN351" s="898"/>
    </row>
    <row r="352" spans="1:40" ht="15.75" customHeight="1">
      <c r="B352" s="892"/>
      <c r="C352" s="918"/>
      <c r="D352" s="971"/>
      <c r="E352" s="898"/>
      <c r="F352" s="944"/>
      <c r="G352" s="972"/>
      <c r="H352" s="898"/>
      <c r="I352" s="944"/>
      <c r="J352" s="918"/>
      <c r="K352" s="898"/>
      <c r="L352" s="944"/>
      <c r="M352" s="918"/>
      <c r="N352" s="944">
        <v>0</v>
      </c>
      <c r="O352" s="918"/>
      <c r="P352" s="898"/>
      <c r="Q352" s="944"/>
      <c r="R352" s="918"/>
      <c r="S352" s="944"/>
      <c r="T352" s="898"/>
      <c r="U352" s="895"/>
      <c r="V352" s="898"/>
      <c r="W352" s="898"/>
      <c r="X352" s="898"/>
      <c r="Y352" s="898"/>
      <c r="Z352" s="898"/>
      <c r="AA352" s="898"/>
      <c r="AB352" s="898"/>
      <c r="AC352" s="898"/>
      <c r="AD352" s="898"/>
      <c r="AE352" s="898"/>
      <c r="AF352" s="898"/>
      <c r="AG352" s="898"/>
      <c r="AH352" s="898"/>
      <c r="AI352" s="898"/>
      <c r="AJ352" s="898"/>
      <c r="AK352" s="898"/>
      <c r="AL352" s="898"/>
      <c r="AM352" s="898"/>
      <c r="AN352" s="898"/>
    </row>
    <row r="353" spans="1:40" ht="24" customHeight="1" thickBot="1">
      <c r="B353" s="892"/>
      <c r="C353" s="1010" t="s">
        <v>72</v>
      </c>
      <c r="D353" s="1040"/>
      <c r="E353" s="1011"/>
      <c r="F353" s="1013">
        <v>44789.399058923256</v>
      </c>
      <c r="G353" s="1041"/>
      <c r="H353" s="1011"/>
      <c r="I353" s="1013"/>
      <c r="J353" s="1010"/>
      <c r="K353" s="1012"/>
      <c r="L353" s="1013">
        <v>82993.239999999991</v>
      </c>
      <c r="M353" s="1010"/>
      <c r="N353" s="1013">
        <v>38203.840941076734</v>
      </c>
      <c r="O353" s="1010"/>
      <c r="P353" s="1015">
        <v>8.580399392282391E-2</v>
      </c>
      <c r="Q353" s="1013">
        <v>37475.929999999993</v>
      </c>
      <c r="R353" s="1010"/>
      <c r="S353" s="1013">
        <v>45517.31</v>
      </c>
      <c r="T353" s="898"/>
      <c r="U353" s="895"/>
      <c r="V353" s="898"/>
      <c r="W353" s="898"/>
      <c r="X353" s="898"/>
      <c r="Y353" s="898"/>
      <c r="Z353" s="898"/>
      <c r="AA353" s="898"/>
      <c r="AB353" s="898"/>
      <c r="AC353" s="898"/>
      <c r="AD353" s="898"/>
      <c r="AE353" s="898"/>
      <c r="AF353" s="898"/>
      <c r="AG353" s="898"/>
      <c r="AH353" s="898"/>
      <c r="AI353" s="898"/>
      <c r="AJ353" s="898"/>
      <c r="AK353" s="898"/>
      <c r="AL353" s="898"/>
      <c r="AM353" s="898"/>
      <c r="AN353" s="898"/>
    </row>
    <row r="354" spans="1:40" ht="15.75" customHeight="1" thickTop="1">
      <c r="B354" s="892"/>
      <c r="C354" s="958"/>
      <c r="D354" s="971"/>
      <c r="E354" s="898"/>
      <c r="F354" s="994"/>
      <c r="G354" s="971"/>
      <c r="H354" s="898"/>
      <c r="I354" s="994"/>
      <c r="J354" s="958"/>
      <c r="K354" s="958"/>
      <c r="L354" s="994"/>
      <c r="M354" s="958"/>
      <c r="N354" s="994"/>
      <c r="O354" s="958"/>
      <c r="P354" s="958"/>
      <c r="Q354" s="994"/>
      <c r="R354" s="958"/>
      <c r="S354" s="994"/>
      <c r="T354" s="898"/>
      <c r="U354" s="898"/>
      <c r="V354" s="898"/>
      <c r="W354" s="898"/>
      <c r="X354" s="898"/>
      <c r="Y354" s="898"/>
      <c r="Z354" s="898"/>
      <c r="AA354" s="898"/>
      <c r="AB354" s="898"/>
      <c r="AC354" s="898"/>
      <c r="AD354" s="898"/>
      <c r="AE354" s="898"/>
      <c r="AF354" s="898"/>
      <c r="AG354" s="898"/>
      <c r="AH354" s="898"/>
      <c r="AI354" s="898"/>
      <c r="AJ354" s="898"/>
      <c r="AK354" s="898"/>
      <c r="AL354" s="898"/>
      <c r="AM354" s="898"/>
      <c r="AN354" s="898"/>
    </row>
    <row r="355" spans="1:40" ht="15.75" hidden="1" customHeight="1">
      <c r="B355" s="892"/>
      <c r="C355" s="958"/>
      <c r="D355" s="971"/>
      <c r="E355" s="898"/>
      <c r="F355" s="994"/>
      <c r="G355" s="971"/>
      <c r="H355" s="898"/>
      <c r="I355" s="994"/>
      <c r="J355" s="958"/>
      <c r="K355" s="958"/>
      <c r="L355" s="994"/>
      <c r="M355" s="958"/>
      <c r="N355" s="994"/>
      <c r="O355" s="958"/>
      <c r="P355" s="958"/>
      <c r="Q355" s="994"/>
      <c r="R355" s="958"/>
      <c r="S355" s="994"/>
      <c r="T355" s="898"/>
      <c r="U355" s="898"/>
      <c r="V355" s="898"/>
      <c r="W355" s="898"/>
      <c r="X355" s="898"/>
      <c r="Y355" s="898"/>
      <c r="Z355" s="898"/>
      <c r="AA355" s="898"/>
      <c r="AB355" s="898"/>
      <c r="AC355" s="898"/>
      <c r="AD355" s="898"/>
      <c r="AE355" s="898"/>
      <c r="AF355" s="898"/>
      <c r="AG355" s="898"/>
      <c r="AH355" s="898"/>
      <c r="AI355" s="898"/>
      <c r="AJ355" s="898"/>
      <c r="AK355" s="898"/>
      <c r="AL355" s="898"/>
      <c r="AM355" s="898"/>
      <c r="AN355" s="898"/>
    </row>
    <row r="356" spans="1:40" ht="34.5" hidden="1" customHeight="1">
      <c r="B356" s="892"/>
      <c r="C356" s="1020" t="s">
        <v>478</v>
      </c>
      <c r="D356" s="886"/>
      <c r="E356" s="886"/>
      <c r="F356" s="886"/>
      <c r="G356" s="886"/>
      <c r="H356" s="884"/>
      <c r="I356" s="884"/>
      <c r="J356" s="884"/>
      <c r="K356" s="888" t="s">
        <v>119</v>
      </c>
      <c r="L356" s="886"/>
      <c r="M356" s="886"/>
      <c r="N356" s="884"/>
      <c r="O356" s="884"/>
      <c r="P356" s="886"/>
      <c r="Q356" s="884"/>
      <c r="R356" s="886"/>
      <c r="S356" s="1021" t="s">
        <v>482</v>
      </c>
      <c r="T356" s="895"/>
      <c r="U356" s="895"/>
      <c r="V356" s="898"/>
      <c r="W356" s="895"/>
      <c r="X356" s="895"/>
      <c r="Y356" s="895"/>
      <c r="Z356" s="895"/>
      <c r="AA356" s="895"/>
      <c r="AB356" s="895"/>
      <c r="AC356" s="895"/>
      <c r="AD356" s="895"/>
      <c r="AE356" s="895"/>
      <c r="AF356" s="895"/>
      <c r="AG356" s="895"/>
      <c r="AH356" s="895"/>
      <c r="AI356" s="895"/>
      <c r="AJ356" s="895"/>
      <c r="AK356" s="895"/>
      <c r="AL356" s="895"/>
      <c r="AM356" s="895"/>
      <c r="AN356" s="895"/>
    </row>
    <row r="357" spans="1:40" ht="15.75" hidden="1" customHeight="1">
      <c r="B357" s="892"/>
      <c r="C357" s="893"/>
      <c r="D357" s="895"/>
      <c r="E357" s="895"/>
      <c r="F357" s="895"/>
      <c r="G357" s="895"/>
      <c r="H357" s="895"/>
      <c r="I357" s="895"/>
      <c r="J357" s="895"/>
      <c r="K357" s="895"/>
      <c r="L357" s="895"/>
      <c r="M357" s="895"/>
      <c r="N357" s="895"/>
      <c r="O357" s="895"/>
      <c r="P357" s="895"/>
      <c r="Q357" s="895"/>
      <c r="R357" s="895"/>
      <c r="S357" s="895"/>
      <c r="T357" s="895"/>
      <c r="U357" s="895"/>
      <c r="V357" s="898"/>
      <c r="W357" s="895"/>
      <c r="X357" s="895"/>
      <c r="Y357" s="895"/>
      <c r="Z357" s="895"/>
      <c r="AA357" s="895"/>
      <c r="AB357" s="895"/>
      <c r="AC357" s="895"/>
      <c r="AD357" s="895"/>
      <c r="AE357" s="895"/>
      <c r="AF357" s="895"/>
      <c r="AG357" s="895"/>
      <c r="AH357" s="895"/>
      <c r="AI357" s="895"/>
      <c r="AJ357" s="895"/>
      <c r="AK357" s="895"/>
      <c r="AL357" s="895"/>
      <c r="AM357" s="895"/>
      <c r="AN357" s="895"/>
    </row>
    <row r="358" spans="1:40" ht="15.75" hidden="1" customHeight="1">
      <c r="B358" s="892"/>
      <c r="C358" s="899"/>
      <c r="D358" s="900" t="s">
        <v>5</v>
      </c>
      <c r="E358" s="901"/>
      <c r="F358" s="902"/>
      <c r="G358" s="903"/>
      <c r="H358" s="901"/>
      <c r="I358" s="902"/>
      <c r="J358" s="903" t="s">
        <v>7</v>
      </c>
      <c r="K358" s="901"/>
      <c r="L358" s="902"/>
      <c r="M358" s="903"/>
      <c r="N358" s="902"/>
      <c r="O358" s="900" t="s">
        <v>8</v>
      </c>
      <c r="P358" s="901"/>
      <c r="Q358" s="902"/>
      <c r="R358" s="903" t="s">
        <v>9</v>
      </c>
      <c r="S358" s="902"/>
      <c r="T358" s="895"/>
      <c r="U358" s="895"/>
      <c r="V358" s="898"/>
      <c r="W358" s="895"/>
      <c r="X358" s="895"/>
      <c r="Y358" s="895"/>
      <c r="Z358" s="895"/>
      <c r="AA358" s="895"/>
      <c r="AB358" s="895"/>
      <c r="AC358" s="895"/>
      <c r="AD358" s="895"/>
      <c r="AE358" s="895"/>
      <c r="AF358" s="895"/>
      <c r="AG358" s="895"/>
      <c r="AH358" s="895"/>
      <c r="AI358" s="895"/>
      <c r="AJ358" s="895"/>
      <c r="AK358" s="895"/>
      <c r="AL358" s="895"/>
      <c r="AM358" s="895"/>
      <c r="AN358" s="895"/>
    </row>
    <row r="359" spans="1:40" ht="15.75" hidden="1" customHeight="1">
      <c r="A359" s="883" t="s">
        <v>119</v>
      </c>
      <c r="B359" s="898" t="s">
        <v>119</v>
      </c>
      <c r="C359" s="918"/>
      <c r="D359" s="1107" t="s">
        <v>84</v>
      </c>
      <c r="E359" s="1107" t="s">
        <v>104</v>
      </c>
      <c r="F359" s="1108" t="s">
        <v>12</v>
      </c>
      <c r="G359" s="1109"/>
      <c r="H359" s="1107"/>
      <c r="I359" s="1108"/>
      <c r="J359" s="1044" t="s">
        <v>84</v>
      </c>
      <c r="K359" s="962" t="s">
        <v>104</v>
      </c>
      <c r="L359" s="1043" t="s">
        <v>12</v>
      </c>
      <c r="M359" s="1044"/>
      <c r="N359" s="1043"/>
      <c r="O359" s="1044" t="s">
        <v>84</v>
      </c>
      <c r="P359" s="962" t="s">
        <v>104</v>
      </c>
      <c r="Q359" s="1043" t="s">
        <v>12</v>
      </c>
      <c r="R359" s="1044" t="s">
        <v>85</v>
      </c>
      <c r="S359" s="1043" t="s">
        <v>12</v>
      </c>
      <c r="T359" s="895"/>
      <c r="U359" s="895"/>
      <c r="V359" s="898"/>
      <c r="W359" s="895"/>
      <c r="X359" s="895"/>
      <c r="Y359" s="895"/>
      <c r="Z359" s="895"/>
      <c r="AA359" s="895"/>
      <c r="AB359" s="895"/>
      <c r="AC359" s="895"/>
      <c r="AD359" s="895"/>
      <c r="AE359" s="895"/>
      <c r="AF359" s="895"/>
      <c r="AG359" s="895"/>
      <c r="AH359" s="895"/>
      <c r="AI359" s="895"/>
      <c r="AJ359" s="895"/>
      <c r="AK359" s="895"/>
      <c r="AL359" s="895"/>
      <c r="AM359" s="895"/>
      <c r="AN359" s="895"/>
    </row>
    <row r="360" spans="1:40" ht="15.75" hidden="1" customHeight="1">
      <c r="A360" s="883" t="s">
        <v>442</v>
      </c>
      <c r="B360" s="898" t="s">
        <v>119</v>
      </c>
      <c r="C360" s="946" t="s">
        <v>119</v>
      </c>
      <c r="D360" s="1110">
        <v>0</v>
      </c>
      <c r="E360" s="1111">
        <v>0</v>
      </c>
      <c r="F360" s="1112">
        <v>0</v>
      </c>
      <c r="G360" s="1110"/>
      <c r="H360" s="1111"/>
      <c r="I360" s="1110"/>
      <c r="J360" s="1113">
        <v>0</v>
      </c>
      <c r="K360" s="1096">
        <v>0</v>
      </c>
      <c r="L360" s="1114">
        <v>0</v>
      </c>
      <c r="M360" s="1097"/>
      <c r="N360" s="1098"/>
      <c r="O360" s="1113">
        <v>0</v>
      </c>
      <c r="P360" s="1096">
        <v>0</v>
      </c>
      <c r="Q360" s="1114">
        <v>0</v>
      </c>
      <c r="R360" s="1097">
        <v>0</v>
      </c>
      <c r="S360" s="1098">
        <v>0</v>
      </c>
      <c r="T360" s="895"/>
      <c r="U360" s="895"/>
      <c r="V360" s="1115"/>
      <c r="W360" s="895"/>
      <c r="X360" s="895"/>
      <c r="Y360" s="895"/>
      <c r="Z360" s="895"/>
      <c r="AA360" s="895"/>
      <c r="AB360" s="895"/>
      <c r="AC360" s="895"/>
      <c r="AD360" s="895"/>
      <c r="AE360" s="895"/>
      <c r="AF360" s="895"/>
      <c r="AG360" s="895"/>
      <c r="AH360" s="895"/>
      <c r="AI360" s="895"/>
      <c r="AJ360" s="895"/>
      <c r="AK360" s="895"/>
      <c r="AL360" s="895"/>
      <c r="AM360" s="895"/>
      <c r="AN360" s="895"/>
    </row>
    <row r="361" spans="1:40" ht="15.75" hidden="1" customHeight="1">
      <c r="A361" s="883" t="s">
        <v>119</v>
      </c>
      <c r="B361" s="898" t="s">
        <v>119</v>
      </c>
      <c r="C361" s="1010"/>
      <c r="D361" s="1099"/>
      <c r="E361" s="1100"/>
      <c r="F361" s="1013"/>
      <c r="G361" s="1101"/>
      <c r="H361" s="1100"/>
      <c r="I361" s="1013"/>
      <c r="J361" s="1101"/>
      <c r="K361" s="1100"/>
      <c r="L361" s="1013"/>
      <c r="M361" s="1103"/>
      <c r="N361" s="957"/>
      <c r="O361" s="1101"/>
      <c r="P361" s="1100"/>
      <c r="Q361" s="1013"/>
      <c r="R361" s="1103"/>
      <c r="S361" s="957"/>
      <c r="T361" s="895"/>
      <c r="U361" s="895"/>
      <c r="V361" s="898"/>
      <c r="W361" s="895"/>
      <c r="X361" s="895"/>
      <c r="Y361" s="895"/>
      <c r="Z361" s="895"/>
      <c r="AA361" s="895"/>
      <c r="AB361" s="895"/>
      <c r="AC361" s="895"/>
      <c r="AD361" s="895"/>
      <c r="AE361" s="895"/>
      <c r="AF361" s="895"/>
      <c r="AG361" s="895"/>
      <c r="AH361" s="895"/>
      <c r="AI361" s="895"/>
      <c r="AJ361" s="895"/>
      <c r="AK361" s="895"/>
      <c r="AL361" s="895"/>
      <c r="AM361" s="895"/>
      <c r="AN361" s="895"/>
    </row>
    <row r="362" spans="1:40" ht="15.75" hidden="1" customHeight="1">
      <c r="A362" s="883" t="s">
        <v>443</v>
      </c>
      <c r="B362" s="898" t="s">
        <v>119</v>
      </c>
      <c r="C362" s="937" t="s">
        <v>120</v>
      </c>
      <c r="D362" s="994">
        <v>0</v>
      </c>
      <c r="E362" s="1055">
        <v>0</v>
      </c>
      <c r="F362" s="1057">
        <v>0</v>
      </c>
      <c r="G362" s="1056"/>
      <c r="H362" s="1055"/>
      <c r="I362" s="1057"/>
      <c r="J362" s="1056">
        <v>0</v>
      </c>
      <c r="K362" s="1055">
        <v>0</v>
      </c>
      <c r="L362" s="1057">
        <v>0</v>
      </c>
      <c r="M362" s="1033"/>
      <c r="N362" s="1116"/>
      <c r="O362" s="1056">
        <v>0</v>
      </c>
      <c r="P362" s="1055">
        <v>0</v>
      </c>
      <c r="Q362" s="1057">
        <v>0</v>
      </c>
      <c r="R362" s="918">
        <v>0</v>
      </c>
      <c r="S362" s="936">
        <v>0</v>
      </c>
      <c r="T362" s="895"/>
      <c r="U362" s="895"/>
      <c r="V362" s="898"/>
      <c r="W362" s="895"/>
      <c r="X362" s="895"/>
      <c r="Y362" s="895"/>
      <c r="Z362" s="895"/>
      <c r="AA362" s="895"/>
      <c r="AB362" s="895"/>
      <c r="AC362" s="895"/>
      <c r="AD362" s="895"/>
      <c r="AE362" s="895"/>
      <c r="AF362" s="895"/>
      <c r="AG362" s="895"/>
      <c r="AH362" s="895"/>
      <c r="AI362" s="895"/>
      <c r="AJ362" s="895"/>
      <c r="AK362" s="895"/>
      <c r="AL362" s="895"/>
      <c r="AM362" s="895"/>
      <c r="AN362" s="895"/>
    </row>
    <row r="363" spans="1:40" ht="15.75" hidden="1" customHeight="1">
      <c r="A363" s="883" t="s">
        <v>119</v>
      </c>
      <c r="B363" s="898" t="s">
        <v>119</v>
      </c>
      <c r="C363" s="961"/>
      <c r="D363" s="898"/>
      <c r="E363" s="898"/>
      <c r="F363" s="944"/>
      <c r="G363" s="918"/>
      <c r="H363" s="898"/>
      <c r="I363" s="944"/>
      <c r="J363" s="918"/>
      <c r="K363" s="898"/>
      <c r="L363" s="928"/>
      <c r="M363" s="918"/>
      <c r="N363" s="1045"/>
      <c r="O363" s="918"/>
      <c r="P363" s="898"/>
      <c r="Q363" s="928"/>
      <c r="R363" s="918"/>
      <c r="S363" s="928">
        <v>0</v>
      </c>
      <c r="T363" s="895"/>
      <c r="U363" s="895"/>
      <c r="V363" s="898"/>
      <c r="W363" s="895"/>
      <c r="X363" s="895"/>
      <c r="Y363" s="895"/>
      <c r="Z363" s="895"/>
      <c r="AA363" s="895"/>
      <c r="AB363" s="895"/>
      <c r="AC363" s="895"/>
      <c r="AD363" s="895"/>
      <c r="AE363" s="895"/>
      <c r="AF363" s="895"/>
      <c r="AG363" s="895"/>
      <c r="AH363" s="895"/>
      <c r="AI363" s="895"/>
      <c r="AJ363" s="895"/>
      <c r="AK363" s="895"/>
      <c r="AL363" s="895"/>
      <c r="AM363" s="895"/>
      <c r="AN363" s="895"/>
    </row>
    <row r="364" spans="1:40" ht="15.75" hidden="1" customHeight="1">
      <c r="A364" s="883" t="s">
        <v>444</v>
      </c>
      <c r="B364" s="898" t="s">
        <v>119</v>
      </c>
      <c r="C364" s="961" t="s">
        <v>30</v>
      </c>
      <c r="D364" s="898"/>
      <c r="E364" s="898"/>
      <c r="F364" s="944"/>
      <c r="G364" s="918"/>
      <c r="H364" s="898"/>
      <c r="I364" s="944"/>
      <c r="J364" s="918"/>
      <c r="K364" s="898"/>
      <c r="L364" s="928"/>
      <c r="M364" s="918"/>
      <c r="N364" s="928"/>
      <c r="O364" s="918"/>
      <c r="P364" s="898"/>
      <c r="Q364" s="928"/>
      <c r="R364" s="918"/>
      <c r="S364" s="928"/>
      <c r="T364" s="895"/>
      <c r="U364" s="895"/>
      <c r="V364" s="898"/>
      <c r="W364" s="895"/>
      <c r="X364" s="895"/>
      <c r="Y364" s="895"/>
      <c r="Z364" s="895"/>
      <c r="AA364" s="895"/>
      <c r="AB364" s="895"/>
      <c r="AC364" s="895"/>
      <c r="AD364" s="895"/>
      <c r="AE364" s="895"/>
      <c r="AF364" s="895"/>
      <c r="AG364" s="895"/>
      <c r="AH364" s="895"/>
      <c r="AI364" s="895"/>
      <c r="AJ364" s="895"/>
      <c r="AK364" s="895"/>
      <c r="AL364" s="895"/>
      <c r="AM364" s="895"/>
      <c r="AN364" s="895"/>
    </row>
    <row r="365" spans="1:40" ht="15.75" hidden="1" customHeight="1">
      <c r="A365" s="883" t="s">
        <v>445</v>
      </c>
      <c r="B365" s="898" t="s">
        <v>119</v>
      </c>
      <c r="C365" s="986" t="s">
        <v>41</v>
      </c>
      <c r="D365" s="898"/>
      <c r="E365" s="898"/>
      <c r="F365" s="919">
        <v>0</v>
      </c>
      <c r="G365" s="918"/>
      <c r="H365" s="898"/>
      <c r="I365" s="919"/>
      <c r="J365" s="918"/>
      <c r="K365" s="898"/>
      <c r="L365" s="921">
        <v>0</v>
      </c>
      <c r="M365" s="918"/>
      <c r="N365" s="928"/>
      <c r="O365" s="918"/>
      <c r="P365" s="898"/>
      <c r="Q365" s="921">
        <v>0</v>
      </c>
      <c r="R365" s="918"/>
      <c r="S365" s="921">
        <v>0</v>
      </c>
      <c r="T365" s="895"/>
      <c r="U365" s="895"/>
      <c r="V365" s="898"/>
      <c r="W365" s="895"/>
      <c r="X365" s="895"/>
      <c r="Y365" s="895"/>
      <c r="Z365" s="895"/>
      <c r="AA365" s="895"/>
      <c r="AB365" s="895"/>
      <c r="AC365" s="895"/>
      <c r="AD365" s="895"/>
      <c r="AE365" s="895"/>
      <c r="AF365" s="895"/>
      <c r="AG365" s="895"/>
      <c r="AH365" s="895"/>
      <c r="AI365" s="895"/>
      <c r="AJ365" s="895"/>
      <c r="AK365" s="895"/>
      <c r="AL365" s="895"/>
      <c r="AM365" s="895"/>
      <c r="AN365" s="895"/>
    </row>
    <row r="366" spans="1:40" ht="15.75" hidden="1" customHeight="1">
      <c r="A366" s="883" t="s">
        <v>446</v>
      </c>
      <c r="B366" s="898" t="s">
        <v>119</v>
      </c>
      <c r="C366" s="988" t="s">
        <v>42</v>
      </c>
      <c r="D366" s="971"/>
      <c r="E366" s="898"/>
      <c r="F366" s="913">
        <v>0</v>
      </c>
      <c r="G366" s="972"/>
      <c r="H366" s="898"/>
      <c r="I366" s="913"/>
      <c r="J366" s="918"/>
      <c r="K366" s="898"/>
      <c r="L366" s="913">
        <v>0</v>
      </c>
      <c r="M366" s="918"/>
      <c r="N366" s="944"/>
      <c r="O366" s="918"/>
      <c r="P366" s="898"/>
      <c r="Q366" s="913">
        <v>0</v>
      </c>
      <c r="R366" s="918"/>
      <c r="S366" s="944">
        <v>0</v>
      </c>
      <c r="T366" s="895"/>
      <c r="U366" s="895"/>
      <c r="V366" s="898"/>
      <c r="W366" s="895"/>
      <c r="X366" s="895"/>
      <c r="Y366" s="895"/>
      <c r="Z366" s="895"/>
      <c r="AA366" s="895"/>
      <c r="AB366" s="895"/>
      <c r="AC366" s="895"/>
      <c r="AD366" s="895"/>
      <c r="AE366" s="895"/>
      <c r="AF366" s="895"/>
      <c r="AG366" s="895"/>
      <c r="AH366" s="895"/>
      <c r="AI366" s="895"/>
      <c r="AJ366" s="895"/>
      <c r="AK366" s="895"/>
      <c r="AL366" s="895"/>
      <c r="AM366" s="895"/>
      <c r="AN366" s="895"/>
    </row>
    <row r="367" spans="1:40" ht="15.75" hidden="1" customHeight="1">
      <c r="A367" s="883" t="s">
        <v>447</v>
      </c>
      <c r="B367" s="898" t="s">
        <v>119</v>
      </c>
      <c r="C367" s="986" t="s">
        <v>43</v>
      </c>
      <c r="D367" s="989"/>
      <c r="E367" s="990"/>
      <c r="F367" s="919">
        <v>0</v>
      </c>
      <c r="G367" s="991"/>
      <c r="H367" s="990"/>
      <c r="I367" s="919"/>
      <c r="J367" s="906"/>
      <c r="K367" s="990"/>
      <c r="L367" s="921">
        <v>0</v>
      </c>
      <c r="M367" s="906"/>
      <c r="N367" s="992"/>
      <c r="O367" s="906"/>
      <c r="P367" s="990"/>
      <c r="Q367" s="921">
        <v>0</v>
      </c>
      <c r="R367" s="906"/>
      <c r="S367" s="992">
        <v>0</v>
      </c>
      <c r="T367" s="895"/>
      <c r="U367" s="895"/>
      <c r="V367" s="898"/>
      <c r="W367" s="895"/>
      <c r="X367" s="895"/>
      <c r="Y367" s="895"/>
      <c r="Z367" s="895"/>
      <c r="AA367" s="895"/>
      <c r="AB367" s="895"/>
      <c r="AC367" s="895"/>
      <c r="AD367" s="895"/>
      <c r="AE367" s="895"/>
      <c r="AF367" s="895"/>
      <c r="AG367" s="895"/>
      <c r="AH367" s="895"/>
      <c r="AI367" s="895"/>
      <c r="AJ367" s="895"/>
      <c r="AK367" s="895"/>
      <c r="AL367" s="895"/>
      <c r="AM367" s="895"/>
      <c r="AN367" s="895"/>
    </row>
    <row r="368" spans="1:40" ht="15.75" hidden="1" customHeight="1">
      <c r="A368" s="883" t="s">
        <v>448</v>
      </c>
      <c r="B368" s="898" t="s">
        <v>119</v>
      </c>
      <c r="C368" s="986" t="s">
        <v>44</v>
      </c>
      <c r="D368" s="971"/>
      <c r="E368" s="898"/>
      <c r="F368" s="919">
        <v>0</v>
      </c>
      <c r="G368" s="972"/>
      <c r="H368" s="898"/>
      <c r="I368" s="919"/>
      <c r="J368" s="918"/>
      <c r="K368" s="898"/>
      <c r="L368" s="921">
        <v>0</v>
      </c>
      <c r="M368" s="918"/>
      <c r="N368" s="944"/>
      <c r="O368" s="918"/>
      <c r="P368" s="898"/>
      <c r="Q368" s="921">
        <v>0</v>
      </c>
      <c r="R368" s="918"/>
      <c r="S368" s="944">
        <v>0</v>
      </c>
      <c r="T368" s="895"/>
      <c r="U368" s="895"/>
      <c r="V368" s="898"/>
      <c r="W368" s="895"/>
      <c r="X368" s="895"/>
      <c r="Y368" s="895"/>
      <c r="Z368" s="895"/>
      <c r="AA368" s="895"/>
      <c r="AB368" s="895"/>
      <c r="AC368" s="895"/>
      <c r="AD368" s="895"/>
      <c r="AE368" s="895"/>
      <c r="AF368" s="895"/>
      <c r="AG368" s="895"/>
      <c r="AH368" s="895"/>
      <c r="AI368" s="895"/>
      <c r="AJ368" s="895"/>
      <c r="AK368" s="895"/>
      <c r="AL368" s="895"/>
      <c r="AM368" s="895"/>
      <c r="AN368" s="895"/>
    </row>
    <row r="369" spans="1:40" ht="15.75" hidden="1" customHeight="1">
      <c r="A369" s="883" t="s">
        <v>449</v>
      </c>
      <c r="B369" s="898" t="s">
        <v>119</v>
      </c>
      <c r="C369" s="918" t="s">
        <v>20</v>
      </c>
      <c r="D369" s="971"/>
      <c r="E369" s="898"/>
      <c r="F369" s="919">
        <v>0</v>
      </c>
      <c r="G369" s="972"/>
      <c r="H369" s="898"/>
      <c r="I369" s="919"/>
      <c r="J369" s="918"/>
      <c r="K369" s="898"/>
      <c r="L369" s="921">
        <v>0</v>
      </c>
      <c r="M369" s="918"/>
      <c r="N369" s="944"/>
      <c r="O369" s="918"/>
      <c r="P369" s="898"/>
      <c r="Q369" s="921">
        <v>0</v>
      </c>
      <c r="R369" s="918"/>
      <c r="S369" s="944">
        <v>0</v>
      </c>
      <c r="T369" s="895"/>
      <c r="U369" s="895"/>
      <c r="V369" s="898"/>
      <c r="W369" s="895"/>
      <c r="X369" s="895"/>
      <c r="Y369" s="895"/>
      <c r="Z369" s="895"/>
      <c r="AA369" s="895"/>
      <c r="AB369" s="895"/>
      <c r="AC369" s="895"/>
      <c r="AD369" s="895"/>
      <c r="AE369" s="895"/>
      <c r="AF369" s="895"/>
      <c r="AG369" s="895"/>
      <c r="AH369" s="895"/>
      <c r="AI369" s="895"/>
      <c r="AJ369" s="895"/>
      <c r="AK369" s="895"/>
      <c r="AL369" s="895"/>
      <c r="AM369" s="895"/>
      <c r="AN369" s="895"/>
    </row>
    <row r="370" spans="1:40" ht="15.75" hidden="1" customHeight="1">
      <c r="A370" s="883" t="s">
        <v>449</v>
      </c>
      <c r="B370" s="898" t="s">
        <v>119</v>
      </c>
      <c r="C370" s="918" t="s">
        <v>20</v>
      </c>
      <c r="D370" s="971"/>
      <c r="E370" s="898"/>
      <c r="F370" s="919">
        <v>0</v>
      </c>
      <c r="G370" s="972"/>
      <c r="H370" s="898"/>
      <c r="I370" s="919"/>
      <c r="J370" s="918"/>
      <c r="K370" s="898"/>
      <c r="L370" s="921">
        <v>0</v>
      </c>
      <c r="M370" s="918"/>
      <c r="N370" s="944"/>
      <c r="O370" s="918"/>
      <c r="P370" s="898"/>
      <c r="Q370" s="921">
        <v>0</v>
      </c>
      <c r="R370" s="918"/>
      <c r="S370" s="944">
        <v>0</v>
      </c>
      <c r="T370" s="895"/>
      <c r="U370" s="895"/>
      <c r="V370" s="898"/>
      <c r="W370" s="895"/>
      <c r="X370" s="895"/>
      <c r="Y370" s="895"/>
      <c r="Z370" s="895"/>
      <c r="AA370" s="895"/>
      <c r="AB370" s="895"/>
      <c r="AC370" s="895"/>
      <c r="AD370" s="895"/>
      <c r="AE370" s="895"/>
      <c r="AF370" s="895"/>
      <c r="AG370" s="895"/>
      <c r="AH370" s="895"/>
      <c r="AI370" s="895"/>
      <c r="AJ370" s="895"/>
      <c r="AK370" s="895"/>
      <c r="AL370" s="895"/>
      <c r="AM370" s="895"/>
      <c r="AN370" s="895"/>
    </row>
    <row r="371" spans="1:40" ht="15.75" hidden="1" customHeight="1">
      <c r="A371" s="883" t="s">
        <v>449</v>
      </c>
      <c r="B371" s="898" t="s">
        <v>119</v>
      </c>
      <c r="C371" s="918" t="s">
        <v>20</v>
      </c>
      <c r="D371" s="971"/>
      <c r="E371" s="898"/>
      <c r="F371" s="919">
        <v>0</v>
      </c>
      <c r="G371" s="972"/>
      <c r="H371" s="898"/>
      <c r="I371" s="919"/>
      <c r="J371" s="918"/>
      <c r="K371" s="898"/>
      <c r="L371" s="921">
        <v>0</v>
      </c>
      <c r="M371" s="918"/>
      <c r="N371" s="944"/>
      <c r="O371" s="918"/>
      <c r="P371" s="898"/>
      <c r="Q371" s="921">
        <v>0</v>
      </c>
      <c r="R371" s="918"/>
      <c r="S371" s="944">
        <v>0</v>
      </c>
      <c r="T371" s="895"/>
      <c r="U371" s="895"/>
      <c r="V371" s="898"/>
      <c r="W371" s="895"/>
      <c r="X371" s="895"/>
      <c r="Y371" s="895"/>
      <c r="Z371" s="895"/>
      <c r="AA371" s="895"/>
      <c r="AB371" s="895"/>
      <c r="AC371" s="895"/>
      <c r="AD371" s="895"/>
      <c r="AE371" s="895"/>
      <c r="AF371" s="895"/>
      <c r="AG371" s="895"/>
      <c r="AH371" s="895"/>
      <c r="AI371" s="895"/>
      <c r="AJ371" s="895"/>
      <c r="AK371" s="895"/>
      <c r="AL371" s="895"/>
      <c r="AM371" s="895"/>
      <c r="AN371" s="895"/>
    </row>
    <row r="372" spans="1:40" ht="15.75" hidden="1" customHeight="1">
      <c r="A372" s="883" t="s">
        <v>450</v>
      </c>
      <c r="B372" s="898" t="s">
        <v>119</v>
      </c>
      <c r="C372" s="988" t="s">
        <v>45</v>
      </c>
      <c r="D372" s="971"/>
      <c r="E372" s="898"/>
      <c r="F372" s="913">
        <v>0</v>
      </c>
      <c r="G372" s="972"/>
      <c r="H372" s="898"/>
      <c r="I372" s="913"/>
      <c r="J372" s="918"/>
      <c r="K372" s="898"/>
      <c r="L372" s="913">
        <v>0</v>
      </c>
      <c r="M372" s="918"/>
      <c r="N372" s="944"/>
      <c r="O372" s="918"/>
      <c r="P372" s="898"/>
      <c r="Q372" s="913">
        <v>0</v>
      </c>
      <c r="R372" s="918"/>
      <c r="S372" s="944">
        <v>0</v>
      </c>
      <c r="T372" s="895"/>
      <c r="U372" s="895"/>
      <c r="V372" s="898"/>
      <c r="W372" s="895"/>
      <c r="X372" s="895"/>
      <c r="Y372" s="895"/>
      <c r="Z372" s="895"/>
      <c r="AA372" s="895"/>
      <c r="AB372" s="895"/>
      <c r="AC372" s="895"/>
      <c r="AD372" s="895"/>
      <c r="AE372" s="895"/>
      <c r="AF372" s="895"/>
      <c r="AG372" s="895"/>
      <c r="AH372" s="895"/>
      <c r="AI372" s="895"/>
      <c r="AJ372" s="895"/>
      <c r="AK372" s="895"/>
      <c r="AL372" s="895"/>
      <c r="AM372" s="895"/>
      <c r="AN372" s="895"/>
    </row>
    <row r="373" spans="1:40" ht="15.75" hidden="1" customHeight="1">
      <c r="A373" s="883" t="s">
        <v>451</v>
      </c>
      <c r="B373" s="898" t="s">
        <v>119</v>
      </c>
      <c r="C373" s="986" t="s">
        <v>46</v>
      </c>
      <c r="D373" s="989"/>
      <c r="E373" s="990"/>
      <c r="F373" s="919">
        <v>0</v>
      </c>
      <c r="G373" s="991"/>
      <c r="H373" s="990"/>
      <c r="I373" s="919"/>
      <c r="J373" s="906"/>
      <c r="K373" s="990"/>
      <c r="L373" s="921">
        <v>0</v>
      </c>
      <c r="M373" s="906"/>
      <c r="N373" s="992"/>
      <c r="O373" s="906"/>
      <c r="P373" s="990"/>
      <c r="Q373" s="921">
        <v>0</v>
      </c>
      <c r="R373" s="906"/>
      <c r="S373" s="992">
        <v>0</v>
      </c>
      <c r="T373" s="895"/>
      <c r="U373" s="895"/>
      <c r="V373" s="898"/>
      <c r="W373" s="895"/>
      <c r="X373" s="895"/>
      <c r="Y373" s="895"/>
      <c r="Z373" s="895"/>
      <c r="AA373" s="895"/>
      <c r="AB373" s="895"/>
      <c r="AC373" s="895"/>
      <c r="AD373" s="895"/>
      <c r="AE373" s="895"/>
      <c r="AF373" s="895"/>
      <c r="AG373" s="895"/>
      <c r="AH373" s="895"/>
      <c r="AI373" s="895"/>
      <c r="AJ373" s="895"/>
      <c r="AK373" s="895"/>
      <c r="AL373" s="895"/>
      <c r="AM373" s="895"/>
      <c r="AN373" s="895"/>
    </row>
    <row r="374" spans="1:40" ht="15.75" hidden="1" customHeight="1">
      <c r="A374" s="883" t="s">
        <v>452</v>
      </c>
      <c r="B374" s="898" t="s">
        <v>119</v>
      </c>
      <c r="C374" s="986" t="s">
        <v>47</v>
      </c>
      <c r="D374" s="971"/>
      <c r="E374" s="898"/>
      <c r="F374" s="919">
        <v>0</v>
      </c>
      <c r="G374" s="972"/>
      <c r="H374" s="898"/>
      <c r="I374" s="919"/>
      <c r="J374" s="918"/>
      <c r="K374" s="898"/>
      <c r="L374" s="921">
        <v>0</v>
      </c>
      <c r="M374" s="918"/>
      <c r="N374" s="944"/>
      <c r="O374" s="918"/>
      <c r="P374" s="898"/>
      <c r="Q374" s="921">
        <v>0</v>
      </c>
      <c r="R374" s="918"/>
      <c r="S374" s="944">
        <v>0</v>
      </c>
      <c r="T374" s="895"/>
      <c r="U374" s="895"/>
      <c r="V374" s="898"/>
      <c r="W374" s="895"/>
      <c r="X374" s="895"/>
      <c r="Y374" s="895"/>
      <c r="Z374" s="895"/>
      <c r="AA374" s="895"/>
      <c r="AB374" s="895"/>
      <c r="AC374" s="895"/>
      <c r="AD374" s="895"/>
      <c r="AE374" s="895"/>
      <c r="AF374" s="895"/>
      <c r="AG374" s="895"/>
      <c r="AH374" s="895"/>
      <c r="AI374" s="895"/>
      <c r="AJ374" s="895"/>
      <c r="AK374" s="895"/>
      <c r="AL374" s="895"/>
      <c r="AM374" s="895"/>
      <c r="AN374" s="895"/>
    </row>
    <row r="375" spans="1:40" ht="15.75" hidden="1" customHeight="1">
      <c r="A375" s="883" t="s">
        <v>453</v>
      </c>
      <c r="B375" s="898" t="s">
        <v>119</v>
      </c>
      <c r="C375" s="986" t="s">
        <v>48</v>
      </c>
      <c r="D375" s="971"/>
      <c r="E375" s="898"/>
      <c r="F375" s="919">
        <v>0</v>
      </c>
      <c r="G375" s="972"/>
      <c r="H375" s="898"/>
      <c r="I375" s="919"/>
      <c r="J375" s="918"/>
      <c r="K375" s="898"/>
      <c r="L375" s="921">
        <v>0</v>
      </c>
      <c r="M375" s="918"/>
      <c r="N375" s="944"/>
      <c r="O375" s="918"/>
      <c r="P375" s="898"/>
      <c r="Q375" s="921">
        <v>0</v>
      </c>
      <c r="R375" s="918"/>
      <c r="S375" s="944">
        <v>0</v>
      </c>
      <c r="T375" s="895"/>
      <c r="U375" s="895"/>
      <c r="V375" s="898"/>
      <c r="W375" s="895"/>
      <c r="X375" s="895"/>
      <c r="Y375" s="895"/>
      <c r="Z375" s="895"/>
      <c r="AA375" s="895"/>
      <c r="AB375" s="895"/>
      <c r="AC375" s="895"/>
      <c r="AD375" s="895"/>
      <c r="AE375" s="895"/>
      <c r="AF375" s="895"/>
      <c r="AG375" s="895"/>
      <c r="AH375" s="895"/>
      <c r="AI375" s="895"/>
      <c r="AJ375" s="895"/>
      <c r="AK375" s="895"/>
      <c r="AL375" s="895"/>
      <c r="AM375" s="895"/>
      <c r="AN375" s="895"/>
    </row>
    <row r="376" spans="1:40" ht="15.75" hidden="1" customHeight="1">
      <c r="A376" s="883" t="s">
        <v>449</v>
      </c>
      <c r="B376" s="898" t="s">
        <v>119</v>
      </c>
      <c r="C376" s="918" t="s">
        <v>20</v>
      </c>
      <c r="D376" s="973"/>
      <c r="E376" s="993"/>
      <c r="F376" s="919">
        <v>0</v>
      </c>
      <c r="G376" s="974"/>
      <c r="H376" s="993"/>
      <c r="I376" s="919"/>
      <c r="J376" s="911"/>
      <c r="K376" s="993"/>
      <c r="L376" s="921">
        <v>0</v>
      </c>
      <c r="M376" s="911"/>
      <c r="N376" s="969"/>
      <c r="O376" s="911"/>
      <c r="P376" s="993"/>
      <c r="Q376" s="921">
        <v>0</v>
      </c>
      <c r="R376" s="911"/>
      <c r="S376" s="969">
        <v>0</v>
      </c>
      <c r="T376" s="895"/>
      <c r="U376" s="895"/>
      <c r="V376" s="898"/>
      <c r="W376" s="895"/>
      <c r="X376" s="895"/>
      <c r="Y376" s="895"/>
      <c r="Z376" s="895"/>
      <c r="AA376" s="895"/>
      <c r="AB376" s="895"/>
      <c r="AC376" s="895"/>
      <c r="AD376" s="895"/>
      <c r="AE376" s="895"/>
      <c r="AF376" s="895"/>
      <c r="AG376" s="895"/>
      <c r="AH376" s="895"/>
      <c r="AI376" s="895"/>
      <c r="AJ376" s="895"/>
      <c r="AK376" s="895"/>
      <c r="AL376" s="895"/>
      <c r="AM376" s="895"/>
      <c r="AN376" s="895"/>
    </row>
    <row r="377" spans="1:40" ht="15.75" hidden="1" customHeight="1">
      <c r="A377" s="883" t="s">
        <v>454</v>
      </c>
      <c r="B377" s="898" t="s">
        <v>119</v>
      </c>
      <c r="C377" s="978" t="s">
        <v>49</v>
      </c>
      <c r="D377" s="979" t="s">
        <v>39</v>
      </c>
      <c r="E377" s="980">
        <v>0</v>
      </c>
      <c r="F377" s="981">
        <v>0</v>
      </c>
      <c r="G377" s="982"/>
      <c r="H377" s="980"/>
      <c r="I377" s="981"/>
      <c r="J377" s="982" t="s">
        <v>39</v>
      </c>
      <c r="K377" s="980">
        <v>0</v>
      </c>
      <c r="L377" s="981">
        <v>0</v>
      </c>
      <c r="M377" s="1035"/>
      <c r="N377" s="995"/>
      <c r="O377" s="982" t="s">
        <v>39</v>
      </c>
      <c r="P377" s="980">
        <v>0</v>
      </c>
      <c r="Q377" s="981">
        <v>0</v>
      </c>
      <c r="R377" s="1035"/>
      <c r="S377" s="995">
        <v>0</v>
      </c>
      <c r="T377" s="895"/>
      <c r="U377" s="895"/>
      <c r="V377" s="898"/>
      <c r="W377" s="895"/>
      <c r="X377" s="895"/>
      <c r="Y377" s="895"/>
      <c r="Z377" s="895"/>
      <c r="AA377" s="895"/>
      <c r="AB377" s="895"/>
      <c r="AC377" s="895"/>
      <c r="AD377" s="895"/>
      <c r="AE377" s="895"/>
      <c r="AF377" s="895"/>
      <c r="AG377" s="895"/>
      <c r="AH377" s="895"/>
      <c r="AI377" s="895"/>
      <c r="AJ377" s="895"/>
      <c r="AK377" s="895"/>
      <c r="AL377" s="895"/>
      <c r="AM377" s="895"/>
      <c r="AN377" s="895"/>
    </row>
    <row r="378" spans="1:40" ht="15.75" hidden="1" customHeight="1">
      <c r="A378" s="883" t="s">
        <v>455</v>
      </c>
      <c r="B378" s="898" t="s">
        <v>119</v>
      </c>
      <c r="C378" s="1091" t="s">
        <v>50</v>
      </c>
      <c r="D378" s="971"/>
      <c r="E378" s="898"/>
      <c r="F378" s="919">
        <v>0</v>
      </c>
      <c r="G378" s="972"/>
      <c r="H378" s="898"/>
      <c r="I378" s="919"/>
      <c r="J378" s="918"/>
      <c r="K378" s="898"/>
      <c r="L378" s="921">
        <v>0</v>
      </c>
      <c r="M378" s="918"/>
      <c r="N378" s="944"/>
      <c r="O378" s="918"/>
      <c r="P378" s="898"/>
      <c r="Q378" s="921">
        <v>0</v>
      </c>
      <c r="R378" s="918"/>
      <c r="S378" s="944">
        <v>0</v>
      </c>
      <c r="T378" s="895"/>
      <c r="U378" s="895"/>
      <c r="V378" s="898"/>
      <c r="W378" s="895"/>
      <c r="X378" s="895"/>
      <c r="Y378" s="895"/>
      <c r="Z378" s="895"/>
      <c r="AA378" s="895"/>
      <c r="AB378" s="895"/>
      <c r="AC378" s="895"/>
      <c r="AD378" s="895"/>
      <c r="AE378" s="895"/>
      <c r="AF378" s="895"/>
      <c r="AG378" s="895"/>
      <c r="AH378" s="895"/>
      <c r="AI378" s="895"/>
      <c r="AJ378" s="895"/>
      <c r="AK378" s="895"/>
      <c r="AL378" s="895"/>
      <c r="AM378" s="895"/>
      <c r="AN378" s="895"/>
    </row>
    <row r="379" spans="1:40" ht="15.75" hidden="1" customHeight="1">
      <c r="A379" s="883" t="s">
        <v>456</v>
      </c>
      <c r="B379" s="898" t="s">
        <v>119</v>
      </c>
      <c r="C379" s="986" t="s">
        <v>51</v>
      </c>
      <c r="D379" s="971"/>
      <c r="E379" s="898"/>
      <c r="F379" s="919">
        <v>0</v>
      </c>
      <c r="G379" s="972"/>
      <c r="H379" s="898"/>
      <c r="I379" s="919"/>
      <c r="J379" s="918"/>
      <c r="K379" s="898"/>
      <c r="L379" s="921">
        <v>0</v>
      </c>
      <c r="M379" s="918"/>
      <c r="N379" s="944"/>
      <c r="O379" s="918"/>
      <c r="P379" s="898"/>
      <c r="Q379" s="921">
        <v>0</v>
      </c>
      <c r="R379" s="918"/>
      <c r="S379" s="944">
        <v>0</v>
      </c>
      <c r="T379" s="895"/>
      <c r="U379" s="895"/>
      <c r="V379" s="898"/>
      <c r="W379" s="895"/>
      <c r="X379" s="895"/>
      <c r="Y379" s="895"/>
      <c r="Z379" s="895"/>
      <c r="AA379" s="895"/>
      <c r="AB379" s="895"/>
      <c r="AC379" s="895"/>
      <c r="AD379" s="895"/>
      <c r="AE379" s="895"/>
      <c r="AF379" s="895"/>
      <c r="AG379" s="895"/>
      <c r="AH379" s="895"/>
      <c r="AI379" s="895"/>
      <c r="AJ379" s="895"/>
      <c r="AK379" s="895"/>
      <c r="AL379" s="895"/>
      <c r="AM379" s="895"/>
      <c r="AN379" s="895"/>
    </row>
    <row r="380" spans="1:40" ht="15.75" hidden="1" customHeight="1">
      <c r="A380" s="883" t="s">
        <v>457</v>
      </c>
      <c r="B380" s="898" t="s">
        <v>119</v>
      </c>
      <c r="C380" s="988" t="s">
        <v>52</v>
      </c>
      <c r="D380" s="973"/>
      <c r="E380" s="993"/>
      <c r="F380" s="913">
        <v>0</v>
      </c>
      <c r="G380" s="974"/>
      <c r="H380" s="993"/>
      <c r="I380" s="913"/>
      <c r="J380" s="911"/>
      <c r="K380" s="993"/>
      <c r="L380" s="913">
        <v>0</v>
      </c>
      <c r="M380" s="911"/>
      <c r="N380" s="969"/>
      <c r="O380" s="911"/>
      <c r="P380" s="993"/>
      <c r="Q380" s="913">
        <v>0</v>
      </c>
      <c r="R380" s="911"/>
      <c r="S380" s="969">
        <v>0</v>
      </c>
      <c r="T380" s="895"/>
      <c r="U380" s="895"/>
      <c r="V380" s="898"/>
      <c r="W380" s="895"/>
      <c r="X380" s="895"/>
      <c r="Y380" s="895"/>
      <c r="Z380" s="895"/>
      <c r="AA380" s="895"/>
      <c r="AB380" s="895"/>
      <c r="AC380" s="895"/>
      <c r="AD380" s="895"/>
      <c r="AE380" s="895"/>
      <c r="AF380" s="895"/>
      <c r="AG380" s="895"/>
      <c r="AH380" s="895"/>
      <c r="AI380" s="895"/>
      <c r="AJ380" s="895"/>
      <c r="AK380" s="895"/>
      <c r="AL380" s="895"/>
      <c r="AM380" s="895"/>
      <c r="AN380" s="895"/>
    </row>
    <row r="381" spans="1:40" ht="15.75" hidden="1" customHeight="1">
      <c r="A381" s="883" t="s">
        <v>458</v>
      </c>
      <c r="B381" s="898" t="s">
        <v>119</v>
      </c>
      <c r="C381" s="986" t="s">
        <v>53</v>
      </c>
      <c r="D381" s="971"/>
      <c r="E381" s="898"/>
      <c r="F381" s="919">
        <v>0</v>
      </c>
      <c r="G381" s="972"/>
      <c r="H381" s="898"/>
      <c r="I381" s="919"/>
      <c r="J381" s="918"/>
      <c r="K381" s="898"/>
      <c r="L381" s="921">
        <v>0</v>
      </c>
      <c r="M381" s="918"/>
      <c r="N381" s="944"/>
      <c r="O381" s="918"/>
      <c r="P381" s="898"/>
      <c r="Q381" s="921">
        <v>0</v>
      </c>
      <c r="R381" s="918"/>
      <c r="S381" s="944">
        <v>0</v>
      </c>
      <c r="T381" s="895"/>
      <c r="U381" s="895"/>
      <c r="V381" s="898"/>
      <c r="W381" s="895"/>
      <c r="X381" s="895"/>
      <c r="Y381" s="895"/>
      <c r="Z381" s="895"/>
      <c r="AA381" s="895"/>
      <c r="AB381" s="895"/>
      <c r="AC381" s="895"/>
      <c r="AD381" s="895"/>
      <c r="AE381" s="895"/>
      <c r="AF381" s="895"/>
      <c r="AG381" s="895"/>
      <c r="AH381" s="895"/>
      <c r="AI381" s="895"/>
      <c r="AJ381" s="895"/>
      <c r="AK381" s="895"/>
      <c r="AL381" s="895"/>
      <c r="AM381" s="895"/>
      <c r="AN381" s="895"/>
    </row>
    <row r="382" spans="1:40" ht="15.75" hidden="1" customHeight="1">
      <c r="A382" s="883" t="s">
        <v>459</v>
      </c>
      <c r="B382" s="898" t="s">
        <v>119</v>
      </c>
      <c r="C382" s="986" t="s">
        <v>54</v>
      </c>
      <c r="D382" s="971"/>
      <c r="E382" s="898"/>
      <c r="F382" s="919">
        <v>0</v>
      </c>
      <c r="G382" s="972"/>
      <c r="H382" s="898"/>
      <c r="I382" s="919"/>
      <c r="J382" s="918"/>
      <c r="K382" s="898"/>
      <c r="L382" s="921">
        <v>0</v>
      </c>
      <c r="M382" s="918"/>
      <c r="N382" s="944"/>
      <c r="O382" s="918"/>
      <c r="P382" s="898"/>
      <c r="Q382" s="921">
        <v>0</v>
      </c>
      <c r="R382" s="918"/>
      <c r="S382" s="944">
        <v>0</v>
      </c>
      <c r="T382" s="895"/>
      <c r="U382" s="895"/>
      <c r="V382" s="898"/>
      <c r="W382" s="895"/>
      <c r="X382" s="895"/>
      <c r="Y382" s="895"/>
      <c r="Z382" s="895"/>
      <c r="AA382" s="895"/>
      <c r="AB382" s="895"/>
      <c r="AC382" s="895"/>
      <c r="AD382" s="895"/>
      <c r="AE382" s="895"/>
      <c r="AF382" s="895"/>
      <c r="AG382" s="895"/>
      <c r="AH382" s="895"/>
      <c r="AI382" s="895"/>
      <c r="AJ382" s="895"/>
      <c r="AK382" s="895"/>
      <c r="AL382" s="895"/>
      <c r="AM382" s="895"/>
      <c r="AN382" s="895"/>
    </row>
    <row r="383" spans="1:40" ht="15.75" hidden="1" customHeight="1">
      <c r="A383" s="883" t="s">
        <v>460</v>
      </c>
      <c r="B383" s="898" t="s">
        <v>119</v>
      </c>
      <c r="C383" s="986" t="s">
        <v>55</v>
      </c>
      <c r="D383" s="973"/>
      <c r="E383" s="993"/>
      <c r="F383" s="913">
        <v>0</v>
      </c>
      <c r="G383" s="974"/>
      <c r="H383" s="993"/>
      <c r="I383" s="913"/>
      <c r="J383" s="911"/>
      <c r="K383" s="993"/>
      <c r="L383" s="913">
        <v>0</v>
      </c>
      <c r="M383" s="911"/>
      <c r="N383" s="969"/>
      <c r="O383" s="911"/>
      <c r="P383" s="993"/>
      <c r="Q383" s="913">
        <v>0</v>
      </c>
      <c r="R383" s="911"/>
      <c r="S383" s="969">
        <v>0</v>
      </c>
      <c r="T383" s="895"/>
      <c r="U383" s="895"/>
      <c r="V383" s="898"/>
      <c r="W383" s="895"/>
      <c r="X383" s="895"/>
      <c r="Y383" s="895"/>
      <c r="Z383" s="895"/>
      <c r="AA383" s="895"/>
      <c r="AB383" s="895"/>
      <c r="AC383" s="895"/>
      <c r="AD383" s="895"/>
      <c r="AE383" s="895"/>
      <c r="AF383" s="895"/>
      <c r="AG383" s="895"/>
      <c r="AH383" s="895"/>
      <c r="AI383" s="895"/>
      <c r="AJ383" s="895"/>
      <c r="AK383" s="895"/>
      <c r="AL383" s="895"/>
      <c r="AM383" s="895"/>
      <c r="AN383" s="895"/>
    </row>
    <row r="384" spans="1:40" ht="20.25" hidden="1" customHeight="1">
      <c r="A384" s="883" t="s">
        <v>461</v>
      </c>
      <c r="B384" s="898" t="s">
        <v>119</v>
      </c>
      <c r="C384" s="1091" t="s">
        <v>56</v>
      </c>
      <c r="D384" s="971"/>
      <c r="E384" s="898"/>
      <c r="F384" s="919">
        <v>0</v>
      </c>
      <c r="G384" s="972"/>
      <c r="H384" s="898"/>
      <c r="I384" s="919"/>
      <c r="J384" s="918"/>
      <c r="K384" s="898"/>
      <c r="L384" s="921">
        <v>0</v>
      </c>
      <c r="M384" s="918"/>
      <c r="N384" s="944"/>
      <c r="O384" s="918"/>
      <c r="P384" s="898"/>
      <c r="Q384" s="921">
        <v>0</v>
      </c>
      <c r="R384" s="918"/>
      <c r="S384" s="944">
        <v>0</v>
      </c>
      <c r="T384" s="895"/>
      <c r="U384" s="895"/>
      <c r="V384" s="898"/>
      <c r="W384" s="895"/>
      <c r="X384" s="895"/>
      <c r="Y384" s="895"/>
      <c r="Z384" s="895"/>
      <c r="AA384" s="895"/>
      <c r="AB384" s="895"/>
      <c r="AC384" s="895"/>
      <c r="AD384" s="895"/>
      <c r="AE384" s="895"/>
      <c r="AF384" s="895"/>
      <c r="AG384" s="895"/>
      <c r="AH384" s="895"/>
      <c r="AI384" s="895"/>
      <c r="AJ384" s="895"/>
      <c r="AK384" s="895"/>
      <c r="AL384" s="895"/>
      <c r="AM384" s="895"/>
      <c r="AN384" s="895"/>
    </row>
    <row r="385" spans="1:40" ht="20.25" hidden="1" customHeight="1">
      <c r="A385" s="883" t="s">
        <v>462</v>
      </c>
      <c r="B385" s="898" t="s">
        <v>119</v>
      </c>
      <c r="C385" s="986" t="s">
        <v>57</v>
      </c>
      <c r="D385" s="971"/>
      <c r="E385" s="898"/>
      <c r="F385" s="919">
        <v>0</v>
      </c>
      <c r="G385" s="972"/>
      <c r="H385" s="898"/>
      <c r="I385" s="919"/>
      <c r="J385" s="918"/>
      <c r="K385" s="898"/>
      <c r="L385" s="921">
        <v>0</v>
      </c>
      <c r="M385" s="918"/>
      <c r="N385" s="944"/>
      <c r="O385" s="918"/>
      <c r="P385" s="898"/>
      <c r="Q385" s="921">
        <v>0</v>
      </c>
      <c r="R385" s="918"/>
      <c r="S385" s="944">
        <v>0</v>
      </c>
      <c r="T385" s="895"/>
      <c r="U385" s="895"/>
      <c r="V385" s="898"/>
      <c r="W385" s="895"/>
      <c r="X385" s="895"/>
      <c r="Y385" s="895"/>
      <c r="Z385" s="895"/>
      <c r="AA385" s="895"/>
      <c r="AB385" s="895"/>
      <c r="AC385" s="895"/>
      <c r="AD385" s="895"/>
      <c r="AE385" s="895"/>
      <c r="AF385" s="895"/>
      <c r="AG385" s="895"/>
      <c r="AH385" s="895"/>
      <c r="AI385" s="895"/>
      <c r="AJ385" s="895"/>
      <c r="AK385" s="895"/>
      <c r="AL385" s="895"/>
      <c r="AM385" s="895"/>
      <c r="AN385" s="895"/>
    </row>
    <row r="386" spans="1:40" ht="20.25" hidden="1" customHeight="1">
      <c r="A386" s="883" t="s">
        <v>463</v>
      </c>
      <c r="B386" s="898" t="s">
        <v>119</v>
      </c>
      <c r="C386" s="986" t="s">
        <v>58</v>
      </c>
      <c r="D386" s="971"/>
      <c r="E386" s="898"/>
      <c r="F386" s="919">
        <v>0</v>
      </c>
      <c r="G386" s="972"/>
      <c r="H386" s="898"/>
      <c r="I386" s="919"/>
      <c r="J386" s="918"/>
      <c r="K386" s="898"/>
      <c r="L386" s="921">
        <v>0</v>
      </c>
      <c r="M386" s="918"/>
      <c r="N386" s="944"/>
      <c r="O386" s="918"/>
      <c r="P386" s="898"/>
      <c r="Q386" s="921">
        <v>0</v>
      </c>
      <c r="R386" s="918"/>
      <c r="S386" s="944">
        <v>0</v>
      </c>
      <c r="T386" s="895"/>
      <c r="U386" s="895"/>
      <c r="V386" s="898"/>
      <c r="W386" s="895"/>
      <c r="X386" s="895"/>
      <c r="Y386" s="895"/>
      <c r="Z386" s="895"/>
      <c r="AA386" s="895"/>
      <c r="AB386" s="895"/>
      <c r="AC386" s="895"/>
      <c r="AD386" s="895"/>
      <c r="AE386" s="895"/>
      <c r="AF386" s="895"/>
      <c r="AG386" s="895"/>
      <c r="AH386" s="895"/>
      <c r="AI386" s="895"/>
      <c r="AJ386" s="895"/>
      <c r="AK386" s="895"/>
      <c r="AL386" s="895"/>
      <c r="AM386" s="895"/>
      <c r="AN386" s="895"/>
    </row>
    <row r="387" spans="1:40" ht="20.25" hidden="1" customHeight="1">
      <c r="A387" s="883" t="s">
        <v>464</v>
      </c>
      <c r="B387" s="898" t="s">
        <v>119</v>
      </c>
      <c r="C387" s="986" t="s">
        <v>59</v>
      </c>
      <c r="D387" s="971"/>
      <c r="E387" s="898"/>
      <c r="F387" s="919">
        <v>0</v>
      </c>
      <c r="G387" s="972"/>
      <c r="H387" s="898"/>
      <c r="I387" s="919"/>
      <c r="J387" s="918"/>
      <c r="K387" s="898"/>
      <c r="L387" s="921">
        <v>0</v>
      </c>
      <c r="M387" s="918"/>
      <c r="N387" s="944"/>
      <c r="O387" s="918"/>
      <c r="P387" s="898"/>
      <c r="Q387" s="921">
        <v>0</v>
      </c>
      <c r="R387" s="918"/>
      <c r="S387" s="944">
        <v>0</v>
      </c>
      <c r="T387" s="895"/>
      <c r="U387" s="895"/>
      <c r="V387" s="898"/>
      <c r="W387" s="895"/>
      <c r="X387" s="895"/>
      <c r="Y387" s="895"/>
      <c r="Z387" s="895"/>
      <c r="AA387" s="895"/>
      <c r="AB387" s="895"/>
      <c r="AC387" s="895"/>
      <c r="AD387" s="895"/>
      <c r="AE387" s="895"/>
      <c r="AF387" s="895"/>
      <c r="AG387" s="895"/>
      <c r="AH387" s="895"/>
      <c r="AI387" s="895"/>
      <c r="AJ387" s="895"/>
      <c r="AK387" s="895"/>
      <c r="AL387" s="895"/>
      <c r="AM387" s="895"/>
      <c r="AN387" s="895"/>
    </row>
    <row r="388" spans="1:40" ht="20.25" hidden="1" customHeight="1">
      <c r="A388" s="883" t="s">
        <v>465</v>
      </c>
      <c r="B388" s="898" t="s">
        <v>119</v>
      </c>
      <c r="C388" s="986" t="s">
        <v>60</v>
      </c>
      <c r="D388" s="971"/>
      <c r="E388" s="898"/>
      <c r="F388" s="919">
        <v>0</v>
      </c>
      <c r="G388" s="972"/>
      <c r="H388" s="898"/>
      <c r="I388" s="919"/>
      <c r="J388" s="918"/>
      <c r="K388" s="898"/>
      <c r="L388" s="921">
        <v>0</v>
      </c>
      <c r="M388" s="918"/>
      <c r="N388" s="944"/>
      <c r="O388" s="918"/>
      <c r="P388" s="898"/>
      <c r="Q388" s="921">
        <v>0</v>
      </c>
      <c r="R388" s="918"/>
      <c r="S388" s="944">
        <v>0</v>
      </c>
      <c r="T388" s="895"/>
      <c r="U388" s="895"/>
      <c r="V388" s="898"/>
      <c r="W388" s="895"/>
      <c r="X388" s="895"/>
      <c r="Y388" s="895"/>
      <c r="Z388" s="895"/>
      <c r="AA388" s="895"/>
      <c r="AB388" s="895"/>
      <c r="AC388" s="895"/>
      <c r="AD388" s="895"/>
      <c r="AE388" s="895"/>
      <c r="AF388" s="895"/>
      <c r="AG388" s="895"/>
      <c r="AH388" s="895"/>
      <c r="AI388" s="895"/>
      <c r="AJ388" s="895"/>
      <c r="AK388" s="895"/>
      <c r="AL388" s="895"/>
      <c r="AM388" s="895"/>
      <c r="AN388" s="895"/>
    </row>
    <row r="389" spans="1:40" ht="20.25" hidden="1" customHeight="1">
      <c r="A389" s="883" t="s">
        <v>466</v>
      </c>
      <c r="B389" s="898" t="s">
        <v>119</v>
      </c>
      <c r="C389" s="986" t="s">
        <v>61</v>
      </c>
      <c r="D389" s="971"/>
      <c r="E389" s="898"/>
      <c r="F389" s="919">
        <v>0</v>
      </c>
      <c r="G389" s="972"/>
      <c r="H389" s="898"/>
      <c r="I389" s="919"/>
      <c r="J389" s="918"/>
      <c r="K389" s="898"/>
      <c r="L389" s="921">
        <v>0</v>
      </c>
      <c r="M389" s="918"/>
      <c r="N389" s="944"/>
      <c r="O389" s="918"/>
      <c r="P389" s="898"/>
      <c r="Q389" s="921">
        <v>0</v>
      </c>
      <c r="R389" s="918"/>
      <c r="S389" s="944">
        <v>0</v>
      </c>
      <c r="T389" s="895"/>
      <c r="U389" s="895"/>
      <c r="V389" s="898"/>
      <c r="W389" s="895"/>
      <c r="X389" s="895"/>
      <c r="Y389" s="895"/>
      <c r="Z389" s="895"/>
      <c r="AA389" s="895"/>
      <c r="AB389" s="895"/>
      <c r="AC389" s="895"/>
      <c r="AD389" s="895"/>
      <c r="AE389" s="895"/>
      <c r="AF389" s="895"/>
      <c r="AG389" s="895"/>
      <c r="AH389" s="895"/>
      <c r="AI389" s="895"/>
      <c r="AJ389" s="895"/>
      <c r="AK389" s="895"/>
      <c r="AL389" s="895"/>
      <c r="AM389" s="895"/>
      <c r="AN389" s="895"/>
    </row>
    <row r="390" spans="1:40" ht="20.25" hidden="1" customHeight="1">
      <c r="A390" s="883" t="s">
        <v>467</v>
      </c>
      <c r="B390" s="898" t="s">
        <v>119</v>
      </c>
      <c r="C390" s="986" t="s">
        <v>62</v>
      </c>
      <c r="D390" s="971"/>
      <c r="E390" s="898"/>
      <c r="F390" s="919">
        <v>0</v>
      </c>
      <c r="G390" s="972"/>
      <c r="H390" s="898"/>
      <c r="I390" s="919"/>
      <c r="J390" s="918"/>
      <c r="K390" s="898"/>
      <c r="L390" s="921">
        <v>0</v>
      </c>
      <c r="M390" s="918"/>
      <c r="N390" s="944"/>
      <c r="O390" s="918"/>
      <c r="P390" s="898"/>
      <c r="Q390" s="921">
        <v>0</v>
      </c>
      <c r="R390" s="918"/>
      <c r="S390" s="944">
        <v>0</v>
      </c>
      <c r="T390" s="895"/>
      <c r="U390" s="895"/>
      <c r="V390" s="898"/>
      <c r="W390" s="895"/>
      <c r="X390" s="895"/>
      <c r="Y390" s="895"/>
      <c r="Z390" s="895"/>
      <c r="AA390" s="895"/>
      <c r="AB390" s="895"/>
      <c r="AC390" s="895"/>
      <c r="AD390" s="895"/>
      <c r="AE390" s="895"/>
      <c r="AF390" s="895"/>
      <c r="AG390" s="895"/>
      <c r="AH390" s="895"/>
      <c r="AI390" s="895"/>
      <c r="AJ390" s="895"/>
      <c r="AK390" s="895"/>
      <c r="AL390" s="895"/>
      <c r="AM390" s="895"/>
      <c r="AN390" s="895"/>
    </row>
    <row r="391" spans="1:40" ht="20.25" hidden="1" customHeight="1">
      <c r="A391" s="883" t="s">
        <v>468</v>
      </c>
      <c r="B391" s="898" t="s">
        <v>119</v>
      </c>
      <c r="C391" s="986" t="s">
        <v>63</v>
      </c>
      <c r="D391" s="971"/>
      <c r="E391" s="898"/>
      <c r="F391" s="919">
        <v>0</v>
      </c>
      <c r="G391" s="972"/>
      <c r="H391" s="898"/>
      <c r="I391" s="919"/>
      <c r="J391" s="918"/>
      <c r="K391" s="898"/>
      <c r="L391" s="921">
        <v>0</v>
      </c>
      <c r="M391" s="918"/>
      <c r="N391" s="944"/>
      <c r="O391" s="918"/>
      <c r="P391" s="898"/>
      <c r="Q391" s="921">
        <v>0</v>
      </c>
      <c r="R391" s="918"/>
      <c r="S391" s="944">
        <v>0</v>
      </c>
      <c r="T391" s="895"/>
      <c r="U391" s="895"/>
      <c r="V391" s="898"/>
      <c r="W391" s="895"/>
      <c r="X391" s="895"/>
      <c r="Y391" s="895"/>
      <c r="Z391" s="895"/>
      <c r="AA391" s="895"/>
      <c r="AB391" s="895"/>
      <c r="AC391" s="895"/>
      <c r="AD391" s="895"/>
      <c r="AE391" s="895"/>
      <c r="AF391" s="895"/>
      <c r="AG391" s="895"/>
      <c r="AH391" s="895"/>
      <c r="AI391" s="895"/>
      <c r="AJ391" s="895"/>
      <c r="AK391" s="895"/>
      <c r="AL391" s="895"/>
      <c r="AM391" s="895"/>
      <c r="AN391" s="895"/>
    </row>
    <row r="392" spans="1:40" ht="15.75" hidden="1" customHeight="1">
      <c r="A392" s="883" t="s">
        <v>449</v>
      </c>
      <c r="B392" s="898" t="s">
        <v>119</v>
      </c>
      <c r="C392" s="986" t="s">
        <v>20</v>
      </c>
      <c r="D392" s="971"/>
      <c r="E392" s="898"/>
      <c r="F392" s="919">
        <v>0</v>
      </c>
      <c r="G392" s="972"/>
      <c r="H392" s="898"/>
      <c r="I392" s="919"/>
      <c r="J392" s="918"/>
      <c r="K392" s="898"/>
      <c r="L392" s="921">
        <v>0</v>
      </c>
      <c r="M392" s="918"/>
      <c r="N392" s="944"/>
      <c r="O392" s="918"/>
      <c r="P392" s="898"/>
      <c r="Q392" s="921">
        <v>0</v>
      </c>
      <c r="R392" s="918"/>
      <c r="S392" s="944">
        <v>0</v>
      </c>
      <c r="T392" s="895"/>
      <c r="U392" s="895"/>
      <c r="V392" s="898"/>
      <c r="W392" s="895"/>
      <c r="X392" s="895"/>
      <c r="Y392" s="895"/>
      <c r="Z392" s="895"/>
      <c r="AA392" s="895"/>
      <c r="AB392" s="895"/>
      <c r="AC392" s="895"/>
      <c r="AD392" s="895"/>
      <c r="AE392" s="895"/>
      <c r="AF392" s="895"/>
      <c r="AG392" s="895"/>
      <c r="AH392" s="895"/>
      <c r="AI392" s="895"/>
      <c r="AJ392" s="895"/>
      <c r="AK392" s="895"/>
      <c r="AL392" s="895"/>
      <c r="AM392" s="895"/>
      <c r="AN392" s="895"/>
    </row>
    <row r="393" spans="1:40" ht="15.75" hidden="1" customHeight="1">
      <c r="A393" s="883" t="s">
        <v>449</v>
      </c>
      <c r="B393" s="898" t="s">
        <v>119</v>
      </c>
      <c r="C393" s="986" t="s">
        <v>20</v>
      </c>
      <c r="D393" s="971"/>
      <c r="E393" s="898"/>
      <c r="F393" s="919">
        <v>0</v>
      </c>
      <c r="G393" s="972"/>
      <c r="H393" s="898"/>
      <c r="I393" s="919"/>
      <c r="J393" s="918"/>
      <c r="K393" s="898"/>
      <c r="L393" s="921">
        <v>0</v>
      </c>
      <c r="M393" s="918"/>
      <c r="N393" s="944"/>
      <c r="O393" s="918"/>
      <c r="P393" s="898"/>
      <c r="Q393" s="921">
        <v>0</v>
      </c>
      <c r="R393" s="918"/>
      <c r="S393" s="944">
        <v>0</v>
      </c>
      <c r="T393" s="895"/>
      <c r="U393" s="895"/>
      <c r="V393" s="898"/>
      <c r="W393" s="895"/>
      <c r="X393" s="895"/>
      <c r="Y393" s="895"/>
      <c r="Z393" s="895"/>
      <c r="AA393" s="895"/>
      <c r="AB393" s="895"/>
      <c r="AC393" s="895"/>
      <c r="AD393" s="895"/>
      <c r="AE393" s="895"/>
      <c r="AF393" s="895"/>
      <c r="AG393" s="895"/>
      <c r="AH393" s="895"/>
      <c r="AI393" s="895"/>
      <c r="AJ393" s="895"/>
      <c r="AK393" s="895"/>
      <c r="AL393" s="895"/>
      <c r="AM393" s="895"/>
      <c r="AN393" s="895"/>
    </row>
    <row r="394" spans="1:40" ht="15.75" hidden="1" customHeight="1">
      <c r="A394" s="883" t="s">
        <v>449</v>
      </c>
      <c r="B394" s="898" t="s">
        <v>119</v>
      </c>
      <c r="C394" s="986" t="s">
        <v>20</v>
      </c>
      <c r="D394" s="973"/>
      <c r="E394" s="993"/>
      <c r="F394" s="919">
        <v>0</v>
      </c>
      <c r="G394" s="974"/>
      <c r="H394" s="993"/>
      <c r="I394" s="919"/>
      <c r="J394" s="911"/>
      <c r="K394" s="993"/>
      <c r="L394" s="921">
        <v>0</v>
      </c>
      <c r="M394" s="911"/>
      <c r="N394" s="969"/>
      <c r="O394" s="911"/>
      <c r="P394" s="993"/>
      <c r="Q394" s="921">
        <v>0</v>
      </c>
      <c r="R394" s="911"/>
      <c r="S394" s="969">
        <v>0</v>
      </c>
      <c r="T394" s="895"/>
      <c r="U394" s="895"/>
      <c r="V394" s="898"/>
      <c r="W394" s="895"/>
      <c r="X394" s="895"/>
      <c r="Y394" s="895"/>
      <c r="Z394" s="895"/>
      <c r="AA394" s="895"/>
      <c r="AB394" s="895"/>
      <c r="AC394" s="895"/>
      <c r="AD394" s="895"/>
      <c r="AE394" s="895"/>
      <c r="AF394" s="895"/>
      <c r="AG394" s="895"/>
      <c r="AH394" s="895"/>
      <c r="AI394" s="895"/>
      <c r="AJ394" s="895"/>
      <c r="AK394" s="895"/>
      <c r="AL394" s="895"/>
      <c r="AM394" s="895"/>
      <c r="AN394" s="895"/>
    </row>
    <row r="395" spans="1:40" ht="15.75" hidden="1" customHeight="1">
      <c r="B395" s="892"/>
      <c r="C395" s="978" t="s">
        <v>64</v>
      </c>
      <c r="D395" s="979" t="s">
        <v>39</v>
      </c>
      <c r="E395" s="980">
        <v>0</v>
      </c>
      <c r="F395" s="981">
        <v>0</v>
      </c>
      <c r="G395" s="982"/>
      <c r="H395" s="980"/>
      <c r="I395" s="981"/>
      <c r="J395" s="982" t="s">
        <v>39</v>
      </c>
      <c r="K395" s="980">
        <v>0</v>
      </c>
      <c r="L395" s="981">
        <v>0</v>
      </c>
      <c r="M395" s="1035"/>
      <c r="N395" s="981"/>
      <c r="O395" s="982" t="s">
        <v>39</v>
      </c>
      <c r="P395" s="980">
        <v>0</v>
      </c>
      <c r="Q395" s="981">
        <v>0</v>
      </c>
      <c r="R395" s="1035"/>
      <c r="S395" s="995">
        <v>0</v>
      </c>
      <c r="T395" s="895"/>
      <c r="U395" s="895"/>
      <c r="V395" s="898"/>
      <c r="W395" s="895"/>
      <c r="X395" s="895"/>
      <c r="Y395" s="895"/>
      <c r="Z395" s="895"/>
      <c r="AA395" s="895"/>
      <c r="AB395" s="895"/>
      <c r="AC395" s="895"/>
      <c r="AD395" s="895"/>
      <c r="AE395" s="895"/>
      <c r="AF395" s="895"/>
      <c r="AG395" s="895"/>
      <c r="AH395" s="895"/>
      <c r="AI395" s="895"/>
      <c r="AJ395" s="895"/>
      <c r="AK395" s="895"/>
      <c r="AL395" s="895"/>
      <c r="AM395" s="895"/>
      <c r="AN395" s="895"/>
    </row>
    <row r="396" spans="1:40" ht="15.75" hidden="1" customHeight="1">
      <c r="B396" s="892"/>
      <c r="C396" s="918"/>
      <c r="D396" s="898"/>
      <c r="E396" s="898"/>
      <c r="F396" s="928"/>
      <c r="G396" s="918"/>
      <c r="H396" s="898"/>
      <c r="I396" s="928"/>
      <c r="J396" s="918"/>
      <c r="K396" s="898"/>
      <c r="L396" s="928"/>
      <c r="M396" s="937"/>
      <c r="N396" s="959"/>
      <c r="O396" s="918"/>
      <c r="P396" s="898"/>
      <c r="Q396" s="928"/>
      <c r="R396" s="918"/>
      <c r="S396" s="959"/>
      <c r="T396" s="895"/>
      <c r="U396" s="895"/>
      <c r="V396" s="898"/>
      <c r="W396" s="895"/>
      <c r="X396" s="895"/>
      <c r="Y396" s="895"/>
      <c r="Z396" s="895"/>
      <c r="AA396" s="895"/>
      <c r="AB396" s="895"/>
      <c r="AC396" s="895"/>
      <c r="AD396" s="895"/>
      <c r="AE396" s="895"/>
      <c r="AF396" s="895"/>
      <c r="AG396" s="895"/>
      <c r="AH396" s="895"/>
      <c r="AI396" s="895"/>
      <c r="AJ396" s="895"/>
      <c r="AK396" s="895"/>
      <c r="AL396" s="895"/>
      <c r="AM396" s="895"/>
      <c r="AN396" s="895"/>
    </row>
    <row r="397" spans="1:40" ht="15.75" hidden="1" customHeight="1">
      <c r="B397" s="892"/>
      <c r="C397" s="978" t="s">
        <v>65</v>
      </c>
      <c r="D397" s="979" t="s">
        <v>39</v>
      </c>
      <c r="E397" s="980">
        <v>0</v>
      </c>
      <c r="F397" s="981">
        <v>0</v>
      </c>
      <c r="G397" s="982"/>
      <c r="H397" s="980"/>
      <c r="I397" s="981"/>
      <c r="J397" s="982" t="s">
        <v>39</v>
      </c>
      <c r="K397" s="980">
        <v>0</v>
      </c>
      <c r="L397" s="981">
        <v>0</v>
      </c>
      <c r="M397" s="978"/>
      <c r="N397" s="981"/>
      <c r="O397" s="982" t="s">
        <v>39</v>
      </c>
      <c r="P397" s="980">
        <v>0</v>
      </c>
      <c r="Q397" s="981">
        <v>0</v>
      </c>
      <c r="R397" s="985"/>
      <c r="S397" s="981">
        <v>0</v>
      </c>
      <c r="T397" s="895"/>
      <c r="U397" s="895"/>
      <c r="V397" s="898"/>
      <c r="W397" s="895"/>
      <c r="X397" s="895"/>
      <c r="Y397" s="895"/>
      <c r="Z397" s="895"/>
      <c r="AA397" s="895"/>
      <c r="AB397" s="895"/>
      <c r="AC397" s="895"/>
      <c r="AD397" s="895"/>
      <c r="AE397" s="895"/>
      <c r="AF397" s="895"/>
      <c r="AG397" s="895"/>
      <c r="AH397" s="895"/>
      <c r="AI397" s="895"/>
      <c r="AJ397" s="895"/>
      <c r="AK397" s="895"/>
      <c r="AL397" s="895"/>
      <c r="AM397" s="895"/>
      <c r="AN397" s="895"/>
    </row>
    <row r="398" spans="1:40" ht="15.75" hidden="1" customHeight="1">
      <c r="B398" s="892"/>
      <c r="C398" s="918"/>
      <c r="D398" s="898"/>
      <c r="E398" s="898"/>
      <c r="F398" s="944"/>
      <c r="G398" s="918"/>
      <c r="H398" s="898"/>
      <c r="I398" s="944"/>
      <c r="J398" s="918"/>
      <c r="K398" s="898"/>
      <c r="L398" s="944"/>
      <c r="M398" s="937"/>
      <c r="N398" s="959"/>
      <c r="O398" s="918"/>
      <c r="P398" s="898"/>
      <c r="Q398" s="944"/>
      <c r="R398" s="918"/>
      <c r="S398" s="959"/>
      <c r="T398" s="895"/>
      <c r="U398" s="895"/>
      <c r="V398" s="898"/>
      <c r="W398" s="895"/>
      <c r="X398" s="895"/>
      <c r="Y398" s="895"/>
      <c r="Z398" s="895"/>
      <c r="AA398" s="895"/>
      <c r="AB398" s="895"/>
      <c r="AC398" s="895"/>
      <c r="AD398" s="895"/>
      <c r="AE398" s="895"/>
      <c r="AF398" s="895"/>
      <c r="AG398" s="895"/>
      <c r="AH398" s="895"/>
      <c r="AI398" s="895"/>
      <c r="AJ398" s="895"/>
      <c r="AK398" s="895"/>
      <c r="AL398" s="895"/>
      <c r="AM398" s="895"/>
      <c r="AN398" s="895"/>
    </row>
    <row r="399" spans="1:40" ht="15.75" hidden="1" customHeight="1">
      <c r="B399" s="892"/>
      <c r="C399" s="1117" t="s">
        <v>72</v>
      </c>
      <c r="D399" s="1118"/>
      <c r="E399" s="1118"/>
      <c r="F399" s="1119">
        <v>0</v>
      </c>
      <c r="G399" s="1117"/>
      <c r="H399" s="1118"/>
      <c r="I399" s="1119"/>
      <c r="J399" s="1120"/>
      <c r="K399" s="1121"/>
      <c r="L399" s="1119">
        <v>0</v>
      </c>
      <c r="M399" s="1117"/>
      <c r="N399" s="1119"/>
      <c r="O399" s="1120"/>
      <c r="P399" s="1121"/>
      <c r="Q399" s="1119">
        <v>0</v>
      </c>
      <c r="R399" s="1120"/>
      <c r="S399" s="1119">
        <v>0</v>
      </c>
      <c r="T399" s="895"/>
      <c r="U399" s="895"/>
      <c r="V399" s="898"/>
      <c r="W399" s="895"/>
      <c r="X399" s="895"/>
      <c r="Y399" s="895"/>
      <c r="Z399" s="895"/>
      <c r="AA399" s="895"/>
      <c r="AB399" s="895"/>
      <c r="AC399" s="895"/>
      <c r="AD399" s="895"/>
      <c r="AE399" s="895"/>
      <c r="AF399" s="895"/>
      <c r="AG399" s="895"/>
      <c r="AH399" s="895"/>
      <c r="AI399" s="895"/>
      <c r="AJ399" s="895"/>
      <c r="AK399" s="895"/>
      <c r="AL399" s="895"/>
      <c r="AM399" s="895"/>
      <c r="AN399" s="895"/>
    </row>
    <row r="400" spans="1:40" ht="15.75" customHeight="1">
      <c r="B400" s="892"/>
      <c r="C400" s="958"/>
      <c r="D400" s="1122"/>
      <c r="E400" s="898"/>
      <c r="F400" s="994">
        <v>70798.160170682386</v>
      </c>
      <c r="G400" s="971"/>
      <c r="H400" s="898"/>
      <c r="I400" s="994"/>
      <c r="J400" s="1122"/>
      <c r="K400" s="958"/>
      <c r="L400" s="994">
        <v>178807.8</v>
      </c>
      <c r="M400" s="958"/>
      <c r="N400" s="994"/>
      <c r="O400" s="958"/>
      <c r="P400" s="958"/>
      <c r="Q400" s="994"/>
      <c r="R400" s="958"/>
      <c r="S400" s="994"/>
      <c r="T400" s="898"/>
      <c r="U400" s="898"/>
      <c r="V400" s="898"/>
      <c r="W400" s="898"/>
      <c r="X400" s="898"/>
      <c r="Y400" s="898"/>
      <c r="Z400" s="898"/>
      <c r="AA400" s="898"/>
      <c r="AB400" s="898"/>
      <c r="AC400" s="898"/>
      <c r="AD400" s="898"/>
      <c r="AE400" s="898"/>
      <c r="AF400" s="898"/>
      <c r="AG400" s="898"/>
      <c r="AH400" s="898"/>
      <c r="AI400" s="898"/>
      <c r="AJ400" s="898"/>
      <c r="AK400" s="898"/>
      <c r="AL400" s="898"/>
      <c r="AM400" s="898"/>
      <c r="AN400" s="898"/>
    </row>
    <row r="401" spans="1:61" ht="15.75" customHeight="1">
      <c r="B401" s="892"/>
      <c r="F401" s="1123"/>
      <c r="L401" s="1123"/>
      <c r="V401" s="898"/>
      <c r="W401" s="895"/>
      <c r="X401" s="895"/>
      <c r="Y401" s="895"/>
      <c r="Z401" s="895"/>
      <c r="AA401" s="895"/>
      <c r="AB401" s="895"/>
      <c r="AC401" s="895"/>
      <c r="AD401" s="895"/>
      <c r="AE401" s="895"/>
      <c r="AF401" s="895"/>
      <c r="AG401" s="895"/>
      <c r="AH401" s="895"/>
      <c r="AI401" s="895"/>
      <c r="AJ401" s="895"/>
      <c r="AK401" s="895"/>
      <c r="AL401" s="895"/>
      <c r="AM401" s="895"/>
      <c r="AN401" s="895"/>
    </row>
    <row r="402" spans="1:61" ht="35.25">
      <c r="B402" s="892"/>
      <c r="C402" s="1124" t="s">
        <v>227</v>
      </c>
      <c r="F402" s="1123"/>
      <c r="L402" s="1123"/>
      <c r="V402" s="1125" t="s">
        <v>478</v>
      </c>
      <c r="W402" s="884"/>
      <c r="X402" s="884"/>
      <c r="Y402" s="884"/>
      <c r="Z402" s="884"/>
      <c r="AA402" s="884"/>
      <c r="AB402" s="884"/>
      <c r="AC402" s="884"/>
      <c r="AD402" s="884"/>
      <c r="AE402" s="886" t="s">
        <v>477</v>
      </c>
      <c r="AF402" s="884"/>
      <c r="AG402" s="884"/>
      <c r="AH402" s="884"/>
      <c r="AI402" s="884"/>
      <c r="AJ402" s="1126"/>
      <c r="AK402" s="886"/>
      <c r="AL402" s="884"/>
      <c r="AM402" s="884"/>
      <c r="AN402" s="884"/>
      <c r="AO402" s="1126" t="s">
        <v>482</v>
      </c>
      <c r="AP402" s="895"/>
      <c r="AQ402" s="895"/>
      <c r="AR402" s="895"/>
      <c r="AS402" s="895"/>
      <c r="AT402" s="895"/>
      <c r="AU402" s="895"/>
      <c r="AV402" s="895"/>
      <c r="AW402" s="895"/>
      <c r="AX402" s="895"/>
      <c r="AY402" s="895"/>
      <c r="AZ402" s="895"/>
      <c r="BA402" s="895"/>
      <c r="BB402" s="895"/>
      <c r="BC402" s="895"/>
      <c r="BD402" s="895"/>
      <c r="BE402" s="895"/>
      <c r="BF402" s="895"/>
      <c r="BG402" s="895"/>
      <c r="BH402" s="895"/>
      <c r="BI402" s="895"/>
    </row>
    <row r="403" spans="1:61" ht="15.75" customHeight="1" thickBot="1">
      <c r="B403" s="892"/>
      <c r="C403" s="1124" t="s">
        <v>227</v>
      </c>
      <c r="V403" s="1127"/>
      <c r="W403" s="894"/>
      <c r="X403" s="894"/>
      <c r="Y403" s="894"/>
      <c r="Z403" s="894"/>
      <c r="AA403" s="894"/>
      <c r="AB403" s="894"/>
      <c r="AC403" s="894"/>
      <c r="AD403" s="894"/>
      <c r="AE403" s="894"/>
      <c r="AF403" s="894"/>
      <c r="AG403" s="894"/>
      <c r="AH403" s="894"/>
      <c r="AI403" s="894"/>
      <c r="AJ403" s="894"/>
      <c r="AK403" s="894"/>
      <c r="AL403" s="895"/>
      <c r="AM403" s="895"/>
      <c r="AN403" s="895"/>
      <c r="AO403" s="895"/>
      <c r="AP403" s="895"/>
      <c r="AQ403" s="895"/>
      <c r="AR403" s="895"/>
      <c r="AS403" s="895"/>
      <c r="AT403" s="895"/>
      <c r="AU403" s="895"/>
      <c r="AV403" s="895"/>
      <c r="AW403" s="895"/>
      <c r="AX403" s="895"/>
      <c r="AY403" s="895"/>
      <c r="AZ403" s="895"/>
      <c r="BA403" s="895"/>
      <c r="BB403" s="895"/>
      <c r="BC403" s="895"/>
      <c r="BD403" s="895"/>
      <c r="BE403" s="895"/>
      <c r="BF403" s="895"/>
      <c r="BG403" s="895"/>
      <c r="BH403" s="895"/>
      <c r="BI403" s="895"/>
    </row>
    <row r="404" spans="1:61" ht="15.75" customHeight="1" thickTop="1" thickBot="1">
      <c r="A404" s="883" t="s">
        <v>469</v>
      </c>
      <c r="B404" s="892"/>
      <c r="C404" s="1124" t="s">
        <v>227</v>
      </c>
      <c r="V404" s="1128"/>
      <c r="W404" s="1129"/>
      <c r="X404" s="1130" t="s">
        <v>122</v>
      </c>
      <c r="Y404" s="1131"/>
      <c r="Z404" s="1132"/>
      <c r="AA404" s="1133"/>
      <c r="AB404" s="1131"/>
      <c r="AC404" s="1132"/>
      <c r="AD404" s="1133" t="s">
        <v>7</v>
      </c>
      <c r="AE404" s="1131"/>
      <c r="AF404" s="1132"/>
      <c r="AG404" s="1133" t="s">
        <v>220</v>
      </c>
      <c r="AH404" s="1131"/>
      <c r="AI404" s="1132"/>
      <c r="AJ404" s="1133" t="s">
        <v>123</v>
      </c>
      <c r="AK404" s="1131"/>
      <c r="AL404" s="1131"/>
      <c r="AM404" s="1133" t="s">
        <v>124</v>
      </c>
      <c r="AN404" s="1131"/>
      <c r="AO404" s="1134"/>
      <c r="AP404" s="895"/>
      <c r="AQ404" s="895"/>
      <c r="AR404" s="895"/>
      <c r="AS404" s="895"/>
      <c r="AT404" s="895"/>
      <c r="AU404" s="895"/>
      <c r="AV404" s="895"/>
      <c r="AW404" s="895"/>
      <c r="AX404" s="895"/>
      <c r="AY404" s="895"/>
      <c r="AZ404" s="895"/>
      <c r="BA404" s="895"/>
      <c r="BB404" s="895"/>
      <c r="BC404" s="895"/>
      <c r="BD404" s="895"/>
      <c r="BE404" s="895"/>
      <c r="BF404" s="895"/>
      <c r="BG404" s="895"/>
      <c r="BH404" s="895"/>
      <c r="BI404" s="895"/>
    </row>
    <row r="405" spans="1:61" ht="15.75" customHeight="1">
      <c r="A405" s="883" t="s">
        <v>469</v>
      </c>
      <c r="B405" s="892"/>
      <c r="C405" s="1124" t="s">
        <v>227</v>
      </c>
      <c r="V405" s="911"/>
      <c r="W405" s="1086" t="s">
        <v>125</v>
      </c>
      <c r="X405" s="1086" t="s">
        <v>126</v>
      </c>
      <c r="Y405" s="1086" t="s">
        <v>127</v>
      </c>
      <c r="Z405" s="1135" t="s">
        <v>128</v>
      </c>
      <c r="AA405" s="1086"/>
      <c r="AB405" s="1086"/>
      <c r="AC405" s="1135"/>
      <c r="AD405" s="1136" t="s">
        <v>126</v>
      </c>
      <c r="AE405" s="1086" t="s">
        <v>127</v>
      </c>
      <c r="AF405" s="1086" t="s">
        <v>128</v>
      </c>
      <c r="AG405" s="1136" t="s">
        <v>129</v>
      </c>
      <c r="AH405" s="1086" t="s">
        <v>130</v>
      </c>
      <c r="AI405" s="1086" t="s">
        <v>131</v>
      </c>
      <c r="AJ405" s="1136" t="s">
        <v>126</v>
      </c>
      <c r="AK405" s="1086" t="s">
        <v>127</v>
      </c>
      <c r="AL405" s="1086" t="s">
        <v>128</v>
      </c>
      <c r="AM405" s="1137" t="s">
        <v>129</v>
      </c>
      <c r="AN405" s="1086" t="s">
        <v>130</v>
      </c>
      <c r="AO405" s="1023" t="s">
        <v>131</v>
      </c>
      <c r="AP405" s="895"/>
      <c r="AQ405" s="895"/>
      <c r="AR405" s="895"/>
      <c r="AS405" s="895"/>
      <c r="AT405" s="895"/>
      <c r="AU405" s="895"/>
      <c r="AV405" s="895"/>
      <c r="AW405" s="895"/>
      <c r="AX405" s="895"/>
      <c r="AY405" s="895"/>
      <c r="AZ405" s="895"/>
      <c r="BA405" s="895"/>
      <c r="BB405" s="895"/>
      <c r="BC405" s="895"/>
      <c r="BD405" s="895"/>
      <c r="BE405" s="895"/>
      <c r="BF405" s="895"/>
      <c r="BG405" s="895"/>
      <c r="BH405" s="895"/>
      <c r="BI405" s="895"/>
    </row>
    <row r="406" spans="1:61" ht="15.75" customHeight="1">
      <c r="A406" s="883" t="s">
        <v>15</v>
      </c>
      <c r="B406" s="892"/>
      <c r="C406" s="1124" t="s">
        <v>227</v>
      </c>
      <c r="V406" s="988" t="s">
        <v>15</v>
      </c>
      <c r="W406" s="1138"/>
      <c r="X406" s="1138"/>
      <c r="Y406" s="1138"/>
      <c r="Z406" s="1139">
        <v>5391184.2165118074</v>
      </c>
      <c r="AA406" s="1138"/>
      <c r="AB406" s="1138"/>
      <c r="AC406" s="1139"/>
      <c r="AD406" s="1140"/>
      <c r="AE406" s="1141"/>
      <c r="AF406" s="1141">
        <v>5799821.1000000006</v>
      </c>
      <c r="AG406" s="1140"/>
      <c r="AH406" s="1141"/>
      <c r="AI406" s="1142"/>
      <c r="AJ406" s="1140"/>
      <c r="AK406" s="1141"/>
      <c r="AL406" s="1141">
        <v>4326173.8899999904</v>
      </c>
      <c r="AM406" s="1143"/>
      <c r="AN406" s="1141"/>
      <c r="AO406" s="1144"/>
      <c r="AP406" s="895"/>
      <c r="AQ406" s="895"/>
      <c r="AR406" s="895"/>
      <c r="AS406" s="895"/>
      <c r="AT406" s="895"/>
      <c r="AU406" s="895"/>
      <c r="AV406" s="895"/>
      <c r="AW406" s="895"/>
      <c r="AX406" s="895"/>
      <c r="AY406" s="895"/>
      <c r="AZ406" s="895"/>
      <c r="BA406" s="895"/>
      <c r="BB406" s="895"/>
      <c r="BC406" s="895"/>
      <c r="BD406" s="895"/>
      <c r="BE406" s="895"/>
      <c r="BF406" s="895"/>
      <c r="BG406" s="895"/>
      <c r="BH406" s="895"/>
      <c r="BI406" s="895"/>
    </row>
    <row r="407" spans="1:61" ht="15.75" customHeight="1">
      <c r="A407" s="883" t="s">
        <v>132</v>
      </c>
      <c r="B407" s="892"/>
      <c r="C407" s="1124" t="s">
        <v>227</v>
      </c>
      <c r="V407" s="1145" t="s">
        <v>132</v>
      </c>
      <c r="W407" s="1146"/>
      <c r="X407" s="1147">
        <v>0.11706824492804502</v>
      </c>
      <c r="Y407" s="1146"/>
      <c r="Z407" s="1148">
        <v>631136.47431081475</v>
      </c>
      <c r="AA407" s="1146"/>
      <c r="AB407" s="1146"/>
      <c r="AC407" s="1148"/>
      <c r="AD407" s="1147">
        <v>0.1333470027204805</v>
      </c>
      <c r="AE407" s="1149"/>
      <c r="AF407" s="1148">
        <v>773388.76000000024</v>
      </c>
      <c r="AG407" s="1150"/>
      <c r="AH407" s="1149">
        <v>142252.28568918549</v>
      </c>
      <c r="AI407" s="1151">
        <v>0.22539069041211954</v>
      </c>
      <c r="AJ407" s="1147">
        <v>0.13234321933370113</v>
      </c>
      <c r="AK407" s="1149"/>
      <c r="AL407" s="1149">
        <v>572539.7799999998</v>
      </c>
      <c r="AM407" s="1152"/>
      <c r="AN407" s="1149">
        <v>200848.98000000045</v>
      </c>
      <c r="AO407" s="1153">
        <v>0.35080353717954849</v>
      </c>
      <c r="AP407" s="895"/>
      <c r="AQ407" s="895"/>
      <c r="AR407" s="895"/>
      <c r="AS407" s="895"/>
      <c r="AT407" s="895"/>
      <c r="AU407" s="895"/>
      <c r="AV407" s="895"/>
      <c r="AW407" s="895"/>
      <c r="AX407" s="895"/>
      <c r="AY407" s="895"/>
      <c r="AZ407" s="895"/>
      <c r="BA407" s="895"/>
      <c r="BB407" s="895"/>
      <c r="BC407" s="895"/>
      <c r="BD407" s="895"/>
      <c r="BE407" s="895"/>
      <c r="BF407" s="895"/>
      <c r="BG407" s="895"/>
      <c r="BH407" s="895"/>
      <c r="BI407" s="895"/>
    </row>
    <row r="408" spans="1:61" ht="15.75" customHeight="1">
      <c r="A408" s="883" t="s">
        <v>133</v>
      </c>
      <c r="B408" s="892"/>
      <c r="C408" s="1124" t="s">
        <v>227</v>
      </c>
      <c r="V408" s="1154" t="s">
        <v>133</v>
      </c>
      <c r="W408" s="1155"/>
      <c r="X408" s="1155"/>
      <c r="Y408" s="1155"/>
      <c r="Z408" s="1156"/>
      <c r="AA408" s="1155"/>
      <c r="AB408" s="1155"/>
      <c r="AC408" s="1156"/>
      <c r="AD408" s="1157"/>
      <c r="AE408" s="1155"/>
      <c r="AF408" s="1158"/>
      <c r="AG408" s="1157"/>
      <c r="AH408" s="1158"/>
      <c r="AI408" s="1159"/>
      <c r="AJ408" s="1157"/>
      <c r="AK408" s="1155"/>
      <c r="AL408" s="1158"/>
      <c r="AM408" s="1160"/>
      <c r="AN408" s="1158"/>
      <c r="AO408" s="1161"/>
      <c r="AP408" s="895"/>
      <c r="AQ408" s="895"/>
      <c r="AR408" s="895"/>
      <c r="AS408" s="895"/>
      <c r="AT408" s="895"/>
      <c r="AU408" s="895"/>
      <c r="AV408" s="895"/>
      <c r="AW408" s="895"/>
      <c r="AX408" s="895"/>
      <c r="AY408" s="895"/>
      <c r="AZ408" s="895"/>
      <c r="BA408" s="895"/>
      <c r="BB408" s="895"/>
      <c r="BC408" s="895"/>
      <c r="BD408" s="895"/>
      <c r="BE408" s="895"/>
      <c r="BF408" s="895"/>
      <c r="BG408" s="895"/>
      <c r="BH408" s="895"/>
      <c r="BI408" s="895"/>
    </row>
    <row r="409" spans="1:61" ht="15.75" customHeight="1">
      <c r="A409" s="883" t="s">
        <v>31</v>
      </c>
      <c r="B409" s="892"/>
      <c r="C409" s="1124" t="s">
        <v>227</v>
      </c>
      <c r="V409" s="986" t="s">
        <v>31</v>
      </c>
      <c r="W409" s="1162" t="s">
        <v>134</v>
      </c>
      <c r="X409" s="1155"/>
      <c r="Y409" s="1163">
        <v>713.93938442037711</v>
      </c>
      <c r="Z409" s="1156">
        <v>59970.90829131168</v>
      </c>
      <c r="AA409" s="1155"/>
      <c r="AB409" s="1163"/>
      <c r="AC409" s="1156"/>
      <c r="AD409" s="1164"/>
      <c r="AE409" s="1163">
        <v>652.4152808988764</v>
      </c>
      <c r="AF409" s="1156">
        <v>58064.959999999999</v>
      </c>
      <c r="AG409" s="1157">
        <v>-61.524103521500706</v>
      </c>
      <c r="AH409" s="1158">
        <v>-1905.9482913116808</v>
      </c>
      <c r="AI409" s="1159">
        <v>-3.1781214352356341E-2</v>
      </c>
      <c r="AJ409" s="1165">
        <v>8.6434413343296462E-2</v>
      </c>
      <c r="AK409" s="1158">
        <v>883.69892857142861</v>
      </c>
      <c r="AL409" s="1156">
        <v>49487.14</v>
      </c>
      <c r="AM409" s="1160">
        <v>-61.524103521500706</v>
      </c>
      <c r="AN409" s="1158">
        <v>8577.82</v>
      </c>
      <c r="AO409" s="1166">
        <v>0.17333432483671515</v>
      </c>
      <c r="AP409" s="895"/>
      <c r="AQ409" s="895"/>
      <c r="AR409" s="892"/>
      <c r="AS409" s="895"/>
      <c r="AT409" s="895"/>
      <c r="AU409" s="895"/>
      <c r="AV409" s="895"/>
      <c r="AW409" s="895"/>
      <c r="AX409" s="895"/>
      <c r="AY409" s="895"/>
      <c r="AZ409" s="895"/>
      <c r="BA409" s="895"/>
      <c r="BB409" s="895"/>
      <c r="BC409" s="895"/>
      <c r="BD409" s="895"/>
      <c r="BE409" s="895"/>
      <c r="BF409" s="895"/>
      <c r="BG409" s="895"/>
      <c r="BH409" s="895"/>
      <c r="BI409" s="895"/>
    </row>
    <row r="410" spans="1:61" ht="15.75" customHeight="1">
      <c r="A410" s="883" t="s">
        <v>32</v>
      </c>
      <c r="B410" s="892"/>
      <c r="C410" s="1124" t="s">
        <v>227</v>
      </c>
      <c r="V410" s="988" t="s">
        <v>32</v>
      </c>
      <c r="W410" s="1167" t="s">
        <v>135</v>
      </c>
      <c r="X410" s="1138"/>
      <c r="Y410" s="1168">
        <v>372.85714285714283</v>
      </c>
      <c r="Z410" s="1139">
        <v>31320</v>
      </c>
      <c r="AA410" s="1138"/>
      <c r="AB410" s="1168"/>
      <c r="AC410" s="1139"/>
      <c r="AD410" s="1169"/>
      <c r="AE410" s="1168">
        <v>396.35089887640453</v>
      </c>
      <c r="AF410" s="1139">
        <v>35275.230000000003</v>
      </c>
      <c r="AG410" s="1140">
        <v>23.493756019261696</v>
      </c>
      <c r="AH410" s="1141">
        <v>3955.2300000000032</v>
      </c>
      <c r="AI410" s="1170">
        <v>0.12628448275862078</v>
      </c>
      <c r="AJ410" s="1171">
        <v>5.3189474450142153E-2</v>
      </c>
      <c r="AK410" s="1141">
        <v>543.80517857142854</v>
      </c>
      <c r="AL410" s="1139">
        <v>30453.09</v>
      </c>
      <c r="AM410" s="1143">
        <v>23.493756019261696</v>
      </c>
      <c r="AN410" s="1141">
        <v>4822.1400000000031</v>
      </c>
      <c r="AO410" s="1144">
        <v>0.15834649291746758</v>
      </c>
      <c r="AP410" s="895"/>
      <c r="AQ410" s="895"/>
      <c r="AR410" s="898"/>
      <c r="AS410" s="895"/>
      <c r="AT410" s="895"/>
      <c r="AU410" s="895"/>
      <c r="AV410" s="895"/>
      <c r="AW410" s="895"/>
      <c r="AX410" s="895"/>
      <c r="AY410" s="895"/>
      <c r="AZ410" s="895"/>
      <c r="BA410" s="895"/>
      <c r="BB410" s="895"/>
      <c r="BC410" s="895"/>
      <c r="BD410" s="895"/>
      <c r="BE410" s="895"/>
      <c r="BF410" s="895"/>
      <c r="BG410" s="895"/>
      <c r="BH410" s="895"/>
      <c r="BI410" s="895"/>
    </row>
    <row r="411" spans="1:61" ht="15.75" customHeight="1">
      <c r="A411" s="883" t="s">
        <v>33</v>
      </c>
      <c r="B411" s="892"/>
      <c r="C411" s="1124" t="s">
        <v>227</v>
      </c>
      <c r="V411" s="986" t="s">
        <v>33</v>
      </c>
      <c r="W411" s="1162" t="s">
        <v>136</v>
      </c>
      <c r="X411" s="1155"/>
      <c r="Y411" s="1163">
        <v>88.535714285714292</v>
      </c>
      <c r="Z411" s="1156">
        <v>7437</v>
      </c>
      <c r="AA411" s="1155"/>
      <c r="AB411" s="1163"/>
      <c r="AC411" s="1156"/>
      <c r="AD411" s="1164"/>
      <c r="AE411" s="1163">
        <v>79.187415730337065</v>
      </c>
      <c r="AF411" s="1156">
        <v>7047.6799999999994</v>
      </c>
      <c r="AG411" s="1157">
        <v>-9.3482985553772266</v>
      </c>
      <c r="AH411" s="1158">
        <v>-389.32000000000062</v>
      </c>
      <c r="AI411" s="1159">
        <v>-5.2349065483393922E-2</v>
      </c>
      <c r="AJ411" s="1165">
        <v>1.2817065741702705E-2</v>
      </c>
      <c r="AK411" s="1158">
        <v>131.0407142857143</v>
      </c>
      <c r="AL411" s="1156">
        <v>7338.2800000000007</v>
      </c>
      <c r="AM411" s="1160">
        <v>-9.3482985553772266</v>
      </c>
      <c r="AN411" s="1158">
        <v>-290.60000000000127</v>
      </c>
      <c r="AO411" s="1166">
        <v>-3.9600560349291831E-2</v>
      </c>
      <c r="AP411" s="895"/>
      <c r="AQ411" s="895"/>
      <c r="AR411" s="898"/>
      <c r="AS411" s="895"/>
      <c r="AT411" s="895"/>
      <c r="AU411" s="895"/>
      <c r="AV411" s="895"/>
      <c r="AW411" s="895"/>
      <c r="AX411" s="895"/>
      <c r="AY411" s="895"/>
      <c r="AZ411" s="895"/>
      <c r="BA411" s="895"/>
      <c r="BB411" s="895"/>
      <c r="BC411" s="895"/>
      <c r="BD411" s="895"/>
      <c r="BE411" s="895"/>
      <c r="BF411" s="895"/>
      <c r="BG411" s="895"/>
      <c r="BH411" s="895"/>
      <c r="BI411" s="895"/>
    </row>
    <row r="412" spans="1:61" ht="15.75" customHeight="1">
      <c r="A412" s="883" t="s">
        <v>34</v>
      </c>
      <c r="B412" s="892"/>
      <c r="C412" s="1124" t="s">
        <v>227</v>
      </c>
      <c r="V412" s="986" t="s">
        <v>34</v>
      </c>
      <c r="W412" s="1162" t="s">
        <v>137</v>
      </c>
      <c r="X412" s="1155"/>
      <c r="Y412" s="1163">
        <v>20.357142857142858</v>
      </c>
      <c r="Z412" s="1156">
        <v>1710</v>
      </c>
      <c r="AA412" s="1155"/>
      <c r="AB412" s="1163"/>
      <c r="AC412" s="1156"/>
      <c r="AD412" s="1164"/>
      <c r="AE412" s="1163">
        <v>28.747865168539324</v>
      </c>
      <c r="AF412" s="1156">
        <v>2558.56</v>
      </c>
      <c r="AG412" s="1157">
        <v>8.3907223113964662</v>
      </c>
      <c r="AH412" s="1158">
        <v>848.56</v>
      </c>
      <c r="AI412" s="1159">
        <v>0.49623391812865492</v>
      </c>
      <c r="AJ412" s="1165">
        <v>8.1495123360685994E-3</v>
      </c>
      <c r="AK412" s="1158">
        <v>83.320000000000007</v>
      </c>
      <c r="AL412" s="1156">
        <v>4665.92</v>
      </c>
      <c r="AM412" s="1160">
        <v>8.3907223113964662</v>
      </c>
      <c r="AN412" s="1158">
        <v>-2107.36</v>
      </c>
      <c r="AO412" s="1166">
        <v>-0.45164940676222481</v>
      </c>
      <c r="AP412" s="895"/>
      <c r="AQ412" s="895"/>
      <c r="AR412" s="898"/>
      <c r="AS412" s="895"/>
      <c r="AT412" s="895"/>
      <c r="AU412" s="895"/>
      <c r="AV412" s="895"/>
      <c r="AW412" s="895"/>
      <c r="AX412" s="895"/>
      <c r="AY412" s="895"/>
      <c r="AZ412" s="895"/>
      <c r="BA412" s="895"/>
      <c r="BB412" s="895"/>
      <c r="BC412" s="895"/>
      <c r="BD412" s="895"/>
      <c r="BE412" s="895"/>
      <c r="BF412" s="895"/>
      <c r="BG412" s="895"/>
      <c r="BH412" s="895"/>
      <c r="BI412" s="895"/>
    </row>
    <row r="413" spans="1:61" ht="15.75" customHeight="1">
      <c r="A413" s="883" t="s">
        <v>35</v>
      </c>
      <c r="B413" s="892"/>
      <c r="C413" s="1124" t="s">
        <v>227</v>
      </c>
      <c r="V413" s="988" t="s">
        <v>35</v>
      </c>
      <c r="W413" s="1167"/>
      <c r="X413" s="1138"/>
      <c r="Y413" s="1168">
        <v>136.27678571428572</v>
      </c>
      <c r="Z413" s="1139">
        <v>11447.25</v>
      </c>
      <c r="AA413" s="1138"/>
      <c r="AB413" s="1168"/>
      <c r="AC413" s="1139"/>
      <c r="AD413" s="1169"/>
      <c r="AE413" s="1168">
        <v>126.26426966292135</v>
      </c>
      <c r="AF413" s="1139">
        <v>11237.52</v>
      </c>
      <c r="AG413" s="1140">
        <v>-10.012516051364372</v>
      </c>
      <c r="AH413" s="1141">
        <v>-209.72999999999956</v>
      </c>
      <c r="AI413" s="1170">
        <v>-1.8321430911354217E-2</v>
      </c>
      <c r="AJ413" s="1171">
        <v>2.2869397825946703E-2</v>
      </c>
      <c r="AK413" s="1141">
        <v>233.815</v>
      </c>
      <c r="AL413" s="1139">
        <v>13093.64</v>
      </c>
      <c r="AM413" s="1143">
        <v>-10.012516051364372</v>
      </c>
      <c r="AN413" s="1141">
        <v>-1856.119999999999</v>
      </c>
      <c r="AO413" s="1144">
        <v>-0.14175737228150453</v>
      </c>
      <c r="AP413" s="895"/>
      <c r="AQ413" s="895"/>
      <c r="AR413" s="898"/>
      <c r="AS413" s="895"/>
      <c r="AT413" s="895"/>
      <c r="AU413" s="895"/>
      <c r="AV413" s="895"/>
      <c r="AW413" s="895"/>
      <c r="AX413" s="895"/>
      <c r="AY413" s="895"/>
      <c r="AZ413" s="895"/>
      <c r="BA413" s="895"/>
      <c r="BB413" s="895"/>
      <c r="BC413" s="895"/>
      <c r="BD413" s="895"/>
      <c r="BE413" s="895"/>
      <c r="BF413" s="895"/>
      <c r="BG413" s="895"/>
      <c r="BH413" s="895"/>
      <c r="BI413" s="895"/>
    </row>
    <row r="414" spans="1:61" ht="15.75" customHeight="1">
      <c r="A414" s="883" t="s">
        <v>36</v>
      </c>
      <c r="B414" s="892"/>
      <c r="C414" s="1124" t="s">
        <v>227</v>
      </c>
      <c r="V414" s="986" t="s">
        <v>36</v>
      </c>
      <c r="W414" s="1162" t="s">
        <v>138</v>
      </c>
      <c r="X414" s="1159"/>
      <c r="Y414" s="1163">
        <v>214.8095238095238</v>
      </c>
      <c r="Z414" s="1156">
        <v>18044</v>
      </c>
      <c r="AA414" s="1159"/>
      <c r="AB414" s="1163"/>
      <c r="AC414" s="1156"/>
      <c r="AD414" s="1164"/>
      <c r="AE414" s="1163">
        <v>241.1396629213483</v>
      </c>
      <c r="AF414" s="1156">
        <v>21461.43</v>
      </c>
      <c r="AG414" s="1157">
        <v>26.330139111824508</v>
      </c>
      <c r="AH414" s="1158">
        <v>3417.4300000000003</v>
      </c>
      <c r="AI414" s="1159">
        <v>0.18939425847927291</v>
      </c>
      <c r="AJ414" s="1165">
        <v>3.8574594764402038E-2</v>
      </c>
      <c r="AK414" s="1158">
        <v>394.38374999999803</v>
      </c>
      <c r="AL414" s="1156">
        <v>22085.489999999889</v>
      </c>
      <c r="AM414" s="1160">
        <v>26.330139111824508</v>
      </c>
      <c r="AN414" s="1158">
        <v>-624.05999999988853</v>
      </c>
      <c r="AO414" s="1166">
        <v>-2.8256561208281621E-2</v>
      </c>
      <c r="AP414" s="895"/>
      <c r="AQ414" s="895"/>
      <c r="AR414" s="898"/>
      <c r="AS414" s="895"/>
      <c r="AT414" s="895"/>
      <c r="AU414" s="895"/>
      <c r="AV414" s="895"/>
      <c r="AW414" s="895"/>
      <c r="AX414" s="895"/>
      <c r="AY414" s="895"/>
      <c r="AZ414" s="895"/>
      <c r="BA414" s="895"/>
      <c r="BB414" s="895"/>
      <c r="BC414" s="895"/>
      <c r="BD414" s="895"/>
      <c r="BE414" s="895"/>
      <c r="BF414" s="895"/>
      <c r="BG414" s="895"/>
      <c r="BH414" s="895"/>
      <c r="BI414" s="895"/>
    </row>
    <row r="415" spans="1:61" ht="15.75" customHeight="1">
      <c r="A415" s="883" t="s">
        <v>37</v>
      </c>
      <c r="B415" s="892"/>
      <c r="C415" s="1124" t="s">
        <v>227</v>
      </c>
      <c r="V415" s="986" t="s">
        <v>37</v>
      </c>
      <c r="W415" s="1162" t="s">
        <v>139</v>
      </c>
      <c r="X415" s="1155"/>
      <c r="Y415" s="1163">
        <v>557.14365560304032</v>
      </c>
      <c r="Z415" s="1156">
        <v>46800.067070655386</v>
      </c>
      <c r="AA415" s="1155"/>
      <c r="AB415" s="1163"/>
      <c r="AC415" s="1156"/>
      <c r="AD415" s="1164"/>
      <c r="AE415" s="1163">
        <v>30.596666666666664</v>
      </c>
      <c r="AF415" s="1156">
        <v>3855.18</v>
      </c>
      <c r="AG415" s="1157">
        <v>-526.54698893637362</v>
      </c>
      <c r="AH415" s="1158">
        <v>-42944.887070655386</v>
      </c>
      <c r="AI415" s="1159">
        <v>-0.9176244770294939</v>
      </c>
      <c r="AJ415" s="1165">
        <v>5.7865341688572297E-2</v>
      </c>
      <c r="AK415" s="1158">
        <v>591.61089285714286</v>
      </c>
      <c r="AL415" s="1156">
        <v>33130.21</v>
      </c>
      <c r="AM415" s="1160">
        <v>-526.54698893637362</v>
      </c>
      <c r="AN415" s="1158">
        <v>-29275.03</v>
      </c>
      <c r="AO415" s="1166">
        <v>-0.88363550970549232</v>
      </c>
      <c r="AP415" s="895"/>
      <c r="AQ415" s="895"/>
      <c r="AR415" s="898"/>
      <c r="AS415" s="895"/>
      <c r="AT415" s="895"/>
      <c r="AU415" s="895"/>
      <c r="AV415" s="895"/>
      <c r="AW415" s="895"/>
      <c r="AX415" s="895"/>
      <c r="AY415" s="895"/>
      <c r="AZ415" s="895"/>
      <c r="BA415" s="895"/>
      <c r="BB415" s="895"/>
      <c r="BC415" s="895"/>
      <c r="BD415" s="895"/>
      <c r="BE415" s="895"/>
      <c r="BF415" s="895"/>
      <c r="BG415" s="895"/>
      <c r="BH415" s="895"/>
      <c r="BI415" s="895"/>
    </row>
    <row r="416" spans="1:61" ht="15.75" hidden="1" customHeight="1">
      <c r="A416" s="883" t="s">
        <v>20</v>
      </c>
      <c r="B416" s="892"/>
      <c r="C416" s="1124" t="s">
        <v>227</v>
      </c>
      <c r="V416" s="986" t="s">
        <v>20</v>
      </c>
      <c r="W416" s="1162"/>
      <c r="X416" s="1159"/>
      <c r="Y416" s="1163">
        <v>0</v>
      </c>
      <c r="Z416" s="1156">
        <v>0</v>
      </c>
      <c r="AA416" s="1155"/>
      <c r="AB416" s="1163"/>
      <c r="AC416" s="1156"/>
      <c r="AD416" s="1164"/>
      <c r="AE416" s="1163">
        <v>0</v>
      </c>
      <c r="AF416" s="1156">
        <v>0</v>
      </c>
      <c r="AG416" s="1157">
        <v>0</v>
      </c>
      <c r="AH416" s="1158">
        <v>0</v>
      </c>
      <c r="AI416" s="1159">
        <v>0</v>
      </c>
      <c r="AJ416" s="1164"/>
      <c r="AK416" s="1158">
        <v>0</v>
      </c>
      <c r="AL416" s="1156">
        <v>0</v>
      </c>
      <c r="AM416" s="1160">
        <v>0</v>
      </c>
      <c r="AN416" s="1158">
        <v>0</v>
      </c>
      <c r="AO416" s="1166">
        <v>0</v>
      </c>
      <c r="AP416" s="895"/>
      <c r="AQ416" s="895"/>
      <c r="AR416" s="898"/>
      <c r="AS416" s="895"/>
      <c r="AT416" s="895"/>
      <c r="AU416" s="895"/>
      <c r="AV416" s="895"/>
      <c r="AW416" s="895"/>
      <c r="AX416" s="895"/>
      <c r="AY416" s="895"/>
      <c r="AZ416" s="895"/>
      <c r="BA416" s="895"/>
      <c r="BB416" s="895"/>
      <c r="BC416" s="895"/>
      <c r="BD416" s="895"/>
      <c r="BE416" s="895"/>
      <c r="BF416" s="895"/>
      <c r="BG416" s="895"/>
      <c r="BH416" s="895"/>
      <c r="BI416" s="895"/>
    </row>
    <row r="417" spans="1:61" ht="15.75" hidden="1" customHeight="1">
      <c r="A417" s="883" t="s">
        <v>20</v>
      </c>
      <c r="B417" s="892"/>
      <c r="C417" s="1124" t="s">
        <v>227</v>
      </c>
      <c r="V417" s="986" t="s">
        <v>20</v>
      </c>
      <c r="W417" s="1162"/>
      <c r="X417" s="1159"/>
      <c r="Y417" s="1163">
        <v>0</v>
      </c>
      <c r="Z417" s="1156">
        <v>0</v>
      </c>
      <c r="AA417" s="1155"/>
      <c r="AB417" s="1163"/>
      <c r="AC417" s="1156"/>
      <c r="AD417" s="1164"/>
      <c r="AE417" s="1163">
        <v>0</v>
      </c>
      <c r="AF417" s="1156">
        <v>0</v>
      </c>
      <c r="AG417" s="1157">
        <v>0</v>
      </c>
      <c r="AH417" s="1158">
        <v>0</v>
      </c>
      <c r="AI417" s="1159">
        <v>0</v>
      </c>
      <c r="AJ417" s="1164"/>
      <c r="AK417" s="1158">
        <v>0</v>
      </c>
      <c r="AL417" s="1156">
        <v>0</v>
      </c>
      <c r="AM417" s="1160">
        <v>0</v>
      </c>
      <c r="AN417" s="1158">
        <v>0</v>
      </c>
      <c r="AO417" s="1166">
        <v>0</v>
      </c>
      <c r="AP417" s="895"/>
      <c r="AQ417" s="895"/>
      <c r="AR417" s="898"/>
      <c r="AS417" s="895"/>
      <c r="AT417" s="895"/>
      <c r="AU417" s="895"/>
      <c r="AV417" s="895"/>
      <c r="AW417" s="895"/>
      <c r="AX417" s="895"/>
      <c r="AY417" s="895"/>
      <c r="AZ417" s="895"/>
      <c r="BA417" s="895"/>
      <c r="BB417" s="895"/>
      <c r="BC417" s="895"/>
      <c r="BD417" s="895"/>
      <c r="BE417" s="895"/>
      <c r="BF417" s="895"/>
      <c r="BG417" s="895"/>
      <c r="BH417" s="895"/>
      <c r="BI417" s="895"/>
    </row>
    <row r="418" spans="1:61" ht="15.75" hidden="1" customHeight="1">
      <c r="A418" s="883" t="s">
        <v>20</v>
      </c>
      <c r="B418" s="892"/>
      <c r="C418" s="1124" t="s">
        <v>227</v>
      </c>
      <c r="V418" s="986" t="s">
        <v>20</v>
      </c>
      <c r="W418" s="1162" t="s">
        <v>139</v>
      </c>
      <c r="X418" s="1155"/>
      <c r="Y418" s="1163">
        <v>0</v>
      </c>
      <c r="Z418" s="1156">
        <v>0</v>
      </c>
      <c r="AA418" s="1155"/>
      <c r="AB418" s="1163"/>
      <c r="AC418" s="1156"/>
      <c r="AD418" s="1164"/>
      <c r="AE418" s="1163">
        <v>0</v>
      </c>
      <c r="AF418" s="1156">
        <v>0</v>
      </c>
      <c r="AG418" s="1157">
        <v>0</v>
      </c>
      <c r="AH418" s="1158">
        <v>0</v>
      </c>
      <c r="AI418" s="1159">
        <v>0</v>
      </c>
      <c r="AJ418" s="1164"/>
      <c r="AK418" s="1158">
        <v>0</v>
      </c>
      <c r="AL418" s="1156">
        <v>0</v>
      </c>
      <c r="AM418" s="1160">
        <v>0</v>
      </c>
      <c r="AN418" s="1158">
        <v>0</v>
      </c>
      <c r="AO418" s="1166">
        <v>0</v>
      </c>
      <c r="AP418" s="895"/>
      <c r="AQ418" s="895"/>
      <c r="AR418" s="898"/>
      <c r="AS418" s="895"/>
      <c r="AT418" s="895"/>
      <c r="AU418" s="895"/>
      <c r="AV418" s="895"/>
      <c r="AW418" s="895"/>
      <c r="AX418" s="895"/>
      <c r="AY418" s="895"/>
      <c r="AZ418" s="895"/>
      <c r="BA418" s="895"/>
      <c r="BB418" s="895"/>
      <c r="BC418" s="895"/>
      <c r="BD418" s="895"/>
      <c r="BE418" s="895"/>
      <c r="BF418" s="895"/>
      <c r="BG418" s="895"/>
      <c r="BH418" s="895"/>
      <c r="BI418" s="895"/>
    </row>
    <row r="419" spans="1:61" ht="15.75" customHeight="1">
      <c r="A419" s="883" t="s">
        <v>38</v>
      </c>
      <c r="B419" s="892"/>
      <c r="C419" s="1124" t="s">
        <v>227</v>
      </c>
      <c r="V419" s="1172" t="s">
        <v>38</v>
      </c>
      <c r="W419" s="1173"/>
      <c r="X419" s="1174">
        <v>0.28001744876961981</v>
      </c>
      <c r="Y419" s="1173"/>
      <c r="Z419" s="1175">
        <v>176729.22536196705</v>
      </c>
      <c r="AA419" s="1174"/>
      <c r="AB419" s="1173"/>
      <c r="AC419" s="1175"/>
      <c r="AD419" s="1176">
        <v>0.180375727208655</v>
      </c>
      <c r="AE419" s="1173"/>
      <c r="AF419" s="1175">
        <v>139500.56</v>
      </c>
      <c r="AG419" s="1177"/>
      <c r="AH419" s="1178">
        <v>-37228.665361967054</v>
      </c>
      <c r="AI419" s="1174">
        <v>-0.21065370079972542</v>
      </c>
      <c r="AJ419" s="1176">
        <v>0.27989980015013094</v>
      </c>
      <c r="AK419" s="1173"/>
      <c r="AL419" s="1175">
        <v>160253.76999999987</v>
      </c>
      <c r="AM419" s="1179"/>
      <c r="AN419" s="1178">
        <v>-20753.209999999875</v>
      </c>
      <c r="AO419" s="1153">
        <v>-0.12950216397405123</v>
      </c>
      <c r="AP419" s="895"/>
      <c r="AQ419" s="895"/>
      <c r="AR419" s="898"/>
      <c r="AS419" s="895"/>
      <c r="AT419" s="895"/>
      <c r="AU419" s="895"/>
      <c r="AV419" s="895"/>
      <c r="AW419" s="895"/>
      <c r="AX419" s="895"/>
      <c r="AY419" s="895"/>
      <c r="AZ419" s="895"/>
      <c r="BA419" s="895"/>
      <c r="BB419" s="895"/>
      <c r="BC419" s="895"/>
      <c r="BD419" s="895"/>
      <c r="BE419" s="895"/>
      <c r="BF419" s="895"/>
      <c r="BG419" s="895"/>
      <c r="BH419" s="895"/>
      <c r="BI419" s="895"/>
    </row>
    <row r="420" spans="1:61" ht="15.75" customHeight="1">
      <c r="A420" s="883" t="s">
        <v>140</v>
      </c>
      <c r="B420" s="892"/>
      <c r="C420" s="1124" t="s">
        <v>227</v>
      </c>
      <c r="V420" s="986" t="s">
        <v>140</v>
      </c>
      <c r="W420" s="1162" t="s">
        <v>141</v>
      </c>
      <c r="X420" s="1155"/>
      <c r="Y420" s="1155"/>
      <c r="Z420" s="1156">
        <v>14451.14423076923</v>
      </c>
      <c r="AA420" s="1155"/>
      <c r="AB420" s="1155"/>
      <c r="AC420" s="1156"/>
      <c r="AD420" s="1164"/>
      <c r="AE420" s="1163"/>
      <c r="AF420" s="1156">
        <v>15260.759999999998</v>
      </c>
      <c r="AG420" s="1157"/>
      <c r="AH420" s="1158">
        <v>809.61576923076791</v>
      </c>
      <c r="AI420" s="1159">
        <v>5.6024336640896726E-2</v>
      </c>
      <c r="AJ420" s="1164"/>
      <c r="AK420" s="1155"/>
      <c r="AL420" s="1156">
        <v>15144.54</v>
      </c>
      <c r="AM420" s="1160"/>
      <c r="AN420" s="1158">
        <v>116.21999999999753</v>
      </c>
      <c r="AO420" s="1166">
        <v>7.6740528269592552E-3</v>
      </c>
      <c r="AP420" s="895"/>
      <c r="AQ420" s="895"/>
      <c r="AR420" s="895"/>
      <c r="AS420" s="895"/>
      <c r="AT420" s="895"/>
      <c r="AU420" s="895"/>
      <c r="AV420" s="895"/>
      <c r="AW420" s="895"/>
      <c r="AX420" s="895"/>
      <c r="AY420" s="895"/>
      <c r="AZ420" s="895"/>
      <c r="BA420" s="895"/>
      <c r="BB420" s="895"/>
      <c r="BC420" s="895"/>
      <c r="BD420" s="895"/>
      <c r="BE420" s="895"/>
      <c r="BF420" s="895"/>
      <c r="BG420" s="895"/>
      <c r="BH420" s="895"/>
      <c r="BI420" s="895"/>
    </row>
    <row r="421" spans="1:61" ht="15.75" customHeight="1">
      <c r="A421" s="883" t="s">
        <v>41</v>
      </c>
      <c r="B421" s="892"/>
      <c r="C421" s="1124" t="s">
        <v>227</v>
      </c>
      <c r="V421" s="986" t="s">
        <v>41</v>
      </c>
      <c r="W421" s="1162" t="s">
        <v>142</v>
      </c>
      <c r="X421" s="1155"/>
      <c r="Y421" s="1155"/>
      <c r="Z421" s="1156">
        <v>56603.570512820515</v>
      </c>
      <c r="AA421" s="1155"/>
      <c r="AB421" s="1155"/>
      <c r="AC421" s="1156"/>
      <c r="AD421" s="1164"/>
      <c r="AE421" s="1163"/>
      <c r="AF421" s="1156">
        <v>60455.609999999993</v>
      </c>
      <c r="AG421" s="1157"/>
      <c r="AH421" s="1158">
        <v>3852.0394871794779</v>
      </c>
      <c r="AI421" s="1159">
        <v>6.8052941754036589E-2</v>
      </c>
      <c r="AJ421" s="1164"/>
      <c r="AK421" s="1155"/>
      <c r="AL421" s="1156">
        <v>49140.14</v>
      </c>
      <c r="AM421" s="1160"/>
      <c r="AN421" s="1158">
        <v>11315.469999999994</v>
      </c>
      <c r="AO421" s="1166">
        <v>0.23026938873190012</v>
      </c>
      <c r="AP421" s="895"/>
      <c r="AQ421" s="895"/>
      <c r="AR421" s="895"/>
      <c r="AS421" s="895"/>
      <c r="AT421" s="895"/>
      <c r="AU421" s="895"/>
      <c r="AV421" s="895"/>
      <c r="AW421" s="895"/>
      <c r="AX421" s="895"/>
      <c r="AY421" s="895"/>
      <c r="AZ421" s="895"/>
      <c r="BA421" s="895"/>
      <c r="BB421" s="895"/>
      <c r="BC421" s="895"/>
      <c r="BD421" s="895"/>
      <c r="BE421" s="895"/>
      <c r="BF421" s="895"/>
      <c r="BG421" s="895"/>
      <c r="BH421" s="895"/>
      <c r="BI421" s="895"/>
    </row>
    <row r="422" spans="1:61" ht="15.75" customHeight="1">
      <c r="A422" s="883" t="s">
        <v>42</v>
      </c>
      <c r="B422" s="892"/>
      <c r="C422" s="1124" t="s">
        <v>227</v>
      </c>
      <c r="V422" s="988" t="s">
        <v>42</v>
      </c>
      <c r="W422" s="1167" t="s">
        <v>143</v>
      </c>
      <c r="X422" s="1138"/>
      <c r="Y422" s="1138"/>
      <c r="Z422" s="1139">
        <v>62004.212615384618</v>
      </c>
      <c r="AA422" s="1138"/>
      <c r="AB422" s="1138"/>
      <c r="AC422" s="1139"/>
      <c r="AD422" s="1169"/>
      <c r="AE422" s="1168"/>
      <c r="AF422" s="1139">
        <v>62878.62</v>
      </c>
      <c r="AG422" s="1140"/>
      <c r="AH422" s="1141">
        <v>874.40738461538422</v>
      </c>
      <c r="AI422" s="1170">
        <v>1.4102386720711688E-2</v>
      </c>
      <c r="AJ422" s="1169"/>
      <c r="AK422" s="1138"/>
      <c r="AL422" s="1139">
        <v>45500.27</v>
      </c>
      <c r="AM422" s="1143"/>
      <c r="AN422" s="1141">
        <v>17378.350000000006</v>
      </c>
      <c r="AO422" s="1144">
        <v>0.38193949178763131</v>
      </c>
      <c r="AP422" s="895"/>
      <c r="AQ422" s="895"/>
      <c r="AR422" s="895"/>
      <c r="AS422" s="895"/>
      <c r="AT422" s="895"/>
      <c r="AU422" s="895"/>
      <c r="AV422" s="895"/>
      <c r="AW422" s="895"/>
      <c r="AX422" s="895"/>
      <c r="AY422" s="895"/>
      <c r="AZ422" s="895"/>
      <c r="BA422" s="895"/>
      <c r="BB422" s="895"/>
      <c r="BC422" s="895"/>
      <c r="BD422" s="895"/>
      <c r="BE422" s="895"/>
      <c r="BF422" s="895"/>
      <c r="BG422" s="895"/>
      <c r="BH422" s="895"/>
      <c r="BI422" s="895"/>
    </row>
    <row r="423" spans="1:61" ht="15.75" customHeight="1">
      <c r="A423" s="883" t="s">
        <v>43</v>
      </c>
      <c r="B423" s="892"/>
      <c r="C423" s="1124" t="s">
        <v>227</v>
      </c>
      <c r="V423" s="986" t="s">
        <v>43</v>
      </c>
      <c r="W423" s="1162" t="s">
        <v>144</v>
      </c>
      <c r="X423" s="1155"/>
      <c r="Y423" s="1155"/>
      <c r="Z423" s="1156">
        <v>19486</v>
      </c>
      <c r="AA423" s="1155"/>
      <c r="AB423" s="1155"/>
      <c r="AC423" s="1156"/>
      <c r="AD423" s="1164"/>
      <c r="AE423" s="1163"/>
      <c r="AF423" s="1156">
        <v>20764.95</v>
      </c>
      <c r="AG423" s="1157"/>
      <c r="AH423" s="1158">
        <v>1278.9500000000007</v>
      </c>
      <c r="AI423" s="1159">
        <v>6.5634301549830687E-2</v>
      </c>
      <c r="AJ423" s="1164"/>
      <c r="AK423" s="1155"/>
      <c r="AL423" s="1156">
        <v>23355.3</v>
      </c>
      <c r="AM423" s="1160"/>
      <c r="AN423" s="1158">
        <v>-2590.3499999999985</v>
      </c>
      <c r="AO423" s="1166">
        <v>-0.11091058560583673</v>
      </c>
      <c r="AP423" s="895"/>
      <c r="AQ423" s="895"/>
      <c r="AR423" s="895"/>
      <c r="AS423" s="895"/>
      <c r="AT423" s="895"/>
      <c r="AU423" s="895"/>
      <c r="AV423" s="895"/>
      <c r="AW423" s="895"/>
      <c r="AX423" s="895"/>
      <c r="AY423" s="895"/>
      <c r="AZ423" s="895"/>
      <c r="BA423" s="895"/>
      <c r="BB423" s="895"/>
      <c r="BC423" s="895"/>
      <c r="BD423" s="895"/>
      <c r="BE423" s="895"/>
      <c r="BF423" s="895"/>
      <c r="BG423" s="895"/>
      <c r="BH423" s="895"/>
      <c r="BI423" s="895"/>
    </row>
    <row r="424" spans="1:61" ht="15.75" customHeight="1">
      <c r="A424" s="883" t="s">
        <v>44</v>
      </c>
      <c r="B424" s="892"/>
      <c r="C424" s="1124" t="s">
        <v>227</v>
      </c>
      <c r="V424" s="986" t="s">
        <v>44</v>
      </c>
      <c r="W424" s="1162" t="s">
        <v>145</v>
      </c>
      <c r="X424" s="1155"/>
      <c r="Y424" s="1155"/>
      <c r="Z424" s="1156">
        <v>25713.623526153846</v>
      </c>
      <c r="AA424" s="1155"/>
      <c r="AB424" s="1155"/>
      <c r="AC424" s="1156"/>
      <c r="AD424" s="1164"/>
      <c r="AE424" s="1163"/>
      <c r="AF424" s="1156">
        <v>20452.490000000002</v>
      </c>
      <c r="AG424" s="1157"/>
      <c r="AH424" s="1158">
        <v>-5261.1335261538443</v>
      </c>
      <c r="AI424" s="1159">
        <v>-0.20460490606478077</v>
      </c>
      <c r="AJ424" s="1164"/>
      <c r="AK424" s="1155"/>
      <c r="AL424" s="1156">
        <v>29269.82</v>
      </c>
      <c r="AM424" s="1160"/>
      <c r="AN424" s="1158">
        <v>-8817.3299999999981</v>
      </c>
      <c r="AO424" s="1166">
        <v>-0.30124305513323957</v>
      </c>
      <c r="AP424" s="895"/>
      <c r="AQ424" s="895"/>
      <c r="AR424" s="895"/>
      <c r="AS424" s="895"/>
      <c r="AT424" s="895"/>
      <c r="AU424" s="895"/>
      <c r="AV424" s="895"/>
      <c r="AW424" s="895"/>
      <c r="AX424" s="895"/>
      <c r="AY424" s="895"/>
      <c r="AZ424" s="895"/>
      <c r="BA424" s="895"/>
      <c r="BB424" s="895"/>
      <c r="BC424" s="895"/>
      <c r="BD424" s="895"/>
      <c r="BE424" s="895"/>
      <c r="BF424" s="895"/>
      <c r="BG424" s="895"/>
      <c r="BH424" s="895"/>
      <c r="BI424" s="895"/>
    </row>
    <row r="425" spans="1:61" ht="15.75" hidden="1" customHeight="1">
      <c r="A425" s="883" t="s">
        <v>20</v>
      </c>
      <c r="B425" s="892"/>
      <c r="C425" s="1124" t="s">
        <v>227</v>
      </c>
      <c r="V425" s="986" t="s">
        <v>20</v>
      </c>
      <c r="W425" s="1162"/>
      <c r="X425" s="1155"/>
      <c r="Y425" s="1155"/>
      <c r="Z425" s="1156">
        <v>0</v>
      </c>
      <c r="AA425" s="1155"/>
      <c r="AB425" s="1155"/>
      <c r="AC425" s="1156"/>
      <c r="AD425" s="1164"/>
      <c r="AE425" s="1163"/>
      <c r="AF425" s="1156">
        <v>0</v>
      </c>
      <c r="AG425" s="1157"/>
      <c r="AH425" s="1158">
        <v>0</v>
      </c>
      <c r="AI425" s="1159">
        <v>0</v>
      </c>
      <c r="AJ425" s="1164"/>
      <c r="AK425" s="1155"/>
      <c r="AL425" s="1156">
        <v>0</v>
      </c>
      <c r="AM425" s="1160"/>
      <c r="AN425" s="1158">
        <v>0</v>
      </c>
      <c r="AO425" s="1166">
        <v>0</v>
      </c>
      <c r="AP425" s="895"/>
      <c r="AQ425" s="895"/>
      <c r="AR425" s="895"/>
      <c r="AS425" s="895"/>
      <c r="AT425" s="895"/>
      <c r="AU425" s="895"/>
      <c r="AV425" s="895"/>
      <c r="AW425" s="895"/>
      <c r="AX425" s="895"/>
      <c r="AY425" s="895"/>
      <c r="AZ425" s="895"/>
      <c r="BA425" s="895"/>
      <c r="BB425" s="895"/>
      <c r="BC425" s="895"/>
      <c r="BD425" s="895"/>
      <c r="BE425" s="895"/>
      <c r="BF425" s="895"/>
      <c r="BG425" s="895"/>
      <c r="BH425" s="895"/>
      <c r="BI425" s="895"/>
    </row>
    <row r="426" spans="1:61" ht="15.75" hidden="1" customHeight="1">
      <c r="A426" s="883" t="s">
        <v>20</v>
      </c>
      <c r="B426" s="892"/>
      <c r="C426" s="1124" t="s">
        <v>227</v>
      </c>
      <c r="V426" s="986" t="s">
        <v>20</v>
      </c>
      <c r="W426" s="1162"/>
      <c r="X426" s="1155"/>
      <c r="Y426" s="1155"/>
      <c r="Z426" s="1156">
        <v>0</v>
      </c>
      <c r="AA426" s="1155"/>
      <c r="AB426" s="1155"/>
      <c r="AC426" s="1156"/>
      <c r="AD426" s="1164"/>
      <c r="AE426" s="1163"/>
      <c r="AF426" s="1156">
        <v>0</v>
      </c>
      <c r="AG426" s="1157"/>
      <c r="AH426" s="1158">
        <v>0</v>
      </c>
      <c r="AI426" s="1159">
        <v>0</v>
      </c>
      <c r="AJ426" s="1164"/>
      <c r="AK426" s="1155"/>
      <c r="AL426" s="1156">
        <v>0</v>
      </c>
      <c r="AM426" s="1160"/>
      <c r="AN426" s="1158">
        <v>0</v>
      </c>
      <c r="AO426" s="1166">
        <v>0</v>
      </c>
      <c r="AP426" s="895"/>
      <c r="AQ426" s="895"/>
      <c r="AR426" s="895"/>
      <c r="AS426" s="895"/>
      <c r="AT426" s="895"/>
      <c r="AU426" s="895"/>
      <c r="AV426" s="895"/>
      <c r="AW426" s="895"/>
      <c r="AX426" s="895"/>
      <c r="AY426" s="895"/>
      <c r="AZ426" s="895"/>
      <c r="BA426" s="895"/>
      <c r="BB426" s="895"/>
      <c r="BC426" s="895"/>
      <c r="BD426" s="895"/>
      <c r="BE426" s="895"/>
      <c r="BF426" s="895"/>
      <c r="BG426" s="895"/>
      <c r="BH426" s="895"/>
      <c r="BI426" s="895"/>
    </row>
    <row r="427" spans="1:61" ht="15.75" hidden="1" customHeight="1">
      <c r="A427" s="883" t="s">
        <v>20</v>
      </c>
      <c r="B427" s="892"/>
      <c r="C427" s="1124" t="s">
        <v>227</v>
      </c>
      <c r="V427" s="986" t="s">
        <v>20</v>
      </c>
      <c r="W427" s="1162"/>
      <c r="X427" s="1155"/>
      <c r="Y427" s="1155"/>
      <c r="Z427" s="1156">
        <v>0</v>
      </c>
      <c r="AA427" s="1155"/>
      <c r="AB427" s="1155"/>
      <c r="AC427" s="1156"/>
      <c r="AD427" s="1164"/>
      <c r="AE427" s="1163"/>
      <c r="AF427" s="1156">
        <v>0</v>
      </c>
      <c r="AG427" s="1157"/>
      <c r="AH427" s="1158">
        <v>0</v>
      </c>
      <c r="AI427" s="1159">
        <v>0</v>
      </c>
      <c r="AJ427" s="1164"/>
      <c r="AK427" s="1155"/>
      <c r="AL427" s="1156">
        <v>0</v>
      </c>
      <c r="AM427" s="1160"/>
      <c r="AN427" s="1158">
        <v>0</v>
      </c>
      <c r="AO427" s="1166">
        <v>0</v>
      </c>
      <c r="AP427" s="895"/>
      <c r="AQ427" s="895"/>
      <c r="AR427" s="895"/>
      <c r="AS427" s="895"/>
      <c r="AT427" s="895"/>
      <c r="AU427" s="895"/>
      <c r="AV427" s="895"/>
      <c r="AW427" s="895"/>
      <c r="AX427" s="895"/>
      <c r="AY427" s="895"/>
      <c r="AZ427" s="895"/>
      <c r="BA427" s="895"/>
      <c r="BB427" s="895"/>
      <c r="BC427" s="895"/>
      <c r="BD427" s="895"/>
      <c r="BE427" s="895"/>
      <c r="BF427" s="895"/>
      <c r="BG427" s="895"/>
      <c r="BH427" s="895"/>
      <c r="BI427" s="895"/>
    </row>
    <row r="428" spans="1:61" ht="15.75" customHeight="1">
      <c r="A428" s="883" t="s">
        <v>45</v>
      </c>
      <c r="B428" s="892"/>
      <c r="C428" s="1124" t="s">
        <v>227</v>
      </c>
      <c r="V428" s="988" t="s">
        <v>45</v>
      </c>
      <c r="W428" s="1167" t="s">
        <v>146</v>
      </c>
      <c r="X428" s="1138"/>
      <c r="Y428" s="1180">
        <v>0.11404912631406053</v>
      </c>
      <c r="Z428" s="1139">
        <v>40224.346062570352</v>
      </c>
      <c r="AA428" s="1138"/>
      <c r="AB428" s="1138"/>
      <c r="AC428" s="1139"/>
      <c r="AD428" s="1169"/>
      <c r="AE428" s="1168"/>
      <c r="AF428" s="1139">
        <v>28895.01</v>
      </c>
      <c r="AG428" s="1140"/>
      <c r="AH428" s="1141">
        <v>-11329.336062570354</v>
      </c>
      <c r="AI428" s="1170">
        <v>-0.28165370407631196</v>
      </c>
      <c r="AJ428" s="1169"/>
      <c r="AK428" s="1138"/>
      <c r="AL428" s="1139">
        <v>36946.69</v>
      </c>
      <c r="AM428" s="1143"/>
      <c r="AN428" s="1141">
        <v>-8051.6800000000039</v>
      </c>
      <c r="AO428" s="1144">
        <v>-0.21792696449939097</v>
      </c>
      <c r="AP428" s="895"/>
      <c r="AQ428" s="895"/>
      <c r="AR428" s="895"/>
      <c r="AS428" s="895"/>
      <c r="AT428" s="895"/>
      <c r="AU428" s="895"/>
      <c r="AV428" s="895"/>
      <c r="AW428" s="895"/>
      <c r="AX428" s="895"/>
      <c r="AY428" s="895"/>
      <c r="AZ428" s="895"/>
      <c r="BA428" s="895"/>
      <c r="BB428" s="895"/>
      <c r="BC428" s="895"/>
      <c r="BD428" s="895"/>
      <c r="BE428" s="895"/>
      <c r="BF428" s="895"/>
      <c r="BG428" s="895"/>
      <c r="BH428" s="895"/>
      <c r="BI428" s="895"/>
    </row>
    <row r="429" spans="1:61" ht="15.75" customHeight="1">
      <c r="A429" s="883" t="s">
        <v>46</v>
      </c>
      <c r="B429" s="892"/>
      <c r="C429" s="1124" t="s">
        <v>227</v>
      </c>
      <c r="V429" s="986" t="s">
        <v>46</v>
      </c>
      <c r="W429" s="1162" t="s">
        <v>147</v>
      </c>
      <c r="X429" s="1155"/>
      <c r="Y429" s="1181">
        <v>0.13866766018802074</v>
      </c>
      <c r="Z429" s="1156">
        <v>48907.134419689057</v>
      </c>
      <c r="AA429" s="1155"/>
      <c r="AB429" s="1155"/>
      <c r="AC429" s="1156"/>
      <c r="AD429" s="1164"/>
      <c r="AE429" s="1163"/>
      <c r="AF429" s="1156">
        <v>34777.53</v>
      </c>
      <c r="AG429" s="1157"/>
      <c r="AH429" s="1158">
        <v>-14129.604419689058</v>
      </c>
      <c r="AI429" s="1159">
        <v>-0.28890681466712054</v>
      </c>
      <c r="AJ429" s="1164"/>
      <c r="AK429" s="1155"/>
      <c r="AL429" s="1156">
        <v>48248.18</v>
      </c>
      <c r="AM429" s="1160"/>
      <c r="AN429" s="1158">
        <v>-13470.650000000001</v>
      </c>
      <c r="AO429" s="1166">
        <v>-0.27919498725133263</v>
      </c>
      <c r="AP429" s="895"/>
      <c r="AQ429" s="895"/>
      <c r="AR429" s="895"/>
      <c r="AS429" s="895"/>
      <c r="AT429" s="895"/>
      <c r="AU429" s="895"/>
      <c r="AV429" s="895"/>
      <c r="AW429" s="895"/>
      <c r="AX429" s="895"/>
      <c r="AY429" s="895"/>
      <c r="AZ429" s="895"/>
      <c r="BA429" s="895"/>
      <c r="BB429" s="895"/>
      <c r="BC429" s="895"/>
      <c r="BD429" s="895"/>
      <c r="BE429" s="895"/>
      <c r="BF429" s="895"/>
      <c r="BG429" s="895"/>
      <c r="BH429" s="895"/>
      <c r="BI429" s="895"/>
    </row>
    <row r="430" spans="1:61" ht="15.75" customHeight="1">
      <c r="A430" s="883" t="s">
        <v>47</v>
      </c>
      <c r="B430" s="892"/>
      <c r="C430" s="1124" t="s">
        <v>227</v>
      </c>
      <c r="V430" s="986" t="s">
        <v>47</v>
      </c>
      <c r="W430" s="1162" t="s">
        <v>148</v>
      </c>
      <c r="X430" s="1155"/>
      <c r="Y430" s="1181">
        <v>7.1443990140349814E-2</v>
      </c>
      <c r="Z430" s="1156">
        <v>25197.806211883275</v>
      </c>
      <c r="AA430" s="1155"/>
      <c r="AB430" s="1155"/>
      <c r="AC430" s="1156"/>
      <c r="AD430" s="1164"/>
      <c r="AE430" s="1163"/>
      <c r="AF430" s="1156">
        <v>15778.96</v>
      </c>
      <c r="AG430" s="1157"/>
      <c r="AH430" s="1158">
        <v>-9418.8462118832758</v>
      </c>
      <c r="AI430" s="1159">
        <v>-0.37379627943330052</v>
      </c>
      <c r="AJ430" s="1164"/>
      <c r="AK430" s="1155"/>
      <c r="AL430" s="1156">
        <v>22800.6</v>
      </c>
      <c r="AM430" s="1160"/>
      <c r="AN430" s="1158">
        <v>-7021.6399999999994</v>
      </c>
      <c r="AO430" s="1166">
        <v>-0.30795856249396947</v>
      </c>
      <c r="AP430" s="895"/>
      <c r="AQ430" s="895"/>
      <c r="AR430" s="895"/>
      <c r="AS430" s="895"/>
      <c r="AT430" s="895"/>
      <c r="AU430" s="895"/>
      <c r="AV430" s="895"/>
      <c r="AW430" s="895"/>
      <c r="AX430" s="895"/>
      <c r="AY430" s="895"/>
      <c r="AZ430" s="895"/>
      <c r="BA430" s="895"/>
      <c r="BB430" s="895"/>
      <c r="BC430" s="895"/>
      <c r="BD430" s="895"/>
      <c r="BE430" s="895"/>
      <c r="BF430" s="895"/>
      <c r="BG430" s="895"/>
      <c r="BH430" s="895"/>
      <c r="BI430" s="895"/>
    </row>
    <row r="431" spans="1:61" ht="15.75" customHeight="1">
      <c r="A431" s="883" t="s">
        <v>48</v>
      </c>
      <c r="B431" s="892"/>
      <c r="C431" s="1124" t="s">
        <v>227</v>
      </c>
      <c r="V431" s="986" t="s">
        <v>48</v>
      </c>
      <c r="W431" s="1162"/>
      <c r="X431" s="1155"/>
      <c r="Y431" s="1155"/>
      <c r="Z431" s="1156">
        <v>10986.385268191019</v>
      </c>
      <c r="AA431" s="1155"/>
      <c r="AB431" s="1155"/>
      <c r="AC431" s="1156"/>
      <c r="AD431" s="1164"/>
      <c r="AE431" s="1163"/>
      <c r="AF431" s="1156">
        <v>7547.8899999999994</v>
      </c>
      <c r="AG431" s="1157"/>
      <c r="AH431" s="1158">
        <v>-3438.4952681910199</v>
      </c>
      <c r="AI431" s="1182">
        <v>-0.31297785251956589</v>
      </c>
      <c r="AJ431" s="1164"/>
      <c r="AK431" s="1155"/>
      <c r="AL431" s="1156">
        <v>7864.39</v>
      </c>
      <c r="AM431" s="1160"/>
      <c r="AN431" s="1158">
        <v>-316.50000000000091</v>
      </c>
      <c r="AO431" s="1166">
        <v>-4.0244697935885795E-2</v>
      </c>
      <c r="AP431" s="895"/>
      <c r="AQ431" s="895"/>
      <c r="AR431" s="895"/>
      <c r="AS431" s="895"/>
      <c r="AT431" s="895"/>
      <c r="AU431" s="895"/>
      <c r="AV431" s="895"/>
      <c r="AW431" s="895"/>
      <c r="AX431" s="895"/>
      <c r="AY431" s="895"/>
      <c r="AZ431" s="895"/>
      <c r="BA431" s="895"/>
      <c r="BB431" s="895"/>
      <c r="BC431" s="895"/>
      <c r="BD431" s="895"/>
      <c r="BE431" s="895"/>
      <c r="BF431" s="895"/>
      <c r="BG431" s="895"/>
      <c r="BH431" s="895"/>
      <c r="BI431" s="895"/>
    </row>
    <row r="432" spans="1:61" ht="15.75" hidden="1" customHeight="1">
      <c r="A432" s="883" t="s">
        <v>20</v>
      </c>
      <c r="B432" s="892"/>
      <c r="C432" s="1124" t="s">
        <v>227</v>
      </c>
      <c r="V432" s="918" t="s">
        <v>20</v>
      </c>
      <c r="W432" s="1162"/>
      <c r="X432" s="1155"/>
      <c r="Y432" s="1163"/>
      <c r="Z432" s="1156">
        <v>0</v>
      </c>
      <c r="AA432" s="1155"/>
      <c r="AB432" s="1155"/>
      <c r="AC432" s="1156"/>
      <c r="AD432" s="1164"/>
      <c r="AE432" s="1163"/>
      <c r="AF432" s="1156">
        <v>0</v>
      </c>
      <c r="AG432" s="1157"/>
      <c r="AH432" s="1158">
        <v>0</v>
      </c>
      <c r="AI432" s="1159">
        <v>0</v>
      </c>
      <c r="AJ432" s="1164"/>
      <c r="AK432" s="1155"/>
      <c r="AL432" s="1156">
        <v>0</v>
      </c>
      <c r="AM432" s="1160"/>
      <c r="AN432" s="1158"/>
      <c r="AO432" s="1144"/>
      <c r="AP432" s="895"/>
      <c r="AQ432" s="895"/>
      <c r="AR432" s="895"/>
      <c r="AS432" s="895"/>
      <c r="AT432" s="895"/>
      <c r="AU432" s="895"/>
      <c r="AV432" s="895"/>
      <c r="AW432" s="895"/>
      <c r="AX432" s="895"/>
      <c r="AY432" s="895"/>
      <c r="AZ432" s="895"/>
      <c r="BA432" s="895"/>
      <c r="BB432" s="895"/>
      <c r="BC432" s="895"/>
      <c r="BD432" s="895"/>
      <c r="BE432" s="895"/>
      <c r="BF432" s="895"/>
      <c r="BG432" s="895"/>
      <c r="BH432" s="895"/>
      <c r="BI432" s="895"/>
    </row>
    <row r="433" spans="1:62" ht="15.75" customHeight="1">
      <c r="A433" s="883" t="s">
        <v>49</v>
      </c>
      <c r="B433" s="892"/>
      <c r="C433" s="1124" t="s">
        <v>227</v>
      </c>
      <c r="V433" s="1172" t="s">
        <v>49</v>
      </c>
      <c r="W433" s="1173"/>
      <c r="X433" s="1174">
        <v>0.48099616359355135</v>
      </c>
      <c r="Y433" s="1173"/>
      <c r="Z433" s="1175">
        <v>303574.22284746188</v>
      </c>
      <c r="AA433" s="1174"/>
      <c r="AB433" s="1173"/>
      <c r="AC433" s="1175"/>
      <c r="AD433" s="1176">
        <v>0.34499055817671814</v>
      </c>
      <c r="AE433" s="1183"/>
      <c r="AF433" s="1175">
        <v>266811.82</v>
      </c>
      <c r="AG433" s="1177"/>
      <c r="AH433" s="1178">
        <v>-36762.402847461868</v>
      </c>
      <c r="AI433" s="1174">
        <v>-0.12109856529529524</v>
      </c>
      <c r="AJ433" s="1176">
        <v>0.48602724163550715</v>
      </c>
      <c r="AK433" s="1173"/>
      <c r="AL433" s="1175">
        <v>278269.93</v>
      </c>
      <c r="AM433" s="1184"/>
      <c r="AN433" s="1178">
        <v>-11458.109999999986</v>
      </c>
      <c r="AO433" s="1153">
        <v>-4.1176242075455248E-2</v>
      </c>
      <c r="AP433" s="895"/>
      <c r="AQ433" s="895"/>
      <c r="AR433" s="895"/>
      <c r="AS433" s="895"/>
      <c r="AT433" s="895"/>
      <c r="AU433" s="895"/>
      <c r="AV433" s="895"/>
      <c r="AW433" s="895"/>
      <c r="AX433" s="895"/>
      <c r="AY433" s="895"/>
      <c r="AZ433" s="895"/>
      <c r="BA433" s="895"/>
      <c r="BB433" s="895"/>
      <c r="BC433" s="895"/>
      <c r="BD433" s="895"/>
      <c r="BE433" s="895"/>
      <c r="BF433" s="895"/>
      <c r="BG433" s="895"/>
      <c r="BH433" s="895"/>
      <c r="BI433" s="895"/>
    </row>
    <row r="434" spans="1:62" ht="15.75" customHeight="1">
      <c r="A434" s="883" t="s">
        <v>50</v>
      </c>
      <c r="B434" s="892"/>
      <c r="C434" s="1124" t="s">
        <v>227</v>
      </c>
      <c r="V434" s="1091" t="s">
        <v>50</v>
      </c>
      <c r="W434" s="1185" t="s">
        <v>138</v>
      </c>
      <c r="X434" s="1186"/>
      <c r="Y434" s="1186"/>
      <c r="Z434" s="1187">
        <v>14848.680537501306</v>
      </c>
      <c r="AA434" s="1186"/>
      <c r="AB434" s="1186"/>
      <c r="AC434" s="1187"/>
      <c r="AD434" s="1188"/>
      <c r="AE434" s="1189"/>
      <c r="AF434" s="1187">
        <v>8161.31</v>
      </c>
      <c r="AG434" s="1188"/>
      <c r="AH434" s="1190">
        <v>-6687.370537501306</v>
      </c>
      <c r="AI434" s="1191">
        <v>-0.45036799873308053</v>
      </c>
      <c r="AJ434" s="1188"/>
      <c r="AK434" s="1186"/>
      <c r="AL434" s="1187">
        <v>12561.539999999999</v>
      </c>
      <c r="AM434" s="1192"/>
      <c r="AN434" s="1190">
        <v>-4400.2299999999987</v>
      </c>
      <c r="AO434" s="1161">
        <v>-0.35029383339940795</v>
      </c>
      <c r="AP434" s="895"/>
      <c r="AQ434" s="895"/>
      <c r="AR434" s="895"/>
      <c r="AS434" s="895"/>
      <c r="AT434" s="895"/>
      <c r="AU434" s="895"/>
      <c r="AV434" s="895"/>
      <c r="AW434" s="895"/>
      <c r="AX434" s="895"/>
      <c r="AY434" s="895"/>
      <c r="AZ434" s="895"/>
      <c r="BA434" s="895"/>
      <c r="BB434" s="895"/>
      <c r="BC434" s="895"/>
      <c r="BD434" s="895"/>
      <c r="BE434" s="895"/>
      <c r="BF434" s="895"/>
      <c r="BG434" s="895"/>
      <c r="BH434" s="895"/>
      <c r="BI434" s="895"/>
    </row>
    <row r="435" spans="1:62" ht="15.75" customHeight="1">
      <c r="A435" s="883" t="s">
        <v>51</v>
      </c>
      <c r="B435" s="892"/>
      <c r="C435" s="1124" t="s">
        <v>227</v>
      </c>
      <c r="V435" s="986" t="s">
        <v>51</v>
      </c>
      <c r="W435" s="1162" t="s">
        <v>149</v>
      </c>
      <c r="X435" s="1155"/>
      <c r="Y435" s="1155"/>
      <c r="Z435" s="1156">
        <v>4545.3811628057083</v>
      </c>
      <c r="AA435" s="1155"/>
      <c r="AB435" s="1155"/>
      <c r="AC435" s="1156"/>
      <c r="AD435" s="1164"/>
      <c r="AE435" s="1163"/>
      <c r="AF435" s="1156">
        <v>1672.6599999999999</v>
      </c>
      <c r="AG435" s="1157"/>
      <c r="AH435" s="1158">
        <v>-2872.7211628057084</v>
      </c>
      <c r="AI435" s="1159">
        <v>-0.6320088590837728</v>
      </c>
      <c r="AJ435" s="1164"/>
      <c r="AK435" s="1155"/>
      <c r="AL435" s="1156">
        <v>6673.85</v>
      </c>
      <c r="AM435" s="1160"/>
      <c r="AN435" s="1158">
        <v>-5001.1900000000005</v>
      </c>
      <c r="AO435" s="1166">
        <v>-0.74937105269072579</v>
      </c>
      <c r="AP435" s="895"/>
      <c r="AQ435" s="895"/>
      <c r="AR435" s="895"/>
      <c r="AS435" s="895"/>
      <c r="AT435" s="895"/>
      <c r="AU435" s="895"/>
      <c r="AV435" s="895"/>
      <c r="AW435" s="895"/>
      <c r="AX435" s="895"/>
      <c r="AY435" s="895"/>
      <c r="AZ435" s="895"/>
      <c r="BA435" s="895"/>
      <c r="BB435" s="895"/>
      <c r="BC435" s="895"/>
      <c r="BD435" s="895"/>
      <c r="BE435" s="895"/>
      <c r="BF435" s="895"/>
      <c r="BG435" s="895"/>
      <c r="BH435" s="895"/>
      <c r="BI435" s="895"/>
    </row>
    <row r="436" spans="1:62" ht="15.75" customHeight="1">
      <c r="A436" s="883" t="s">
        <v>52</v>
      </c>
      <c r="B436" s="892"/>
      <c r="C436" s="1124" t="s">
        <v>227</v>
      </c>
      <c r="U436" s="1193"/>
      <c r="V436" s="988" t="s">
        <v>52</v>
      </c>
      <c r="W436" s="1167" t="s">
        <v>150</v>
      </c>
      <c r="X436" s="1138"/>
      <c r="Y436" s="1138"/>
      <c r="Z436" s="1139">
        <v>22709.26466666667</v>
      </c>
      <c r="AA436" s="1138"/>
      <c r="AB436" s="1138"/>
      <c r="AC436" s="1139"/>
      <c r="AD436" s="1169"/>
      <c r="AE436" s="1168"/>
      <c r="AF436" s="1139">
        <v>27013.200000000001</v>
      </c>
      <c r="AG436" s="1140"/>
      <c r="AH436" s="1141">
        <v>4303.9353333333311</v>
      </c>
      <c r="AI436" s="1170">
        <v>0.18952332435716313</v>
      </c>
      <c r="AJ436" s="1169"/>
      <c r="AK436" s="1138"/>
      <c r="AL436" s="1139">
        <v>17512.330000000002</v>
      </c>
      <c r="AM436" s="1143"/>
      <c r="AN436" s="1141">
        <v>9500.869999999999</v>
      </c>
      <c r="AO436" s="1144">
        <v>0.5425246098034926</v>
      </c>
      <c r="AP436" s="895"/>
      <c r="AQ436" s="895"/>
      <c r="AR436" s="895"/>
      <c r="AS436" s="895"/>
      <c r="AT436" s="895"/>
      <c r="AU436" s="895"/>
      <c r="AV436" s="895"/>
      <c r="AW436" s="895"/>
      <c r="AX436" s="895"/>
      <c r="AY436" s="895"/>
      <c r="AZ436" s="895"/>
      <c r="BA436" s="895"/>
      <c r="BB436" s="895"/>
      <c r="BC436" s="895"/>
      <c r="BD436" s="895"/>
      <c r="BE436" s="895"/>
      <c r="BF436" s="895"/>
      <c r="BG436" s="895"/>
      <c r="BH436" s="895"/>
      <c r="BI436" s="895"/>
    </row>
    <row r="437" spans="1:62" ht="15.75" customHeight="1">
      <c r="A437" s="883" t="s">
        <v>53</v>
      </c>
      <c r="B437" s="892"/>
      <c r="C437" s="1124" t="s">
        <v>227</v>
      </c>
      <c r="U437" s="1193"/>
      <c r="V437" s="986" t="s">
        <v>53</v>
      </c>
      <c r="W437" s="1162" t="s">
        <v>151</v>
      </c>
      <c r="X437" s="1155"/>
      <c r="Y437" s="1155"/>
      <c r="Z437" s="1156">
        <v>22402.080143777777</v>
      </c>
      <c r="AA437" s="1155"/>
      <c r="AB437" s="1155"/>
      <c r="AC437" s="1156"/>
      <c r="AD437" s="1164"/>
      <c r="AE437" s="1163"/>
      <c r="AF437" s="1156">
        <v>27694.129999999997</v>
      </c>
      <c r="AG437" s="1157"/>
      <c r="AH437" s="1194">
        <v>5292.0498562222201</v>
      </c>
      <c r="AI437" s="1159">
        <v>0.23623028853827654</v>
      </c>
      <c r="AJ437" s="1164"/>
      <c r="AK437" s="1155"/>
      <c r="AL437" s="1156">
        <v>26753.58</v>
      </c>
      <c r="AM437" s="1160"/>
      <c r="AN437" s="1158">
        <v>940.54999999999563</v>
      </c>
      <c r="AO437" s="1166">
        <v>3.5156042667934366E-2</v>
      </c>
      <c r="AP437" s="895"/>
      <c r="AQ437" s="895"/>
      <c r="AR437" s="895"/>
      <c r="AS437" s="895"/>
      <c r="AT437" s="895"/>
      <c r="AU437" s="895"/>
      <c r="AV437" s="895"/>
      <c r="AW437" s="895"/>
      <c r="AX437" s="895"/>
      <c r="AY437" s="895"/>
      <c r="AZ437" s="895"/>
      <c r="BA437" s="895"/>
      <c r="BB437" s="895"/>
      <c r="BC437" s="895"/>
      <c r="BD437" s="895"/>
      <c r="BE437" s="895"/>
      <c r="BF437" s="895"/>
      <c r="BG437" s="895"/>
      <c r="BH437" s="895"/>
      <c r="BI437" s="895"/>
    </row>
    <row r="438" spans="1:62" ht="15.75" customHeight="1">
      <c r="A438" s="883" t="s">
        <v>54</v>
      </c>
      <c r="B438" s="892"/>
      <c r="C438" s="1124" t="s">
        <v>227</v>
      </c>
      <c r="U438" s="1193"/>
      <c r="V438" s="986" t="s">
        <v>54</v>
      </c>
      <c r="W438" s="1162" t="s">
        <v>152</v>
      </c>
      <c r="X438" s="1155"/>
      <c r="Y438" s="1155"/>
      <c r="Z438" s="1156">
        <v>3905.5576324861113</v>
      </c>
      <c r="AA438" s="1155"/>
      <c r="AB438" s="1155"/>
      <c r="AC438" s="1156"/>
      <c r="AD438" s="1164"/>
      <c r="AE438" s="1163"/>
      <c r="AF438" s="1156">
        <v>4770.67</v>
      </c>
      <c r="AG438" s="1157"/>
      <c r="AH438" s="1158">
        <v>865.11236751388878</v>
      </c>
      <c r="AI438" s="1159">
        <v>0.22150802751390847</v>
      </c>
      <c r="AJ438" s="1164"/>
      <c r="AK438" s="1155"/>
      <c r="AL438" s="1156">
        <v>6229.24</v>
      </c>
      <c r="AM438" s="1160"/>
      <c r="AN438" s="1158">
        <v>-1458.5699999999997</v>
      </c>
      <c r="AO438" s="1166">
        <v>-0.23414894914949491</v>
      </c>
      <c r="AP438" s="895"/>
      <c r="AQ438" s="895"/>
      <c r="AR438" s="895"/>
      <c r="AS438" s="895"/>
      <c r="AT438" s="895"/>
      <c r="AU438" s="895"/>
      <c r="AV438" s="895"/>
      <c r="AW438" s="895"/>
      <c r="AX438" s="895"/>
      <c r="AY438" s="895"/>
      <c r="AZ438" s="895"/>
      <c r="BA438" s="895"/>
      <c r="BB438" s="895"/>
      <c r="BC438" s="895"/>
      <c r="BD438" s="895"/>
      <c r="BE438" s="895"/>
      <c r="BF438" s="895"/>
      <c r="BG438" s="895"/>
      <c r="BH438" s="895"/>
      <c r="BI438" s="895"/>
    </row>
    <row r="439" spans="1:62" ht="15.75" customHeight="1">
      <c r="A439" s="883" t="s">
        <v>55</v>
      </c>
      <c r="B439" s="892"/>
      <c r="C439" s="1124" t="s">
        <v>227</v>
      </c>
      <c r="V439" s="986" t="s">
        <v>55</v>
      </c>
      <c r="W439" s="1162" t="s">
        <v>153</v>
      </c>
      <c r="X439" s="1155"/>
      <c r="Y439" s="1155"/>
      <c r="Z439" s="1156">
        <v>32918.054597609284</v>
      </c>
      <c r="AA439" s="1155"/>
      <c r="AB439" s="1155"/>
      <c r="AC439" s="1156"/>
      <c r="AD439" s="1164"/>
      <c r="AE439" s="1163"/>
      <c r="AF439" s="1156">
        <v>42095.72</v>
      </c>
      <c r="AG439" s="1157"/>
      <c r="AH439" s="1158">
        <v>9177.6654023907176</v>
      </c>
      <c r="AI439" s="1159">
        <v>0.27880339572245733</v>
      </c>
      <c r="AJ439" s="1164"/>
      <c r="AK439" s="1155"/>
      <c r="AL439" s="1156">
        <v>37356.060000000005</v>
      </c>
      <c r="AM439" s="1160"/>
      <c r="AN439" s="1158">
        <v>4739.6599999999962</v>
      </c>
      <c r="AO439" s="1166">
        <v>0.12687794162446456</v>
      </c>
      <c r="AP439" s="895"/>
      <c r="AQ439" s="895"/>
      <c r="AR439" s="895"/>
      <c r="AS439" s="895"/>
      <c r="AT439" s="895"/>
      <c r="AU439" s="895"/>
      <c r="AV439" s="895"/>
      <c r="AW439" s="895"/>
      <c r="AX439" s="895"/>
      <c r="AY439" s="895"/>
      <c r="AZ439" s="895"/>
      <c r="BA439" s="895"/>
      <c r="BB439" s="895"/>
      <c r="BC439" s="895"/>
      <c r="BD439" s="895"/>
      <c r="BE439" s="895"/>
      <c r="BF439" s="895"/>
      <c r="BG439" s="895"/>
      <c r="BH439" s="895"/>
      <c r="BI439" s="895"/>
    </row>
    <row r="440" spans="1:62" ht="15.75" customHeight="1">
      <c r="B440" s="892"/>
      <c r="C440" s="1124" t="s">
        <v>227</v>
      </c>
      <c r="V440" s="1091" t="s">
        <v>98</v>
      </c>
      <c r="W440" s="1185"/>
      <c r="X440" s="1186"/>
      <c r="Y440" s="1186"/>
      <c r="Z440" s="1187">
        <v>0</v>
      </c>
      <c r="AA440" s="1186"/>
      <c r="AB440" s="1186"/>
      <c r="AC440" s="1187"/>
      <c r="AD440" s="1188"/>
      <c r="AE440" s="1189"/>
      <c r="AF440" s="1187">
        <v>0</v>
      </c>
      <c r="AG440" s="1195"/>
      <c r="AH440" s="1190">
        <v>0</v>
      </c>
      <c r="AI440" s="1191">
        <v>0</v>
      </c>
      <c r="AJ440" s="1188"/>
      <c r="AK440" s="1186"/>
      <c r="AL440" s="1187">
        <v>0</v>
      </c>
      <c r="AM440" s="1192"/>
      <c r="AN440" s="1190">
        <v>0</v>
      </c>
      <c r="AO440" s="1161">
        <v>0</v>
      </c>
      <c r="AP440" s="895"/>
      <c r="AQ440" s="895"/>
      <c r="AR440" s="895"/>
      <c r="AS440" s="895"/>
      <c r="AT440" s="895"/>
      <c r="AU440" s="895"/>
      <c r="AV440" s="895"/>
      <c r="AW440" s="895"/>
      <c r="AX440" s="895"/>
      <c r="AY440" s="895"/>
      <c r="AZ440" s="895"/>
      <c r="BA440" s="895"/>
      <c r="BB440" s="895"/>
      <c r="BC440" s="895"/>
      <c r="BD440" s="895"/>
      <c r="BE440" s="895"/>
      <c r="BF440" s="895"/>
      <c r="BG440" s="895"/>
      <c r="BH440" s="895"/>
      <c r="BI440" s="895"/>
    </row>
    <row r="441" spans="1:62" ht="15.75" customHeight="1">
      <c r="A441" s="883" t="s">
        <v>56</v>
      </c>
      <c r="B441" s="892"/>
      <c r="C441" s="1124" t="s">
        <v>227</v>
      </c>
      <c r="V441" s="986" t="s">
        <v>56</v>
      </c>
      <c r="W441" s="1162" t="s">
        <v>154</v>
      </c>
      <c r="X441" s="1155"/>
      <c r="Y441" s="1163"/>
      <c r="Z441" s="1156">
        <v>5252.6901555555569</v>
      </c>
      <c r="AA441" s="1155"/>
      <c r="AB441" s="1163"/>
      <c r="AC441" s="1156"/>
      <c r="AD441" s="1164"/>
      <c r="AE441" s="1163"/>
      <c r="AF441" s="1156">
        <v>4524.0200000000004</v>
      </c>
      <c r="AG441" s="1157"/>
      <c r="AH441" s="1158">
        <v>-728.67015555555645</v>
      </c>
      <c r="AI441" s="1159">
        <v>-0.13872323209182091</v>
      </c>
      <c r="AJ441" s="1164"/>
      <c r="AK441" s="1155"/>
      <c r="AL441" s="1156">
        <v>4068.2599999999998</v>
      </c>
      <c r="AM441" s="1160"/>
      <c r="AN441" s="1158">
        <v>455.76000000000067</v>
      </c>
      <c r="AO441" s="1166">
        <v>0.11202823811654139</v>
      </c>
      <c r="AP441" s="895"/>
      <c r="AQ441" s="895"/>
      <c r="AR441" s="895"/>
      <c r="AS441" s="895"/>
      <c r="AT441" s="895"/>
      <c r="AU441" s="895"/>
      <c r="AV441" s="895"/>
      <c r="AW441" s="895"/>
      <c r="AX441" s="895"/>
      <c r="AY441" s="895"/>
      <c r="AZ441" s="895"/>
      <c r="BA441" s="895"/>
      <c r="BB441" s="895"/>
      <c r="BC441" s="895"/>
      <c r="BD441" s="895"/>
      <c r="BE441" s="895"/>
      <c r="BF441" s="895"/>
      <c r="BG441" s="895"/>
      <c r="BH441" s="895"/>
      <c r="BI441" s="895"/>
      <c r="BJ441" s="895"/>
    </row>
    <row r="442" spans="1:62" ht="15.75" customHeight="1">
      <c r="A442" s="883" t="s">
        <v>57</v>
      </c>
      <c r="B442" s="892"/>
      <c r="C442" s="1124" t="s">
        <v>227</v>
      </c>
      <c r="U442" s="895"/>
      <c r="V442" s="986" t="s">
        <v>57</v>
      </c>
      <c r="W442" s="1162" t="s">
        <v>155</v>
      </c>
      <c r="X442" s="1155"/>
      <c r="Y442" s="1155"/>
      <c r="Z442" s="1156">
        <v>1333.7987401197504</v>
      </c>
      <c r="AA442" s="1155"/>
      <c r="AB442" s="1155"/>
      <c r="AC442" s="1156"/>
      <c r="AD442" s="1164"/>
      <c r="AE442" s="1163"/>
      <c r="AF442" s="1156">
        <v>1000.92</v>
      </c>
      <c r="AG442" s="1157"/>
      <c r="AH442" s="1158">
        <v>-332.87874011975043</v>
      </c>
      <c r="AI442" s="1182">
        <v>-0.24957194073362529</v>
      </c>
      <c r="AJ442" s="1164"/>
      <c r="AK442" s="1155"/>
      <c r="AL442" s="1156">
        <v>798.78</v>
      </c>
      <c r="AM442" s="1160"/>
      <c r="AN442" s="1158">
        <v>202.14</v>
      </c>
      <c r="AO442" s="1166">
        <v>0.25306091789979718</v>
      </c>
      <c r="AP442" s="895"/>
      <c r="AQ442" s="895"/>
      <c r="AR442" s="895"/>
      <c r="AS442" s="895"/>
      <c r="AT442" s="895"/>
      <c r="AU442" s="895"/>
      <c r="AV442" s="895"/>
      <c r="AW442" s="895"/>
      <c r="AX442" s="895"/>
      <c r="AY442" s="895"/>
      <c r="AZ442" s="895"/>
      <c r="BA442" s="895"/>
      <c r="BB442" s="895"/>
      <c r="BC442" s="895"/>
      <c r="BD442" s="895"/>
      <c r="BE442" s="895"/>
      <c r="BF442" s="895"/>
      <c r="BG442" s="895"/>
      <c r="BH442" s="895"/>
      <c r="BI442" s="895"/>
      <c r="BJ442" s="895"/>
    </row>
    <row r="443" spans="1:62" ht="15.75" customHeight="1">
      <c r="A443" s="883" t="s">
        <v>58</v>
      </c>
      <c r="B443" s="892"/>
      <c r="C443" s="1124" t="s">
        <v>227</v>
      </c>
      <c r="T443" s="895"/>
      <c r="U443" s="895"/>
      <c r="V443" s="986" t="s">
        <v>58</v>
      </c>
      <c r="W443" s="1162" t="s">
        <v>156</v>
      </c>
      <c r="X443" s="1155"/>
      <c r="Y443" s="1155"/>
      <c r="Z443" s="1156">
        <v>2760.7503854659999</v>
      </c>
      <c r="AA443" s="1155"/>
      <c r="AB443" s="1155"/>
      <c r="AC443" s="1156"/>
      <c r="AD443" s="1164"/>
      <c r="AE443" s="1163"/>
      <c r="AF443" s="1156">
        <v>936.06</v>
      </c>
      <c r="AG443" s="1157"/>
      <c r="AH443" s="1158">
        <v>-1824.690385466</v>
      </c>
      <c r="AI443" s="1159">
        <v>-0.66094000930765129</v>
      </c>
      <c r="AJ443" s="1164"/>
      <c r="AK443" s="1155"/>
      <c r="AL443" s="1156">
        <v>2156.9700000000003</v>
      </c>
      <c r="AM443" s="1160"/>
      <c r="AN443" s="1158">
        <v>-1220.9100000000003</v>
      </c>
      <c r="AO443" s="1166">
        <v>-0.5660301255928456</v>
      </c>
      <c r="AP443" s="895"/>
      <c r="AQ443" s="895"/>
      <c r="AR443" s="895"/>
      <c r="AS443" s="895"/>
      <c r="AT443" s="895"/>
      <c r="AU443" s="895"/>
      <c r="AV443" s="895"/>
      <c r="AW443" s="895"/>
      <c r="AX443" s="895"/>
      <c r="AY443" s="895"/>
      <c r="AZ443" s="895"/>
      <c r="BA443" s="895"/>
      <c r="BB443" s="895"/>
      <c r="BC443" s="895"/>
      <c r="BD443" s="895"/>
      <c r="BE443" s="895"/>
      <c r="BF443" s="895"/>
      <c r="BG443" s="895"/>
      <c r="BH443" s="895"/>
      <c r="BI443" s="895"/>
      <c r="BJ443" s="895"/>
    </row>
    <row r="444" spans="1:62" ht="15.75" customHeight="1">
      <c r="A444" s="883" t="s">
        <v>59</v>
      </c>
      <c r="B444" s="892"/>
      <c r="C444" s="1124" t="s">
        <v>227</v>
      </c>
      <c r="T444" s="895"/>
      <c r="U444" s="895"/>
      <c r="V444" s="986" t="s">
        <v>59</v>
      </c>
      <c r="W444" s="1162" t="s">
        <v>157</v>
      </c>
      <c r="X444" s="1155"/>
      <c r="Y444" s="1155"/>
      <c r="Z444" s="1156">
        <v>734.68076036869445</v>
      </c>
      <c r="AA444" s="1155"/>
      <c r="AB444" s="1155"/>
      <c r="AC444" s="1156"/>
      <c r="AD444" s="1164"/>
      <c r="AE444" s="1163"/>
      <c r="AF444" s="1156">
        <v>772.14</v>
      </c>
      <c r="AG444" s="1157"/>
      <c r="AH444" s="1158">
        <v>37.459239631305536</v>
      </c>
      <c r="AI444" s="1182">
        <v>5.0987097596658003E-2</v>
      </c>
      <c r="AJ444" s="1164"/>
      <c r="AK444" s="1155"/>
      <c r="AL444" s="1156">
        <v>686.7299999999999</v>
      </c>
      <c r="AM444" s="1160"/>
      <c r="AN444" s="1158">
        <v>85.410000000000082</v>
      </c>
      <c r="AO444" s="1166">
        <v>0.12437202393953969</v>
      </c>
      <c r="AP444" s="895"/>
      <c r="AQ444" s="895"/>
      <c r="AR444" s="895"/>
      <c r="AS444" s="895"/>
      <c r="AT444" s="895"/>
      <c r="AU444" s="895"/>
      <c r="AV444" s="895"/>
      <c r="AW444" s="895"/>
      <c r="AX444" s="895"/>
      <c r="AY444" s="895"/>
      <c r="AZ444" s="895"/>
      <c r="BA444" s="895"/>
      <c r="BB444" s="895"/>
      <c r="BC444" s="895"/>
      <c r="BD444" s="895"/>
      <c r="BE444" s="895"/>
      <c r="BF444" s="895"/>
      <c r="BG444" s="895"/>
      <c r="BH444" s="895"/>
      <c r="BI444" s="895"/>
      <c r="BJ444" s="895"/>
    </row>
    <row r="445" spans="1:62" ht="15.75" customHeight="1">
      <c r="A445" s="883" t="s">
        <v>60</v>
      </c>
      <c r="B445" s="892"/>
      <c r="C445" s="1124" t="s">
        <v>227</v>
      </c>
      <c r="T445" s="895"/>
      <c r="U445" s="895"/>
      <c r="V445" s="986" t="s">
        <v>60</v>
      </c>
      <c r="W445" s="1162" t="s">
        <v>158</v>
      </c>
      <c r="X445" s="1155"/>
      <c r="Y445" s="1155"/>
      <c r="Z445" s="1156">
        <v>235.21156215130546</v>
      </c>
      <c r="AA445" s="1155"/>
      <c r="AB445" s="1155"/>
      <c r="AC445" s="1156"/>
      <c r="AD445" s="1164"/>
      <c r="AE445" s="1163"/>
      <c r="AF445" s="1156">
        <v>-2048.06</v>
      </c>
      <c r="AG445" s="1157"/>
      <c r="AH445" s="1158">
        <v>-2283.2715621513053</v>
      </c>
      <c r="AI445" s="1159">
        <v>-9.7073100542673849</v>
      </c>
      <c r="AJ445" s="1164"/>
      <c r="AK445" s="1155"/>
      <c r="AL445" s="1156">
        <v>-92.090000000000018</v>
      </c>
      <c r="AM445" s="1160"/>
      <c r="AN445" s="1158">
        <v>-1955.97</v>
      </c>
      <c r="AO445" s="1166">
        <v>21.239765446845475</v>
      </c>
      <c r="AP445" s="895"/>
      <c r="AQ445" s="895"/>
      <c r="AR445" s="895"/>
      <c r="AS445" s="895"/>
      <c r="AT445" s="895"/>
      <c r="AU445" s="895"/>
      <c r="AV445" s="895"/>
      <c r="AW445" s="895"/>
      <c r="AX445" s="895"/>
      <c r="AY445" s="895"/>
      <c r="AZ445" s="895"/>
      <c r="BA445" s="895"/>
      <c r="BB445" s="895"/>
      <c r="BC445" s="895"/>
      <c r="BD445" s="895"/>
      <c r="BE445" s="895"/>
      <c r="BF445" s="895"/>
      <c r="BG445" s="895"/>
      <c r="BH445" s="895"/>
      <c r="BI445" s="895"/>
      <c r="BJ445" s="895"/>
    </row>
    <row r="446" spans="1:62" ht="15.75" customHeight="1">
      <c r="A446" s="883" t="s">
        <v>61</v>
      </c>
      <c r="B446" s="892"/>
      <c r="C446" s="1124" t="s">
        <v>227</v>
      </c>
      <c r="T446" s="895"/>
      <c r="U446" s="895"/>
      <c r="V446" s="986" t="s">
        <v>61</v>
      </c>
      <c r="W446" s="1162" t="s">
        <v>159</v>
      </c>
      <c r="X446" s="1155"/>
      <c r="Y446" s="1163"/>
      <c r="Z446" s="1156">
        <v>720.38919864980562</v>
      </c>
      <c r="AA446" s="1155"/>
      <c r="AB446" s="1163"/>
      <c r="AC446" s="1156"/>
      <c r="AD446" s="1164"/>
      <c r="AE446" s="1163"/>
      <c r="AF446" s="1156">
        <v>421</v>
      </c>
      <c r="AG446" s="1157"/>
      <c r="AH446" s="1158">
        <v>-299.38919864980562</v>
      </c>
      <c r="AI446" s="1182">
        <v>-0.41559368076442271</v>
      </c>
      <c r="AJ446" s="1164"/>
      <c r="AK446" s="1155"/>
      <c r="AL446" s="1156">
        <v>475.02</v>
      </c>
      <c r="AM446" s="1160"/>
      <c r="AN446" s="1158">
        <v>-54.019999999999982</v>
      </c>
      <c r="AO446" s="1166">
        <v>-0.11372152751463092</v>
      </c>
      <c r="AP446" s="895"/>
      <c r="AQ446" s="895"/>
      <c r="AR446" s="895"/>
      <c r="AS446" s="895"/>
      <c r="AT446" s="895"/>
      <c r="AU446" s="895"/>
      <c r="AV446" s="895"/>
      <c r="AW446" s="895"/>
      <c r="AX446" s="895"/>
      <c r="AY446" s="895"/>
      <c r="AZ446" s="895"/>
      <c r="BA446" s="895"/>
      <c r="BB446" s="895"/>
      <c r="BC446" s="895"/>
      <c r="BD446" s="895"/>
      <c r="BE446" s="895"/>
      <c r="BF446" s="895"/>
      <c r="BG446" s="895"/>
      <c r="BH446" s="895"/>
      <c r="BI446" s="895"/>
      <c r="BJ446" s="895"/>
    </row>
    <row r="447" spans="1:62" ht="15.75" customHeight="1">
      <c r="A447" s="883" t="s">
        <v>62</v>
      </c>
      <c r="B447" s="892"/>
      <c r="C447" s="1124" t="s">
        <v>227</v>
      </c>
      <c r="T447" s="895"/>
      <c r="U447" s="895"/>
      <c r="V447" s="986" t="s">
        <v>62</v>
      </c>
      <c r="W447" s="1162" t="s">
        <v>160</v>
      </c>
      <c r="X447" s="1155"/>
      <c r="Y447" s="1163"/>
      <c r="Z447" s="1156">
        <v>5774.1370435507661</v>
      </c>
      <c r="AA447" s="1155"/>
      <c r="AB447" s="1163"/>
      <c r="AC447" s="1156"/>
      <c r="AD447" s="1164"/>
      <c r="AE447" s="1163"/>
      <c r="AF447" s="1156">
        <v>2606.9299999999998</v>
      </c>
      <c r="AG447" s="1157"/>
      <c r="AH447" s="1158">
        <v>-3167.2070435507662</v>
      </c>
      <c r="AI447" s="1159">
        <v>-0.54851608468286617</v>
      </c>
      <c r="AJ447" s="1164"/>
      <c r="AK447" s="1155"/>
      <c r="AL447" s="1156">
        <v>4612.0599999999995</v>
      </c>
      <c r="AM447" s="1160"/>
      <c r="AN447" s="1158">
        <v>-2005.1299999999997</v>
      </c>
      <c r="AO447" s="1166">
        <v>-0.4347580040155592</v>
      </c>
      <c r="AQ447" s="895"/>
      <c r="AR447" s="895"/>
      <c r="AS447" s="895"/>
      <c r="AT447" s="895"/>
      <c r="AU447" s="895"/>
      <c r="AV447" s="895"/>
      <c r="AW447" s="895"/>
      <c r="AX447" s="895"/>
      <c r="AY447" s="895"/>
      <c r="AZ447" s="895"/>
      <c r="BA447" s="895"/>
      <c r="BB447" s="895"/>
      <c r="BC447" s="895"/>
      <c r="BD447" s="895"/>
      <c r="BE447" s="895"/>
      <c r="BF447" s="895"/>
      <c r="BG447" s="895"/>
      <c r="BH447" s="895"/>
      <c r="BI447" s="895"/>
      <c r="BJ447" s="895"/>
    </row>
    <row r="448" spans="1:62" ht="15.75" customHeight="1">
      <c r="A448" s="883" t="s">
        <v>63</v>
      </c>
      <c r="B448" s="892"/>
      <c r="C448" s="1124" t="s">
        <v>227</v>
      </c>
      <c r="T448" s="895"/>
      <c r="U448" s="895"/>
      <c r="V448" s="986" t="s">
        <v>63</v>
      </c>
      <c r="W448" s="1162" t="s">
        <v>161</v>
      </c>
      <c r="X448" s="1155"/>
      <c r="Y448" s="1181">
        <v>1.3260438469126664E-3</v>
      </c>
      <c r="Z448" s="1156">
        <v>7148.9466578781667</v>
      </c>
      <c r="AA448" s="1155"/>
      <c r="AB448" s="1163"/>
      <c r="AC448" s="1156"/>
      <c r="AD448" s="1164"/>
      <c r="AE448" s="1163"/>
      <c r="AF448" s="1156">
        <v>8925.4599999999991</v>
      </c>
      <c r="AG448" s="1157"/>
      <c r="AH448" s="1158">
        <v>1776.5133421218325</v>
      </c>
      <c r="AI448" s="1159">
        <v>0.24850001365783139</v>
      </c>
      <c r="AJ448" s="1164"/>
      <c r="AK448" s="1155"/>
      <c r="AL448" s="1156">
        <v>7260.2300000000005</v>
      </c>
      <c r="AM448" s="1160"/>
      <c r="AN448" s="1158">
        <v>1665.2299999999987</v>
      </c>
      <c r="AO448" s="1166">
        <v>0.2293632570868965</v>
      </c>
      <c r="AQ448" s="895"/>
      <c r="AR448" s="895"/>
      <c r="AS448" s="895"/>
      <c r="AT448" s="895"/>
      <c r="AU448" s="895"/>
      <c r="AV448" s="895"/>
      <c r="AW448" s="895"/>
      <c r="AX448" s="895"/>
      <c r="AY448" s="895"/>
      <c r="AZ448" s="895"/>
      <c r="BA448" s="895"/>
      <c r="BB448" s="895"/>
      <c r="BC448" s="895"/>
      <c r="BD448" s="895"/>
      <c r="BE448" s="895"/>
      <c r="BF448" s="895"/>
      <c r="BG448" s="895"/>
      <c r="BH448" s="895"/>
      <c r="BI448" s="895"/>
      <c r="BJ448" s="895"/>
    </row>
    <row r="449" spans="1:62" ht="15.75" hidden="1" customHeight="1">
      <c r="A449" s="883" t="s">
        <v>20</v>
      </c>
      <c r="B449" s="892"/>
      <c r="C449" s="1124" t="s">
        <v>227</v>
      </c>
      <c r="T449" s="895"/>
      <c r="U449" s="895"/>
      <c r="V449" s="986" t="s">
        <v>20</v>
      </c>
      <c r="W449" s="1162"/>
      <c r="X449" s="1155"/>
      <c r="Y449" s="1163"/>
      <c r="Z449" s="1156">
        <v>0</v>
      </c>
      <c r="AA449" s="1155"/>
      <c r="AB449" s="1155"/>
      <c r="AC449" s="1156"/>
      <c r="AD449" s="1164"/>
      <c r="AE449" s="1163"/>
      <c r="AF449" s="1156">
        <v>0</v>
      </c>
      <c r="AG449" s="1157"/>
      <c r="AH449" s="1158">
        <v>0</v>
      </c>
      <c r="AI449" s="1159">
        <v>0</v>
      </c>
      <c r="AJ449" s="1164"/>
      <c r="AK449" s="1155"/>
      <c r="AL449" s="1156">
        <v>0</v>
      </c>
      <c r="AM449" s="1160"/>
      <c r="AN449" s="1158">
        <v>0</v>
      </c>
      <c r="AO449" s="1166">
        <v>0</v>
      </c>
      <c r="AP449" s="895"/>
      <c r="AQ449" s="895"/>
      <c r="AR449" s="895"/>
      <c r="AS449" s="895"/>
      <c r="AT449" s="895"/>
      <c r="AU449" s="895"/>
      <c r="AV449" s="895"/>
      <c r="AW449" s="895"/>
      <c r="AX449" s="895"/>
      <c r="AY449" s="895"/>
      <c r="AZ449" s="895"/>
      <c r="BA449" s="895"/>
      <c r="BB449" s="895"/>
      <c r="BC449" s="895"/>
      <c r="BD449" s="895"/>
      <c r="BE449" s="895"/>
      <c r="BF449" s="895"/>
      <c r="BG449" s="895"/>
      <c r="BH449" s="895"/>
      <c r="BI449" s="895"/>
      <c r="BJ449" s="895"/>
    </row>
    <row r="450" spans="1:62" ht="15.75" hidden="1" customHeight="1">
      <c r="A450" s="883" t="s">
        <v>20</v>
      </c>
      <c r="B450" s="892"/>
      <c r="C450" s="1124" t="s">
        <v>227</v>
      </c>
      <c r="T450" s="895"/>
      <c r="U450" s="895"/>
      <c r="V450" s="986" t="s">
        <v>20</v>
      </c>
      <c r="W450" s="1162"/>
      <c r="X450" s="1155"/>
      <c r="Y450" s="1163"/>
      <c r="Z450" s="1156">
        <v>0</v>
      </c>
      <c r="AA450" s="1155"/>
      <c r="AB450" s="1155"/>
      <c r="AC450" s="1156"/>
      <c r="AD450" s="1164"/>
      <c r="AE450" s="1163"/>
      <c r="AF450" s="1156">
        <v>0</v>
      </c>
      <c r="AG450" s="1157"/>
      <c r="AH450" s="1158">
        <v>0</v>
      </c>
      <c r="AI450" s="1159">
        <v>0</v>
      </c>
      <c r="AJ450" s="1164"/>
      <c r="AK450" s="1155"/>
      <c r="AL450" s="1156">
        <v>0</v>
      </c>
      <c r="AM450" s="1160"/>
      <c r="AN450" s="1158">
        <v>0</v>
      </c>
      <c r="AO450" s="1166">
        <v>0</v>
      </c>
      <c r="AP450" s="895"/>
      <c r="AQ450" s="895"/>
      <c r="AR450" s="895"/>
      <c r="AS450" s="895"/>
      <c r="AT450" s="895"/>
      <c r="AU450" s="895"/>
      <c r="AV450" s="895"/>
      <c r="AW450" s="895"/>
      <c r="AX450" s="895"/>
      <c r="AY450" s="895"/>
      <c r="AZ450" s="895"/>
      <c r="BA450" s="895"/>
      <c r="BB450" s="895"/>
      <c r="BC450" s="895"/>
      <c r="BD450" s="895"/>
      <c r="BE450" s="895"/>
      <c r="BF450" s="895"/>
      <c r="BG450" s="895"/>
      <c r="BH450" s="895"/>
      <c r="BI450" s="895"/>
      <c r="BJ450" s="895"/>
    </row>
    <row r="451" spans="1:62" ht="15.75" hidden="1" customHeight="1">
      <c r="A451" s="883" t="s">
        <v>20</v>
      </c>
      <c r="B451" s="892"/>
      <c r="C451" s="1124" t="s">
        <v>227</v>
      </c>
      <c r="T451" s="895"/>
      <c r="U451" s="895"/>
      <c r="V451" s="986" t="s">
        <v>20</v>
      </c>
      <c r="W451" s="1162"/>
      <c r="X451" s="1155"/>
      <c r="Y451" s="1163"/>
      <c r="Z451" s="1156">
        <v>0</v>
      </c>
      <c r="AA451" s="1155"/>
      <c r="AB451" s="1155"/>
      <c r="AC451" s="1156"/>
      <c r="AD451" s="1164"/>
      <c r="AE451" s="1163"/>
      <c r="AF451" s="1156">
        <v>0</v>
      </c>
      <c r="AG451" s="1157"/>
      <c r="AH451" s="1158">
        <v>0</v>
      </c>
      <c r="AI451" s="1159">
        <v>0</v>
      </c>
      <c r="AJ451" s="1164"/>
      <c r="AK451" s="1155"/>
      <c r="AL451" s="1156">
        <v>0</v>
      </c>
      <c r="AM451" s="1160"/>
      <c r="AN451" s="1158">
        <v>0</v>
      </c>
      <c r="AO451" s="1166">
        <v>0</v>
      </c>
      <c r="AP451" s="895"/>
      <c r="AQ451" s="895"/>
      <c r="AR451" s="895"/>
      <c r="AS451" s="895"/>
      <c r="AT451" s="895"/>
      <c r="AU451" s="895"/>
      <c r="AV451" s="895"/>
      <c r="AW451" s="895"/>
      <c r="AX451" s="895"/>
      <c r="AY451" s="895"/>
      <c r="AZ451" s="895"/>
      <c r="BA451" s="895"/>
      <c r="BB451" s="895"/>
      <c r="BC451" s="895"/>
      <c r="BD451" s="895"/>
      <c r="BE451" s="895"/>
      <c r="BF451" s="895"/>
      <c r="BG451" s="895"/>
      <c r="BH451" s="895"/>
      <c r="BI451" s="895"/>
      <c r="BJ451" s="895"/>
    </row>
    <row r="452" spans="1:62" ht="15.75" customHeight="1">
      <c r="A452" s="883" t="s">
        <v>64</v>
      </c>
      <c r="B452" s="892"/>
      <c r="C452" s="1124" t="s">
        <v>227</v>
      </c>
      <c r="T452" s="895"/>
      <c r="U452" s="895"/>
      <c r="V452" s="1172" t="s">
        <v>64</v>
      </c>
      <c r="W452" s="1196"/>
      <c r="X452" s="1174">
        <v>0.19851431242569215</v>
      </c>
      <c r="Y452" s="1173"/>
      <c r="Z452" s="1175">
        <v>125289.62324458691</v>
      </c>
      <c r="AA452" s="1174"/>
      <c r="AB452" s="1173"/>
      <c r="AC452" s="1175"/>
      <c r="AD452" s="1176">
        <v>0.16621156997420025</v>
      </c>
      <c r="AE452" s="1173"/>
      <c r="AF452" s="1175">
        <v>128546.16</v>
      </c>
      <c r="AG452" s="1197"/>
      <c r="AH452" s="1198">
        <v>3256.5367554130994</v>
      </c>
      <c r="AI452" s="1174">
        <v>2.5992070780321362E-2</v>
      </c>
      <c r="AJ452" s="1176">
        <v>0.22191044961102974</v>
      </c>
      <c r="AK452" s="1174"/>
      <c r="AL452" s="1175">
        <v>127052.56</v>
      </c>
      <c r="AM452" s="1184"/>
      <c r="AN452" s="1178">
        <v>1493.5999999999924</v>
      </c>
      <c r="AO452" s="1199">
        <v>1.1755764700845007E-2</v>
      </c>
      <c r="AP452" s="895"/>
      <c r="AQ452" s="895"/>
      <c r="AR452" s="895"/>
      <c r="AS452" s="895"/>
      <c r="AT452" s="895"/>
      <c r="AU452" s="895"/>
      <c r="AV452" s="895"/>
      <c r="AW452" s="895"/>
      <c r="AX452" s="895"/>
      <c r="AY452" s="895"/>
      <c r="AZ452" s="895"/>
      <c r="BA452" s="895"/>
      <c r="BB452" s="895"/>
      <c r="BC452" s="895"/>
      <c r="BD452" s="895"/>
      <c r="BE452" s="895"/>
      <c r="BF452" s="895"/>
      <c r="BG452" s="895"/>
      <c r="BH452" s="895"/>
      <c r="BI452" s="895"/>
      <c r="BJ452" s="895"/>
    </row>
    <row r="453" spans="1:62" ht="15.75" customHeight="1">
      <c r="A453" s="883" t="s">
        <v>162</v>
      </c>
      <c r="B453" s="892"/>
      <c r="C453" s="1124" t="s">
        <v>227</v>
      </c>
      <c r="D453" s="895"/>
      <c r="E453" s="895"/>
      <c r="F453" s="895"/>
      <c r="G453" s="895"/>
      <c r="H453" s="895"/>
      <c r="I453" s="895"/>
      <c r="J453" s="895"/>
      <c r="K453" s="895"/>
      <c r="L453" s="895"/>
      <c r="M453" s="895"/>
      <c r="N453" s="895"/>
      <c r="O453" s="895"/>
      <c r="P453" s="895"/>
      <c r="Q453" s="895"/>
      <c r="R453" s="895"/>
      <c r="S453" s="895"/>
      <c r="T453" s="895"/>
      <c r="U453" s="895"/>
      <c r="V453" s="986" t="s">
        <v>162</v>
      </c>
      <c r="W453" s="1162" t="s">
        <v>163</v>
      </c>
      <c r="X453" s="1155"/>
      <c r="Y453" s="1163"/>
      <c r="Z453" s="1156">
        <v>36000</v>
      </c>
      <c r="AA453" s="1155"/>
      <c r="AB453" s="1163"/>
      <c r="AC453" s="1156"/>
      <c r="AD453" s="1164"/>
      <c r="AE453" s="1163"/>
      <c r="AF453" s="1156">
        <v>36000</v>
      </c>
      <c r="AG453" s="1157"/>
      <c r="AH453" s="1158">
        <v>0</v>
      </c>
      <c r="AI453" s="1159">
        <v>0</v>
      </c>
      <c r="AJ453" s="1164"/>
      <c r="AK453" s="1155"/>
      <c r="AL453" s="1156">
        <v>36000</v>
      </c>
      <c r="AM453" s="1160"/>
      <c r="AN453" s="1158">
        <v>0</v>
      </c>
      <c r="AO453" s="1166">
        <v>0</v>
      </c>
      <c r="AP453" s="895"/>
      <c r="AQ453" s="895"/>
      <c r="AR453" s="895"/>
      <c r="AS453" s="895"/>
      <c r="AT453" s="895"/>
      <c r="AU453" s="895"/>
      <c r="AV453" s="895"/>
      <c r="AW453" s="895"/>
      <c r="AX453" s="895"/>
      <c r="AY453" s="895"/>
      <c r="AZ453" s="895"/>
      <c r="BA453" s="895"/>
      <c r="BB453" s="895"/>
      <c r="BC453" s="895"/>
      <c r="BD453" s="895"/>
      <c r="BE453" s="895"/>
      <c r="BF453" s="895"/>
      <c r="BG453" s="895"/>
      <c r="BH453" s="895"/>
      <c r="BI453" s="895"/>
      <c r="BJ453" s="895"/>
    </row>
    <row r="454" spans="1:62" ht="15.75" customHeight="1">
      <c r="A454" s="883" t="s">
        <v>164</v>
      </c>
      <c r="B454" s="892"/>
      <c r="C454" s="1124" t="s">
        <v>227</v>
      </c>
      <c r="D454" s="895"/>
      <c r="E454" s="895"/>
      <c r="F454" s="895"/>
      <c r="G454" s="895"/>
      <c r="H454" s="895"/>
      <c r="I454" s="895"/>
      <c r="J454" s="895"/>
      <c r="K454" s="895"/>
      <c r="L454" s="895"/>
      <c r="M454" s="895"/>
      <c r="N454" s="895"/>
      <c r="O454" s="895"/>
      <c r="P454" s="895"/>
      <c r="Q454" s="895"/>
      <c r="R454" s="895"/>
      <c r="S454" s="895"/>
      <c r="T454" s="895"/>
      <c r="U454" s="895"/>
      <c r="V454" s="986" t="s">
        <v>164</v>
      </c>
      <c r="W454" s="1162" t="s">
        <v>165</v>
      </c>
      <c r="X454" s="1155"/>
      <c r="Y454" s="1163"/>
      <c r="Z454" s="1156">
        <v>5423.4400000000005</v>
      </c>
      <c r="AA454" s="1155"/>
      <c r="AB454" s="1163"/>
      <c r="AC454" s="1156"/>
      <c r="AD454" s="1164"/>
      <c r="AE454" s="1163"/>
      <c r="AF454" s="1156">
        <v>5423</v>
      </c>
      <c r="AG454" s="1157"/>
      <c r="AH454" s="1158">
        <v>-0.44000000000050932</v>
      </c>
      <c r="AI454" s="1159">
        <v>-8.1129320136391167E-5</v>
      </c>
      <c r="AJ454" s="1164"/>
      <c r="AK454" s="1155"/>
      <c r="AL454" s="1156">
        <v>5177</v>
      </c>
      <c r="AM454" s="1160"/>
      <c r="AN454" s="1158">
        <v>246</v>
      </c>
      <c r="AO454" s="1166">
        <v>4.7517867490824803E-2</v>
      </c>
      <c r="AP454" s="895"/>
      <c r="AQ454" s="895"/>
      <c r="AR454" s="895"/>
      <c r="AS454" s="895"/>
      <c r="AT454" s="895"/>
      <c r="AU454" s="895"/>
      <c r="AV454" s="895"/>
      <c r="AW454" s="895"/>
      <c r="AX454" s="895"/>
      <c r="AY454" s="895"/>
      <c r="AZ454" s="895"/>
      <c r="BA454" s="895"/>
      <c r="BB454" s="895"/>
      <c r="BC454" s="895"/>
      <c r="BD454" s="895"/>
      <c r="BE454" s="895"/>
      <c r="BF454" s="895"/>
      <c r="BG454" s="895"/>
      <c r="BH454" s="895"/>
      <c r="BI454" s="895"/>
      <c r="BJ454" s="895"/>
    </row>
    <row r="455" spans="1:62" ht="15.75" customHeight="1">
      <c r="A455" s="883" t="s">
        <v>166</v>
      </c>
      <c r="B455" s="892"/>
      <c r="C455" s="1124" t="s">
        <v>227</v>
      </c>
      <c r="D455" s="895"/>
      <c r="E455" s="895"/>
      <c r="F455" s="895"/>
      <c r="G455" s="895"/>
      <c r="H455" s="895"/>
      <c r="I455" s="895"/>
      <c r="J455" s="895"/>
      <c r="K455" s="895"/>
      <c r="L455" s="895"/>
      <c r="M455" s="895"/>
      <c r="N455" s="895"/>
      <c r="O455" s="895"/>
      <c r="P455" s="895"/>
      <c r="Q455" s="895"/>
      <c r="R455" s="895"/>
      <c r="S455" s="895"/>
      <c r="T455" s="895"/>
      <c r="U455" s="895"/>
      <c r="V455" s="988" t="s">
        <v>166</v>
      </c>
      <c r="W455" s="1167" t="s">
        <v>167</v>
      </c>
      <c r="X455" s="1138"/>
      <c r="Y455" s="1168"/>
      <c r="Z455" s="1139">
        <v>3608.8800000000006</v>
      </c>
      <c r="AA455" s="1138"/>
      <c r="AB455" s="1168"/>
      <c r="AC455" s="1139"/>
      <c r="AD455" s="1169"/>
      <c r="AE455" s="1168"/>
      <c r="AF455" s="1139">
        <v>3609</v>
      </c>
      <c r="AG455" s="1140"/>
      <c r="AH455" s="1141">
        <v>0.11999999999943611</v>
      </c>
      <c r="AI455" s="1170">
        <v>3.3251313426724106E-5</v>
      </c>
      <c r="AJ455" s="1169"/>
      <c r="AK455" s="1138"/>
      <c r="AL455" s="1139">
        <v>3445</v>
      </c>
      <c r="AM455" s="1143"/>
      <c r="AN455" s="1141">
        <v>164</v>
      </c>
      <c r="AO455" s="1144">
        <v>4.7605224963715533E-2</v>
      </c>
      <c r="AP455" s="895"/>
      <c r="AQ455" s="895"/>
      <c r="AR455" s="895"/>
      <c r="AS455" s="895"/>
      <c r="AT455" s="895"/>
      <c r="AU455" s="895"/>
      <c r="AV455" s="895"/>
      <c r="AW455" s="895"/>
      <c r="AX455" s="895"/>
      <c r="AY455" s="895"/>
      <c r="AZ455" s="895"/>
      <c r="BA455" s="895"/>
      <c r="BB455" s="895"/>
      <c r="BC455" s="895"/>
      <c r="BD455" s="895"/>
      <c r="BE455" s="895"/>
      <c r="BF455" s="895"/>
      <c r="BG455" s="895"/>
      <c r="BH455" s="895"/>
      <c r="BI455" s="895"/>
      <c r="BJ455" s="895"/>
    </row>
    <row r="456" spans="1:62" ht="15.75" customHeight="1">
      <c r="A456" s="883" t="s">
        <v>168</v>
      </c>
      <c r="B456" s="892"/>
      <c r="C456" s="1124" t="s">
        <v>227</v>
      </c>
      <c r="D456" s="895"/>
      <c r="E456" s="895"/>
      <c r="F456" s="895"/>
      <c r="G456" s="895"/>
      <c r="H456" s="895"/>
      <c r="I456" s="895"/>
      <c r="J456" s="895"/>
      <c r="K456" s="895"/>
      <c r="L456" s="895"/>
      <c r="M456" s="895"/>
      <c r="N456" s="895"/>
      <c r="O456" s="895"/>
      <c r="P456" s="895"/>
      <c r="Q456" s="895"/>
      <c r="R456" s="895"/>
      <c r="S456" s="895"/>
      <c r="T456" s="895"/>
      <c r="U456" s="895"/>
      <c r="V456" s="986" t="s">
        <v>168</v>
      </c>
      <c r="W456" s="1162"/>
      <c r="X456" s="1155"/>
      <c r="Y456" s="1163"/>
      <c r="Z456" s="1156">
        <v>0</v>
      </c>
      <c r="AA456" s="1155"/>
      <c r="AB456" s="1163"/>
      <c r="AC456" s="1156"/>
      <c r="AD456" s="1164"/>
      <c r="AE456" s="1163"/>
      <c r="AF456" s="1156">
        <v>0</v>
      </c>
      <c r="AG456" s="1157"/>
      <c r="AH456" s="1158">
        <v>0</v>
      </c>
      <c r="AI456" s="1159">
        <v>0</v>
      </c>
      <c r="AJ456" s="1164"/>
      <c r="AK456" s="1155"/>
      <c r="AL456" s="1156">
        <v>0</v>
      </c>
      <c r="AM456" s="1160"/>
      <c r="AN456" s="1158">
        <v>0</v>
      </c>
      <c r="AO456" s="1166">
        <v>0</v>
      </c>
      <c r="AP456" s="895"/>
      <c r="AQ456" s="895"/>
      <c r="AR456" s="895"/>
      <c r="AS456" s="895"/>
      <c r="AT456" s="895"/>
      <c r="AU456" s="895"/>
      <c r="AV456" s="895"/>
      <c r="AW456" s="895"/>
      <c r="AX456" s="895"/>
      <c r="AY456" s="895"/>
      <c r="AZ456" s="895"/>
      <c r="BA456" s="895"/>
      <c r="BB456" s="895"/>
      <c r="BC456" s="895"/>
      <c r="BD456" s="895"/>
      <c r="BE456" s="895"/>
      <c r="BF456" s="895"/>
      <c r="BG456" s="895"/>
      <c r="BH456" s="895"/>
      <c r="BI456" s="895"/>
      <c r="BJ456" s="895"/>
    </row>
    <row r="457" spans="1:62" ht="15.75" customHeight="1">
      <c r="A457" s="883" t="s">
        <v>169</v>
      </c>
      <c r="B457" s="892"/>
      <c r="C457" s="1124" t="s">
        <v>227</v>
      </c>
      <c r="D457" s="895"/>
      <c r="E457" s="895"/>
      <c r="F457" s="895"/>
      <c r="G457" s="895"/>
      <c r="H457" s="895"/>
      <c r="I457" s="895"/>
      <c r="J457" s="895"/>
      <c r="K457" s="895"/>
      <c r="L457" s="895"/>
      <c r="M457" s="895"/>
      <c r="N457" s="895"/>
      <c r="O457" s="895"/>
      <c r="P457" s="895"/>
      <c r="Q457" s="895"/>
      <c r="R457" s="895"/>
      <c r="S457" s="895"/>
      <c r="T457" s="895"/>
      <c r="U457" s="895"/>
      <c r="V457" s="988" t="s">
        <v>169</v>
      </c>
      <c r="W457" s="1167" t="s">
        <v>170</v>
      </c>
      <c r="X457" s="1138"/>
      <c r="Y457" s="1168"/>
      <c r="Z457" s="1139">
        <v>4344.25</v>
      </c>
      <c r="AA457" s="1138"/>
      <c r="AB457" s="1168"/>
      <c r="AC457" s="1139"/>
      <c r="AD457" s="1169"/>
      <c r="AE457" s="1168"/>
      <c r="AF457" s="1139">
        <v>4344.25</v>
      </c>
      <c r="AG457" s="1140"/>
      <c r="AH457" s="1141">
        <v>0</v>
      </c>
      <c r="AI457" s="1170">
        <v>0</v>
      </c>
      <c r="AJ457" s="1169"/>
      <c r="AK457" s="1138"/>
      <c r="AL457" s="1139">
        <v>3893.08</v>
      </c>
      <c r="AM457" s="1143"/>
      <c r="AN457" s="1141">
        <v>451.17000000000007</v>
      </c>
      <c r="AO457" s="1144">
        <v>0.11589024628314858</v>
      </c>
      <c r="AP457" s="895"/>
      <c r="AQ457" s="895"/>
      <c r="AR457" s="895"/>
      <c r="AS457" s="895"/>
      <c r="AT457" s="895"/>
      <c r="AU457" s="895"/>
      <c r="AV457" s="895"/>
      <c r="AW457" s="895"/>
      <c r="AX457" s="895"/>
      <c r="AY457" s="895"/>
      <c r="AZ457" s="895"/>
      <c r="BA457" s="895"/>
      <c r="BB457" s="895"/>
      <c r="BC457" s="895"/>
      <c r="BD457" s="895"/>
      <c r="BE457" s="895"/>
      <c r="BF457" s="895"/>
      <c r="BG457" s="895"/>
      <c r="BH457" s="895"/>
      <c r="BI457" s="895"/>
      <c r="BJ457" s="895"/>
    </row>
    <row r="458" spans="1:62" ht="15.75" customHeight="1">
      <c r="A458" s="883" t="s">
        <v>171</v>
      </c>
      <c r="B458" s="892"/>
      <c r="C458" s="1124" t="s">
        <v>227</v>
      </c>
      <c r="D458" s="895"/>
      <c r="E458" s="895"/>
      <c r="F458" s="895"/>
      <c r="G458" s="895"/>
      <c r="H458" s="895"/>
      <c r="I458" s="895"/>
      <c r="J458" s="895"/>
      <c r="K458" s="895"/>
      <c r="L458" s="895"/>
      <c r="M458" s="895"/>
      <c r="N458" s="895"/>
      <c r="O458" s="895"/>
      <c r="P458" s="895"/>
      <c r="Q458" s="895"/>
      <c r="R458" s="895"/>
      <c r="S458" s="895"/>
      <c r="T458" s="895"/>
      <c r="U458" s="895"/>
      <c r="V458" s="986" t="s">
        <v>171</v>
      </c>
      <c r="W458" s="1162" t="s">
        <v>172</v>
      </c>
      <c r="X458" s="1200"/>
      <c r="Y458" s="1201"/>
      <c r="Z458" s="1156">
        <v>3700</v>
      </c>
      <c r="AA458" s="1200"/>
      <c r="AB458" s="1201"/>
      <c r="AC458" s="1156"/>
      <c r="AD458" s="1164"/>
      <c r="AE458" s="1163"/>
      <c r="AF458" s="1202">
        <v>5126.26</v>
      </c>
      <c r="AG458" s="1157"/>
      <c r="AH458" s="1158">
        <v>1426.2600000000002</v>
      </c>
      <c r="AI458" s="1159">
        <v>0.38547567567567576</v>
      </c>
      <c r="AJ458" s="1164"/>
      <c r="AK458" s="1155"/>
      <c r="AL458" s="1156">
        <v>3249.79</v>
      </c>
      <c r="AM458" s="1160"/>
      <c r="AN458" s="1158">
        <v>1876.4700000000003</v>
      </c>
      <c r="AO458" s="1166">
        <v>0.57741269435871245</v>
      </c>
      <c r="AP458" s="895"/>
      <c r="AQ458" s="895"/>
      <c r="AR458" s="895"/>
      <c r="AS458" s="895"/>
      <c r="AT458" s="895"/>
      <c r="AU458" s="895"/>
      <c r="AV458" s="895"/>
      <c r="AW458" s="895"/>
      <c r="AX458" s="895"/>
      <c r="AY458" s="895"/>
      <c r="AZ458" s="895"/>
      <c r="BA458" s="895"/>
      <c r="BB458" s="895"/>
      <c r="BC458" s="895"/>
      <c r="BD458" s="895"/>
      <c r="BE458" s="895"/>
      <c r="BF458" s="895"/>
      <c r="BG458" s="895"/>
      <c r="BH458" s="895"/>
      <c r="BI458" s="895"/>
      <c r="BJ458" s="895"/>
    </row>
    <row r="459" spans="1:62" ht="15.75" customHeight="1">
      <c r="A459" s="883" t="s">
        <v>173</v>
      </c>
      <c r="B459" s="892"/>
      <c r="C459" s="1124" t="s">
        <v>227</v>
      </c>
      <c r="D459" s="895"/>
      <c r="E459" s="895"/>
      <c r="F459" s="895"/>
      <c r="G459" s="895"/>
      <c r="H459" s="895"/>
      <c r="I459" s="895"/>
      <c r="J459" s="895"/>
      <c r="K459" s="895"/>
      <c r="L459" s="895"/>
      <c r="M459" s="895"/>
      <c r="N459" s="895"/>
      <c r="O459" s="895"/>
      <c r="P459" s="895"/>
      <c r="Q459" s="895"/>
      <c r="R459" s="895"/>
      <c r="S459" s="895"/>
      <c r="T459" s="895"/>
      <c r="U459" s="895"/>
      <c r="V459" s="986" t="s">
        <v>173</v>
      </c>
      <c r="W459" s="1162" t="s">
        <v>174</v>
      </c>
      <c r="X459" s="1155"/>
      <c r="Y459" s="1163"/>
      <c r="Z459" s="1156">
        <v>6784.05</v>
      </c>
      <c r="AA459" s="1155"/>
      <c r="AB459" s="1163"/>
      <c r="AC459" s="1156"/>
      <c r="AD459" s="1164"/>
      <c r="AE459" s="1163"/>
      <c r="AF459" s="1156">
        <v>6423.329999999999</v>
      </c>
      <c r="AG459" s="1157"/>
      <c r="AH459" s="1158">
        <v>-360.72000000000116</v>
      </c>
      <c r="AI459" s="1159">
        <v>-5.3171777920269038E-2</v>
      </c>
      <c r="AJ459" s="1164"/>
      <c r="AK459" s="1155"/>
      <c r="AL459" s="1156">
        <v>6866.77</v>
      </c>
      <c r="AM459" s="1160"/>
      <c r="AN459" s="1158">
        <v>-443.44000000000142</v>
      </c>
      <c r="AO459" s="1166">
        <v>-6.4577668976826277E-2</v>
      </c>
      <c r="AP459" s="895"/>
      <c r="AQ459" s="895"/>
      <c r="AR459" s="895"/>
      <c r="AS459" s="895"/>
      <c r="AT459" s="895"/>
      <c r="AU459" s="895"/>
      <c r="AV459" s="895"/>
      <c r="AW459" s="895"/>
      <c r="AX459" s="895"/>
      <c r="AY459" s="895"/>
      <c r="AZ459" s="895"/>
      <c r="BA459" s="895"/>
      <c r="BB459" s="895"/>
      <c r="BC459" s="895"/>
      <c r="BD459" s="895"/>
      <c r="BE459" s="895"/>
      <c r="BF459" s="895"/>
      <c r="BG459" s="895"/>
      <c r="BH459" s="895"/>
      <c r="BI459" s="895"/>
      <c r="BJ459" s="895"/>
    </row>
    <row r="460" spans="1:62" ht="15.75" customHeight="1">
      <c r="A460" s="883" t="s">
        <v>175</v>
      </c>
      <c r="B460" s="892"/>
      <c r="C460" s="1124" t="s">
        <v>227</v>
      </c>
      <c r="D460" s="895"/>
      <c r="E460" s="895"/>
      <c r="F460" s="895"/>
      <c r="G460" s="895"/>
      <c r="H460" s="895"/>
      <c r="I460" s="895"/>
      <c r="J460" s="895"/>
      <c r="K460" s="895"/>
      <c r="L460" s="895"/>
      <c r="M460" s="895"/>
      <c r="N460" s="895"/>
      <c r="O460" s="895"/>
      <c r="P460" s="895"/>
      <c r="Q460" s="895"/>
      <c r="R460" s="895"/>
      <c r="S460" s="895"/>
      <c r="T460" s="895"/>
      <c r="U460" s="895"/>
      <c r="V460" s="988" t="s">
        <v>175</v>
      </c>
      <c r="W460" s="1167" t="s">
        <v>176</v>
      </c>
      <c r="X460" s="1138"/>
      <c r="Y460" s="1168"/>
      <c r="Z460" s="1139">
        <v>1364.5623407645369</v>
      </c>
      <c r="AA460" s="1138"/>
      <c r="AB460" s="1168"/>
      <c r="AC460" s="1139"/>
      <c r="AD460" s="1169"/>
      <c r="AE460" s="1168"/>
      <c r="AF460" s="1139">
        <v>342.85</v>
      </c>
      <c r="AG460" s="1140"/>
      <c r="AH460" s="1141">
        <v>-1021.7123407645369</v>
      </c>
      <c r="AI460" s="1170">
        <v>-0.74874727979968436</v>
      </c>
      <c r="AJ460" s="1169"/>
      <c r="AK460" s="1138"/>
      <c r="AL460" s="1139">
        <v>369.7</v>
      </c>
      <c r="AM460" s="1143"/>
      <c r="AN460" s="1141">
        <v>-26.849999999999966</v>
      </c>
      <c r="AO460" s="1144">
        <v>-7.2626453881525471E-2</v>
      </c>
      <c r="AP460" s="895"/>
      <c r="AQ460" s="895"/>
      <c r="AR460" s="895"/>
      <c r="AS460" s="895"/>
      <c r="AT460" s="895"/>
      <c r="AU460" s="895"/>
      <c r="AV460" s="895"/>
      <c r="AW460" s="895"/>
      <c r="AX460" s="895"/>
      <c r="AY460" s="895"/>
      <c r="AZ460" s="895"/>
      <c r="BA460" s="895"/>
      <c r="BB460" s="895"/>
      <c r="BC460" s="895"/>
      <c r="BD460" s="895"/>
      <c r="BE460" s="895"/>
      <c r="BF460" s="895"/>
      <c r="BG460" s="895"/>
      <c r="BH460" s="895"/>
      <c r="BI460" s="895"/>
      <c r="BJ460" s="895"/>
    </row>
    <row r="461" spans="1:62" ht="15.75" customHeight="1">
      <c r="A461" s="883" t="s">
        <v>177</v>
      </c>
      <c r="B461" s="892"/>
      <c r="C461" s="1124" t="s">
        <v>227</v>
      </c>
      <c r="D461" s="895"/>
      <c r="E461" s="895"/>
      <c r="F461" s="895"/>
      <c r="G461" s="895"/>
      <c r="H461" s="895"/>
      <c r="I461" s="895"/>
      <c r="J461" s="895"/>
      <c r="K461" s="895"/>
      <c r="L461" s="895"/>
      <c r="M461" s="895"/>
      <c r="N461" s="895"/>
      <c r="O461" s="895"/>
      <c r="P461" s="895"/>
      <c r="Q461" s="895"/>
      <c r="R461" s="895"/>
      <c r="S461" s="895"/>
      <c r="T461" s="895"/>
      <c r="U461" s="1203"/>
      <c r="V461" s="986" t="s">
        <v>177</v>
      </c>
      <c r="W461" s="1162" t="s">
        <v>178</v>
      </c>
      <c r="X461" s="1155"/>
      <c r="Y461" s="1163"/>
      <c r="Z461" s="1156">
        <v>1000</v>
      </c>
      <c r="AA461" s="1155"/>
      <c r="AB461" s="1163"/>
      <c r="AC461" s="1156"/>
      <c r="AD461" s="1164"/>
      <c r="AE461" s="1163"/>
      <c r="AF461" s="1156">
        <v>907.04</v>
      </c>
      <c r="AG461" s="1157"/>
      <c r="AH461" s="1158">
        <v>-92.960000000000036</v>
      </c>
      <c r="AI461" s="1204">
        <v>-9.2960000000000043E-2</v>
      </c>
      <c r="AJ461" s="1155"/>
      <c r="AK461" s="1155"/>
      <c r="AL461" s="1156">
        <v>698.08</v>
      </c>
      <c r="AM461" s="1160"/>
      <c r="AN461" s="1158">
        <v>208.95999999999992</v>
      </c>
      <c r="AO461" s="1166">
        <v>0.29933531973412775</v>
      </c>
      <c r="AP461" s="895"/>
      <c r="AQ461" s="895"/>
      <c r="AR461" s="895"/>
      <c r="AS461" s="895"/>
      <c r="AT461" s="895"/>
      <c r="AU461" s="895"/>
      <c r="AV461" s="895"/>
      <c r="AW461" s="895"/>
      <c r="AX461" s="895"/>
      <c r="AY461" s="895"/>
      <c r="AZ461" s="895"/>
      <c r="BA461" s="895"/>
      <c r="BB461" s="895"/>
      <c r="BC461" s="895"/>
      <c r="BD461" s="895"/>
      <c r="BE461" s="895"/>
      <c r="BF461" s="895"/>
      <c r="BG461" s="895"/>
      <c r="BH461" s="895"/>
      <c r="BI461" s="895"/>
      <c r="BJ461" s="895"/>
    </row>
    <row r="462" spans="1:62" ht="15.75" customHeight="1">
      <c r="A462" s="883" t="s">
        <v>179</v>
      </c>
      <c r="B462" s="892"/>
      <c r="C462" s="1124" t="s">
        <v>227</v>
      </c>
      <c r="D462" s="895"/>
      <c r="E462" s="895"/>
      <c r="F462" s="895"/>
      <c r="G462" s="895"/>
      <c r="H462" s="895"/>
      <c r="I462" s="895"/>
      <c r="J462" s="895"/>
      <c r="K462" s="895"/>
      <c r="L462" s="895"/>
      <c r="M462" s="895"/>
      <c r="N462" s="895"/>
      <c r="O462" s="895"/>
      <c r="P462" s="895"/>
      <c r="Q462" s="895"/>
      <c r="R462" s="895"/>
      <c r="S462" s="895"/>
      <c r="T462" s="895"/>
      <c r="U462" s="1203"/>
      <c r="V462" s="986" t="s">
        <v>179</v>
      </c>
      <c r="W462" s="1162" t="s">
        <v>180</v>
      </c>
      <c r="X462" s="1155"/>
      <c r="Y462" s="1163"/>
      <c r="Z462" s="1156">
        <v>0</v>
      </c>
      <c r="AA462" s="1155"/>
      <c r="AB462" s="1163"/>
      <c r="AC462" s="1156"/>
      <c r="AD462" s="1164"/>
      <c r="AE462" s="1163"/>
      <c r="AF462" s="1156">
        <v>0</v>
      </c>
      <c r="AG462" s="1157"/>
      <c r="AH462" s="1158">
        <v>0</v>
      </c>
      <c r="AI462" s="1182">
        <v>0</v>
      </c>
      <c r="AJ462" s="1155"/>
      <c r="AK462" s="1155"/>
      <c r="AL462" s="1156">
        <v>0</v>
      </c>
      <c r="AM462" s="1160"/>
      <c r="AN462" s="1158">
        <v>0</v>
      </c>
      <c r="AO462" s="1166">
        <v>0</v>
      </c>
      <c r="AP462" s="895"/>
      <c r="AQ462" s="895"/>
      <c r="AR462" s="895"/>
      <c r="AS462" s="895"/>
      <c r="AT462" s="895"/>
      <c r="AU462" s="895"/>
      <c r="AV462" s="895"/>
      <c r="AW462" s="895"/>
      <c r="AX462" s="895"/>
      <c r="AY462" s="895"/>
      <c r="AZ462" s="895"/>
      <c r="BA462" s="895"/>
      <c r="BB462" s="895"/>
      <c r="BC462" s="895"/>
      <c r="BD462" s="895"/>
      <c r="BE462" s="895"/>
      <c r="BF462" s="895"/>
      <c r="BG462" s="895"/>
      <c r="BH462" s="895"/>
      <c r="BI462" s="895"/>
      <c r="BJ462" s="895"/>
    </row>
    <row r="463" spans="1:62" ht="15.75" hidden="1" customHeight="1">
      <c r="A463" s="883" t="s">
        <v>20</v>
      </c>
      <c r="B463" s="892"/>
      <c r="C463" s="1124" t="s">
        <v>227</v>
      </c>
      <c r="D463" s="895"/>
      <c r="E463" s="895"/>
      <c r="F463" s="895"/>
      <c r="G463" s="895"/>
      <c r="H463" s="895"/>
      <c r="I463" s="895"/>
      <c r="J463" s="895"/>
      <c r="K463" s="895"/>
      <c r="L463" s="895"/>
      <c r="M463" s="895"/>
      <c r="N463" s="895"/>
      <c r="O463" s="895"/>
      <c r="P463" s="895"/>
      <c r="Q463" s="895"/>
      <c r="R463" s="895"/>
      <c r="S463" s="895"/>
      <c r="T463" s="895"/>
      <c r="U463" s="1203"/>
      <c r="V463" s="986" t="s">
        <v>20</v>
      </c>
      <c r="W463" s="1162"/>
      <c r="X463" s="1155"/>
      <c r="Y463" s="1163"/>
      <c r="Z463" s="1156">
        <v>0</v>
      </c>
      <c r="AA463" s="1155"/>
      <c r="AB463" s="1155"/>
      <c r="AC463" s="1156"/>
      <c r="AD463" s="1164"/>
      <c r="AE463" s="1163"/>
      <c r="AF463" s="1156">
        <v>0</v>
      </c>
      <c r="AG463" s="1157"/>
      <c r="AH463" s="1158">
        <v>0</v>
      </c>
      <c r="AI463" s="1159">
        <v>0</v>
      </c>
      <c r="AJ463" s="1164"/>
      <c r="AK463" s="1155"/>
      <c r="AL463" s="1156">
        <v>0</v>
      </c>
      <c r="AM463" s="1160"/>
      <c r="AN463" s="1158">
        <v>0</v>
      </c>
      <c r="AO463" s="1166">
        <v>1</v>
      </c>
      <c r="AP463" s="895"/>
      <c r="AQ463" s="895"/>
      <c r="AR463" s="895"/>
      <c r="AS463" s="895"/>
      <c r="AT463" s="895"/>
      <c r="AU463" s="895"/>
      <c r="AV463" s="895"/>
      <c r="AW463" s="895"/>
      <c r="AX463" s="895"/>
      <c r="AY463" s="895"/>
      <c r="AZ463" s="895"/>
      <c r="BA463" s="895"/>
      <c r="BB463" s="895"/>
      <c r="BC463" s="895"/>
      <c r="BD463" s="895"/>
      <c r="BE463" s="895"/>
      <c r="BF463" s="895"/>
      <c r="BG463" s="895"/>
      <c r="BH463" s="895"/>
      <c r="BI463" s="895"/>
      <c r="BJ463" s="895"/>
    </row>
    <row r="464" spans="1:62" ht="15.75" hidden="1" customHeight="1">
      <c r="A464" s="883" t="s">
        <v>20</v>
      </c>
      <c r="B464" s="892"/>
      <c r="C464" s="1124" t="s">
        <v>227</v>
      </c>
      <c r="D464" s="895"/>
      <c r="E464" s="895"/>
      <c r="F464" s="895"/>
      <c r="G464" s="895"/>
      <c r="H464" s="895"/>
      <c r="I464" s="895"/>
      <c r="J464" s="895"/>
      <c r="K464" s="895"/>
      <c r="L464" s="895"/>
      <c r="M464" s="895"/>
      <c r="N464" s="895"/>
      <c r="O464" s="895"/>
      <c r="P464" s="895"/>
      <c r="Q464" s="895"/>
      <c r="R464" s="895"/>
      <c r="S464" s="895"/>
      <c r="T464" s="895"/>
      <c r="U464" s="1203"/>
      <c r="V464" s="986" t="s">
        <v>20</v>
      </c>
      <c r="W464" s="1162"/>
      <c r="X464" s="1155"/>
      <c r="Y464" s="1163"/>
      <c r="Z464" s="1156">
        <v>0</v>
      </c>
      <c r="AA464" s="1155"/>
      <c r="AB464" s="1155"/>
      <c r="AC464" s="1156"/>
      <c r="AD464" s="1164"/>
      <c r="AE464" s="1163"/>
      <c r="AF464" s="1156">
        <v>0</v>
      </c>
      <c r="AG464" s="1157"/>
      <c r="AH464" s="1158">
        <v>0</v>
      </c>
      <c r="AI464" s="1159">
        <v>0</v>
      </c>
      <c r="AJ464" s="1164"/>
      <c r="AK464" s="1155"/>
      <c r="AL464" s="1156">
        <v>0</v>
      </c>
      <c r="AM464" s="1160"/>
      <c r="AN464" s="1158">
        <v>0</v>
      </c>
      <c r="AO464" s="1166">
        <v>2</v>
      </c>
      <c r="AP464" s="895"/>
      <c r="AQ464" s="895"/>
      <c r="AR464" s="895"/>
      <c r="AS464" s="895"/>
      <c r="AT464" s="895"/>
      <c r="AU464" s="895"/>
      <c r="AV464" s="895"/>
      <c r="AW464" s="895"/>
      <c r="AX464" s="895"/>
      <c r="AY464" s="895"/>
      <c r="AZ464" s="895"/>
      <c r="BA464" s="895"/>
      <c r="BB464" s="895"/>
      <c r="BC464" s="895"/>
      <c r="BD464" s="895"/>
      <c r="BE464" s="895"/>
      <c r="BF464" s="895"/>
      <c r="BG464" s="895"/>
      <c r="BH464" s="895"/>
      <c r="BI464" s="895"/>
      <c r="BJ464" s="895"/>
    </row>
    <row r="465" spans="1:62" ht="15.75" hidden="1" customHeight="1">
      <c r="A465" s="883" t="s">
        <v>20</v>
      </c>
      <c r="B465" s="892"/>
      <c r="C465" s="1124" t="s">
        <v>227</v>
      </c>
      <c r="D465" s="895"/>
      <c r="E465" s="895"/>
      <c r="F465" s="895"/>
      <c r="G465" s="895"/>
      <c r="H465" s="895"/>
      <c r="I465" s="895"/>
      <c r="J465" s="895"/>
      <c r="K465" s="895"/>
      <c r="L465" s="895"/>
      <c r="M465" s="895"/>
      <c r="N465" s="895"/>
      <c r="O465" s="895"/>
      <c r="P465" s="895"/>
      <c r="Q465" s="895"/>
      <c r="R465" s="895"/>
      <c r="S465" s="895"/>
      <c r="T465" s="895"/>
      <c r="U465" s="895"/>
      <c r="V465" s="986" t="s">
        <v>20</v>
      </c>
      <c r="W465" s="1162"/>
      <c r="X465" s="1155"/>
      <c r="Y465" s="1163"/>
      <c r="Z465" s="1156">
        <v>0</v>
      </c>
      <c r="AA465" s="1155"/>
      <c r="AB465" s="1155"/>
      <c r="AC465" s="1156"/>
      <c r="AD465" s="1164"/>
      <c r="AE465" s="1163"/>
      <c r="AF465" s="1156">
        <v>0</v>
      </c>
      <c r="AG465" s="1157"/>
      <c r="AH465" s="1158">
        <v>0</v>
      </c>
      <c r="AI465" s="1159">
        <v>0</v>
      </c>
      <c r="AJ465" s="1164"/>
      <c r="AK465" s="1155"/>
      <c r="AL465" s="1156">
        <v>0</v>
      </c>
      <c r="AM465" s="1160"/>
      <c r="AN465" s="1158">
        <v>0</v>
      </c>
      <c r="AO465" s="1166">
        <v>3</v>
      </c>
      <c r="AP465" s="895"/>
      <c r="AQ465" s="895"/>
      <c r="AR465" s="895"/>
      <c r="AS465" s="895"/>
      <c r="AT465" s="895"/>
      <c r="AU465" s="895"/>
      <c r="AV465" s="895"/>
      <c r="AW465" s="895"/>
      <c r="AX465" s="895"/>
      <c r="AY465" s="895"/>
      <c r="AZ465" s="895"/>
      <c r="BA465" s="895"/>
      <c r="BB465" s="895"/>
      <c r="BC465" s="895"/>
      <c r="BD465" s="895"/>
      <c r="BE465" s="895"/>
      <c r="BF465" s="895"/>
      <c r="BG465" s="895"/>
      <c r="BH465" s="895"/>
      <c r="BI465" s="895"/>
      <c r="BJ465" s="895"/>
    </row>
    <row r="466" spans="1:62" ht="15.75" customHeight="1">
      <c r="A466" s="883" t="s">
        <v>181</v>
      </c>
      <c r="B466" s="892"/>
      <c r="C466" s="1124" t="s">
        <v>227</v>
      </c>
      <c r="D466" s="895"/>
      <c r="E466" s="895"/>
      <c r="F466" s="895"/>
      <c r="G466" s="895"/>
      <c r="H466" s="895"/>
      <c r="I466" s="895"/>
      <c r="J466" s="895"/>
      <c r="K466" s="895"/>
      <c r="L466" s="895"/>
      <c r="M466" s="895"/>
      <c r="N466" s="895"/>
      <c r="O466" s="895"/>
      <c r="P466" s="895"/>
      <c r="Q466" s="895"/>
      <c r="R466" s="895"/>
      <c r="S466" s="895"/>
      <c r="T466" s="895"/>
      <c r="U466" s="895"/>
      <c r="V466" s="1172" t="s">
        <v>181</v>
      </c>
      <c r="W466" s="1173"/>
      <c r="X466" s="1174">
        <v>9.8592277381390273E-2</v>
      </c>
      <c r="Y466" s="1173"/>
      <c r="Z466" s="1175">
        <v>62225.182340764542</v>
      </c>
      <c r="AA466" s="1174"/>
      <c r="AB466" s="1173"/>
      <c r="AC466" s="1175"/>
      <c r="AD466" s="1176">
        <v>8.0393888838001706E-2</v>
      </c>
      <c r="AE466" s="1173"/>
      <c r="AF466" s="1175">
        <v>62175.73</v>
      </c>
      <c r="AG466" s="1197"/>
      <c r="AH466" s="1198">
        <v>-49.452340764538917</v>
      </c>
      <c r="AI466" s="1174">
        <v>-7.9473195423875888E-4</v>
      </c>
      <c r="AJ466" s="1176">
        <v>0.10427121762613599</v>
      </c>
      <c r="AK466" s="1174"/>
      <c r="AL466" s="1175">
        <v>59699.42</v>
      </c>
      <c r="AM466" s="1184"/>
      <c r="AN466" s="1178">
        <v>2476.309999999999</v>
      </c>
      <c r="AO466" s="1199">
        <v>4.1479632465441021E-2</v>
      </c>
      <c r="AP466" s="895"/>
      <c r="AQ466" s="895"/>
      <c r="AR466" s="895"/>
      <c r="AS466" s="895"/>
      <c r="AT466" s="895"/>
      <c r="AU466" s="895"/>
      <c r="AV466" s="895"/>
      <c r="AW466" s="895"/>
      <c r="AX466" s="895"/>
      <c r="AY466" s="895"/>
      <c r="AZ466" s="895"/>
      <c r="BA466" s="895"/>
      <c r="BB466" s="895"/>
      <c r="BC466" s="895"/>
      <c r="BD466" s="895"/>
      <c r="BE466" s="895"/>
      <c r="BF466" s="895"/>
      <c r="BG466" s="895"/>
      <c r="BH466" s="895"/>
      <c r="BI466" s="895"/>
      <c r="BJ466" s="895"/>
    </row>
    <row r="467" spans="1:62" ht="15.75" customHeight="1">
      <c r="A467" s="883" t="s">
        <v>469</v>
      </c>
      <c r="B467" s="892"/>
      <c r="C467" s="1124" t="s">
        <v>227</v>
      </c>
      <c r="D467" s="895"/>
      <c r="E467" s="895"/>
      <c r="F467" s="895"/>
      <c r="G467" s="895"/>
      <c r="H467" s="895"/>
      <c r="I467" s="895"/>
      <c r="J467" s="895"/>
      <c r="K467" s="895"/>
      <c r="L467" s="895"/>
      <c r="M467" s="895"/>
      <c r="N467" s="895"/>
      <c r="O467" s="895"/>
      <c r="P467" s="895"/>
      <c r="Q467" s="895"/>
      <c r="R467" s="895"/>
      <c r="S467" s="895"/>
      <c r="T467" s="895"/>
      <c r="U467" s="895"/>
      <c r="V467" s="986"/>
      <c r="W467" s="1155"/>
      <c r="X467" s="1155"/>
      <c r="Y467" s="1155"/>
      <c r="Z467" s="1205"/>
      <c r="AA467" s="1155"/>
      <c r="AB467" s="1155"/>
      <c r="AC467" s="1205"/>
      <c r="AD467" s="1164"/>
      <c r="AE467" s="1155"/>
      <c r="AF467" s="1205"/>
      <c r="AG467" s="1164"/>
      <c r="AH467" s="1158">
        <v>0</v>
      </c>
      <c r="AI467" s="1159"/>
      <c r="AJ467" s="1164"/>
      <c r="AK467" s="1155"/>
      <c r="AL467" s="1205"/>
      <c r="AM467" s="1206"/>
      <c r="AN467" s="1158">
        <v>0</v>
      </c>
      <c r="AO467" s="1207">
        <v>0</v>
      </c>
      <c r="AP467" s="895"/>
      <c r="AQ467" s="895"/>
      <c r="AR467" s="895"/>
      <c r="AS467" s="895"/>
      <c r="AT467" s="895"/>
      <c r="AU467" s="895"/>
      <c r="AV467" s="895"/>
      <c r="AW467" s="895"/>
      <c r="AX467" s="895"/>
      <c r="AY467" s="895"/>
      <c r="AZ467" s="895"/>
      <c r="BA467" s="895"/>
      <c r="BB467" s="895"/>
      <c r="BC467" s="895"/>
      <c r="BD467" s="895"/>
      <c r="BE467" s="895"/>
      <c r="BF467" s="895"/>
      <c r="BG467" s="895"/>
      <c r="BH467" s="895"/>
      <c r="BI467" s="895"/>
      <c r="BJ467" s="895"/>
    </row>
    <row r="468" spans="1:62" ht="15.75" customHeight="1">
      <c r="A468" s="883" t="s">
        <v>65</v>
      </c>
      <c r="B468" s="892"/>
      <c r="C468" s="1124" t="s">
        <v>227</v>
      </c>
      <c r="D468" s="895"/>
      <c r="E468" s="895"/>
      <c r="F468" s="895"/>
      <c r="G468" s="895"/>
      <c r="H468" s="895"/>
      <c r="I468" s="895"/>
      <c r="J468" s="895"/>
      <c r="K468" s="895"/>
      <c r="L468" s="895"/>
      <c r="M468" s="895"/>
      <c r="N468" s="895"/>
      <c r="O468" s="895"/>
      <c r="P468" s="895"/>
      <c r="Q468" s="895"/>
      <c r="R468" s="895"/>
      <c r="S468" s="895"/>
      <c r="T468" s="895"/>
      <c r="U468" s="895"/>
      <c r="V468" s="1172" t="s">
        <v>65</v>
      </c>
      <c r="W468" s="1173"/>
      <c r="X468" s="1174">
        <v>1.0581202021702536</v>
      </c>
      <c r="Y468" s="1173"/>
      <c r="Z468" s="1175">
        <v>667818.25379478035</v>
      </c>
      <c r="AA468" s="1174"/>
      <c r="AB468" s="1173"/>
      <c r="AC468" s="1175"/>
      <c r="AD468" s="1176">
        <v>0.77197174419757519</v>
      </c>
      <c r="AE468" s="1173"/>
      <c r="AF468" s="1175">
        <v>597034.27</v>
      </c>
      <c r="AG468" s="1197"/>
      <c r="AH468" s="1198">
        <v>-70783.983794780332</v>
      </c>
      <c r="AI468" s="1174">
        <v>-0.10599288562802921</v>
      </c>
      <c r="AJ468" s="1176">
        <v>1.0921087090228037</v>
      </c>
      <c r="AK468" s="1174"/>
      <c r="AL468" s="1175">
        <v>625275.67999999982</v>
      </c>
      <c r="AM468" s="1184"/>
      <c r="AN468" s="1178">
        <v>-28241.4099999998</v>
      </c>
      <c r="AO468" s="1153">
        <v>-4.5166333672212886E-2</v>
      </c>
      <c r="AP468" s="895"/>
      <c r="AQ468" s="895"/>
      <c r="AR468" s="895"/>
      <c r="AS468" s="895"/>
      <c r="AT468" s="895"/>
      <c r="AU468" s="895"/>
      <c r="AV468" s="895"/>
      <c r="AW468" s="895"/>
      <c r="AX468" s="895"/>
      <c r="AY468" s="895"/>
      <c r="AZ468" s="895"/>
      <c r="BA468" s="895"/>
      <c r="BB468" s="895"/>
      <c r="BC468" s="895"/>
      <c r="BD468" s="895"/>
      <c r="BE468" s="895"/>
      <c r="BF468" s="895"/>
      <c r="BG468" s="895"/>
      <c r="BH468" s="895"/>
      <c r="BI468" s="895"/>
      <c r="BJ468" s="895"/>
    </row>
    <row r="469" spans="1:62" ht="15.75" customHeight="1">
      <c r="A469" s="883" t="s">
        <v>182</v>
      </c>
      <c r="B469" s="892"/>
      <c r="C469" s="1124" t="s">
        <v>227</v>
      </c>
      <c r="D469" s="895"/>
      <c r="E469" s="895"/>
      <c r="F469" s="895"/>
      <c r="G469" s="895"/>
      <c r="H469" s="895"/>
      <c r="I469" s="895"/>
      <c r="J469" s="895"/>
      <c r="K469" s="895"/>
      <c r="L469" s="895"/>
      <c r="M469" s="895"/>
      <c r="N469" s="895"/>
      <c r="O469" s="895"/>
      <c r="P469" s="895"/>
      <c r="Q469" s="895"/>
      <c r="R469" s="895"/>
      <c r="S469" s="895"/>
      <c r="T469" s="895"/>
      <c r="U469" s="895"/>
      <c r="V469" s="986" t="s">
        <v>182</v>
      </c>
      <c r="W469" s="1201"/>
      <c r="X469" s="1201"/>
      <c r="Y469" s="1155"/>
      <c r="Z469" s="1187">
        <v>30000</v>
      </c>
      <c r="AA469" s="1208"/>
      <c r="AB469" s="1209"/>
      <c r="AC469" s="1187"/>
      <c r="AD469" s="1210"/>
      <c r="AE469" s="1209"/>
      <c r="AF469" s="1156">
        <v>1981.43</v>
      </c>
      <c r="AG469" s="1211"/>
      <c r="AH469" s="1158">
        <v>-28018.57</v>
      </c>
      <c r="AI469" s="1204">
        <v>-0.93395233333333327</v>
      </c>
      <c r="AJ469" s="1210"/>
      <c r="AK469" s="1208"/>
      <c r="AL469" s="1212">
        <v>15409.31</v>
      </c>
      <c r="AM469" s="1213"/>
      <c r="AN469" s="1158">
        <v>-13427.88</v>
      </c>
      <c r="AO469" s="1166">
        <v>-0.87141345069960952</v>
      </c>
      <c r="AP469" s="895"/>
      <c r="AQ469" s="895"/>
      <c r="AR469" s="895"/>
      <c r="AS469" s="895"/>
      <c r="AT469" s="895"/>
      <c r="AU469" s="895"/>
      <c r="AV469" s="895"/>
      <c r="AW469" s="895"/>
      <c r="AX469" s="895"/>
      <c r="AY469" s="895"/>
      <c r="AZ469" s="895"/>
      <c r="BA469" s="895"/>
      <c r="BB469" s="895"/>
      <c r="BC469" s="895"/>
      <c r="BD469" s="895"/>
      <c r="BE469" s="895"/>
      <c r="BF469" s="895"/>
      <c r="BG469" s="895"/>
      <c r="BH469" s="895"/>
      <c r="BI469" s="895"/>
      <c r="BJ469" s="895"/>
    </row>
    <row r="470" spans="1:62" ht="15.75" customHeight="1">
      <c r="A470" s="883" t="s">
        <v>69</v>
      </c>
      <c r="B470" s="892"/>
      <c r="C470" s="1124" t="s">
        <v>227</v>
      </c>
      <c r="D470" s="895"/>
      <c r="E470" s="895"/>
      <c r="F470" s="895"/>
      <c r="G470" s="895"/>
      <c r="H470" s="895"/>
      <c r="I470" s="895"/>
      <c r="J470" s="895"/>
      <c r="K470" s="895"/>
      <c r="L470" s="895"/>
      <c r="M470" s="895"/>
      <c r="N470" s="895"/>
      <c r="O470" s="895"/>
      <c r="P470" s="895"/>
      <c r="Q470" s="895"/>
      <c r="R470" s="895"/>
      <c r="S470" s="895"/>
      <c r="T470" s="895"/>
      <c r="U470" s="895"/>
      <c r="V470" s="986" t="s">
        <v>69</v>
      </c>
      <c r="W470" s="1155"/>
      <c r="X470" s="1155"/>
      <c r="Y470" s="1155"/>
      <c r="Z470" s="1156">
        <v>90465.808832923241</v>
      </c>
      <c r="AA470" s="1200"/>
      <c r="AB470" s="1158"/>
      <c r="AC470" s="1156"/>
      <c r="AD470" s="1214"/>
      <c r="AE470" s="1215"/>
      <c r="AF470" s="1156">
        <v>77496</v>
      </c>
      <c r="AG470" s="1216"/>
      <c r="AH470" s="1158">
        <v>-12969.808832923241</v>
      </c>
      <c r="AI470" s="1182">
        <v>-0.1433669692477578</v>
      </c>
      <c r="AJ470" s="1217"/>
      <c r="AK470" s="1200"/>
      <c r="AL470" s="1218">
        <v>52835</v>
      </c>
      <c r="AM470" s="1214"/>
      <c r="AN470" s="1158">
        <v>24661</v>
      </c>
      <c r="AO470" s="1166">
        <v>0.46675499195608972</v>
      </c>
      <c r="AP470" s="895"/>
      <c r="AQ470" s="895"/>
      <c r="AR470" s="895"/>
      <c r="AS470" s="895"/>
      <c r="AT470" s="895"/>
      <c r="AU470" s="895"/>
      <c r="AV470" s="895"/>
      <c r="AW470" s="895"/>
      <c r="AX470" s="895"/>
      <c r="AY470" s="895"/>
      <c r="AZ470" s="895"/>
      <c r="BA470" s="895"/>
      <c r="BB470" s="895"/>
      <c r="BC470" s="895"/>
      <c r="BD470" s="895"/>
      <c r="BE470" s="895"/>
      <c r="BF470" s="895"/>
      <c r="BG470" s="895"/>
      <c r="BH470" s="895"/>
      <c r="BI470" s="895"/>
      <c r="BJ470" s="895"/>
    </row>
    <row r="471" spans="1:62" ht="15.75" customHeight="1">
      <c r="A471" s="883" t="s">
        <v>197</v>
      </c>
      <c r="B471" s="892"/>
      <c r="C471" s="1124" t="s">
        <v>227</v>
      </c>
      <c r="D471" s="895"/>
      <c r="E471" s="895"/>
      <c r="F471" s="895"/>
      <c r="G471" s="895"/>
      <c r="H471" s="895"/>
      <c r="I471" s="895"/>
      <c r="J471" s="895"/>
      <c r="K471" s="895"/>
      <c r="L471" s="895"/>
      <c r="M471" s="895"/>
      <c r="N471" s="895"/>
      <c r="O471" s="895"/>
      <c r="P471" s="895"/>
      <c r="Q471" s="895"/>
      <c r="R471" s="895"/>
      <c r="S471" s="895"/>
      <c r="T471" s="895"/>
      <c r="U471" s="895"/>
      <c r="V471" s="986" t="s">
        <v>197</v>
      </c>
      <c r="W471" s="1155"/>
      <c r="X471" s="1155"/>
      <c r="Y471" s="1155"/>
      <c r="Z471" s="1156">
        <v>25000</v>
      </c>
      <c r="AA471" s="1200"/>
      <c r="AB471" s="1201"/>
      <c r="AC471" s="1156"/>
      <c r="AD471" s="1217"/>
      <c r="AF471" s="1156">
        <v>0</v>
      </c>
      <c r="AG471" s="1216"/>
      <c r="AH471" s="1158">
        <v>-25000</v>
      </c>
      <c r="AI471" s="1182">
        <v>-1</v>
      </c>
      <c r="AJ471" s="1217"/>
      <c r="AK471" s="1200"/>
      <c r="AL471" s="1218">
        <v>16000</v>
      </c>
      <c r="AM471" s="1214"/>
      <c r="AN471" s="1158">
        <v>-16000</v>
      </c>
      <c r="AO471" s="1166">
        <v>-1</v>
      </c>
      <c r="AP471" s="895"/>
      <c r="AQ471" s="895"/>
      <c r="AR471" s="895"/>
      <c r="AS471" s="895"/>
      <c r="AT471" s="895"/>
      <c r="AU471" s="895"/>
      <c r="AV471" s="895"/>
      <c r="AW471" s="895"/>
      <c r="AX471" s="895"/>
      <c r="AY471" s="895"/>
      <c r="AZ471" s="895"/>
      <c r="BA471" s="895"/>
      <c r="BB471" s="895"/>
      <c r="BC471" s="895"/>
      <c r="BD471" s="895"/>
      <c r="BE471" s="895"/>
      <c r="BF471" s="895"/>
      <c r="BG471" s="895"/>
      <c r="BH471" s="895"/>
      <c r="BI471" s="895"/>
      <c r="BJ471" s="895"/>
    </row>
    <row r="472" spans="1:62" ht="15.75" customHeight="1">
      <c r="A472" s="883" t="s">
        <v>194</v>
      </c>
      <c r="B472" s="892"/>
      <c r="C472" s="1124" t="s">
        <v>227</v>
      </c>
      <c r="D472" s="895"/>
      <c r="E472" s="895"/>
      <c r="F472" s="895"/>
      <c r="G472" s="895"/>
      <c r="H472" s="895"/>
      <c r="I472" s="895"/>
      <c r="J472" s="895"/>
      <c r="K472" s="895"/>
      <c r="L472" s="895"/>
      <c r="M472" s="895"/>
      <c r="N472" s="895"/>
      <c r="O472" s="895"/>
      <c r="P472" s="895"/>
      <c r="Q472" s="895"/>
      <c r="R472" s="895"/>
      <c r="S472" s="895"/>
      <c r="T472" s="895"/>
      <c r="U472" s="895"/>
      <c r="V472" s="986" t="s">
        <v>194</v>
      </c>
      <c r="W472" s="1155"/>
      <c r="X472" s="1155"/>
      <c r="Y472" s="1155"/>
      <c r="Z472" s="1156">
        <v>0</v>
      </c>
      <c r="AA472" s="1200"/>
      <c r="AB472" s="1201"/>
      <c r="AC472" s="1156"/>
      <c r="AD472" s="1217"/>
      <c r="AE472" s="1201"/>
      <c r="AF472" s="1156">
        <v>0</v>
      </c>
      <c r="AG472" s="1216"/>
      <c r="AH472" s="1158">
        <v>0</v>
      </c>
      <c r="AI472" s="1182">
        <v>0</v>
      </c>
      <c r="AJ472" s="1217"/>
      <c r="AK472" s="1200"/>
      <c r="AL472" s="1218">
        <v>0</v>
      </c>
      <c r="AM472" s="1214"/>
      <c r="AN472" s="1158">
        <v>0</v>
      </c>
      <c r="AO472" s="1166">
        <v>0</v>
      </c>
      <c r="AP472" s="895"/>
      <c r="AQ472" s="895"/>
      <c r="AR472" s="895"/>
      <c r="AS472" s="895"/>
      <c r="AT472" s="895"/>
      <c r="AU472" s="895"/>
      <c r="AV472" s="895"/>
      <c r="AW472" s="895"/>
      <c r="AX472" s="895"/>
      <c r="AY472" s="895"/>
      <c r="AZ472" s="895"/>
      <c r="BA472" s="895"/>
      <c r="BB472" s="895"/>
      <c r="BC472" s="895"/>
      <c r="BD472" s="895"/>
      <c r="BE472" s="895"/>
      <c r="BF472" s="895"/>
      <c r="BG472" s="895"/>
      <c r="BH472" s="895"/>
      <c r="BI472" s="895"/>
      <c r="BJ472" s="895"/>
    </row>
    <row r="473" spans="1:62" ht="15.75" customHeight="1">
      <c r="A473" s="883" t="s">
        <v>68</v>
      </c>
      <c r="B473" s="892"/>
      <c r="C473" s="1124" t="s">
        <v>227</v>
      </c>
      <c r="D473" s="895"/>
      <c r="E473" s="895"/>
      <c r="F473" s="895"/>
      <c r="G473" s="895"/>
      <c r="H473" s="895"/>
      <c r="I473" s="895"/>
      <c r="J473" s="895"/>
      <c r="K473" s="895"/>
      <c r="L473" s="895"/>
      <c r="M473" s="895"/>
      <c r="N473" s="895"/>
      <c r="O473" s="895"/>
      <c r="P473" s="895"/>
      <c r="Q473" s="895"/>
      <c r="R473" s="895"/>
      <c r="S473" s="895"/>
      <c r="T473" s="895"/>
      <c r="U473" s="895"/>
      <c r="V473" s="986" t="s">
        <v>68</v>
      </c>
      <c r="W473" s="1155"/>
      <c r="X473" s="1155"/>
      <c r="Y473" s="1155"/>
      <c r="Z473" s="1156">
        <v>0</v>
      </c>
      <c r="AA473" s="1200"/>
      <c r="AB473" s="1201"/>
      <c r="AC473" s="1156"/>
      <c r="AD473" s="1217"/>
      <c r="AE473" s="1201"/>
      <c r="AF473" s="1156">
        <v>0</v>
      </c>
      <c r="AG473" s="1216"/>
      <c r="AH473" s="1158">
        <v>0</v>
      </c>
      <c r="AI473" s="1182">
        <v>0</v>
      </c>
      <c r="AJ473" s="1217"/>
      <c r="AK473" s="1200"/>
      <c r="AL473" s="1218">
        <v>0</v>
      </c>
      <c r="AM473" s="1214"/>
      <c r="AN473" s="1158">
        <v>0</v>
      </c>
      <c r="AO473" s="1166">
        <v>0</v>
      </c>
      <c r="AP473" s="895"/>
      <c r="AQ473" s="895"/>
      <c r="AR473" s="895"/>
      <c r="AS473" s="895"/>
      <c r="AT473" s="895"/>
      <c r="AU473" s="895"/>
      <c r="AV473" s="895"/>
      <c r="AW473" s="895"/>
      <c r="AX473" s="895"/>
      <c r="AY473" s="895"/>
      <c r="AZ473" s="895"/>
      <c r="BA473" s="895"/>
      <c r="BB473" s="895"/>
      <c r="BC473" s="895"/>
      <c r="BD473" s="895"/>
      <c r="BE473" s="895"/>
      <c r="BF473" s="895"/>
      <c r="BG473" s="895"/>
      <c r="BH473" s="895"/>
      <c r="BI473" s="895"/>
      <c r="BJ473" s="895"/>
    </row>
    <row r="474" spans="1:62" ht="15.75" customHeight="1">
      <c r="A474" s="883" t="s">
        <v>225</v>
      </c>
      <c r="B474" s="892"/>
      <c r="C474" s="1124" t="s">
        <v>227</v>
      </c>
      <c r="D474" s="895"/>
      <c r="E474" s="895"/>
      <c r="F474" s="895"/>
      <c r="G474" s="895"/>
      <c r="H474" s="895"/>
      <c r="I474" s="895"/>
      <c r="J474" s="895"/>
      <c r="K474" s="895"/>
      <c r="L474" s="895"/>
      <c r="M474" s="895"/>
      <c r="N474" s="895"/>
      <c r="O474" s="895"/>
      <c r="P474" s="895"/>
      <c r="Q474" s="895"/>
      <c r="R474" s="895"/>
      <c r="S474" s="895"/>
      <c r="T474" s="895"/>
      <c r="U474" s="895"/>
      <c r="V474" s="986" t="s">
        <v>225</v>
      </c>
      <c r="W474" s="1155"/>
      <c r="X474" s="1155"/>
      <c r="Y474" s="1155"/>
      <c r="Z474" s="1156">
        <v>0</v>
      </c>
      <c r="AA474" s="1200"/>
      <c r="AB474" s="1201"/>
      <c r="AC474" s="1156"/>
      <c r="AD474" s="1217"/>
      <c r="AE474" s="1201"/>
      <c r="AF474" s="1156">
        <v>0</v>
      </c>
      <c r="AG474" s="1216"/>
      <c r="AH474" s="1158">
        <v>0</v>
      </c>
      <c r="AI474" s="1182">
        <v>0</v>
      </c>
      <c r="AJ474" s="1217"/>
      <c r="AK474" s="1200"/>
      <c r="AL474" s="1218">
        <v>0</v>
      </c>
      <c r="AM474" s="1214"/>
      <c r="AN474" s="1158">
        <v>0</v>
      </c>
      <c r="AO474" s="1166">
        <v>0</v>
      </c>
      <c r="AP474" s="895"/>
      <c r="AQ474" s="895"/>
      <c r="AR474" s="895"/>
      <c r="AS474" s="895"/>
      <c r="AT474" s="895"/>
      <c r="AU474" s="895"/>
      <c r="AV474" s="895"/>
      <c r="AW474" s="895"/>
      <c r="AX474" s="895"/>
      <c r="AY474" s="895"/>
      <c r="AZ474" s="895"/>
      <c r="BA474" s="895"/>
      <c r="BB474" s="895"/>
      <c r="BC474" s="895"/>
      <c r="BD474" s="895"/>
      <c r="BE474" s="895"/>
      <c r="BF474" s="895"/>
      <c r="BG474" s="895"/>
      <c r="BH474" s="895"/>
      <c r="BI474" s="895"/>
      <c r="BJ474" s="895"/>
    </row>
    <row r="475" spans="1:62" ht="15.75" customHeight="1">
      <c r="A475" s="883" t="s">
        <v>81</v>
      </c>
      <c r="B475" s="892"/>
      <c r="C475" s="1124" t="s">
        <v>227</v>
      </c>
      <c r="D475" s="895"/>
      <c r="E475" s="895"/>
      <c r="F475" s="895"/>
      <c r="G475" s="895"/>
      <c r="H475" s="895"/>
      <c r="I475" s="895"/>
      <c r="J475" s="895"/>
      <c r="K475" s="895"/>
      <c r="L475" s="895"/>
      <c r="M475" s="895"/>
      <c r="N475" s="895"/>
      <c r="O475" s="895"/>
      <c r="P475" s="895"/>
      <c r="Q475" s="895"/>
      <c r="R475" s="895"/>
      <c r="S475" s="895"/>
      <c r="T475" s="895"/>
      <c r="U475" s="895"/>
      <c r="V475" s="986" t="s">
        <v>81</v>
      </c>
      <c r="W475" s="1155"/>
      <c r="X475" s="1155"/>
      <c r="Y475" s="1155"/>
      <c r="Z475" s="1156">
        <v>0</v>
      </c>
      <c r="AA475" s="1200"/>
      <c r="AB475" s="1201"/>
      <c r="AC475" s="1156"/>
      <c r="AD475" s="1217"/>
      <c r="AE475" s="1201"/>
      <c r="AF475" s="1156">
        <v>0</v>
      </c>
      <c r="AG475" s="1216"/>
      <c r="AH475" s="1158">
        <v>0</v>
      </c>
      <c r="AI475" s="1182">
        <v>0</v>
      </c>
      <c r="AJ475" s="1217"/>
      <c r="AK475" s="1200"/>
      <c r="AL475" s="1218">
        <v>0</v>
      </c>
      <c r="AM475" s="1214"/>
      <c r="AN475" s="1158">
        <v>0</v>
      </c>
      <c r="AO475" s="1166">
        <v>0</v>
      </c>
      <c r="AP475" s="895"/>
      <c r="AQ475" s="895"/>
      <c r="AR475" s="895"/>
      <c r="AS475" s="895"/>
      <c r="AT475" s="895"/>
      <c r="AU475" s="895"/>
      <c r="AV475" s="895"/>
      <c r="AW475" s="895"/>
      <c r="AX475" s="895"/>
      <c r="AY475" s="895"/>
      <c r="AZ475" s="895"/>
      <c r="BA475" s="895"/>
      <c r="BB475" s="895"/>
      <c r="BC475" s="895"/>
      <c r="BD475" s="895"/>
      <c r="BE475" s="895"/>
      <c r="BF475" s="895"/>
      <c r="BG475" s="895"/>
      <c r="BH475" s="895"/>
      <c r="BI475" s="895"/>
      <c r="BJ475" s="895"/>
    </row>
    <row r="476" spans="1:62" ht="15.75" customHeight="1">
      <c r="A476" s="883" t="s">
        <v>82</v>
      </c>
      <c r="B476" s="892"/>
      <c r="C476" s="1124" t="s">
        <v>227</v>
      </c>
      <c r="D476" s="895"/>
      <c r="E476" s="895"/>
      <c r="F476" s="895"/>
      <c r="G476" s="895"/>
      <c r="H476" s="895"/>
      <c r="I476" s="895"/>
      <c r="J476" s="895"/>
      <c r="K476" s="895"/>
      <c r="L476" s="895"/>
      <c r="M476" s="895"/>
      <c r="N476" s="895"/>
      <c r="O476" s="895"/>
      <c r="P476" s="895"/>
      <c r="Q476" s="895"/>
      <c r="R476" s="895"/>
      <c r="S476" s="895"/>
      <c r="T476" s="895"/>
      <c r="U476" s="895"/>
      <c r="V476" s="986" t="s">
        <v>82</v>
      </c>
      <c r="W476" s="1155"/>
      <c r="X476" s="1155"/>
      <c r="Y476" s="1155"/>
      <c r="Z476" s="1156">
        <v>0</v>
      </c>
      <c r="AA476" s="1200"/>
      <c r="AB476" s="1201"/>
      <c r="AC476" s="1156"/>
      <c r="AD476" s="1217"/>
      <c r="AE476" s="1201"/>
      <c r="AF476" s="1156">
        <v>0</v>
      </c>
      <c r="AG476" s="1216"/>
      <c r="AH476" s="1158">
        <v>0</v>
      </c>
      <c r="AI476" s="1182">
        <v>0</v>
      </c>
      <c r="AJ476" s="1217"/>
      <c r="AK476" s="1200"/>
      <c r="AL476" s="1218">
        <v>0</v>
      </c>
      <c r="AM476" s="1214"/>
      <c r="AN476" s="1158">
        <v>0</v>
      </c>
      <c r="AO476" s="1166">
        <v>0</v>
      </c>
      <c r="AP476" s="895"/>
      <c r="AQ476" s="895"/>
      <c r="AR476" s="895"/>
      <c r="AS476" s="895"/>
      <c r="AT476" s="895"/>
      <c r="AU476" s="895"/>
      <c r="AV476" s="895"/>
      <c r="AW476" s="895"/>
      <c r="AX476" s="895"/>
      <c r="AY476" s="895"/>
      <c r="AZ476" s="895"/>
      <c r="BA476" s="895"/>
      <c r="BB476" s="895"/>
      <c r="BC476" s="895"/>
      <c r="BD476" s="895"/>
      <c r="BE476" s="895"/>
      <c r="BF476" s="895"/>
      <c r="BG476" s="895"/>
      <c r="BH476" s="895"/>
      <c r="BI476" s="895"/>
      <c r="BJ476" s="895"/>
    </row>
    <row r="477" spans="1:62" ht="15.75" hidden="1" customHeight="1">
      <c r="A477" s="883" t="s">
        <v>20</v>
      </c>
      <c r="B477" s="892"/>
      <c r="C477" s="1124" t="s">
        <v>227</v>
      </c>
      <c r="D477" s="895"/>
      <c r="E477" s="895"/>
      <c r="F477" s="895"/>
      <c r="G477" s="895"/>
      <c r="H477" s="895"/>
      <c r="I477" s="895"/>
      <c r="J477" s="895"/>
      <c r="K477" s="895"/>
      <c r="L477" s="895"/>
      <c r="M477" s="895"/>
      <c r="N477" s="895"/>
      <c r="O477" s="895"/>
      <c r="P477" s="895"/>
      <c r="Q477" s="895"/>
      <c r="R477" s="895"/>
      <c r="S477" s="895"/>
      <c r="T477" s="895"/>
      <c r="U477" s="895"/>
      <c r="V477" s="986" t="s">
        <v>20</v>
      </c>
      <c r="W477" s="1155"/>
      <c r="X477" s="1155"/>
      <c r="Y477" s="1155"/>
      <c r="Z477" s="1156">
        <v>0</v>
      </c>
      <c r="AA477" s="1155"/>
      <c r="AB477" s="1155"/>
      <c r="AC477" s="1156"/>
      <c r="AD477" s="1164"/>
      <c r="AE477" s="1163"/>
      <c r="AF477" s="1156">
        <v>0</v>
      </c>
      <c r="AG477" s="1157"/>
      <c r="AH477" s="1158">
        <v>0</v>
      </c>
      <c r="AI477" s="1159">
        <v>0</v>
      </c>
      <c r="AJ477" s="1164"/>
      <c r="AK477" s="1155"/>
      <c r="AL477" s="1156">
        <v>0</v>
      </c>
      <c r="AM477" s="1214"/>
      <c r="AN477" s="1158">
        <v>0</v>
      </c>
      <c r="AO477" s="1166">
        <v>0</v>
      </c>
      <c r="AP477" s="895"/>
      <c r="AQ477" s="895"/>
      <c r="AR477" s="895"/>
      <c r="AS477" s="895"/>
      <c r="AT477" s="895"/>
      <c r="AU477" s="895"/>
      <c r="AV477" s="895"/>
      <c r="AW477" s="895"/>
      <c r="AX477" s="895"/>
      <c r="AY477" s="895"/>
      <c r="AZ477" s="895"/>
      <c r="BA477" s="895"/>
      <c r="BB477" s="895"/>
      <c r="BC477" s="895"/>
      <c r="BD477" s="895"/>
      <c r="BE477" s="895"/>
      <c r="BF477" s="895"/>
      <c r="BG477" s="895"/>
      <c r="BH477" s="895"/>
      <c r="BI477" s="895"/>
      <c r="BJ477" s="895"/>
    </row>
    <row r="478" spans="1:62" ht="15.75" hidden="1" customHeight="1">
      <c r="A478" s="883" t="s">
        <v>20</v>
      </c>
      <c r="B478" s="892"/>
      <c r="C478" s="1124" t="s">
        <v>227</v>
      </c>
      <c r="D478" s="895"/>
      <c r="E478" s="895"/>
      <c r="F478" s="895"/>
      <c r="G478" s="895"/>
      <c r="H478" s="895"/>
      <c r="I478" s="895"/>
      <c r="J478" s="895"/>
      <c r="K478" s="895"/>
      <c r="L478" s="895"/>
      <c r="M478" s="895"/>
      <c r="N478" s="895"/>
      <c r="O478" s="895"/>
      <c r="P478" s="895"/>
      <c r="Q478" s="895"/>
      <c r="R478" s="895"/>
      <c r="S478" s="895"/>
      <c r="T478" s="895"/>
      <c r="U478" s="895"/>
      <c r="V478" s="986" t="s">
        <v>20</v>
      </c>
      <c r="W478" s="1155"/>
      <c r="X478" s="1155"/>
      <c r="Y478" s="1155"/>
      <c r="Z478" s="1156">
        <v>0</v>
      </c>
      <c r="AA478" s="1155"/>
      <c r="AB478" s="1155"/>
      <c r="AC478" s="1156"/>
      <c r="AD478" s="1164"/>
      <c r="AE478" s="1163"/>
      <c r="AF478" s="1156">
        <v>0</v>
      </c>
      <c r="AG478" s="1157"/>
      <c r="AH478" s="1158">
        <v>0</v>
      </c>
      <c r="AI478" s="1159">
        <v>0</v>
      </c>
      <c r="AJ478" s="1164"/>
      <c r="AK478" s="1155"/>
      <c r="AL478" s="1156">
        <v>0</v>
      </c>
      <c r="AM478" s="1214"/>
      <c r="AN478" s="1158">
        <v>0</v>
      </c>
      <c r="AO478" s="1166">
        <v>0</v>
      </c>
      <c r="AP478" s="895"/>
      <c r="AQ478" s="895"/>
      <c r="AR478" s="895"/>
      <c r="AS478" s="895"/>
      <c r="AT478" s="895"/>
      <c r="AU478" s="895"/>
      <c r="AV478" s="895"/>
      <c r="AW478" s="895"/>
      <c r="AX478" s="895"/>
      <c r="AY478" s="895"/>
      <c r="AZ478" s="895"/>
      <c r="BA478" s="895"/>
      <c r="BB478" s="895"/>
      <c r="BC478" s="895"/>
      <c r="BD478" s="895"/>
      <c r="BE478" s="895"/>
      <c r="BF478" s="895"/>
      <c r="BG478" s="895"/>
      <c r="BH478" s="895"/>
      <c r="BI478" s="895"/>
      <c r="BJ478" s="895"/>
    </row>
    <row r="479" spans="1:62" ht="15.75" hidden="1" customHeight="1">
      <c r="A479" s="883" t="s">
        <v>20</v>
      </c>
      <c r="B479" s="892"/>
      <c r="C479" s="1124" t="s">
        <v>227</v>
      </c>
      <c r="D479" s="895"/>
      <c r="E479" s="895"/>
      <c r="F479" s="895"/>
      <c r="G479" s="895"/>
      <c r="H479" s="895"/>
      <c r="I479" s="895"/>
      <c r="J479" s="895"/>
      <c r="K479" s="895"/>
      <c r="L479" s="895"/>
      <c r="M479" s="895"/>
      <c r="N479" s="895"/>
      <c r="O479" s="895"/>
      <c r="P479" s="895"/>
      <c r="Q479" s="895"/>
      <c r="R479" s="895"/>
      <c r="S479" s="895"/>
      <c r="T479" s="895"/>
      <c r="U479" s="895"/>
      <c r="V479" s="986" t="s">
        <v>20</v>
      </c>
      <c r="W479" s="1155"/>
      <c r="X479" s="1155"/>
      <c r="Y479" s="1155"/>
      <c r="Z479" s="1156">
        <v>0</v>
      </c>
      <c r="AA479" s="1155"/>
      <c r="AB479" s="1155"/>
      <c r="AC479" s="1156"/>
      <c r="AD479" s="1164"/>
      <c r="AE479" s="1163"/>
      <c r="AF479" s="1156">
        <v>0</v>
      </c>
      <c r="AG479" s="1157"/>
      <c r="AH479" s="1158">
        <v>0</v>
      </c>
      <c r="AI479" s="1159">
        <v>0</v>
      </c>
      <c r="AJ479" s="1164"/>
      <c r="AK479" s="1155"/>
      <c r="AL479" s="1156">
        <v>0</v>
      </c>
      <c r="AM479" s="1214"/>
      <c r="AN479" s="1158">
        <v>0</v>
      </c>
      <c r="AO479" s="1166">
        <v>0</v>
      </c>
      <c r="AP479" s="895"/>
      <c r="AQ479" s="895"/>
      <c r="AR479" s="895"/>
      <c r="AS479" s="895"/>
      <c r="AT479" s="895"/>
      <c r="AU479" s="895"/>
      <c r="AV479" s="895"/>
      <c r="AW479" s="895"/>
      <c r="AX479" s="895"/>
      <c r="AY479" s="895"/>
      <c r="AZ479" s="895"/>
      <c r="BA479" s="895"/>
      <c r="BB479" s="895"/>
      <c r="BC479" s="895"/>
      <c r="BD479" s="895"/>
      <c r="BE479" s="895"/>
      <c r="BF479" s="895"/>
      <c r="BG479" s="895"/>
      <c r="BH479" s="895"/>
      <c r="BI479" s="895"/>
      <c r="BJ479" s="895"/>
    </row>
    <row r="480" spans="1:62" ht="15.75" customHeight="1">
      <c r="A480" s="883" t="s">
        <v>70</v>
      </c>
      <c r="B480" s="892"/>
      <c r="C480" s="1124" t="s">
        <v>227</v>
      </c>
      <c r="D480" s="895"/>
      <c r="E480" s="895"/>
      <c r="F480" s="895"/>
      <c r="G480" s="895"/>
      <c r="H480" s="895"/>
      <c r="I480" s="895"/>
      <c r="J480" s="895"/>
      <c r="K480" s="895"/>
      <c r="L480" s="895"/>
      <c r="M480" s="895"/>
      <c r="N480" s="895"/>
      <c r="O480" s="895"/>
      <c r="P480" s="895"/>
      <c r="Q480" s="895"/>
      <c r="R480" s="895"/>
      <c r="S480" s="895"/>
      <c r="T480" s="895"/>
      <c r="U480" s="895"/>
      <c r="V480" s="988" t="s">
        <v>70</v>
      </c>
      <c r="W480" s="1155"/>
      <c r="X480" s="1155"/>
      <c r="Y480" s="1155"/>
      <c r="Z480" s="1156">
        <v>38962.35</v>
      </c>
      <c r="AA480" s="1200"/>
      <c r="AB480" s="1201"/>
      <c r="AC480" s="1156"/>
      <c r="AD480" s="1219">
        <v>85.593186372745492</v>
      </c>
      <c r="AE480" s="1200">
        <v>1.189390142021721</v>
      </c>
      <c r="AF480" s="1156">
        <v>42711</v>
      </c>
      <c r="AG480" s="1216"/>
      <c r="AH480" s="1158">
        <v>3748.6500000000015</v>
      </c>
      <c r="AI480" s="1182">
        <v>9.6212112462415678E-2</v>
      </c>
      <c r="AJ480" s="1217"/>
      <c r="AK480" s="1200"/>
      <c r="AL480" s="1218">
        <v>32595</v>
      </c>
      <c r="AM480" s="1214"/>
      <c r="AN480" s="1158">
        <v>10116</v>
      </c>
      <c r="AO480" s="1166">
        <v>0.31035434882650714</v>
      </c>
      <c r="AP480" s="895"/>
      <c r="AQ480" s="895"/>
      <c r="AR480" s="895"/>
      <c r="AS480" s="895"/>
      <c r="AT480" s="895"/>
      <c r="AU480" s="895"/>
      <c r="AV480" s="895"/>
      <c r="AW480" s="895"/>
      <c r="AX480" s="895"/>
      <c r="AY480" s="895"/>
      <c r="AZ480" s="895"/>
      <c r="BA480" s="895"/>
      <c r="BB480" s="895"/>
      <c r="BC480" s="895"/>
      <c r="BD480" s="895"/>
      <c r="BE480" s="895"/>
      <c r="BF480" s="895"/>
      <c r="BG480" s="895"/>
      <c r="BH480" s="895"/>
      <c r="BI480" s="895"/>
      <c r="BJ480" s="895"/>
    </row>
    <row r="481" spans="1:62" ht="15.75" customHeight="1">
      <c r="A481" s="883" t="s">
        <v>183</v>
      </c>
      <c r="B481" s="892"/>
      <c r="C481" s="1124" t="s">
        <v>227</v>
      </c>
      <c r="D481" s="895"/>
      <c r="E481" s="895"/>
      <c r="F481" s="895"/>
      <c r="G481" s="895"/>
      <c r="H481" s="895"/>
      <c r="I481" s="895"/>
      <c r="J481" s="895"/>
      <c r="K481" s="895"/>
      <c r="L481" s="895"/>
      <c r="M481" s="895"/>
      <c r="N481" s="895"/>
      <c r="O481" s="895"/>
      <c r="P481" s="895"/>
      <c r="Q481" s="895"/>
      <c r="R481" s="895"/>
      <c r="S481" s="895"/>
      <c r="T481" s="895"/>
      <c r="U481" s="895"/>
      <c r="V481" s="1172" t="s">
        <v>183</v>
      </c>
      <c r="W481" s="1173"/>
      <c r="X481" s="1174">
        <v>0.2922159728358501</v>
      </c>
      <c r="Y481" s="1196"/>
      <c r="Z481" s="1175">
        <v>184428.15883292325</v>
      </c>
      <c r="AA481" s="1174"/>
      <c r="AB481" s="1196"/>
      <c r="AC481" s="1175"/>
      <c r="AD481" s="1174">
        <v>0.15799095657919823</v>
      </c>
      <c r="AE481" s="1196"/>
      <c r="AF481" s="1175">
        <v>122188.43</v>
      </c>
      <c r="AG481" s="1197"/>
      <c r="AH481" s="1178">
        <v>-62239.728832923254</v>
      </c>
      <c r="AI481" s="1174">
        <v>-0.33747411038954922</v>
      </c>
      <c r="AJ481" s="1220"/>
      <c r="AK481" s="1221"/>
      <c r="AL481" s="1175">
        <v>116839.31</v>
      </c>
      <c r="AM481" s="1222"/>
      <c r="AN481" s="1178">
        <v>5349.1199999999953</v>
      </c>
      <c r="AO481" s="1199">
        <v>4.5781852015387592E-2</v>
      </c>
      <c r="AP481" s="895"/>
      <c r="AQ481" s="895"/>
      <c r="AR481" s="895"/>
      <c r="AS481" s="895"/>
      <c r="AT481" s="895"/>
      <c r="AU481" s="895"/>
      <c r="AV481" s="895"/>
      <c r="AW481" s="895"/>
      <c r="AX481" s="895"/>
      <c r="AY481" s="895"/>
      <c r="AZ481" s="895"/>
      <c r="BA481" s="895"/>
      <c r="BB481" s="895"/>
      <c r="BC481" s="895"/>
      <c r="BD481" s="895"/>
      <c r="BE481" s="895"/>
      <c r="BF481" s="895"/>
      <c r="BG481" s="895"/>
      <c r="BH481" s="895"/>
      <c r="BI481" s="895"/>
      <c r="BJ481" s="895"/>
    </row>
    <row r="482" spans="1:62" ht="6" customHeight="1" thickBot="1">
      <c r="A482" s="883" t="s">
        <v>469</v>
      </c>
      <c r="B482" s="892"/>
      <c r="C482" s="1124" t="s">
        <v>227</v>
      </c>
      <c r="D482" s="895"/>
      <c r="E482" s="895"/>
      <c r="F482" s="895"/>
      <c r="G482" s="895"/>
      <c r="H482" s="895"/>
      <c r="I482" s="895"/>
      <c r="J482" s="895"/>
      <c r="K482" s="895"/>
      <c r="L482" s="895"/>
      <c r="M482" s="895"/>
      <c r="N482" s="895"/>
      <c r="O482" s="895"/>
      <c r="P482" s="895"/>
      <c r="Q482" s="895"/>
      <c r="R482" s="895"/>
      <c r="S482" s="895"/>
      <c r="T482" s="895"/>
      <c r="U482" s="895"/>
      <c r="V482" s="1223"/>
      <c r="W482" s="1224"/>
      <c r="X482" s="1224"/>
      <c r="Y482" s="1225"/>
      <c r="Z482" s="1226"/>
      <c r="AA482" s="1224"/>
      <c r="AB482" s="1227"/>
      <c r="AC482" s="1226"/>
      <c r="AD482" s="1224"/>
      <c r="AE482" s="1227"/>
      <c r="AF482" s="1228"/>
      <c r="AG482" s="1229"/>
      <c r="AH482" s="1230"/>
      <c r="AI482" s="1231"/>
      <c r="AJ482" s="1232"/>
      <c r="AK482" s="1233"/>
      <c r="AL482" s="1228"/>
      <c r="AM482" s="1234"/>
      <c r="AN482" s="1230">
        <v>0</v>
      </c>
      <c r="AO482" s="1235">
        <v>0</v>
      </c>
      <c r="AP482" s="895"/>
      <c r="AQ482" s="895"/>
      <c r="AR482" s="895"/>
      <c r="AS482" s="895"/>
      <c r="AT482" s="895"/>
      <c r="AU482" s="895"/>
      <c r="AV482" s="895"/>
      <c r="AW482" s="895"/>
      <c r="AX482" s="895"/>
      <c r="AY482" s="895"/>
      <c r="AZ482" s="895"/>
      <c r="BA482" s="895"/>
      <c r="BB482" s="895"/>
      <c r="BC482" s="895"/>
      <c r="BD482" s="895"/>
      <c r="BE482" s="895"/>
      <c r="BF482" s="895"/>
      <c r="BG482" s="895"/>
      <c r="BH482" s="895"/>
      <c r="BI482" s="895"/>
      <c r="BJ482" s="895"/>
    </row>
    <row r="483" spans="1:62" ht="15.75" customHeight="1" thickTop="1" thickBot="1">
      <c r="A483" s="883" t="s">
        <v>184</v>
      </c>
      <c r="B483" s="892"/>
      <c r="C483" s="1124" t="s">
        <v>227</v>
      </c>
      <c r="D483" s="895"/>
      <c r="E483" s="895"/>
      <c r="F483" s="895"/>
      <c r="G483" s="895"/>
      <c r="H483" s="895"/>
      <c r="I483" s="895"/>
      <c r="J483" s="895"/>
      <c r="K483" s="895"/>
      <c r="L483" s="895"/>
      <c r="M483" s="895"/>
      <c r="N483" s="895"/>
      <c r="O483" s="895"/>
      <c r="P483" s="895"/>
      <c r="Q483" s="895"/>
      <c r="R483" s="895"/>
      <c r="S483" s="895"/>
      <c r="T483" s="895"/>
      <c r="U483" s="895"/>
      <c r="V483" s="1236" t="s">
        <v>184</v>
      </c>
      <c r="W483" s="1237"/>
      <c r="X483" s="1238" t="s">
        <v>185</v>
      </c>
      <c r="Y483" s="1239">
        <v>2.740518101689951E-2</v>
      </c>
      <c r="Z483" s="1240">
        <v>147746.37934895765</v>
      </c>
      <c r="AA483" s="1238"/>
      <c r="AB483" s="1239"/>
      <c r="AC483" s="1240"/>
      <c r="AD483" s="1238" t="s">
        <v>185</v>
      </c>
      <c r="AE483" s="1239">
        <v>5.1474504963610029E-2</v>
      </c>
      <c r="AF483" s="1241">
        <v>298542.92000000022</v>
      </c>
      <c r="AG483" s="1242"/>
      <c r="AH483" s="1242">
        <v>150796.54065104257</v>
      </c>
      <c r="AI483" s="1243">
        <v>1.0206445756269995</v>
      </c>
      <c r="AJ483" s="1244" t="s">
        <v>185</v>
      </c>
      <c r="AK483" s="1239">
        <v>1.4817575906547788E-2</v>
      </c>
      <c r="AL483" s="1241">
        <v>64103.409999999974</v>
      </c>
      <c r="AM483" s="1245"/>
      <c r="AN483" s="1241">
        <v>234439.51000000024</v>
      </c>
      <c r="AO483" s="1246">
        <v>3.6572080954819772</v>
      </c>
      <c r="AP483" s="895"/>
      <c r="AQ483" s="895"/>
      <c r="AR483" s="895"/>
      <c r="AS483" s="895"/>
      <c r="AT483" s="895"/>
      <c r="AU483" s="895"/>
      <c r="AV483" s="895"/>
      <c r="AW483" s="895"/>
      <c r="AX483" s="895"/>
      <c r="AY483" s="895"/>
      <c r="AZ483" s="895"/>
      <c r="BA483" s="895"/>
      <c r="BB483" s="895"/>
      <c r="BC483" s="895"/>
      <c r="BD483" s="895"/>
      <c r="BE483" s="895"/>
      <c r="BF483" s="895"/>
      <c r="BG483" s="895"/>
      <c r="BH483" s="895"/>
      <c r="BI483" s="895"/>
      <c r="BJ483" s="895"/>
    </row>
    <row r="484" spans="1:62" ht="8.25" customHeight="1" thickTop="1">
      <c r="A484" s="883" t="s">
        <v>469</v>
      </c>
      <c r="B484" s="892"/>
      <c r="C484" s="1124" t="s">
        <v>227</v>
      </c>
      <c r="D484" s="895"/>
      <c r="E484" s="895"/>
      <c r="F484" s="895"/>
      <c r="G484" s="895"/>
      <c r="H484" s="895"/>
      <c r="I484" s="895"/>
      <c r="J484" s="895"/>
      <c r="K484" s="895"/>
      <c r="L484" s="895"/>
      <c r="M484" s="895"/>
      <c r="N484" s="895"/>
      <c r="O484" s="895"/>
      <c r="P484" s="895"/>
      <c r="Q484" s="895"/>
      <c r="R484" s="895"/>
      <c r="S484" s="895"/>
      <c r="T484" s="895"/>
      <c r="U484" s="895"/>
      <c r="V484" s="884"/>
      <c r="W484" s="884"/>
      <c r="X484" s="884"/>
      <c r="Y484" s="884"/>
      <c r="Z484" s="960"/>
      <c r="AA484" s="898"/>
      <c r="AB484" s="898"/>
      <c r="AC484" s="960"/>
      <c r="AD484" s="898"/>
      <c r="AE484" s="898"/>
      <c r="AF484" s="1247"/>
      <c r="AG484" s="898"/>
      <c r="AH484" s="898"/>
      <c r="AI484" s="898"/>
      <c r="AJ484" s="898"/>
      <c r="AK484" s="898"/>
      <c r="AL484" s="960"/>
      <c r="AM484" s="898"/>
      <c r="AN484" s="898"/>
      <c r="AO484" s="898"/>
      <c r="AP484" s="895"/>
      <c r="AQ484" s="895"/>
      <c r="AR484" s="895"/>
      <c r="AS484" s="895"/>
      <c r="AT484" s="895"/>
      <c r="AU484" s="895"/>
      <c r="AV484" s="895"/>
      <c r="AW484" s="895"/>
      <c r="AX484" s="895"/>
      <c r="AY484" s="895"/>
      <c r="AZ484" s="895"/>
      <c r="BA484" s="895"/>
      <c r="BB484" s="895"/>
      <c r="BC484" s="895"/>
      <c r="BD484" s="895"/>
      <c r="BE484" s="895"/>
      <c r="BF484" s="895"/>
      <c r="BG484" s="895"/>
      <c r="BH484" s="895"/>
      <c r="BI484" s="895"/>
      <c r="BJ484" s="895"/>
    </row>
    <row r="485" spans="1:62" ht="18" customHeight="1">
      <c r="A485" s="883" t="s">
        <v>478</v>
      </c>
      <c r="B485" s="892"/>
      <c r="C485" s="1124" t="s">
        <v>227</v>
      </c>
      <c r="D485" s="895"/>
      <c r="E485" s="895"/>
      <c r="F485" s="895"/>
      <c r="G485" s="895"/>
      <c r="H485" s="895"/>
      <c r="I485" s="895"/>
      <c r="J485" s="895"/>
      <c r="K485" s="895"/>
      <c r="L485" s="895"/>
      <c r="M485" s="895"/>
      <c r="N485" s="895"/>
      <c r="O485" s="895"/>
      <c r="P485" s="895"/>
      <c r="Q485" s="895"/>
      <c r="R485" s="895"/>
      <c r="S485" s="895"/>
      <c r="T485" s="895"/>
      <c r="U485" s="895"/>
      <c r="V485" s="1248" t="s">
        <v>478</v>
      </c>
      <c r="W485" s="1248"/>
      <c r="X485" s="1248"/>
      <c r="Y485" s="1248"/>
      <c r="Z485" s="1248"/>
      <c r="AA485" s="1248"/>
      <c r="AB485" s="1248"/>
      <c r="AC485" s="1248"/>
      <c r="AD485" s="1248"/>
      <c r="AE485" s="1249" t="s">
        <v>186</v>
      </c>
      <c r="AF485" s="1248"/>
      <c r="AG485" s="1248"/>
      <c r="AH485" s="1248"/>
      <c r="AI485" s="1248"/>
      <c r="AJ485" s="1250"/>
      <c r="AK485" s="1251"/>
      <c r="AL485" s="1248"/>
      <c r="AM485" s="1248"/>
      <c r="AN485" s="1248"/>
      <c r="AO485" s="1252" t="s">
        <v>482</v>
      </c>
      <c r="AP485" s="895"/>
      <c r="AQ485" s="895"/>
      <c r="AR485" s="895"/>
      <c r="AS485" s="895"/>
      <c r="AT485" s="895"/>
      <c r="AU485" s="895"/>
      <c r="AV485" s="895"/>
      <c r="AW485" s="895"/>
      <c r="AX485" s="895"/>
      <c r="AY485" s="895"/>
      <c r="AZ485" s="895"/>
      <c r="BA485" s="895"/>
      <c r="BB485" s="895"/>
      <c r="BC485" s="895"/>
      <c r="BD485" s="895"/>
      <c r="BE485" s="895"/>
      <c r="BF485" s="895"/>
      <c r="BG485" s="895"/>
      <c r="BH485" s="895"/>
      <c r="BI485" s="895"/>
      <c r="BJ485" s="895"/>
    </row>
    <row r="486" spans="1:62" ht="19.5" customHeight="1">
      <c r="A486" s="883" t="s">
        <v>469</v>
      </c>
      <c r="B486" s="892"/>
      <c r="C486" s="1124" t="s">
        <v>227</v>
      </c>
      <c r="D486" s="895"/>
      <c r="E486" s="895"/>
      <c r="F486" s="895"/>
      <c r="G486" s="895"/>
      <c r="H486" s="895"/>
      <c r="I486" s="895"/>
      <c r="J486" s="895"/>
      <c r="K486" s="895"/>
      <c r="L486" s="895"/>
      <c r="M486" s="895"/>
      <c r="N486" s="895"/>
      <c r="O486" s="895"/>
      <c r="P486" s="895"/>
      <c r="Q486" s="895"/>
      <c r="R486" s="895"/>
      <c r="S486" s="895"/>
      <c r="T486" s="895"/>
      <c r="U486" s="895"/>
      <c r="V486" s="884"/>
      <c r="W486" s="884"/>
      <c r="X486" s="884"/>
      <c r="Y486" s="884"/>
      <c r="Z486" s="960"/>
      <c r="AA486" s="898"/>
      <c r="AB486" s="898"/>
      <c r="AC486" s="960"/>
      <c r="AD486" s="898"/>
      <c r="AE486" s="898"/>
      <c r="AF486" s="1247"/>
      <c r="AG486" s="898"/>
      <c r="AH486" s="898"/>
      <c r="AI486" s="898"/>
      <c r="AJ486" s="898"/>
      <c r="AK486" s="898"/>
      <c r="AL486" s="960"/>
      <c r="AM486" s="898"/>
      <c r="AN486" s="898"/>
      <c r="AO486" s="898"/>
      <c r="AP486" s="895"/>
      <c r="AQ486" s="895"/>
      <c r="AR486" s="895"/>
      <c r="AS486" s="895"/>
      <c r="AT486" s="895"/>
      <c r="AU486" s="895"/>
      <c r="AV486" s="895"/>
      <c r="AW486" s="895"/>
      <c r="AX486" s="895"/>
      <c r="AY486" s="895"/>
      <c r="AZ486" s="895"/>
      <c r="BA486" s="895"/>
      <c r="BB486" s="895"/>
      <c r="BC486" s="895"/>
      <c r="BD486" s="895"/>
      <c r="BE486" s="895"/>
      <c r="BF486" s="895"/>
      <c r="BG486" s="895"/>
      <c r="BH486" s="895"/>
      <c r="BI486" s="895"/>
      <c r="BJ486" s="895"/>
    </row>
    <row r="487" spans="1:62" ht="19.5" customHeight="1" thickBot="1">
      <c r="A487" s="883" t="s">
        <v>469</v>
      </c>
      <c r="B487" s="892"/>
      <c r="C487" s="1124" t="s">
        <v>227</v>
      </c>
      <c r="D487" s="895"/>
      <c r="E487" s="895"/>
      <c r="F487" s="895"/>
      <c r="G487" s="895"/>
      <c r="H487" s="895"/>
      <c r="I487" s="895"/>
      <c r="J487" s="895"/>
      <c r="K487" s="895"/>
      <c r="L487" s="895"/>
      <c r="M487" s="895"/>
      <c r="N487" s="895"/>
      <c r="O487" s="895"/>
      <c r="P487" s="895"/>
      <c r="Q487" s="895"/>
      <c r="R487" s="895"/>
      <c r="S487" s="895"/>
      <c r="T487" s="895"/>
      <c r="U487" s="895"/>
      <c r="V487" s="884"/>
      <c r="W487" s="884"/>
      <c r="X487" s="884"/>
      <c r="Y487" s="884"/>
      <c r="Z487" s="960"/>
      <c r="AA487" s="898"/>
      <c r="AB487" s="898"/>
      <c r="AC487" s="960"/>
      <c r="AD487" s="898"/>
      <c r="AE487" s="898"/>
      <c r="AF487" s="1247"/>
      <c r="AG487" s="898"/>
      <c r="AH487" s="898"/>
      <c r="AI487" s="898"/>
      <c r="AJ487" s="898"/>
      <c r="AK487" s="898"/>
      <c r="AL487" s="960"/>
      <c r="AM487" s="898"/>
      <c r="AN487" s="898"/>
      <c r="AO487" s="898"/>
      <c r="AP487" s="895"/>
      <c r="AQ487" s="895"/>
      <c r="AR487" s="895"/>
      <c r="AS487" s="895"/>
      <c r="AT487" s="895"/>
      <c r="AU487" s="895"/>
      <c r="AV487" s="895"/>
      <c r="AW487" s="895"/>
      <c r="AX487" s="895"/>
      <c r="AY487" s="895"/>
      <c r="AZ487" s="895"/>
      <c r="BA487" s="895"/>
      <c r="BB487" s="895"/>
      <c r="BC487" s="895"/>
      <c r="BD487" s="895"/>
      <c r="BE487" s="895"/>
      <c r="BF487" s="895"/>
      <c r="BG487" s="895"/>
      <c r="BH487" s="895"/>
      <c r="BI487" s="895"/>
      <c r="BJ487" s="895"/>
    </row>
    <row r="488" spans="1:62" ht="19.5" customHeight="1" thickTop="1" thickBot="1">
      <c r="A488" s="883" t="s">
        <v>469</v>
      </c>
      <c r="B488" s="892"/>
      <c r="C488" s="1124" t="s">
        <v>227</v>
      </c>
      <c r="D488" s="895"/>
      <c r="E488" s="895"/>
      <c r="F488" s="895"/>
      <c r="G488" s="895"/>
      <c r="H488" s="895"/>
      <c r="I488" s="895"/>
      <c r="J488" s="895"/>
      <c r="K488" s="895"/>
      <c r="L488" s="895"/>
      <c r="M488" s="895"/>
      <c r="N488" s="895"/>
      <c r="O488" s="895"/>
      <c r="P488" s="895"/>
      <c r="Q488" s="895"/>
      <c r="R488" s="895"/>
      <c r="S488" s="895"/>
      <c r="T488" s="895"/>
      <c r="U488" s="895"/>
      <c r="V488" s="1236" t="s">
        <v>215</v>
      </c>
      <c r="W488" s="1237"/>
      <c r="X488" s="1238" t="s">
        <v>185</v>
      </c>
      <c r="Y488" s="1239">
        <v>3.6086032049093671E-2</v>
      </c>
      <c r="Z488" s="1241">
        <v>194546.44641961303</v>
      </c>
      <c r="AA488" s="1238"/>
      <c r="AB488" s="1239"/>
      <c r="AC488" s="1240"/>
      <c r="AD488" s="1238" t="s">
        <v>185</v>
      </c>
      <c r="AE488" s="1239">
        <v>5.2139211673270437E-2</v>
      </c>
      <c r="AF488" s="1241">
        <v>302398.10000000021</v>
      </c>
      <c r="AG488" s="1242"/>
      <c r="AH488" s="1242">
        <v>107851.65358038718</v>
      </c>
      <c r="AI488" s="1243">
        <v>0.55437483215583527</v>
      </c>
      <c r="AJ488" s="1238" t="s">
        <v>185</v>
      </c>
      <c r="AK488" s="1239">
        <v>2.2475661513458069E-2</v>
      </c>
      <c r="AL488" s="1241">
        <v>97233.619999999966</v>
      </c>
      <c r="AM488" s="1245"/>
      <c r="AN488" s="1241">
        <v>205164.48000000024</v>
      </c>
      <c r="AO488" s="1253">
        <v>2.1100158566553451</v>
      </c>
      <c r="AP488" s="895"/>
      <c r="AQ488" s="895"/>
      <c r="AR488" s="895"/>
      <c r="AS488" s="895"/>
      <c r="AT488" s="895"/>
      <c r="AU488" s="895"/>
      <c r="AV488" s="895"/>
      <c r="AW488" s="895"/>
      <c r="AX488" s="895"/>
      <c r="AY488" s="895"/>
      <c r="AZ488" s="895"/>
      <c r="BA488" s="895"/>
      <c r="BB488" s="895"/>
      <c r="BC488" s="895"/>
      <c r="BD488" s="895"/>
      <c r="BE488" s="895"/>
      <c r="BF488" s="895"/>
      <c r="BG488" s="895"/>
      <c r="BH488" s="895"/>
      <c r="BI488" s="895"/>
      <c r="BJ488" s="895"/>
    </row>
    <row r="489" spans="1:62" ht="19.5" thickTop="1" thickBot="1">
      <c r="A489" s="883" t="s">
        <v>184</v>
      </c>
      <c r="B489" s="892"/>
      <c r="C489" s="1124" t="s">
        <v>227</v>
      </c>
      <c r="D489" s="895"/>
      <c r="E489" s="895"/>
      <c r="F489" s="895"/>
      <c r="G489" s="895"/>
      <c r="H489" s="895"/>
      <c r="I489" s="895"/>
      <c r="J489" s="895"/>
      <c r="K489" s="895"/>
      <c r="L489" s="895"/>
      <c r="M489" s="895"/>
      <c r="N489" s="895"/>
      <c r="O489" s="895"/>
      <c r="P489" s="895"/>
      <c r="Q489" s="895"/>
      <c r="R489" s="895"/>
      <c r="S489" s="895"/>
      <c r="T489" s="895"/>
      <c r="U489" s="895"/>
      <c r="V489" s="1236" t="s">
        <v>184</v>
      </c>
      <c r="W489" s="1237"/>
      <c r="X489" s="1238" t="s">
        <v>185</v>
      </c>
      <c r="Y489" s="1239">
        <v>2.740518101689951E-2</v>
      </c>
      <c r="Z489" s="1240">
        <v>147746.37934895765</v>
      </c>
      <c r="AA489" s="1238"/>
      <c r="AB489" s="1239"/>
      <c r="AC489" s="1240"/>
      <c r="AD489" s="1238" t="s">
        <v>185</v>
      </c>
      <c r="AE489" s="1239">
        <v>5.1474504963610029E-2</v>
      </c>
      <c r="AF489" s="1240">
        <v>298542.92000000022</v>
      </c>
      <c r="AG489" s="1241"/>
      <c r="AH489" s="1242">
        <v>150796.54065104257</v>
      </c>
      <c r="AI489" s="1243">
        <v>1.0206445756269995</v>
      </c>
      <c r="AJ489" s="1238" t="s">
        <v>185</v>
      </c>
      <c r="AK489" s="1239">
        <v>1.4817575906547788E-2</v>
      </c>
      <c r="AL489" s="1254">
        <v>64103.409999999974</v>
      </c>
      <c r="AM489" s="1255"/>
      <c r="AN489" s="1256">
        <v>234439.51000000024</v>
      </c>
      <c r="AO489" s="1257">
        <v>3.6572080954819772</v>
      </c>
      <c r="AP489" s="895"/>
      <c r="AQ489" s="895"/>
      <c r="AR489" s="895"/>
      <c r="AS489" s="895"/>
      <c r="AT489" s="895"/>
      <c r="AU489" s="895"/>
      <c r="AV489" s="895"/>
      <c r="AW489" s="895"/>
      <c r="AX489" s="895"/>
      <c r="AY489" s="895"/>
      <c r="AZ489" s="895"/>
      <c r="BA489" s="895"/>
      <c r="BB489" s="895"/>
      <c r="BC489" s="895"/>
      <c r="BD489" s="895"/>
      <c r="BE489" s="895"/>
      <c r="BF489" s="895"/>
      <c r="BG489" s="895"/>
      <c r="BH489" s="895"/>
      <c r="BI489" s="895"/>
      <c r="BJ489" s="895"/>
    </row>
    <row r="490" spans="1:62" ht="15.75" customHeight="1" thickTop="1">
      <c r="A490" s="883" t="s">
        <v>469</v>
      </c>
      <c r="B490" s="892"/>
      <c r="C490" s="1124" t="s">
        <v>227</v>
      </c>
      <c r="D490" s="895"/>
      <c r="E490" s="895"/>
      <c r="F490" s="1042"/>
      <c r="G490" s="895"/>
      <c r="H490" s="895"/>
      <c r="I490" s="1042"/>
      <c r="J490" s="895"/>
      <c r="K490" s="895"/>
      <c r="L490" s="895"/>
      <c r="M490" s="1042"/>
      <c r="N490" s="895"/>
      <c r="O490" s="895"/>
      <c r="P490" s="895"/>
      <c r="Q490" s="1042"/>
      <c r="R490" s="1042"/>
      <c r="S490" s="1042"/>
      <c r="T490" s="1203"/>
      <c r="U490" s="1203"/>
      <c r="V490" s="1258"/>
      <c r="W490" s="895"/>
      <c r="X490" s="895"/>
      <c r="Y490" s="895"/>
      <c r="Z490" s="1259"/>
      <c r="AA490" s="895"/>
      <c r="AB490" s="895"/>
      <c r="AC490" s="1260"/>
      <c r="AD490" s="895"/>
      <c r="AE490" s="895"/>
      <c r="AF490" s="1260"/>
      <c r="AG490" s="895"/>
      <c r="AH490" s="895"/>
      <c r="AI490" s="1260"/>
      <c r="AJ490" s="895"/>
      <c r="AK490" s="895"/>
      <c r="AL490" s="1261"/>
      <c r="AM490" s="1262"/>
      <c r="AN490" s="895"/>
      <c r="AO490" s="1263"/>
      <c r="AP490" s="895"/>
      <c r="AQ490" s="895"/>
      <c r="AR490" s="895"/>
      <c r="AS490" s="895"/>
      <c r="AT490" s="895"/>
      <c r="AU490" s="895"/>
      <c r="AV490" s="895"/>
      <c r="AW490" s="895"/>
      <c r="AX490" s="895"/>
      <c r="AY490" s="895"/>
      <c r="AZ490" s="895"/>
      <c r="BA490" s="895"/>
      <c r="BB490" s="895"/>
      <c r="BC490" s="895"/>
      <c r="BD490" s="895"/>
      <c r="BE490" s="895"/>
      <c r="BF490" s="895"/>
      <c r="BG490" s="895"/>
      <c r="BH490" s="895"/>
      <c r="BI490" s="895"/>
      <c r="BJ490" s="895"/>
    </row>
    <row r="491" spans="1:62" ht="15.75" customHeight="1">
      <c r="A491" s="883" t="s">
        <v>187</v>
      </c>
      <c r="B491" s="892"/>
      <c r="C491" s="1124" t="s">
        <v>227</v>
      </c>
      <c r="D491" s="895"/>
      <c r="E491" s="895"/>
      <c r="F491" s="895"/>
      <c r="G491" s="895"/>
      <c r="H491" s="895"/>
      <c r="I491" s="895"/>
      <c r="J491" s="895"/>
      <c r="K491" s="895"/>
      <c r="L491" s="895"/>
      <c r="M491" s="895"/>
      <c r="N491" s="895"/>
      <c r="O491" s="895"/>
      <c r="P491" s="895"/>
      <c r="Q491" s="895"/>
      <c r="R491" s="895"/>
      <c r="S491" s="895"/>
      <c r="T491" s="895"/>
      <c r="U491" s="895"/>
      <c r="V491" s="986" t="s">
        <v>187</v>
      </c>
      <c r="W491" s="1162"/>
      <c r="X491" s="1155"/>
      <c r="Y491" s="1163"/>
      <c r="Z491" s="1156">
        <v>43648</v>
      </c>
      <c r="AA491" s="1155"/>
      <c r="AB491" s="1163"/>
      <c r="AC491" s="1156"/>
      <c r="AD491" s="1155"/>
      <c r="AE491" s="1163"/>
      <c r="AF491" s="1156">
        <v>42648</v>
      </c>
      <c r="AG491" s="1155"/>
      <c r="AH491" s="1158">
        <v>-1000</v>
      </c>
      <c r="AI491" s="1182">
        <v>-2.2910557184750734E-2</v>
      </c>
      <c r="AJ491" s="1155"/>
      <c r="AK491" s="1155"/>
      <c r="AL491" s="1156">
        <v>34648</v>
      </c>
      <c r="AM491" s="1160"/>
      <c r="AN491" s="1158">
        <v>8000</v>
      </c>
      <c r="AO491" s="1166">
        <v>0.23089355806972986</v>
      </c>
      <c r="AP491" s="895"/>
      <c r="AQ491" s="895"/>
      <c r="AR491" s="895"/>
      <c r="AS491" s="895"/>
      <c r="AT491" s="895"/>
      <c r="AU491" s="895"/>
      <c r="AV491" s="895"/>
      <c r="AW491" s="895"/>
      <c r="AX491" s="895"/>
      <c r="AY491" s="895"/>
      <c r="AZ491" s="895"/>
      <c r="BA491" s="895"/>
      <c r="BB491" s="895"/>
      <c r="BC491" s="895"/>
      <c r="BD491" s="895"/>
      <c r="BE491" s="895"/>
      <c r="BF491" s="895"/>
      <c r="BG491" s="895"/>
      <c r="BH491" s="895"/>
      <c r="BI491" s="895"/>
      <c r="BJ491" s="895"/>
    </row>
    <row r="492" spans="1:62" ht="15.75" customHeight="1">
      <c r="A492" s="883" t="s">
        <v>188</v>
      </c>
      <c r="B492" s="892"/>
      <c r="C492" s="1124" t="s">
        <v>227</v>
      </c>
      <c r="D492" s="895"/>
      <c r="E492" s="895"/>
      <c r="F492" s="1042"/>
      <c r="G492" s="895"/>
      <c r="H492" s="895"/>
      <c r="I492" s="1042"/>
      <c r="J492" s="895"/>
      <c r="K492" s="895"/>
      <c r="L492" s="895"/>
      <c r="M492" s="1042"/>
      <c r="N492" s="895"/>
      <c r="O492" s="895"/>
      <c r="P492" s="895"/>
      <c r="Q492" s="1042"/>
      <c r="R492" s="1042"/>
      <c r="S492" s="1042"/>
      <c r="T492" s="895"/>
      <c r="U492" s="895"/>
      <c r="V492" s="986" t="s">
        <v>188</v>
      </c>
      <c r="W492" s="895"/>
      <c r="X492" s="895"/>
      <c r="Y492" s="895"/>
      <c r="Z492" s="1156">
        <v>0</v>
      </c>
      <c r="AA492" s="895"/>
      <c r="AB492" s="895"/>
      <c r="AC492" s="1156"/>
      <c r="AD492" s="895"/>
      <c r="AE492" s="898"/>
      <c r="AF492" s="1156">
        <v>0</v>
      </c>
      <c r="AG492" s="895"/>
      <c r="AH492" s="1158">
        <v>0</v>
      </c>
      <c r="AI492" s="1182">
        <v>0</v>
      </c>
      <c r="AJ492" s="895"/>
      <c r="AK492" s="895"/>
      <c r="AL492" s="1156">
        <v>0</v>
      </c>
      <c r="AM492" s="1262"/>
      <c r="AN492" s="1158">
        <v>0</v>
      </c>
      <c r="AO492" s="1166">
        <v>0</v>
      </c>
      <c r="AP492" s="895"/>
      <c r="AQ492" s="895"/>
      <c r="AR492" s="895"/>
      <c r="AS492" s="895"/>
      <c r="AT492" s="895"/>
      <c r="AU492" s="895"/>
      <c r="AV492" s="895"/>
      <c r="AW492" s="895"/>
      <c r="AX492" s="895"/>
      <c r="AY492" s="895"/>
      <c r="AZ492" s="895"/>
      <c r="BA492" s="895"/>
      <c r="BB492" s="895"/>
      <c r="BC492" s="895"/>
      <c r="BD492" s="895"/>
      <c r="BE492" s="895"/>
      <c r="BF492" s="895"/>
      <c r="BG492" s="895"/>
      <c r="BH492" s="895"/>
      <c r="BI492" s="895"/>
      <c r="BJ492" s="895"/>
    </row>
    <row r="493" spans="1:62" ht="15.75" customHeight="1">
      <c r="A493" s="883" t="s">
        <v>189</v>
      </c>
      <c r="B493" s="892"/>
      <c r="C493" s="1124" t="s">
        <v>227</v>
      </c>
      <c r="D493" s="895"/>
      <c r="E493" s="895"/>
      <c r="F493" s="1042"/>
      <c r="G493" s="895"/>
      <c r="H493" s="895"/>
      <c r="I493" s="1042"/>
      <c r="J493" s="895"/>
      <c r="K493" s="895"/>
      <c r="L493" s="895"/>
      <c r="M493" s="1042"/>
      <c r="N493" s="895"/>
      <c r="O493" s="895"/>
      <c r="P493" s="895"/>
      <c r="Q493" s="1042"/>
      <c r="R493" s="1042"/>
      <c r="S493" s="1042"/>
      <c r="T493" s="895"/>
      <c r="U493" s="895"/>
      <c r="V493" s="986" t="s">
        <v>189</v>
      </c>
      <c r="W493" s="898"/>
      <c r="X493" s="898"/>
      <c r="Y493" s="898"/>
      <c r="Z493" s="1156">
        <v>0</v>
      </c>
      <c r="AA493" s="895"/>
      <c r="AB493" s="895"/>
      <c r="AC493" s="1156"/>
      <c r="AD493" s="895"/>
      <c r="AE493" s="898"/>
      <c r="AF493" s="1156">
        <v>0</v>
      </c>
      <c r="AG493" s="895"/>
      <c r="AH493" s="1158">
        <v>0</v>
      </c>
      <c r="AI493" s="1182">
        <v>0</v>
      </c>
      <c r="AJ493" s="895"/>
      <c r="AK493" s="895"/>
      <c r="AL493" s="1156">
        <v>-332.94</v>
      </c>
      <c r="AM493" s="1262"/>
      <c r="AN493" s="1158">
        <v>332.94</v>
      </c>
      <c r="AO493" s="1166">
        <v>-1</v>
      </c>
      <c r="AP493" s="895"/>
      <c r="AQ493" s="895"/>
      <c r="AR493" s="895"/>
      <c r="AS493" s="895"/>
      <c r="AT493" s="895"/>
      <c r="AU493" s="895"/>
      <c r="AV493" s="895"/>
      <c r="AW493" s="895"/>
      <c r="AX493" s="895"/>
      <c r="AY493" s="895"/>
      <c r="AZ493" s="895"/>
      <c r="BA493" s="895"/>
      <c r="BB493" s="895"/>
      <c r="BC493" s="895"/>
      <c r="BD493" s="895"/>
      <c r="BE493" s="895"/>
      <c r="BF493" s="895"/>
      <c r="BG493" s="895"/>
      <c r="BH493" s="895"/>
      <c r="BI493" s="895"/>
      <c r="BJ493" s="895"/>
    </row>
    <row r="494" spans="1:62" ht="15.75" customHeight="1">
      <c r="A494" s="883" t="s">
        <v>190</v>
      </c>
      <c r="B494" s="892"/>
      <c r="C494" s="1124" t="s">
        <v>227</v>
      </c>
      <c r="D494" s="895"/>
      <c r="E494" s="895"/>
      <c r="F494" s="1042"/>
      <c r="G494" s="895"/>
      <c r="H494" s="895"/>
      <c r="I494" s="1042"/>
      <c r="J494" s="895"/>
      <c r="K494" s="895"/>
      <c r="L494" s="895"/>
      <c r="M494" s="1042"/>
      <c r="N494" s="895"/>
      <c r="O494" s="895"/>
      <c r="P494" s="895"/>
      <c r="Q494" s="1042"/>
      <c r="R494" s="1042"/>
      <c r="S494" s="1042"/>
      <c r="T494" s="895"/>
      <c r="U494" s="895"/>
      <c r="V494" s="986" t="s">
        <v>190</v>
      </c>
      <c r="W494" s="898"/>
      <c r="X494" s="898"/>
      <c r="Y494" s="898"/>
      <c r="Z494" s="1156">
        <v>0</v>
      </c>
      <c r="AA494" s="895"/>
      <c r="AB494" s="895"/>
      <c r="AC494" s="1156"/>
      <c r="AD494" s="895"/>
      <c r="AE494" s="898"/>
      <c r="AF494" s="1156">
        <v>0</v>
      </c>
      <c r="AG494" s="895"/>
      <c r="AH494" s="1158">
        <v>0</v>
      </c>
      <c r="AI494" s="1182">
        <v>0</v>
      </c>
      <c r="AJ494" s="895"/>
      <c r="AK494" s="895"/>
      <c r="AL494" s="1156">
        <v>0</v>
      </c>
      <c r="AM494" s="1262"/>
      <c r="AN494" s="1158">
        <v>0</v>
      </c>
      <c r="AO494" s="1166">
        <v>0</v>
      </c>
      <c r="AP494" s="895"/>
      <c r="AQ494" s="895"/>
      <c r="AR494" s="895"/>
      <c r="AS494" s="895"/>
      <c r="AT494" s="895"/>
      <c r="AU494" s="895"/>
      <c r="AV494" s="895"/>
      <c r="AW494" s="895"/>
      <c r="AX494" s="895"/>
      <c r="AY494" s="895"/>
      <c r="AZ494" s="895"/>
      <c r="BA494" s="895"/>
      <c r="BB494" s="895"/>
      <c r="BC494" s="895"/>
      <c r="BD494" s="895"/>
      <c r="BE494" s="895"/>
      <c r="BF494" s="895"/>
      <c r="BG494" s="895"/>
      <c r="BH494" s="895"/>
      <c r="BI494" s="895"/>
      <c r="BJ494" s="895"/>
    </row>
    <row r="495" spans="1:62" ht="15.75" customHeight="1">
      <c r="A495" s="883" t="s">
        <v>20</v>
      </c>
      <c r="B495" s="892"/>
      <c r="C495" s="1124" t="s">
        <v>227</v>
      </c>
      <c r="D495" s="895"/>
      <c r="E495" s="895"/>
      <c r="F495" s="1042"/>
      <c r="G495" s="895"/>
      <c r="H495" s="895"/>
      <c r="I495" s="1042"/>
      <c r="J495" s="895"/>
      <c r="K495" s="895"/>
      <c r="L495" s="895"/>
      <c r="M495" s="1042"/>
      <c r="N495" s="895"/>
      <c r="O495" s="895"/>
      <c r="P495" s="895"/>
      <c r="Q495" s="1042"/>
      <c r="R495" s="1042"/>
      <c r="S495" s="1042"/>
      <c r="T495" s="895"/>
      <c r="U495" s="895"/>
      <c r="V495" s="986" t="s">
        <v>20</v>
      </c>
      <c r="W495" s="898"/>
      <c r="X495" s="898"/>
      <c r="Y495" s="898"/>
      <c r="Z495" s="1156">
        <v>0</v>
      </c>
      <c r="AA495" s="1155"/>
      <c r="AB495" s="1155"/>
      <c r="AC495" s="1156"/>
      <c r="AD495" s="1164"/>
      <c r="AE495" s="1163"/>
      <c r="AF495" s="1156">
        <v>0</v>
      </c>
      <c r="AG495" s="1157"/>
      <c r="AH495" s="1158">
        <v>0</v>
      </c>
      <c r="AI495" s="1159">
        <v>0</v>
      </c>
      <c r="AJ495" s="1164"/>
      <c r="AK495" s="1155"/>
      <c r="AL495" s="1264">
        <v>0</v>
      </c>
      <c r="AM495" s="1262"/>
      <c r="AN495" s="1158">
        <v>0</v>
      </c>
      <c r="AO495" s="1166">
        <v>0</v>
      </c>
      <c r="AP495" s="895"/>
      <c r="AQ495" s="895"/>
      <c r="AR495" s="895"/>
      <c r="AS495" s="895"/>
      <c r="AT495" s="895"/>
      <c r="AU495" s="895"/>
      <c r="AV495" s="895"/>
      <c r="AW495" s="895"/>
      <c r="AX495" s="895"/>
      <c r="AY495" s="895"/>
      <c r="AZ495" s="895"/>
      <c r="BA495" s="895"/>
      <c r="BB495" s="895"/>
      <c r="BC495" s="895"/>
      <c r="BD495" s="895"/>
      <c r="BE495" s="895"/>
      <c r="BF495" s="895"/>
      <c r="BG495" s="895"/>
      <c r="BH495" s="895"/>
      <c r="BI495" s="895"/>
      <c r="BJ495" s="895"/>
    </row>
    <row r="496" spans="1:62" ht="15.75" customHeight="1">
      <c r="A496" s="986" t="s">
        <v>470</v>
      </c>
      <c r="B496" s="892"/>
      <c r="C496" s="1124" t="s">
        <v>227</v>
      </c>
      <c r="D496" s="895"/>
      <c r="E496" s="895"/>
      <c r="F496" s="1042"/>
      <c r="G496" s="895"/>
      <c r="H496" s="895"/>
      <c r="I496" s="1042"/>
      <c r="J496" s="895"/>
      <c r="K496" s="895"/>
      <c r="L496" s="895"/>
      <c r="M496" s="1042"/>
      <c r="N496" s="895"/>
      <c r="O496" s="895"/>
      <c r="P496" s="895"/>
      <c r="Q496" s="1042"/>
      <c r="R496" s="1042"/>
      <c r="S496" s="1042"/>
      <c r="T496" s="895"/>
      <c r="U496" s="895"/>
      <c r="V496" s="986" t="s">
        <v>470</v>
      </c>
      <c r="W496" s="898"/>
      <c r="X496" s="898"/>
      <c r="Y496" s="898"/>
      <c r="Z496" s="1156">
        <v>-1079.1666666666667</v>
      </c>
      <c r="AA496" s="1155"/>
      <c r="AB496" s="1155"/>
      <c r="AC496" s="1156"/>
      <c r="AD496" s="1164"/>
      <c r="AE496" s="1163"/>
      <c r="AF496" s="1156">
        <v>-1079</v>
      </c>
      <c r="AG496" s="1157"/>
      <c r="AH496" s="1158">
        <v>0.16666666666674246</v>
      </c>
      <c r="AI496" s="1159">
        <v>-1.5444015444022465E-4</v>
      </c>
      <c r="AJ496" s="1164"/>
      <c r="AK496" s="1155"/>
      <c r="AL496" s="1156">
        <v>-1458.19</v>
      </c>
      <c r="AM496" s="1262"/>
      <c r="AN496" s="1158">
        <v>379.19000000000005</v>
      </c>
      <c r="AO496" s="1166">
        <v>-0.2600415583703084</v>
      </c>
      <c r="AP496" s="895"/>
      <c r="AQ496" s="895"/>
      <c r="AR496" s="895"/>
      <c r="AS496" s="895"/>
      <c r="AT496" s="895"/>
      <c r="AU496" s="895"/>
      <c r="AV496" s="895"/>
      <c r="AW496" s="895"/>
      <c r="AX496" s="895"/>
      <c r="AY496" s="895"/>
      <c r="AZ496" s="895"/>
      <c r="BA496" s="895"/>
      <c r="BB496" s="895"/>
      <c r="BC496" s="895"/>
      <c r="BD496" s="895"/>
      <c r="BE496" s="895"/>
      <c r="BF496" s="895"/>
      <c r="BG496" s="895"/>
      <c r="BH496" s="895"/>
      <c r="BI496" s="895"/>
      <c r="BJ496" s="895"/>
    </row>
    <row r="497" spans="1:62" ht="15.75" customHeight="1" thickBot="1">
      <c r="A497" s="883" t="s">
        <v>20</v>
      </c>
      <c r="B497" s="892"/>
      <c r="C497" s="1124" t="s">
        <v>227</v>
      </c>
      <c r="D497" s="895"/>
      <c r="E497" s="895"/>
      <c r="F497" s="1042"/>
      <c r="G497" s="895"/>
      <c r="H497" s="895"/>
      <c r="I497" s="1042"/>
      <c r="J497" s="895"/>
      <c r="K497" s="895"/>
      <c r="L497" s="895"/>
      <c r="M497" s="1042"/>
      <c r="N497" s="895"/>
      <c r="O497" s="895"/>
      <c r="P497" s="895"/>
      <c r="Q497" s="1042"/>
      <c r="R497" s="1042"/>
      <c r="S497" s="1042"/>
      <c r="T497" s="895"/>
      <c r="U497" s="895"/>
      <c r="V497" s="986" t="s">
        <v>20</v>
      </c>
      <c r="W497" s="898"/>
      <c r="X497" s="895"/>
      <c r="Y497" s="898"/>
      <c r="Z497" s="1156">
        <v>0</v>
      </c>
      <c r="AA497" s="1155"/>
      <c r="AB497" s="1155"/>
      <c r="AC497" s="1156"/>
      <c r="AD497" s="1164"/>
      <c r="AE497" s="1163"/>
      <c r="AF497" s="1156">
        <v>0</v>
      </c>
      <c r="AG497" s="1157"/>
      <c r="AH497" s="1158">
        <v>0</v>
      </c>
      <c r="AI497" s="1159">
        <v>0</v>
      </c>
      <c r="AJ497" s="1164"/>
      <c r="AK497" s="1155"/>
      <c r="AL497" s="1156">
        <v>0</v>
      </c>
      <c r="AM497" s="1262"/>
      <c r="AN497" s="1158">
        <v>0</v>
      </c>
      <c r="AO497" s="1166">
        <v>0</v>
      </c>
      <c r="AP497" s="895"/>
      <c r="AQ497" s="895"/>
      <c r="AR497" s="895"/>
      <c r="AS497" s="895"/>
      <c r="AT497" s="895"/>
      <c r="AU497" s="895"/>
      <c r="AV497" s="895"/>
      <c r="AW497" s="895"/>
      <c r="AX497" s="895"/>
      <c r="AY497" s="895"/>
      <c r="AZ497" s="895"/>
      <c r="BA497" s="895"/>
      <c r="BB497" s="895"/>
      <c r="BC497" s="895"/>
      <c r="BD497" s="895"/>
      <c r="BE497" s="895"/>
      <c r="BF497" s="895"/>
      <c r="BG497" s="895"/>
      <c r="BH497" s="895"/>
      <c r="BI497" s="895"/>
      <c r="BJ497" s="895"/>
    </row>
    <row r="498" spans="1:62" ht="15.75" customHeight="1" thickTop="1" thickBot="1">
      <c r="A498" s="883" t="s">
        <v>191</v>
      </c>
      <c r="B498" s="892"/>
      <c r="C498" s="1124" t="s">
        <v>227</v>
      </c>
      <c r="D498" s="895"/>
      <c r="E498" s="895"/>
      <c r="F498" s="1042"/>
      <c r="G498" s="895"/>
      <c r="H498" s="895"/>
      <c r="I498" s="1042"/>
      <c r="J498" s="895"/>
      <c r="K498" s="895"/>
      <c r="L498" s="895"/>
      <c r="M498" s="1042"/>
      <c r="N498" s="895"/>
      <c r="O498" s="895"/>
      <c r="P498" s="895"/>
      <c r="Q498" s="1042"/>
      <c r="R498" s="1042"/>
      <c r="S498" s="1042"/>
      <c r="T498" s="895"/>
      <c r="U498" s="895"/>
      <c r="V498" s="1236" t="s">
        <v>191</v>
      </c>
      <c r="W498" s="1237"/>
      <c r="X498" s="1238" t="s">
        <v>185</v>
      </c>
      <c r="Y498" s="1239">
        <v>1.9509173085477699E-2</v>
      </c>
      <c r="Z498" s="1240">
        <v>105177.54601562432</v>
      </c>
      <c r="AA498" s="1238"/>
      <c r="AB498" s="1239"/>
      <c r="AC498" s="1240"/>
      <c r="AD498" s="1238" t="s">
        <v>185</v>
      </c>
      <c r="AE498" s="1239">
        <v>4.4307214924267264E-2</v>
      </c>
      <c r="AF498" s="1241">
        <v>256973.92000000022</v>
      </c>
      <c r="AG498" s="1242"/>
      <c r="AH498" s="1242">
        <v>151796.37398437591</v>
      </c>
      <c r="AI498" s="1243">
        <v>1.4432393579692977</v>
      </c>
      <c r="AJ498" s="1244" t="s">
        <v>185</v>
      </c>
      <c r="AK498" s="1239">
        <v>7.2226731505700163E-3</v>
      </c>
      <c r="AL498" s="1241">
        <v>31246.539999999972</v>
      </c>
      <c r="AM498" s="1245"/>
      <c r="AN498" s="1241">
        <v>225727.38000000024</v>
      </c>
      <c r="AO498" s="1253">
        <v>7.2240760096958079</v>
      </c>
      <c r="AP498" s="895"/>
      <c r="AQ498" s="895"/>
      <c r="AR498" s="895"/>
      <c r="AS498" s="895"/>
      <c r="AT498" s="895"/>
      <c r="AU498" s="895"/>
      <c r="AV498" s="895"/>
      <c r="AW498" s="895"/>
      <c r="AX498" s="895"/>
      <c r="AY498" s="895"/>
      <c r="AZ498" s="895"/>
      <c r="BA498" s="895"/>
      <c r="BB498" s="895"/>
      <c r="BC498" s="895"/>
      <c r="BD498" s="895"/>
      <c r="BE498" s="895"/>
      <c r="BF498" s="895"/>
      <c r="BG498" s="895"/>
      <c r="BH498" s="895"/>
      <c r="BI498" s="895"/>
      <c r="BJ498" s="895"/>
    </row>
    <row r="499" spans="1:62" ht="15.75" customHeight="1" thickTop="1">
      <c r="A499" s="883" t="s">
        <v>469</v>
      </c>
      <c r="B499" s="892"/>
      <c r="C499" s="895"/>
      <c r="D499" s="895"/>
      <c r="E499" s="895"/>
      <c r="F499" s="1042"/>
      <c r="G499" s="895"/>
      <c r="H499" s="895"/>
      <c r="I499" s="1042"/>
      <c r="J499" s="895"/>
      <c r="K499" s="895"/>
      <c r="L499" s="895"/>
      <c r="M499" s="1042"/>
      <c r="N499" s="895"/>
      <c r="O499" s="895"/>
      <c r="P499" s="895"/>
      <c r="Q499" s="1042"/>
      <c r="R499" s="1042"/>
      <c r="S499" s="1042"/>
      <c r="T499" s="895"/>
      <c r="U499" s="895"/>
      <c r="AP499" s="895"/>
      <c r="AQ499" s="895"/>
      <c r="AR499" s="895"/>
      <c r="AS499" s="895"/>
      <c r="AT499" s="895"/>
      <c r="AU499" s="895"/>
      <c r="AV499" s="895"/>
      <c r="AW499" s="895"/>
      <c r="AX499" s="895"/>
      <c r="AY499" s="895"/>
      <c r="AZ499" s="895"/>
      <c r="BA499" s="895"/>
      <c r="BB499" s="895"/>
      <c r="BC499" s="895"/>
      <c r="BD499" s="895"/>
      <c r="BE499" s="895"/>
      <c r="BF499" s="895"/>
      <c r="BG499" s="895"/>
      <c r="BH499" s="895"/>
      <c r="BI499" s="895"/>
      <c r="BJ499" s="895"/>
    </row>
    <row r="500" spans="1:62" ht="15.75" customHeight="1">
      <c r="B500" s="892"/>
      <c r="T500" s="895"/>
      <c r="U500" s="895"/>
      <c r="V500" s="895"/>
      <c r="W500" s="895"/>
      <c r="X500" s="895"/>
      <c r="Y500" s="895"/>
      <c r="Z500" s="1042"/>
      <c r="AA500" s="895"/>
      <c r="AB500" s="895"/>
      <c r="AC500" s="1042"/>
      <c r="AE500" s="1265" t="s">
        <v>479</v>
      </c>
      <c r="AF500" s="1265">
        <v>180593</v>
      </c>
      <c r="AG500" s="895"/>
      <c r="AH500" s="895"/>
      <c r="AI500" s="895"/>
      <c r="AJ500" s="1266"/>
      <c r="AK500" s="1267"/>
      <c r="AL500" s="1268"/>
      <c r="AM500" s="895"/>
      <c r="AN500" s="895"/>
      <c r="AO500" s="895"/>
      <c r="AP500" s="895"/>
      <c r="AQ500" s="895"/>
      <c r="AR500" s="895"/>
      <c r="AS500" s="895"/>
      <c r="AT500" s="895"/>
      <c r="AU500" s="895"/>
      <c r="AV500" s="895"/>
      <c r="AW500" s="895"/>
      <c r="AX500" s="895"/>
      <c r="AY500" s="895"/>
      <c r="AZ500" s="895"/>
      <c r="BA500" s="895"/>
      <c r="BB500" s="895"/>
      <c r="BC500" s="895"/>
      <c r="BD500" s="895"/>
      <c r="BE500" s="895"/>
      <c r="BF500" s="895"/>
      <c r="BG500" s="895"/>
      <c r="BH500" s="895"/>
      <c r="BI500" s="895"/>
      <c r="BJ500" s="895"/>
    </row>
    <row r="501" spans="1:62" ht="15.75" customHeight="1">
      <c r="B501" s="892"/>
      <c r="C501" s="895"/>
      <c r="S501" s="1042"/>
      <c r="W501" s="895"/>
      <c r="X501" s="895"/>
      <c r="Y501" s="895"/>
      <c r="Z501" s="1042"/>
      <c r="AA501" s="895"/>
      <c r="AB501" s="895"/>
      <c r="AC501" s="1042"/>
      <c r="AD501" s="895"/>
      <c r="AE501" s="895"/>
      <c r="AF501" s="1265"/>
      <c r="AG501" s="895"/>
      <c r="AH501" s="895"/>
      <c r="AI501" s="895"/>
      <c r="AJ501" s="895"/>
      <c r="AL501" s="1268"/>
      <c r="AM501" s="895"/>
      <c r="AN501" s="895"/>
      <c r="AO501" s="895"/>
      <c r="AP501" s="895"/>
      <c r="AQ501" s="895"/>
      <c r="AR501" s="895"/>
      <c r="AS501" s="895"/>
      <c r="AT501" s="895"/>
      <c r="AU501" s="895"/>
      <c r="AV501" s="895"/>
      <c r="AW501" s="895"/>
      <c r="AX501" s="895"/>
      <c r="AY501" s="895"/>
      <c r="AZ501" s="895"/>
      <c r="BA501" s="895"/>
      <c r="BB501" s="895"/>
      <c r="BC501" s="895"/>
      <c r="BD501" s="895"/>
      <c r="BE501" s="895"/>
      <c r="BF501" s="895"/>
      <c r="BG501" s="895"/>
      <c r="BH501" s="895"/>
      <c r="BI501" s="895"/>
      <c r="BJ501" s="895"/>
    </row>
    <row r="502" spans="1:62" ht="15.75" customHeight="1">
      <c r="B502" s="892"/>
      <c r="C502" s="1155"/>
      <c r="W502" s="895"/>
      <c r="X502" s="895"/>
      <c r="Y502" s="895"/>
      <c r="AE502" s="895"/>
      <c r="AF502" s="1042"/>
      <c r="AG502" s="895"/>
      <c r="AH502" s="895"/>
      <c r="AM502" s="895"/>
      <c r="AN502" s="895"/>
      <c r="AO502" s="895"/>
      <c r="AP502" s="895"/>
      <c r="AQ502" s="895"/>
      <c r="AR502" s="895"/>
      <c r="AS502" s="895"/>
      <c r="AT502" s="895"/>
      <c r="AU502" s="895"/>
      <c r="AV502" s="895"/>
      <c r="AW502" s="895"/>
      <c r="AX502" s="895"/>
      <c r="AY502" s="895"/>
      <c r="AZ502" s="895"/>
      <c r="BA502" s="895"/>
      <c r="BB502" s="895"/>
      <c r="BC502" s="895"/>
      <c r="BD502" s="895"/>
      <c r="BE502" s="895"/>
      <c r="BF502" s="895"/>
      <c r="BG502" s="895"/>
      <c r="BH502" s="895"/>
      <c r="BI502" s="895"/>
      <c r="BJ502" s="895"/>
    </row>
    <row r="503" spans="1:62" ht="15.75" customHeight="1">
      <c r="B503" s="892"/>
      <c r="C503" s="1155"/>
      <c r="W503" s="895"/>
      <c r="X503" s="895"/>
      <c r="Y503" s="895"/>
      <c r="Z503" s="895"/>
      <c r="AA503" s="895"/>
      <c r="AB503" s="895"/>
      <c r="AC503" s="895"/>
      <c r="AD503" s="895"/>
      <c r="AE503" s="895"/>
      <c r="AF503" s="895"/>
      <c r="AG503" s="895"/>
      <c r="AH503" s="895"/>
      <c r="AI503" s="895"/>
      <c r="AJ503" s="1269"/>
      <c r="AK503" s="1267"/>
      <c r="AL503" s="1268"/>
      <c r="AM503" s="895"/>
      <c r="AN503" s="895"/>
      <c r="AO503" s="895"/>
      <c r="AP503" s="895"/>
      <c r="AQ503" s="895"/>
      <c r="AR503" s="895"/>
      <c r="AS503" s="895"/>
      <c r="AT503" s="895"/>
      <c r="AU503" s="895"/>
      <c r="AV503" s="895"/>
      <c r="AW503" s="895"/>
      <c r="AX503" s="895"/>
      <c r="AY503" s="895"/>
      <c r="AZ503" s="895"/>
      <c r="BA503" s="895"/>
      <c r="BB503" s="895"/>
      <c r="BC503" s="895"/>
      <c r="BD503" s="895"/>
      <c r="BE503" s="895"/>
      <c r="BF503" s="895"/>
      <c r="BG503" s="895"/>
      <c r="BH503" s="895"/>
      <c r="BI503" s="895"/>
      <c r="BJ503" s="895"/>
    </row>
    <row r="504" spans="1:62" ht="15.75" customHeight="1">
      <c r="B504" s="892"/>
      <c r="C504" s="1155"/>
      <c r="W504" s="895"/>
      <c r="X504" s="895"/>
      <c r="Y504" s="895"/>
      <c r="Z504" s="895"/>
      <c r="AA504" s="895"/>
      <c r="AB504" s="895"/>
      <c r="AC504" s="895"/>
      <c r="AD504" s="895"/>
      <c r="AE504" s="895"/>
      <c r="AF504" s="895"/>
      <c r="AG504" s="895"/>
      <c r="AH504" s="895"/>
      <c r="AI504" s="895"/>
      <c r="AJ504" s="895"/>
      <c r="AK504" s="895"/>
      <c r="AL504" s="895"/>
      <c r="AM504" s="895"/>
      <c r="AN504" s="895"/>
      <c r="AO504" s="895"/>
      <c r="AP504" s="895"/>
      <c r="AQ504" s="895"/>
      <c r="AR504" s="895"/>
      <c r="AS504" s="895"/>
      <c r="AT504" s="895"/>
      <c r="AU504" s="895"/>
      <c r="AV504" s="895"/>
      <c r="AW504" s="895"/>
      <c r="AX504" s="895"/>
      <c r="AY504" s="895"/>
      <c r="AZ504" s="895"/>
      <c r="BA504" s="895"/>
      <c r="BB504" s="895"/>
      <c r="BC504" s="895"/>
      <c r="BD504" s="895"/>
      <c r="BE504" s="895"/>
      <c r="BF504" s="895"/>
      <c r="BG504" s="895"/>
      <c r="BH504" s="895"/>
      <c r="BI504" s="895"/>
      <c r="BJ504" s="895"/>
    </row>
    <row r="505" spans="1:62" ht="15.75" customHeight="1">
      <c r="B505" s="892"/>
      <c r="C505" s="1155"/>
      <c r="W505" s="895"/>
      <c r="X505" s="895"/>
      <c r="Y505" s="895"/>
      <c r="Z505" s="895"/>
      <c r="AA505" s="895"/>
      <c r="AB505" s="895"/>
      <c r="AC505" s="895"/>
      <c r="AD505" s="895"/>
      <c r="AE505" s="895"/>
      <c r="AF505" s="895"/>
      <c r="AG505" s="895"/>
      <c r="AH505" s="895"/>
      <c r="AI505" s="895"/>
      <c r="AJ505" s="895"/>
      <c r="AK505" s="895"/>
      <c r="AL505" s="895"/>
      <c r="AM505" s="895"/>
      <c r="AN505" s="895"/>
      <c r="AO505" s="895"/>
      <c r="AP505" s="895"/>
      <c r="AQ505" s="895"/>
      <c r="AR505" s="895"/>
      <c r="AS505" s="895"/>
      <c r="AT505" s="895"/>
      <c r="AU505" s="895"/>
      <c r="AV505" s="895"/>
      <c r="AW505" s="895"/>
      <c r="AX505" s="895"/>
      <c r="AY505" s="895"/>
      <c r="AZ505" s="895"/>
      <c r="BA505" s="895"/>
      <c r="BB505" s="895"/>
      <c r="BC505" s="895"/>
      <c r="BD505" s="895"/>
      <c r="BE505" s="895"/>
      <c r="BF505" s="895"/>
      <c r="BG505" s="895"/>
      <c r="BH505" s="895"/>
      <c r="BI505" s="895"/>
      <c r="BJ505" s="895"/>
    </row>
    <row r="506" spans="1:62" ht="15.75" customHeight="1">
      <c r="B506" s="892"/>
      <c r="C506" s="1155"/>
      <c r="W506" s="895"/>
      <c r="X506" s="895"/>
      <c r="Y506" s="895"/>
      <c r="Z506" s="895"/>
      <c r="AA506" s="895"/>
      <c r="AB506" s="895"/>
      <c r="AC506" s="895"/>
      <c r="AD506" s="895"/>
      <c r="AE506" s="895"/>
      <c r="AF506" s="895"/>
      <c r="AG506" s="895"/>
      <c r="AH506" s="895"/>
      <c r="AI506" s="895"/>
      <c r="AJ506" s="895"/>
      <c r="AK506" s="895"/>
      <c r="AL506" s="895"/>
      <c r="AM506" s="895"/>
      <c r="AN506" s="895"/>
      <c r="AO506" s="895"/>
      <c r="AP506" s="895"/>
      <c r="AQ506" s="895"/>
      <c r="AR506" s="895"/>
      <c r="AS506" s="895"/>
      <c r="AT506" s="895"/>
      <c r="AU506" s="895"/>
      <c r="AV506" s="895"/>
      <c r="AW506" s="895"/>
      <c r="AX506" s="895"/>
      <c r="AY506" s="895"/>
      <c r="AZ506" s="895"/>
      <c r="BA506" s="895"/>
      <c r="BB506" s="895"/>
      <c r="BC506" s="895"/>
      <c r="BD506" s="895"/>
      <c r="BE506" s="895"/>
      <c r="BF506" s="895"/>
      <c r="BG506" s="895"/>
      <c r="BH506" s="895"/>
      <c r="BI506" s="895"/>
      <c r="BJ506" s="895"/>
    </row>
    <row r="507" spans="1:62" ht="15.75" customHeight="1">
      <c r="B507" s="892"/>
      <c r="C507" s="1155"/>
      <c r="W507" s="895"/>
      <c r="X507" s="895"/>
      <c r="Y507" s="895"/>
      <c r="Z507" s="895"/>
      <c r="AA507" s="895"/>
      <c r="AB507" s="895"/>
      <c r="AC507" s="895"/>
      <c r="AD507" s="895"/>
      <c r="AE507" s="895"/>
      <c r="AF507" s="895"/>
      <c r="AG507" s="895"/>
      <c r="AH507" s="895"/>
      <c r="AI507" s="895"/>
      <c r="AJ507" s="895"/>
      <c r="AK507" s="895"/>
      <c r="AL507" s="895"/>
      <c r="AM507" s="895"/>
      <c r="AN507" s="895"/>
      <c r="AO507" s="895"/>
      <c r="AP507" s="895"/>
      <c r="AQ507" s="895"/>
      <c r="AR507" s="895"/>
      <c r="AS507" s="895"/>
      <c r="AT507" s="895"/>
      <c r="AU507" s="895"/>
      <c r="AV507" s="895"/>
      <c r="AW507" s="895"/>
      <c r="AX507" s="895"/>
      <c r="AY507" s="895"/>
      <c r="AZ507" s="895"/>
      <c r="BA507" s="895"/>
      <c r="BB507" s="895"/>
      <c r="BC507" s="895"/>
      <c r="BD507" s="895"/>
      <c r="BE507" s="895"/>
      <c r="BF507" s="895"/>
      <c r="BG507" s="895"/>
      <c r="BH507" s="895"/>
      <c r="BI507" s="895"/>
      <c r="BJ507" s="895"/>
    </row>
    <row r="508" spans="1:62" ht="15.75" customHeight="1">
      <c r="B508" s="892"/>
      <c r="C508" s="1155"/>
      <c r="W508" s="895"/>
      <c r="X508" s="895"/>
      <c r="Y508" s="895"/>
      <c r="Z508" s="895"/>
      <c r="AA508" s="895"/>
      <c r="AB508" s="895"/>
      <c r="AC508" s="895"/>
      <c r="AD508" s="895"/>
      <c r="AE508" s="895"/>
      <c r="AF508" s="895"/>
      <c r="AG508" s="895"/>
      <c r="AH508" s="895"/>
      <c r="AI508" s="895"/>
      <c r="AJ508" s="895"/>
      <c r="AK508" s="895"/>
      <c r="AL508" s="895"/>
      <c r="AM508" s="895"/>
      <c r="AN508" s="895"/>
      <c r="AO508" s="895"/>
      <c r="AP508" s="895"/>
      <c r="AQ508" s="895"/>
      <c r="AR508" s="895"/>
      <c r="AS508" s="895"/>
      <c r="AT508" s="895"/>
      <c r="AU508" s="895"/>
      <c r="AV508" s="895"/>
      <c r="AW508" s="895"/>
      <c r="AX508" s="895"/>
      <c r="AY508" s="895"/>
      <c r="AZ508" s="895"/>
      <c r="BA508" s="895"/>
      <c r="BB508" s="895"/>
      <c r="BC508" s="895"/>
      <c r="BD508" s="895"/>
      <c r="BE508" s="895"/>
      <c r="BF508" s="895"/>
      <c r="BG508" s="895"/>
      <c r="BH508" s="895"/>
      <c r="BI508" s="895"/>
      <c r="BJ508" s="895"/>
    </row>
    <row r="509" spans="1:62" ht="15.75" customHeight="1">
      <c r="B509" s="892"/>
      <c r="C509" s="1155"/>
      <c r="W509" s="895"/>
      <c r="X509" s="895"/>
      <c r="Y509" s="895"/>
      <c r="Z509" s="895"/>
      <c r="AA509" s="895"/>
      <c r="AB509" s="895"/>
      <c r="AC509" s="895"/>
      <c r="AD509" s="895"/>
      <c r="AE509" s="895"/>
      <c r="AF509" s="895"/>
      <c r="AG509" s="895"/>
      <c r="AH509" s="895"/>
      <c r="AI509" s="895"/>
      <c r="AJ509" s="895"/>
      <c r="AK509" s="895"/>
      <c r="AL509" s="895"/>
      <c r="AM509" s="895"/>
      <c r="AN509" s="895"/>
      <c r="AO509" s="895"/>
      <c r="AP509" s="895"/>
      <c r="AQ509" s="895"/>
      <c r="AR509" s="895"/>
      <c r="AS509" s="895"/>
      <c r="AT509" s="895"/>
      <c r="AU509" s="895"/>
      <c r="AV509" s="895"/>
      <c r="AW509" s="895"/>
      <c r="AX509" s="895"/>
      <c r="AY509" s="895"/>
      <c r="AZ509" s="895"/>
      <c r="BA509" s="895"/>
      <c r="BB509" s="895"/>
      <c r="BC509" s="895"/>
      <c r="BD509" s="895"/>
      <c r="BE509" s="895"/>
      <c r="BF509" s="895"/>
      <c r="BG509" s="895"/>
      <c r="BH509" s="895"/>
      <c r="BI509" s="895"/>
      <c r="BJ509" s="895"/>
    </row>
    <row r="510" spans="1:62" ht="15.75" customHeight="1">
      <c r="B510" s="892"/>
      <c r="C510" s="1155"/>
      <c r="W510" s="895"/>
      <c r="X510" s="895"/>
      <c r="Y510" s="895"/>
      <c r="Z510" s="895"/>
      <c r="AA510" s="895"/>
      <c r="AB510" s="895"/>
      <c r="AC510" s="895"/>
      <c r="AD510" s="895"/>
      <c r="AE510" s="895"/>
      <c r="AF510" s="895"/>
      <c r="AG510" s="895"/>
      <c r="AH510" s="895"/>
      <c r="AI510" s="895"/>
      <c r="AJ510" s="895"/>
      <c r="AK510" s="895"/>
      <c r="AL510" s="895"/>
      <c r="AM510" s="895"/>
      <c r="AN510" s="895"/>
      <c r="AO510" s="895"/>
      <c r="AP510" s="895"/>
      <c r="AQ510" s="895"/>
      <c r="AR510" s="895"/>
      <c r="AS510" s="895"/>
      <c r="AT510" s="895"/>
      <c r="AU510" s="895"/>
      <c r="AV510" s="895"/>
      <c r="AW510" s="895"/>
      <c r="AX510" s="895"/>
      <c r="AY510" s="895"/>
      <c r="AZ510" s="895"/>
      <c r="BA510" s="895"/>
      <c r="BB510" s="895"/>
      <c r="BC510" s="895"/>
      <c r="BD510" s="895"/>
      <c r="BE510" s="895"/>
      <c r="BF510" s="895"/>
      <c r="BG510" s="895"/>
      <c r="BH510" s="895"/>
      <c r="BI510" s="895"/>
      <c r="BJ510" s="895"/>
    </row>
    <row r="511" spans="1:62" ht="15.75" customHeight="1">
      <c r="B511" s="892"/>
      <c r="C511" s="1155"/>
      <c r="W511" s="895"/>
      <c r="X511" s="895"/>
      <c r="Y511" s="895"/>
      <c r="Z511" s="895"/>
      <c r="AA511" s="895"/>
      <c r="AB511" s="895"/>
      <c r="AC511" s="895"/>
      <c r="AD511" s="895"/>
      <c r="AE511" s="895"/>
      <c r="AF511" s="1265"/>
      <c r="AG511" s="895"/>
      <c r="AH511" s="895"/>
      <c r="AI511" s="895"/>
      <c r="AJ511" s="895"/>
      <c r="AK511" s="895"/>
      <c r="AL511" s="895"/>
      <c r="AM511" s="895"/>
      <c r="AN511" s="895"/>
      <c r="AO511" s="895"/>
      <c r="AP511" s="895"/>
      <c r="AQ511" s="895"/>
      <c r="AR511" s="895"/>
      <c r="AS511" s="895"/>
      <c r="AT511" s="895"/>
      <c r="AU511" s="895"/>
      <c r="AV511" s="895"/>
      <c r="AW511" s="895"/>
      <c r="AX511" s="895"/>
      <c r="AY511" s="895"/>
      <c r="AZ511" s="895"/>
      <c r="BA511" s="895"/>
      <c r="BB511" s="895"/>
      <c r="BC511" s="895"/>
      <c r="BD511" s="895"/>
      <c r="BE511" s="895"/>
      <c r="BF511" s="895"/>
      <c r="BG511" s="895"/>
      <c r="BH511" s="895"/>
      <c r="BI511" s="895"/>
      <c r="BJ511" s="895"/>
    </row>
    <row r="512" spans="1:62" ht="15.75" customHeight="1">
      <c r="B512" s="892"/>
      <c r="C512" s="1155"/>
      <c r="W512" s="895"/>
      <c r="X512" s="895"/>
      <c r="Y512" s="895"/>
      <c r="Z512" s="895"/>
      <c r="AA512" s="895"/>
      <c r="AB512" s="895"/>
      <c r="AC512" s="895"/>
      <c r="AD512" s="895"/>
      <c r="AE512" s="895"/>
      <c r="AF512" s="1270"/>
      <c r="AG512" s="895"/>
      <c r="AH512" s="895"/>
      <c r="AI512" s="895"/>
      <c r="AJ512" s="895"/>
      <c r="AK512" s="895"/>
      <c r="AL512" s="895"/>
      <c r="AM512" s="895"/>
      <c r="AN512" s="895"/>
      <c r="AO512" s="895"/>
      <c r="AP512" s="895"/>
      <c r="AQ512" s="895"/>
      <c r="AR512" s="895"/>
      <c r="AS512" s="895"/>
      <c r="AT512" s="895"/>
      <c r="AU512" s="895"/>
      <c r="AV512" s="895"/>
      <c r="AW512" s="895"/>
      <c r="AX512" s="895"/>
      <c r="AY512" s="895"/>
      <c r="AZ512" s="895"/>
      <c r="BA512" s="895"/>
      <c r="BB512" s="895"/>
      <c r="BC512" s="895"/>
      <c r="BD512" s="895"/>
      <c r="BE512" s="895"/>
      <c r="BF512" s="895"/>
      <c r="BG512" s="895"/>
      <c r="BH512" s="895"/>
      <c r="BI512" s="895"/>
      <c r="BJ512" s="895"/>
    </row>
    <row r="513" spans="2:62" ht="15.75" customHeight="1">
      <c r="B513" s="892"/>
      <c r="C513" s="1155"/>
      <c r="W513" s="895"/>
      <c r="X513" s="895"/>
      <c r="Y513" s="895"/>
      <c r="Z513" s="895"/>
      <c r="AA513" s="895"/>
      <c r="AB513" s="895"/>
      <c r="AC513" s="895"/>
      <c r="AD513" s="895"/>
      <c r="AE513" s="895"/>
      <c r="AF513" s="1270"/>
      <c r="AG513" s="895"/>
      <c r="AH513" s="895"/>
      <c r="AI513" s="895"/>
      <c r="AJ513" s="895"/>
      <c r="AK513" s="895"/>
      <c r="AL513" s="895"/>
      <c r="AM513" s="895"/>
      <c r="AN513" s="895"/>
      <c r="AO513" s="895"/>
      <c r="AP513" s="895"/>
      <c r="AQ513" s="895"/>
      <c r="AR513" s="895"/>
      <c r="AS513" s="895"/>
      <c r="AT513" s="895"/>
      <c r="AU513" s="895"/>
      <c r="AV513" s="895"/>
      <c r="AW513" s="895"/>
      <c r="AX513" s="895"/>
      <c r="AY513" s="895"/>
      <c r="AZ513" s="895"/>
      <c r="BA513" s="895"/>
      <c r="BB513" s="895"/>
      <c r="BC513" s="895"/>
      <c r="BD513" s="895"/>
      <c r="BE513" s="895"/>
      <c r="BF513" s="895"/>
      <c r="BG513" s="895"/>
      <c r="BH513" s="895"/>
      <c r="BI513" s="895"/>
      <c r="BJ513" s="895"/>
    </row>
    <row r="514" spans="2:62" ht="15.75" customHeight="1">
      <c r="B514" s="892"/>
      <c r="C514" s="1155"/>
      <c r="W514" s="895"/>
      <c r="X514" s="895"/>
      <c r="Y514" s="895"/>
      <c r="Z514" s="895"/>
      <c r="AA514" s="895"/>
      <c r="AB514" s="895"/>
      <c r="AC514" s="895"/>
      <c r="AD514" s="895"/>
      <c r="AE514" s="895"/>
      <c r="AF514" s="1270"/>
      <c r="AG514" s="895"/>
      <c r="AH514" s="895"/>
      <c r="AI514" s="895"/>
      <c r="AJ514" s="895"/>
      <c r="AK514" s="895"/>
      <c r="AL514" s="895"/>
      <c r="AM514" s="895"/>
      <c r="AN514" s="895"/>
      <c r="AO514" s="895"/>
      <c r="AP514" s="895"/>
      <c r="AQ514" s="895"/>
      <c r="AR514" s="895"/>
      <c r="AS514" s="895"/>
      <c r="AT514" s="895"/>
      <c r="AU514" s="895"/>
      <c r="AV514" s="895"/>
      <c r="AW514" s="895"/>
      <c r="AX514" s="895"/>
      <c r="AY514" s="895"/>
      <c r="AZ514" s="895"/>
      <c r="BA514" s="895"/>
      <c r="BB514" s="895"/>
      <c r="BC514" s="895"/>
      <c r="BD514" s="895"/>
      <c r="BE514" s="895"/>
      <c r="BF514" s="895"/>
      <c r="BG514" s="895"/>
      <c r="BH514" s="895"/>
      <c r="BI514" s="895"/>
      <c r="BJ514" s="895"/>
    </row>
    <row r="515" spans="2:62" ht="15.75" customHeight="1">
      <c r="B515" s="892"/>
      <c r="C515" s="1155"/>
      <c r="W515" s="895"/>
      <c r="X515" s="895"/>
      <c r="Y515" s="895"/>
      <c r="Z515" s="895"/>
      <c r="AA515" s="895"/>
      <c r="AB515" s="895"/>
      <c r="AC515" s="895"/>
      <c r="AD515" s="895"/>
      <c r="AE515" s="895"/>
      <c r="AF515" s="895"/>
      <c r="AG515" s="895"/>
      <c r="AH515" s="895"/>
      <c r="AI515" s="895"/>
      <c r="AJ515" s="895"/>
      <c r="AK515" s="895"/>
      <c r="AL515" s="895"/>
      <c r="AM515" s="895"/>
      <c r="AN515" s="895"/>
      <c r="AO515" s="895"/>
      <c r="AP515" s="895"/>
      <c r="AQ515" s="895"/>
      <c r="AR515" s="895"/>
      <c r="AS515" s="895"/>
      <c r="AT515" s="895"/>
      <c r="AU515" s="895"/>
      <c r="AV515" s="895"/>
      <c r="AW515" s="895"/>
      <c r="AX515" s="895"/>
      <c r="AY515" s="895"/>
      <c r="AZ515" s="895"/>
      <c r="BA515" s="895"/>
      <c r="BB515" s="895"/>
      <c r="BC515" s="895"/>
      <c r="BD515" s="895"/>
      <c r="BE515" s="895"/>
      <c r="BF515" s="895"/>
      <c r="BG515" s="895"/>
      <c r="BH515" s="895"/>
      <c r="BI515" s="895"/>
      <c r="BJ515" s="895"/>
    </row>
    <row r="516" spans="2:62" ht="15.75" customHeight="1">
      <c r="B516" s="892"/>
      <c r="W516" s="895"/>
      <c r="X516" s="895"/>
      <c r="Y516" s="895"/>
      <c r="Z516" s="895"/>
      <c r="AA516" s="895"/>
      <c r="AB516" s="895"/>
      <c r="AC516" s="895"/>
      <c r="AD516" s="895"/>
      <c r="AE516" s="895"/>
      <c r="AF516" s="895"/>
      <c r="AG516" s="895"/>
      <c r="AH516" s="895"/>
      <c r="AI516" s="895"/>
      <c r="AJ516" s="895"/>
      <c r="AK516" s="895"/>
      <c r="AL516" s="895"/>
      <c r="AM516" s="895"/>
      <c r="AN516" s="895"/>
      <c r="AO516" s="895"/>
      <c r="AP516" s="895"/>
      <c r="AQ516" s="895"/>
      <c r="AR516" s="895"/>
      <c r="AS516" s="895"/>
      <c r="AT516" s="895"/>
      <c r="AU516" s="895"/>
      <c r="AV516" s="895"/>
      <c r="AW516" s="895"/>
      <c r="AX516" s="895"/>
      <c r="AY516" s="895"/>
      <c r="AZ516" s="895"/>
      <c r="BA516" s="895"/>
      <c r="BB516" s="895"/>
      <c r="BC516" s="895"/>
      <c r="BD516" s="895"/>
      <c r="BE516" s="895"/>
      <c r="BF516" s="895"/>
      <c r="BG516" s="895"/>
      <c r="BH516" s="895"/>
      <c r="BI516" s="895"/>
      <c r="BJ516" s="895"/>
    </row>
    <row r="517" spans="2:62" ht="15.75" customHeight="1">
      <c r="B517" s="892"/>
      <c r="W517" s="895"/>
      <c r="X517" s="895"/>
      <c r="Y517" s="895"/>
      <c r="Z517" s="895"/>
      <c r="AA517" s="895"/>
      <c r="AB517" s="895"/>
      <c r="AC517" s="895"/>
      <c r="AD517" s="895"/>
      <c r="AE517" s="895"/>
      <c r="AF517" s="895"/>
      <c r="AG517" s="895"/>
      <c r="AH517" s="895"/>
      <c r="AI517" s="895"/>
      <c r="AJ517" s="895"/>
      <c r="AK517" s="895"/>
      <c r="AL517" s="895"/>
      <c r="AM517" s="895"/>
      <c r="AN517" s="895"/>
      <c r="AO517" s="895"/>
      <c r="AP517" s="895"/>
      <c r="AQ517" s="895"/>
      <c r="AR517" s="895"/>
      <c r="AS517" s="895"/>
      <c r="AT517" s="895"/>
      <c r="AU517" s="895"/>
      <c r="AV517" s="895"/>
      <c r="AW517" s="895"/>
      <c r="AX517" s="895"/>
      <c r="AY517" s="895"/>
      <c r="AZ517" s="895"/>
      <c r="BA517" s="895"/>
      <c r="BB517" s="895"/>
      <c r="BC517" s="895"/>
      <c r="BD517" s="895"/>
      <c r="BE517" s="895"/>
      <c r="BF517" s="895"/>
      <c r="BG517" s="895"/>
      <c r="BH517" s="895"/>
      <c r="BI517" s="895"/>
      <c r="BJ517" s="895"/>
    </row>
    <row r="518" spans="2:62" ht="15.75" customHeight="1">
      <c r="B518" s="892"/>
      <c r="W518" s="895"/>
      <c r="X518" s="895"/>
      <c r="Y518" s="895"/>
      <c r="Z518" s="895"/>
      <c r="AA518" s="895"/>
      <c r="AB518" s="895"/>
      <c r="AC518" s="895"/>
      <c r="AD518" s="895"/>
      <c r="AE518" s="895"/>
      <c r="AF518" s="895"/>
      <c r="AG518" s="895"/>
      <c r="AH518" s="895"/>
      <c r="AI518" s="895"/>
      <c r="AJ518" s="895"/>
      <c r="AK518" s="895"/>
      <c r="AL518" s="895"/>
      <c r="AM518" s="895"/>
      <c r="AN518" s="895"/>
      <c r="AO518" s="895"/>
      <c r="AP518" s="895"/>
      <c r="AQ518" s="895"/>
      <c r="AR518" s="895"/>
      <c r="AS518" s="895"/>
      <c r="AT518" s="895"/>
      <c r="AU518" s="895"/>
      <c r="AV518" s="895"/>
      <c r="AW518" s="895"/>
      <c r="AX518" s="895"/>
      <c r="AY518" s="895"/>
      <c r="AZ518" s="895"/>
      <c r="BA518" s="895"/>
      <c r="BB518" s="895"/>
      <c r="BC518" s="895"/>
      <c r="BD518" s="895"/>
      <c r="BE518" s="895"/>
      <c r="BF518" s="895"/>
      <c r="BG518" s="895"/>
      <c r="BH518" s="895"/>
      <c r="BI518" s="895"/>
      <c r="BJ518" s="895"/>
    </row>
    <row r="519" spans="2:62" ht="15.75" customHeight="1">
      <c r="B519" s="892"/>
      <c r="W519" s="895"/>
      <c r="X519" s="895"/>
      <c r="Y519" s="895"/>
      <c r="Z519" s="895"/>
      <c r="AA519" s="895"/>
      <c r="AB519" s="895"/>
      <c r="AC519" s="895"/>
      <c r="AD519" s="895"/>
      <c r="AE519" s="895"/>
      <c r="AF519" s="895"/>
      <c r="AG519" s="895"/>
      <c r="AH519" s="895"/>
      <c r="AI519" s="895"/>
      <c r="AJ519" s="895"/>
      <c r="AK519" s="895"/>
      <c r="AL519" s="895"/>
      <c r="AM519" s="895"/>
      <c r="AN519" s="895"/>
      <c r="AO519" s="895"/>
      <c r="AP519" s="895"/>
      <c r="AQ519" s="895"/>
      <c r="AR519" s="895"/>
      <c r="AS519" s="895"/>
      <c r="AT519" s="895"/>
      <c r="AU519" s="895"/>
      <c r="AV519" s="895"/>
      <c r="AW519" s="895"/>
      <c r="AX519" s="895"/>
      <c r="AY519" s="895"/>
      <c r="AZ519" s="895"/>
      <c r="BA519" s="895"/>
      <c r="BB519" s="895"/>
      <c r="BC519" s="895"/>
      <c r="BD519" s="895"/>
      <c r="BE519" s="895"/>
      <c r="BF519" s="895"/>
      <c r="BG519" s="895"/>
      <c r="BH519" s="895"/>
      <c r="BI519" s="895"/>
      <c r="BJ519" s="895"/>
    </row>
    <row r="520" spans="2:62" ht="15.75" customHeight="1">
      <c r="B520" s="892"/>
      <c r="W520" s="895"/>
      <c r="X520" s="895"/>
      <c r="Y520" s="895"/>
      <c r="Z520" s="895"/>
      <c r="AA520" s="895"/>
      <c r="AB520" s="895"/>
      <c r="AC520" s="895"/>
      <c r="AD520" s="895"/>
      <c r="AE520" s="895"/>
      <c r="AF520" s="895"/>
      <c r="AG520" s="895"/>
      <c r="AH520" s="895"/>
      <c r="AI520" s="895"/>
      <c r="AJ520" s="895"/>
      <c r="AK520" s="895"/>
      <c r="AL520" s="895"/>
      <c r="AM520" s="895"/>
      <c r="AN520" s="895"/>
      <c r="AO520" s="895"/>
      <c r="AP520" s="895"/>
      <c r="AQ520" s="895"/>
      <c r="AR520" s="895"/>
      <c r="AS520" s="895"/>
      <c r="AT520" s="895"/>
      <c r="AU520" s="895"/>
      <c r="AV520" s="895"/>
      <c r="AW520" s="895"/>
      <c r="AX520" s="895"/>
      <c r="AY520" s="895"/>
      <c r="AZ520" s="895"/>
      <c r="BA520" s="895"/>
      <c r="BB520" s="895"/>
      <c r="BC520" s="895"/>
      <c r="BD520" s="895"/>
      <c r="BE520" s="895"/>
      <c r="BF520" s="895"/>
      <c r="BG520" s="895"/>
      <c r="BH520" s="895"/>
      <c r="BI520" s="895"/>
      <c r="BJ520" s="895"/>
    </row>
    <row r="521" spans="2:62" ht="15.75" customHeight="1">
      <c r="B521" s="892"/>
      <c r="W521" s="895"/>
      <c r="X521" s="895"/>
      <c r="Y521" s="895"/>
      <c r="Z521" s="895"/>
      <c r="AA521" s="895"/>
      <c r="AB521" s="895"/>
      <c r="AC521" s="895"/>
      <c r="AD521" s="895"/>
      <c r="AE521" s="895"/>
      <c r="AF521" s="895"/>
      <c r="AG521" s="895"/>
      <c r="AH521" s="895"/>
      <c r="AI521" s="895"/>
      <c r="AJ521" s="895"/>
      <c r="AK521" s="895"/>
      <c r="AL521" s="895"/>
      <c r="AM521" s="895"/>
      <c r="AN521" s="895"/>
      <c r="AO521" s="895"/>
      <c r="AP521" s="895"/>
      <c r="AQ521" s="895"/>
      <c r="AR521" s="895"/>
      <c r="AS521" s="895"/>
      <c r="AT521" s="895"/>
      <c r="AU521" s="895"/>
      <c r="AV521" s="895"/>
      <c r="AW521" s="895"/>
      <c r="AX521" s="895"/>
      <c r="AY521" s="895"/>
      <c r="AZ521" s="895"/>
      <c r="BA521" s="895"/>
      <c r="BB521" s="895"/>
      <c r="BC521" s="895"/>
      <c r="BD521" s="895"/>
      <c r="BE521" s="895"/>
      <c r="BF521" s="895"/>
      <c r="BG521" s="895"/>
      <c r="BH521" s="895"/>
      <c r="BI521" s="895"/>
      <c r="BJ521" s="895"/>
    </row>
    <row r="522" spans="2:62" ht="15.75" customHeight="1">
      <c r="B522" s="892"/>
      <c r="W522" s="895"/>
      <c r="X522" s="895"/>
      <c r="Y522" s="895"/>
      <c r="Z522" s="895"/>
      <c r="AA522" s="895"/>
      <c r="AB522" s="895"/>
      <c r="AC522" s="895"/>
      <c r="AD522" s="895"/>
      <c r="AE522" s="895"/>
      <c r="AF522" s="895"/>
      <c r="AG522" s="895"/>
      <c r="AH522" s="895"/>
      <c r="AI522" s="895"/>
      <c r="AJ522" s="895"/>
      <c r="AK522" s="895"/>
      <c r="AL522" s="895"/>
      <c r="AM522" s="895"/>
      <c r="AN522" s="895"/>
      <c r="AO522" s="895"/>
      <c r="AP522" s="895"/>
      <c r="AQ522" s="895"/>
      <c r="AR522" s="895"/>
      <c r="AS522" s="895"/>
      <c r="AT522" s="895"/>
      <c r="AU522" s="895"/>
      <c r="AV522" s="895"/>
      <c r="AW522" s="895"/>
      <c r="AX522" s="895"/>
      <c r="AY522" s="895"/>
      <c r="AZ522" s="895"/>
      <c r="BA522" s="895"/>
      <c r="BB522" s="895"/>
      <c r="BC522" s="895"/>
      <c r="BD522" s="895"/>
      <c r="BE522" s="895"/>
      <c r="BF522" s="895"/>
      <c r="BG522" s="895"/>
      <c r="BH522" s="895"/>
      <c r="BI522" s="895"/>
      <c r="BJ522" s="895"/>
    </row>
    <row r="523" spans="2:62" ht="15.75" customHeight="1">
      <c r="B523" s="892"/>
      <c r="W523" s="895"/>
      <c r="X523" s="895"/>
      <c r="Y523" s="895"/>
      <c r="Z523" s="895"/>
      <c r="AA523" s="895"/>
      <c r="AB523" s="895"/>
      <c r="AC523" s="895"/>
      <c r="AD523" s="895"/>
      <c r="AE523" s="895"/>
      <c r="AF523" s="895"/>
      <c r="AG523" s="895"/>
      <c r="AH523" s="895"/>
      <c r="AI523" s="895"/>
      <c r="AJ523" s="895"/>
      <c r="AK523" s="895"/>
      <c r="AL523" s="895"/>
      <c r="AM523" s="895"/>
      <c r="AN523" s="895"/>
      <c r="AO523" s="895"/>
      <c r="AP523" s="895"/>
      <c r="AQ523" s="895"/>
      <c r="AR523" s="895"/>
      <c r="AS523" s="895"/>
      <c r="AT523" s="895"/>
      <c r="AU523" s="895"/>
      <c r="AV523" s="895"/>
      <c r="AW523" s="895"/>
      <c r="AX523" s="895"/>
      <c r="AY523" s="895"/>
      <c r="AZ523" s="895"/>
      <c r="BA523" s="895"/>
      <c r="BB523" s="895"/>
      <c r="BC523" s="895"/>
      <c r="BD523" s="895"/>
      <c r="BE523" s="895"/>
      <c r="BF523" s="895"/>
      <c r="BG523" s="895"/>
      <c r="BH523" s="895"/>
      <c r="BI523" s="895"/>
      <c r="BJ523" s="895"/>
    </row>
    <row r="524" spans="2:62" ht="15.75" customHeight="1">
      <c r="B524" s="892"/>
      <c r="W524" s="895"/>
      <c r="X524" s="895"/>
      <c r="Y524" s="895"/>
      <c r="Z524" s="895"/>
      <c r="AA524" s="895"/>
      <c r="AB524" s="895"/>
      <c r="AC524" s="895"/>
      <c r="AD524" s="895"/>
      <c r="AE524" s="895"/>
      <c r="AF524" s="895"/>
      <c r="AG524" s="895"/>
      <c r="AH524" s="895"/>
      <c r="AI524" s="895"/>
      <c r="AJ524" s="895"/>
      <c r="AK524" s="895"/>
      <c r="AL524" s="895"/>
      <c r="AM524" s="895"/>
      <c r="AN524" s="895"/>
      <c r="AO524" s="895"/>
      <c r="AP524" s="895"/>
      <c r="AQ524" s="895"/>
      <c r="AR524" s="895"/>
      <c r="AS524" s="895"/>
      <c r="AT524" s="895"/>
      <c r="AU524" s="895"/>
      <c r="AV524" s="895"/>
      <c r="AW524" s="895"/>
      <c r="AX524" s="895"/>
      <c r="AY524" s="895"/>
      <c r="AZ524" s="895"/>
      <c r="BA524" s="895"/>
      <c r="BB524" s="895"/>
      <c r="BC524" s="895"/>
      <c r="BD524" s="895"/>
      <c r="BE524" s="895"/>
      <c r="BF524" s="895"/>
      <c r="BG524" s="895"/>
      <c r="BH524" s="895"/>
      <c r="BI524" s="895"/>
      <c r="BJ524" s="895"/>
    </row>
    <row r="525" spans="2:62" ht="15.75" customHeight="1">
      <c r="B525" s="892"/>
      <c r="C525" s="1155"/>
      <c r="W525" s="895"/>
      <c r="X525" s="895"/>
      <c r="Y525" s="895"/>
      <c r="Z525" s="895"/>
      <c r="AA525" s="895"/>
      <c r="AB525" s="895"/>
      <c r="AC525" s="895"/>
      <c r="AD525" s="895"/>
      <c r="AE525" s="895"/>
      <c r="AF525" s="895"/>
      <c r="AG525" s="895"/>
      <c r="AH525" s="895"/>
      <c r="AI525" s="895"/>
      <c r="AJ525" s="895"/>
      <c r="AK525" s="895"/>
      <c r="AL525" s="895"/>
      <c r="AM525" s="895"/>
      <c r="AN525" s="895"/>
      <c r="AO525" s="895"/>
      <c r="AP525" s="895"/>
      <c r="AQ525" s="895"/>
      <c r="AR525" s="895"/>
      <c r="AS525" s="895"/>
      <c r="AT525" s="895"/>
      <c r="AU525" s="895"/>
      <c r="AV525" s="895"/>
      <c r="AW525" s="895"/>
      <c r="AX525" s="895"/>
      <c r="AY525" s="895"/>
      <c r="AZ525" s="895"/>
      <c r="BA525" s="895"/>
      <c r="BB525" s="895"/>
      <c r="BC525" s="895"/>
      <c r="BD525" s="895"/>
      <c r="BE525" s="895"/>
      <c r="BF525" s="895"/>
      <c r="BG525" s="895"/>
      <c r="BH525" s="895"/>
      <c r="BI525" s="895"/>
      <c r="BJ525" s="895"/>
    </row>
    <row r="526" spans="2:62" ht="15.75" customHeight="1">
      <c r="B526" s="892"/>
      <c r="C526" s="1155"/>
      <c r="W526" s="895"/>
      <c r="X526" s="895"/>
      <c r="Y526" s="895"/>
      <c r="Z526" s="895"/>
      <c r="AA526" s="895"/>
      <c r="AB526" s="895"/>
      <c r="AC526" s="895"/>
      <c r="AD526" s="895"/>
      <c r="AE526" s="895"/>
      <c r="AF526" s="895"/>
      <c r="AG526" s="895"/>
      <c r="AH526" s="895"/>
      <c r="AI526" s="895"/>
      <c r="AJ526" s="895"/>
      <c r="AK526" s="895"/>
      <c r="AL526" s="895"/>
      <c r="AM526" s="895"/>
      <c r="AN526" s="895"/>
      <c r="AO526" s="895"/>
      <c r="AP526" s="895"/>
      <c r="AQ526" s="895"/>
      <c r="AR526" s="895"/>
      <c r="AS526" s="895"/>
      <c r="AT526" s="895"/>
      <c r="AU526" s="895"/>
      <c r="AV526" s="895"/>
      <c r="AW526" s="895"/>
      <c r="AX526" s="895"/>
      <c r="AY526" s="895"/>
      <c r="AZ526" s="895"/>
      <c r="BA526" s="895"/>
      <c r="BB526" s="895"/>
      <c r="BC526" s="895"/>
      <c r="BD526" s="895"/>
      <c r="BE526" s="895"/>
      <c r="BF526" s="895"/>
      <c r="BG526" s="895"/>
      <c r="BH526" s="895"/>
      <c r="BI526" s="895"/>
      <c r="BJ526" s="895"/>
    </row>
    <row r="527" spans="2:62" ht="15.75" customHeight="1">
      <c r="B527" s="892"/>
      <c r="C527" s="1155"/>
      <c r="W527" s="895"/>
      <c r="X527" s="895"/>
      <c r="Y527" s="895"/>
      <c r="Z527" s="895"/>
      <c r="AA527" s="895"/>
      <c r="AB527" s="895"/>
      <c r="AC527" s="895"/>
      <c r="AD527" s="895"/>
      <c r="AE527" s="895"/>
      <c r="AF527" s="895"/>
      <c r="AG527" s="895"/>
      <c r="AH527" s="895"/>
      <c r="AI527" s="895"/>
      <c r="AJ527" s="895"/>
      <c r="AK527" s="895"/>
      <c r="AL527" s="895"/>
      <c r="AM527" s="895"/>
      <c r="AN527" s="895"/>
      <c r="AO527" s="895"/>
      <c r="AP527" s="895"/>
      <c r="AQ527" s="895"/>
      <c r="AR527" s="895"/>
      <c r="AS527" s="895"/>
      <c r="AT527" s="895"/>
      <c r="AU527" s="895"/>
      <c r="AV527" s="895"/>
      <c r="AW527" s="895"/>
      <c r="AX527" s="895"/>
      <c r="AY527" s="895"/>
      <c r="AZ527" s="895"/>
      <c r="BA527" s="895"/>
      <c r="BB527" s="895"/>
      <c r="BC527" s="895"/>
      <c r="BD527" s="895"/>
      <c r="BE527" s="895"/>
      <c r="BF527" s="895"/>
      <c r="BG527" s="895"/>
      <c r="BH527" s="895"/>
      <c r="BI527" s="895"/>
      <c r="BJ527" s="895"/>
    </row>
    <row r="528" spans="2:62" ht="15.75" customHeight="1">
      <c r="B528" s="892"/>
      <c r="C528" s="1155"/>
      <c r="W528" s="895"/>
      <c r="X528" s="895"/>
      <c r="Y528" s="895"/>
      <c r="Z528" s="895"/>
      <c r="AA528" s="895"/>
      <c r="AB528" s="895"/>
      <c r="AC528" s="895"/>
      <c r="AD528" s="895"/>
      <c r="AE528" s="895"/>
      <c r="AF528" s="895"/>
      <c r="AG528" s="895"/>
      <c r="AH528" s="895"/>
      <c r="AI528" s="895"/>
      <c r="AJ528" s="895"/>
      <c r="AK528" s="895"/>
      <c r="AL528" s="895"/>
      <c r="AM528" s="895"/>
      <c r="AN528" s="895"/>
      <c r="AO528" s="895"/>
      <c r="AP528" s="895"/>
      <c r="AQ528" s="895"/>
      <c r="AR528" s="895"/>
      <c r="AS528" s="895"/>
      <c r="AT528" s="895"/>
      <c r="AU528" s="895"/>
      <c r="AV528" s="895"/>
      <c r="AW528" s="895"/>
      <c r="AX528" s="895"/>
      <c r="AY528" s="895"/>
      <c r="AZ528" s="895"/>
      <c r="BA528" s="895"/>
      <c r="BB528" s="895"/>
      <c r="BC528" s="895"/>
      <c r="BD528" s="895"/>
      <c r="BE528" s="895"/>
      <c r="BF528" s="895"/>
      <c r="BG528" s="895"/>
      <c r="BH528" s="895"/>
      <c r="BI528" s="895"/>
      <c r="BJ528" s="895"/>
    </row>
    <row r="529" spans="2:62" ht="15.75" customHeight="1">
      <c r="B529" s="892"/>
      <c r="C529" s="1155"/>
      <c r="W529" s="895"/>
      <c r="X529" s="895"/>
      <c r="Y529" s="895"/>
      <c r="Z529" s="895"/>
      <c r="AA529" s="895"/>
      <c r="AB529" s="895"/>
      <c r="AC529" s="895"/>
      <c r="AD529" s="895"/>
      <c r="AE529" s="895"/>
      <c r="AF529" s="895"/>
      <c r="AG529" s="895"/>
      <c r="AH529" s="895"/>
      <c r="AI529" s="895"/>
      <c r="AJ529" s="895"/>
      <c r="AK529" s="895"/>
      <c r="AL529" s="895"/>
      <c r="AM529" s="895"/>
      <c r="AN529" s="895"/>
      <c r="AO529" s="895"/>
      <c r="AP529" s="895"/>
      <c r="AQ529" s="895"/>
      <c r="AR529" s="895"/>
      <c r="AS529" s="895"/>
      <c r="AT529" s="895"/>
      <c r="AU529" s="895"/>
      <c r="AV529" s="895"/>
      <c r="AW529" s="895"/>
      <c r="AX529" s="895"/>
      <c r="AY529" s="895"/>
      <c r="AZ529" s="895"/>
      <c r="BA529" s="895"/>
      <c r="BB529" s="895"/>
      <c r="BC529" s="895"/>
      <c r="BD529" s="895"/>
      <c r="BE529" s="895"/>
      <c r="BF529" s="895"/>
      <c r="BG529" s="895"/>
      <c r="BH529" s="895"/>
      <c r="BI529" s="895"/>
      <c r="BJ529" s="895"/>
    </row>
    <row r="530" spans="2:62" ht="15.75" customHeight="1">
      <c r="B530" s="892"/>
      <c r="C530" s="1155"/>
      <c r="W530" s="895"/>
      <c r="X530" s="895"/>
      <c r="Y530" s="895"/>
      <c r="Z530" s="895"/>
      <c r="AA530" s="895"/>
      <c r="AB530" s="895"/>
      <c r="AC530" s="895"/>
      <c r="AD530" s="895"/>
      <c r="AE530" s="895"/>
      <c r="AF530" s="895"/>
      <c r="AG530" s="895"/>
      <c r="AH530" s="895"/>
      <c r="AI530" s="895"/>
      <c r="AJ530" s="895"/>
      <c r="AK530" s="895"/>
      <c r="AL530" s="895"/>
      <c r="AM530" s="895"/>
      <c r="AN530" s="895"/>
      <c r="AO530" s="895"/>
      <c r="AP530" s="895"/>
      <c r="AQ530" s="895"/>
      <c r="AR530" s="895"/>
      <c r="AS530" s="895"/>
      <c r="AT530" s="895"/>
      <c r="AU530" s="895"/>
      <c r="AV530" s="895"/>
      <c r="AW530" s="895"/>
      <c r="AX530" s="895"/>
      <c r="AY530" s="895"/>
      <c r="AZ530" s="895"/>
      <c r="BA530" s="895"/>
      <c r="BB530" s="895"/>
      <c r="BC530" s="895"/>
      <c r="BD530" s="895"/>
      <c r="BE530" s="895"/>
      <c r="BF530" s="895"/>
      <c r="BG530" s="895"/>
      <c r="BH530" s="895"/>
      <c r="BI530" s="895"/>
      <c r="BJ530" s="895"/>
    </row>
    <row r="531" spans="2:62" ht="15.75" customHeight="1">
      <c r="B531" s="892"/>
      <c r="C531" s="1155"/>
      <c r="W531" s="895"/>
      <c r="X531" s="895"/>
      <c r="Y531" s="895"/>
      <c r="Z531" s="895"/>
      <c r="AA531" s="895"/>
      <c r="AB531" s="895"/>
      <c r="AC531" s="895"/>
      <c r="AD531" s="895"/>
      <c r="AE531" s="895"/>
      <c r="AF531" s="895"/>
      <c r="AG531" s="895"/>
      <c r="AH531" s="895"/>
      <c r="AI531" s="895"/>
      <c r="AJ531" s="895"/>
      <c r="AK531" s="895"/>
      <c r="AL531" s="895"/>
      <c r="AM531" s="895"/>
      <c r="AN531" s="895"/>
      <c r="AO531" s="895"/>
      <c r="AP531" s="895"/>
      <c r="AQ531" s="895"/>
      <c r="AR531" s="895"/>
      <c r="AS531" s="895"/>
      <c r="AT531" s="895"/>
      <c r="AU531" s="895"/>
      <c r="AV531" s="895"/>
      <c r="AW531" s="895"/>
      <c r="AX531" s="895"/>
      <c r="AY531" s="895"/>
      <c r="AZ531" s="895"/>
      <c r="BA531" s="895"/>
      <c r="BB531" s="895"/>
      <c r="BC531" s="895"/>
      <c r="BD531" s="895"/>
      <c r="BE531" s="895"/>
      <c r="BF531" s="895"/>
      <c r="BG531" s="895"/>
      <c r="BH531" s="895"/>
      <c r="BI531" s="895"/>
      <c r="BJ531" s="895"/>
    </row>
    <row r="532" spans="2:62" ht="15.75" customHeight="1">
      <c r="B532" s="892"/>
      <c r="C532" s="1155"/>
      <c r="W532" s="895"/>
      <c r="X532" s="895"/>
      <c r="Y532" s="895"/>
      <c r="Z532" s="895"/>
      <c r="AA532" s="895"/>
      <c r="AB532" s="895"/>
      <c r="AC532" s="895"/>
      <c r="AD532" s="895"/>
      <c r="AE532" s="895"/>
      <c r="AF532" s="895"/>
      <c r="AG532" s="895"/>
      <c r="AH532" s="895"/>
      <c r="AI532" s="895"/>
      <c r="AJ532" s="895"/>
      <c r="AK532" s="895"/>
      <c r="AL532" s="895"/>
      <c r="AM532" s="895"/>
      <c r="AN532" s="895"/>
      <c r="AO532" s="895"/>
      <c r="AP532" s="895"/>
      <c r="AQ532" s="895"/>
      <c r="AR532" s="895"/>
      <c r="AS532" s="895"/>
      <c r="AT532" s="895"/>
      <c r="AU532" s="895"/>
      <c r="AV532" s="895"/>
      <c r="AW532" s="895"/>
      <c r="AX532" s="895"/>
      <c r="AY532" s="895"/>
      <c r="AZ532" s="895"/>
      <c r="BA532" s="895"/>
      <c r="BB532" s="895"/>
      <c r="BC532" s="895"/>
      <c r="BD532" s="895"/>
      <c r="BE532" s="895"/>
      <c r="BF532" s="895"/>
      <c r="BG532" s="895"/>
      <c r="BH532" s="895"/>
      <c r="BI532" s="895"/>
      <c r="BJ532" s="895"/>
    </row>
    <row r="533" spans="2:62" ht="15.75" customHeight="1">
      <c r="B533" s="892"/>
      <c r="C533" s="1155"/>
      <c r="W533" s="895"/>
      <c r="X533" s="895"/>
      <c r="Y533" s="895"/>
      <c r="Z533" s="895"/>
      <c r="AA533" s="895"/>
      <c r="AB533" s="895"/>
      <c r="AC533" s="895"/>
      <c r="AD533" s="895"/>
      <c r="AE533" s="895"/>
      <c r="AF533" s="895"/>
      <c r="AG533" s="895"/>
      <c r="AH533" s="895"/>
      <c r="AI533" s="895"/>
      <c r="AJ533" s="895"/>
      <c r="AK533" s="895"/>
      <c r="AL533" s="895"/>
      <c r="AM533" s="895"/>
      <c r="AN533" s="895"/>
      <c r="AO533" s="895"/>
      <c r="AP533" s="895"/>
      <c r="AQ533" s="895"/>
      <c r="AR533" s="895"/>
      <c r="AS533" s="895"/>
      <c r="AT533" s="895"/>
      <c r="AU533" s="895"/>
      <c r="AV533" s="895"/>
      <c r="AW533" s="895"/>
      <c r="AX533" s="895"/>
      <c r="AY533" s="895"/>
      <c r="AZ533" s="895"/>
      <c r="BA533" s="895"/>
      <c r="BB533" s="895"/>
      <c r="BC533" s="895"/>
      <c r="BD533" s="895"/>
      <c r="BE533" s="895"/>
      <c r="BF533" s="895"/>
      <c r="BG533" s="895"/>
      <c r="BH533" s="895"/>
      <c r="BI533" s="895"/>
      <c r="BJ533" s="895"/>
    </row>
    <row r="534" spans="2:62" ht="15.75" customHeight="1">
      <c r="B534" s="892"/>
      <c r="C534" s="1155"/>
      <c r="W534" s="895"/>
      <c r="X534" s="895"/>
      <c r="Y534" s="895"/>
      <c r="Z534" s="895"/>
      <c r="AA534" s="895"/>
      <c r="AB534" s="895"/>
      <c r="AC534" s="895"/>
      <c r="AD534" s="895"/>
      <c r="AE534" s="895"/>
      <c r="AF534" s="895"/>
      <c r="AG534" s="895"/>
      <c r="AH534" s="895"/>
      <c r="AI534" s="895"/>
      <c r="AJ534" s="895"/>
      <c r="AK534" s="895"/>
      <c r="AL534" s="895"/>
      <c r="AM534" s="895"/>
      <c r="AN534" s="895"/>
      <c r="AO534" s="895"/>
      <c r="AP534" s="895"/>
      <c r="AQ534" s="895"/>
      <c r="AR534" s="895"/>
      <c r="AS534" s="895"/>
      <c r="AT534" s="895"/>
      <c r="AU534" s="895"/>
      <c r="AV534" s="895"/>
      <c r="AW534" s="895"/>
      <c r="AX534" s="895"/>
      <c r="AY534" s="895"/>
      <c r="AZ534" s="895"/>
      <c r="BA534" s="895"/>
      <c r="BB534" s="895"/>
      <c r="BC534" s="895"/>
      <c r="BD534" s="895"/>
      <c r="BE534" s="895"/>
      <c r="BF534" s="895"/>
      <c r="BG534" s="895"/>
      <c r="BH534" s="895"/>
      <c r="BI534" s="895"/>
      <c r="BJ534" s="895"/>
    </row>
    <row r="535" spans="2:62" ht="15.75" customHeight="1">
      <c r="B535" s="892"/>
      <c r="W535" s="895"/>
      <c r="X535" s="895"/>
      <c r="Y535" s="895"/>
      <c r="Z535" s="895"/>
      <c r="AA535" s="895"/>
      <c r="AB535" s="895"/>
      <c r="AC535" s="895"/>
      <c r="AD535" s="895"/>
      <c r="AE535" s="895"/>
      <c r="AF535" s="895"/>
      <c r="AG535" s="895"/>
      <c r="AH535" s="895"/>
      <c r="AI535" s="895"/>
      <c r="AJ535" s="895"/>
      <c r="AK535" s="895"/>
      <c r="AL535" s="895"/>
      <c r="AM535" s="895"/>
      <c r="AN535" s="895"/>
      <c r="AO535" s="895"/>
      <c r="AP535" s="895"/>
      <c r="AQ535" s="895"/>
      <c r="AR535" s="895"/>
      <c r="AS535" s="895"/>
      <c r="AT535" s="895"/>
      <c r="AU535" s="895"/>
      <c r="AV535" s="895"/>
      <c r="AW535" s="895"/>
      <c r="AX535" s="895"/>
      <c r="AY535" s="895"/>
      <c r="AZ535" s="895"/>
      <c r="BA535" s="895"/>
      <c r="BB535" s="895"/>
      <c r="BC535" s="895"/>
      <c r="BD535" s="895"/>
      <c r="BE535" s="895"/>
      <c r="BF535" s="895"/>
      <c r="BG535" s="895"/>
      <c r="BH535" s="895"/>
      <c r="BI535" s="895"/>
      <c r="BJ535" s="895"/>
    </row>
    <row r="536" spans="2:62" ht="15.75" customHeight="1">
      <c r="B536" s="892"/>
      <c r="W536" s="895"/>
      <c r="X536" s="895"/>
      <c r="Y536" s="895"/>
      <c r="Z536" s="895"/>
      <c r="AA536" s="895"/>
      <c r="AB536" s="895"/>
      <c r="AC536" s="895"/>
      <c r="AD536" s="895"/>
      <c r="AE536" s="895"/>
      <c r="AF536" s="895"/>
      <c r="AG536" s="895"/>
      <c r="AH536" s="895"/>
      <c r="AI536" s="895"/>
      <c r="AJ536" s="895"/>
      <c r="AK536" s="895"/>
      <c r="AL536" s="895"/>
      <c r="AM536" s="895"/>
      <c r="AN536" s="895"/>
      <c r="AO536" s="895"/>
      <c r="AP536" s="895"/>
      <c r="AQ536" s="895"/>
      <c r="AR536" s="895"/>
      <c r="AS536" s="895"/>
      <c r="AT536" s="895"/>
      <c r="AU536" s="895"/>
      <c r="AV536" s="895"/>
      <c r="AW536" s="895"/>
      <c r="AX536" s="895"/>
      <c r="AY536" s="895"/>
      <c r="AZ536" s="895"/>
      <c r="BA536" s="895"/>
      <c r="BB536" s="895"/>
      <c r="BC536" s="895"/>
      <c r="BD536" s="895"/>
      <c r="BE536" s="895"/>
      <c r="BF536" s="895"/>
      <c r="BG536" s="895"/>
      <c r="BH536" s="895"/>
      <c r="BI536" s="895"/>
      <c r="BJ536" s="895"/>
    </row>
    <row r="537" spans="2:62" ht="15.75" customHeight="1">
      <c r="B537" s="892"/>
      <c r="W537" s="895"/>
      <c r="X537" s="895"/>
      <c r="Y537" s="895"/>
      <c r="Z537" s="895"/>
      <c r="AA537" s="895"/>
      <c r="AB537" s="895"/>
      <c r="AC537" s="895"/>
      <c r="AD537" s="895"/>
      <c r="AE537" s="895"/>
      <c r="AF537" s="895"/>
      <c r="AG537" s="895"/>
      <c r="AH537" s="895"/>
      <c r="AI537" s="895"/>
      <c r="AJ537" s="895"/>
      <c r="AK537" s="895"/>
      <c r="AL537" s="895"/>
      <c r="AM537" s="895"/>
      <c r="AN537" s="895"/>
      <c r="AO537" s="895"/>
      <c r="AP537" s="895"/>
      <c r="AQ537" s="895"/>
      <c r="AR537" s="895"/>
      <c r="AS537" s="895"/>
      <c r="AT537" s="895"/>
      <c r="AU537" s="895"/>
      <c r="AV537" s="895"/>
      <c r="AW537" s="895"/>
      <c r="AX537" s="895"/>
      <c r="AY537" s="895"/>
      <c r="AZ537" s="895"/>
      <c r="BA537" s="895"/>
      <c r="BB537" s="895"/>
      <c r="BC537" s="895"/>
      <c r="BD537" s="895"/>
      <c r="BE537" s="895"/>
      <c r="BF537" s="895"/>
      <c r="BG537" s="895"/>
      <c r="BH537" s="895"/>
      <c r="BI537" s="895"/>
      <c r="BJ537" s="895"/>
    </row>
    <row r="538" spans="2:62" ht="15.75" customHeight="1">
      <c r="B538" s="892"/>
      <c r="W538" s="895"/>
      <c r="X538" s="895"/>
      <c r="Y538" s="895"/>
      <c r="Z538" s="895"/>
      <c r="AA538" s="895"/>
      <c r="AB538" s="895"/>
      <c r="AC538" s="895"/>
      <c r="AD538" s="895"/>
      <c r="AE538" s="895"/>
      <c r="AF538" s="895"/>
      <c r="AG538" s="895"/>
      <c r="AH538" s="895"/>
      <c r="AI538" s="895"/>
      <c r="AJ538" s="895"/>
      <c r="AK538" s="895"/>
      <c r="AL538" s="895"/>
      <c r="AM538" s="895"/>
      <c r="AN538" s="895"/>
      <c r="AO538" s="895"/>
      <c r="AP538" s="895"/>
      <c r="AQ538" s="895"/>
      <c r="AR538" s="895"/>
      <c r="AS538" s="895"/>
      <c r="AT538" s="895"/>
      <c r="AU538" s="895"/>
      <c r="AV538" s="895"/>
      <c r="AW538" s="895"/>
      <c r="AX538" s="895"/>
      <c r="AY538" s="895"/>
      <c r="AZ538" s="895"/>
      <c r="BA538" s="895"/>
      <c r="BB538" s="895"/>
      <c r="BC538" s="895"/>
      <c r="BD538" s="895"/>
      <c r="BE538" s="895"/>
      <c r="BF538" s="895"/>
      <c r="BG538" s="895"/>
      <c r="BH538" s="895"/>
      <c r="BI538" s="895"/>
      <c r="BJ538" s="895"/>
    </row>
    <row r="539" spans="2:62" ht="15.75" customHeight="1"/>
    <row r="540" spans="2:62" ht="15.75" customHeight="1"/>
    <row r="541" spans="2:62" ht="15.75" customHeight="1"/>
    <row r="542" spans="2:62" ht="15.75" customHeight="1"/>
    <row r="543" spans="2:62" ht="15.75" customHeight="1"/>
    <row r="544" spans="2:62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</sheetData>
  <mergeCells count="42">
    <mergeCell ref="X404:Z404"/>
    <mergeCell ref="AA404:AC404"/>
    <mergeCell ref="AD404:AF404"/>
    <mergeCell ref="AG404:AI404"/>
    <mergeCell ref="AJ404:AL404"/>
    <mergeCell ref="AM404:AO404"/>
    <mergeCell ref="D358:F358"/>
    <mergeCell ref="G358:I358"/>
    <mergeCell ref="J358:L358"/>
    <mergeCell ref="M358:N358"/>
    <mergeCell ref="O358:Q358"/>
    <mergeCell ref="R358:S358"/>
    <mergeCell ref="D293:F293"/>
    <mergeCell ref="G293:I293"/>
    <mergeCell ref="J293:L293"/>
    <mergeCell ref="M293:N293"/>
    <mergeCell ref="O293:Q293"/>
    <mergeCell ref="R293:S293"/>
    <mergeCell ref="D238:F238"/>
    <mergeCell ref="G238:I238"/>
    <mergeCell ref="J238:L238"/>
    <mergeCell ref="M238:N238"/>
    <mergeCell ref="O238:Q238"/>
    <mergeCell ref="R238:S238"/>
    <mergeCell ref="D170:F170"/>
    <mergeCell ref="G170:I170"/>
    <mergeCell ref="J170:L170"/>
    <mergeCell ref="M170:N170"/>
    <mergeCell ref="O170:Q170"/>
    <mergeCell ref="R170:S170"/>
    <mergeCell ref="D91:F91"/>
    <mergeCell ref="G91:I91"/>
    <mergeCell ref="J91:L91"/>
    <mergeCell ref="M91:N91"/>
    <mergeCell ref="O91:Q91"/>
    <mergeCell ref="R91:S91"/>
    <mergeCell ref="D3:F3"/>
    <mergeCell ref="G3:I3"/>
    <mergeCell ref="J3:L3"/>
    <mergeCell ref="M3:N3"/>
    <mergeCell ref="O3:Q3"/>
    <mergeCell ref="R3:S3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activeCell="C8" sqref="C8"/>
    </sheetView>
  </sheetViews>
  <sheetFormatPr baseColWidth="10" defaultColWidth="11.25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Paramètre</vt:lpstr>
      <vt:lpstr>Conso</vt:lpstr>
      <vt:lpstr>START</vt:lpstr>
      <vt:lpstr>Juillet 2025</vt:lpstr>
      <vt:lpstr>Aout 2025</vt:lpstr>
      <vt:lpstr>Septembre 2025</vt:lpstr>
      <vt:lpstr>END</vt:lpstr>
      <vt:lpstr>'Aout 2025'!Zone_d_impression</vt:lpstr>
      <vt:lpstr>Conso!Zone_d_impression</vt:lpstr>
      <vt:lpstr>'Juillet 2025'!Zone_d_impression</vt:lpstr>
      <vt:lpstr>'Septembre 2025'!Zone_d_impression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2021-02-12T03:12:48Z</dcterms:created>
  <dcterms:modified xsi:type="dcterms:W3CDTF">2025-10-10T18:32:11Z</dcterms:modified>
</cp:coreProperties>
</file>